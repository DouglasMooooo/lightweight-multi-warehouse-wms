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_SOPMaintenance skill 使用说" sheetId="1" r:id="rId5"/>
    <sheet state="visible" name="主表 Stock_Transaction_Log" sheetId="2" r:id="rId6"/>
    <sheet state="visible" name="Warehouse_Layout 仓库可视化" sheetId="3" r:id="rId7"/>
    <sheet state="visible" name="Repair_Weekly_Input 维修周数据" sheetId="4" r:id="rId8"/>
    <sheet state="visible" name="Current_Stock_Detail 当前库存明细查询" sheetId="5" r:id="rId9"/>
    <sheet state="visible" name="周报" sheetId="6" r:id="rId10"/>
    <sheet state="visible" name="月报" sheetId="7" r:id="rId11"/>
    <sheet state="visible" name="Dashboard 简易报表" sheetId="8" r:id="rId12"/>
    <sheet state="visible" name="Product_Stock_Master产品维护" sheetId="9" r:id="rId13"/>
    <sheet state="visible" name="Location_Master库位维护" sheetId="10" r:id="rId14"/>
    <sheet state="visible" name="Lists动作维护" sheetId="11" r:id="rId15"/>
    <sheet state="visible" name="AI_SKILL_Label打印" sheetId="12" r:id="rId16"/>
    <sheet state="visible" name="AI_SKILL_工单读取" sheetId="13" r:id="rId17"/>
  </sheets>
  <definedNames>
    <definedName hidden="1" localSheetId="3" name="_xlnm._FilterDatabase">'Repair_Weekly_Input 维修周数据'!$A$2:$J$160</definedName>
    <definedName hidden="1" localSheetId="5" name="_xlnm._FilterDatabase">'周报'!$G$5:$L$45</definedName>
    <definedName hidden="1" localSheetId="6" name="_xlnm._FilterDatabase">'月报'!$A$21:$F$61</definedName>
    <definedName hidden="1" localSheetId="8" name="_xlnm._FilterDatabase">'Product_Stock_Master产品维护'!$B$1:$B$1000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Manual weekly figure from the repair team / 维修团队人工周数据。Enter zero when confirmed none; leave blank while pending confirmation.</t>
      </text>
    </comment>
    <comment authorId="0" ref="A2">
      <text>
        <t xml:space="preserve">Pre-generated Monday dates from 2026-07-20. Historical figures through 2026-07-19 are already stored in Weekly_History.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Enter any date to query its Monday-Sunday week / 输入任意日期查询所属周。</t>
      </text>
    </comment>
    <comment authorId="0" ref="A56">
      <text>
        <t xml:space="preserve">Confirmed weekly snapshots only. Copy Weekly_Report row 50 and paste values only into the next blank row / 仅保存已确认周快照；从周报第50行复制并仅粘贴值。</t>
      </text>
    </comment>
    <comment authorId="0" ref="A50">
      <text>
        <t xml:space="preserve">After weekly confirmation, copy A50:Q50 and paste values only into the next blank row of the history section below, starting from row 57.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Enter report year / 输入报表年度。</t>
      </text>
    </comment>
    <comment authorId="0" ref="B19">
      <text>
        <t xml:space="preserve">Select the month used by the SKU detail section / 选择下方料号明细查询月份。</t>
      </text>
    </comment>
  </commentList>
</comments>
</file>

<file path=xl/sharedStrings.xml><?xml version="1.0" encoding="utf-8"?>
<sst xmlns="http://schemas.openxmlformats.org/spreadsheetml/2006/main" count="3713" uniqueCount="1455">
  <si>
    <t>售后仓库台账操作SOP</t>
  </si>
  <si>
    <t>Warehouse Layout / 仓库现场图</t>
  </si>
  <si>
    <t>Repair Weekly Input / 维修周数据</t>
  </si>
  <si>
    <t>Date / 日期</t>
  </si>
  <si>
    <t>Warehouse After-Sales Ledger SOP</t>
  </si>
  <si>
    <t>AI操作入口 / AI Operation Entry</t>
  </si>
  <si>
    <t>Outbound_Date / 实际出库日</t>
  </si>
  <si>
    <t>Code format / 库位码格式: R-Row-Bay-L/M/R（例：R1-2-1-L = R1货架、第2排、第1列、左位）。R1 = 4 rows x 6 bays; R2 = 4 rows x 5 bays; each bay has L/M/R positions. / R1=4排×6列，R2=4排×5列，每个库位有左/中/右(L/M/R)三个位置。</t>
  </si>
  <si>
    <r>
      <rPr>
        <rFont val="Microsoft Yahei"/>
        <b/>
        <i/>
        <color rgb="FF000000"/>
        <sz val="10.0"/>
      </rPr>
      <t xml:space="preserve">Action / </t>
    </r>
    <r>
      <rPr>
        <rFont val="Arial"/>
        <b/>
        <i/>
        <color rgb="FF000000"/>
        <sz val="10.0"/>
      </rPr>
      <t>动作</t>
    </r>
  </si>
  <si>
    <r>
      <rPr>
        <rFont val="Microsoft YaHei"/>
        <b/>
        <i/>
        <color rgb="FF000000"/>
        <sz val="10.0"/>
      </rPr>
      <t>SH_No / ERP SH</t>
    </r>
    <r>
      <rPr>
        <rFont val="Noto Sans CJK SC"/>
        <b/>
        <i/>
        <color rgb="FF000000"/>
        <sz val="10.0"/>
      </rPr>
      <t>单号</t>
    </r>
  </si>
  <si>
    <r>
      <rPr>
        <rFont val="Microsoft YaHei"/>
        <b/>
        <i/>
        <color rgb="FF000000"/>
        <sz val="10.0"/>
      </rPr>
      <t xml:space="preserve">Pickup_Code / </t>
    </r>
    <r>
      <rPr>
        <rFont val="Noto Sans CJK SC"/>
        <b/>
        <i/>
        <color rgb="FF000000"/>
        <sz val="10.0"/>
      </rPr>
      <t>取货码</t>
    </r>
  </si>
  <si>
    <r>
      <rPr>
        <rFont val="Microsoft YaHei"/>
        <b/>
        <i/>
        <color rgb="FF000000"/>
        <sz val="10.0"/>
      </rPr>
      <t xml:space="preserve">Container_Code / </t>
    </r>
    <r>
      <rPr>
        <rFont val="Noto Sans CJK SC"/>
        <b/>
        <i/>
        <color rgb="FF000000"/>
        <sz val="10.0"/>
      </rPr>
      <t>容器码</t>
    </r>
  </si>
  <si>
    <r>
      <rPr>
        <rFont val="Microsoft YaHei"/>
        <b/>
        <i/>
        <color rgb="FF000000"/>
        <sz val="10.0"/>
      </rPr>
      <t xml:space="preserve">SKU / </t>
    </r>
    <r>
      <rPr>
        <rFont val="Noto Sans CJK SC"/>
        <b/>
        <i/>
        <color rgb="FF000000"/>
        <sz val="10.0"/>
      </rPr>
      <t>料号</t>
    </r>
  </si>
  <si>
    <t>Week_Start / 周开始日</t>
  </si>
  <si>
    <r>
      <rPr>
        <rFont val="Microsoft YaHei"/>
        <b/>
        <i/>
        <color rgb="FF000000"/>
        <sz val="10.0"/>
      </rPr>
      <t xml:space="preserve">Model / </t>
    </r>
    <r>
      <rPr>
        <rFont val="Noto Sans CJK SC"/>
        <b/>
        <i/>
        <color rgb="FF000000"/>
        <sz val="10.0"/>
      </rPr>
      <t>机型</t>
    </r>
  </si>
  <si>
    <t>Week_No / 周别</t>
  </si>
  <si>
    <r>
      <rPr>
        <rFont val="Microsoft YaHei"/>
        <b/>
        <i/>
        <color rgb="FF000000"/>
        <sz val="10.0"/>
      </rPr>
      <t xml:space="preserve">Item_Type / </t>
    </r>
    <r>
      <rPr>
        <rFont val="Noto Sans CJK SC"/>
        <b/>
        <i/>
        <color rgb="FF000000"/>
        <sz val="10.0"/>
      </rPr>
      <t>物品类型</t>
    </r>
  </si>
  <si>
    <t>Repair_Completed / 维修完成</t>
  </si>
  <si>
    <r>
      <rPr>
        <rFont val="Microsoft YaHei"/>
        <b/>
        <i/>
        <color rgb="FF000000"/>
        <sz val="10.0"/>
      </rPr>
      <t xml:space="preserve">SN / </t>
    </r>
    <r>
      <rPr>
        <rFont val="Noto Sans CJK SC"/>
        <b/>
        <i/>
        <color rgb="FF000000"/>
        <sz val="10.0"/>
      </rPr>
      <t>机器唯一码</t>
    </r>
  </si>
  <si>
    <t>Repair_Scrap / 维修报废</t>
  </si>
  <si>
    <r>
      <rPr>
        <rFont val="Microsoft YaHei"/>
        <b/>
        <i/>
        <color rgb="FF000000"/>
        <sz val="10.0"/>
      </rPr>
      <t xml:space="preserve">Qty / </t>
    </r>
    <r>
      <rPr>
        <rFont val="Noto Sans CJK SC"/>
        <b/>
        <i/>
        <color rgb="FF000000"/>
        <sz val="10.0"/>
      </rPr>
      <t>数量</t>
    </r>
  </si>
  <si>
    <t>Scrap_Out / 报废出库</t>
  </si>
  <si>
    <t>Pending_Scrap / 待报废</t>
  </si>
  <si>
    <r>
      <rPr>
        <rFont val="Microsoft YaHei"/>
        <b/>
        <i/>
        <color rgb="FF000000"/>
        <sz val="10.0"/>
      </rPr>
      <t xml:space="preserve">From_Location_Code / </t>
    </r>
    <r>
      <rPr>
        <rFont val="Noto Sans CJK SC"/>
        <b/>
        <i/>
        <color rgb="FF000000"/>
        <sz val="10.0"/>
      </rPr>
      <t>来源库位</t>
    </r>
  </si>
  <si>
    <t>Repair_Good_In / 维修良品入库</t>
  </si>
  <si>
    <r>
      <rPr>
        <rFont val="Microsoft YaHei"/>
        <b/>
        <i/>
        <color rgb="FF000000"/>
        <sz val="10.0"/>
      </rPr>
      <t xml:space="preserve">To_Location_Code / </t>
    </r>
    <r>
      <rPr>
        <rFont val="Noto Sans CJK SC"/>
        <b/>
        <i/>
        <color rgb="FF000000"/>
        <sz val="10.0"/>
      </rPr>
      <t>目标库位</t>
    </r>
  </si>
  <si>
    <t>Pending_Repair / 待修</t>
  </si>
  <si>
    <t>Repair_Inventory / 维修库存</t>
  </si>
  <si>
    <t>ERP仓库选择</t>
  </si>
  <si>
    <t>Remark / 备注</t>
  </si>
  <si>
    <r>
      <rPr>
        <rFont val="Microsoft YaHei"/>
        <b/>
        <i/>
        <color rgb="FF000000"/>
        <sz val="10.0"/>
      </rPr>
      <t xml:space="preserve">Validation_Check / </t>
    </r>
    <r>
      <rPr>
        <rFont val="Noto Sans CJK SC"/>
        <b/>
        <i/>
        <color rgb="FF000000"/>
        <sz val="10.0"/>
      </rPr>
      <t>检查</t>
    </r>
  </si>
  <si>
    <t>R1 / 货架1</t>
  </si>
  <si>
    <t>Stock_Condition / 库存属性（必填）</t>
  </si>
  <si>
    <t>公式辅助位勿动</t>
  </si>
  <si>
    <t>Bay 1-L</t>
  </si>
  <si>
    <t>中文</t>
  </si>
  <si>
    <t>Bay 1-M</t>
  </si>
  <si>
    <t>English</t>
  </si>
  <si>
    <t>Bay 1-R</t>
  </si>
  <si>
    <t>处理ERP SH工单或打印Label前，必须先读取工作簿内对应AI_SKILL页。Skill页为最新业务规则来源，优先于聊天记忆。</t>
  </si>
  <si>
    <t>Bay 2-L</t>
  </si>
  <si>
    <t>Bay 2-M</t>
  </si>
  <si>
    <t>Bay 2-R</t>
  </si>
  <si>
    <t>Bay 3-L</t>
  </si>
  <si>
    <t>Bay 3-M</t>
  </si>
  <si>
    <t>Condition_Check / 属性校验</t>
  </si>
  <si>
    <t>Bay 3-R</t>
  </si>
  <si>
    <t>Bay 4-L</t>
  </si>
  <si>
    <t>Unique_SH_Action_Flag / 单据去重标记</t>
  </si>
  <si>
    <t>Bay 4-M</t>
  </si>
  <si>
    <t>Bay 4-R</t>
  </si>
  <si>
    <t>Bay 5-L</t>
  </si>
  <si>
    <t>Outstanding_Return_Flag / 旧机未返标记</t>
  </si>
  <si>
    <t>Bay 5-M</t>
  </si>
  <si>
    <t>Report_Machine_Flag / 报表整机标记</t>
  </si>
  <si>
    <t>Bay 5-R</t>
  </si>
  <si>
    <t>Bay 6-L</t>
  </si>
  <si>
    <t>Bay 6-M</t>
  </si>
  <si>
    <t>Report_Group / 报表类别</t>
  </si>
  <si>
    <t>Bay 6-R</t>
  </si>
  <si>
    <t>Move_Source_Key / 移库来源Key</t>
  </si>
  <si>
    <t>Move_Source_Qty / 移库来源数量</t>
  </si>
  <si>
    <t>Row 4</t>
  </si>
  <si>
    <t>2026-07-15</t>
  </si>
  <si>
    <t>编辑权限颜色说明</t>
  </si>
  <si>
    <t>Editing Permission Colour Guide</t>
  </si>
  <si>
    <t>工单/备货/出库 → AI_SKILL_工单读取</t>
  </si>
  <si>
    <t>Opening</t>
  </si>
  <si>
    <t>绿色：只有绿色标签工作表中的绿色单元格可以日常编辑。其他区域不得修改。</t>
  </si>
  <si>
    <t>Green: Only green cells inside green-tab sheets may be edited during daily work. Do not change other areas.</t>
  </si>
  <si>
    <t>97-414-00027-00</t>
  </si>
  <si>
    <t>打印Label → AI_SKILL_Label打印</t>
  </si>
  <si>
    <t>黄色：黄色标签工作表是维护表，仅在产品、库位或动作规则需要更新时编辑。</t>
  </si>
  <si>
    <t>Yellow: Yellow-tab sheets are maintenance tables. Edit only when product, location or action rules require maintenance.</t>
  </si>
  <si>
    <t>规则变化直接更新Skill页，下次AI重新读取。</t>
  </si>
  <si>
    <t>R1-2-1-L</t>
  </si>
  <si>
    <t>红色：红色标签工作表是公式及报表表，只能查看，禁止手工修改。</t>
  </si>
  <si>
    <t>Red: Red-tab sheets are formula and report sheets. View only; do not edit manually.</t>
  </si>
  <si>
    <r>
      <rPr>
        <rFont val="Microsoft Yahei"/>
        <b/>
        <color rgb="FF1F4E78"/>
        <sz val="10.0"/>
      </rPr>
      <t xml:space="preserve">目的
</t>
    </r>
    <r>
      <rPr>
        <rFont val="Microsoft Yahei"/>
        <b val="0"/>
        <color rgb="FF1E1E1E"/>
        <sz val="10.0"/>
      </rPr>
      <t>使用“主表 Stock_Transaction_Log”作为唯一的日常录入表。“Current_Stock_Detail 当前库存明细查询”自动生成，用于查询当前库存及混装托盘内容；“Warehouse_Layout 仓库可视化”和“Dashboard 简易报表”用于可视化查看。</t>
    </r>
  </si>
  <si>
    <t>Material / 物料</t>
  </si>
  <si>
    <r>
      <rPr>
        <rFont val="Microsoft Yahei"/>
        <b/>
        <color rgb="FF1F4E78"/>
        <sz val="10.0"/>
      </rPr>
      <t xml:space="preserve">Purpose
</t>
    </r>
    <r>
      <rPr>
        <rFont val="Microsoft Yahei"/>
        <b val="0"/>
        <color rgb="FF1E1E1E"/>
        <sz val="10.0"/>
      </rPr>
      <t>Use “主表 Stock_Transaction_Log” as the only daily input table. “Current_Stock_Detail 当前库存明细查询” is generated automatically for current-stock and mixed-pallet queries. “Warehouse_Layout 仓库可视化” and “Dashboard 简易报表” provide visual views.</t>
    </r>
  </si>
  <si>
    <r>
      <rPr>
        <rFont val="Microsoft Yahei"/>
        <b/>
        <color rgb="FF1F4E78"/>
        <sz val="10.0"/>
      </rPr>
      <t xml:space="preserve">初次使用
</t>
    </r>
    <r>
      <rPr>
        <rFont val="Microsoft Yahei"/>
        <b val="0"/>
        <color rgb="FF1E1E1E"/>
        <sz val="10.0"/>
      </rPr>
      <t>1）确认“Location_Master库位维护”；2）确认“Product_Stock_Master产品维护”；3）在“主表 Stock_Transaction_Log”录入期初库存；4）检查当前库存明细、仓库可视化和简易报表。</t>
    </r>
  </si>
  <si>
    <r>
      <rPr>
        <rFont val="Microsoft Yahei"/>
        <b/>
        <color rgb="FF1F4E78"/>
        <sz val="10.0"/>
      </rPr>
      <t xml:space="preserve">Initial setup
</t>
    </r>
    <r>
      <rPr>
        <rFont val="Microsoft Yahei"/>
        <b val="0"/>
        <color rgb="FF1E1E1E"/>
        <sz val="10.0"/>
      </rPr>
      <t>1) Confirm “Location_Master库位维护”. 2) Confirm “Product_Stock_Master产品维护”. 3) Enter opening stock in “主表 Stock_Transaction_Log”. 4) Check the current-stock detail, warehouse visualization and dashboard.</t>
    </r>
  </si>
  <si>
    <r>
      <rPr>
        <rFont val="Microsoft Yahei"/>
        <b/>
        <color rgb="FF1F4E78"/>
        <sz val="10.0"/>
      </rPr>
      <t xml:space="preserve">产品分类
</t>
    </r>
    <r>
      <rPr>
        <rFont val="Microsoft Yahei"/>
        <b val="0"/>
        <color rgb="FF1E1E1E"/>
        <sz val="10.0"/>
      </rPr>
      <t>只有以下9个机型属于产品（Product）：EQ4800-S、EQ4800-M、CQ6-S、CQ6-M、KH10、KH8、H3-10.0-SMART、H3-15.0-SMART、CQ7-S。其余全部属于物料（Material），包括遮线罩等配件。</t>
    </r>
  </si>
  <si>
    <r>
      <rPr>
        <rFont val="Microsoft Yahei"/>
        <b/>
        <color rgb="FF1F4E78"/>
        <sz val="10.0"/>
      </rPr>
      <t xml:space="preserve">Product classification
</t>
    </r>
    <r>
      <rPr>
        <rFont val="Microsoft Yahei"/>
        <b val="0"/>
        <color rgb="FF1E1E1E"/>
        <sz val="10.0"/>
      </rPr>
      <t>Only these nine models are classified as Product: EQ4800-S, EQ4800-M, CQ6-S, CQ6-M, KH10, KH8, H3-10.0-SMART, H3-15.0-SMART and CQ7-S. Everything else is Material, including cable covers and other accessories.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</si>
  <si>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</si>
  <si>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Opening balance imported from SYD_Basic_Stock_Capture_Template (1).xlsx</t>
  </si>
  <si>
    <r>
      <rPr>
        <rFont val="Microsoft Yahei"/>
        <b/>
        <color rgb="FF1F4E78"/>
        <sz val="10.0"/>
      </rPr>
      <t xml:space="preserve">序列号规则
</t>
    </r>
    <r>
      <rPr>
        <rFont val="Microsoft Yahei"/>
        <b val="0"/>
        <color rgb="FF1E1E1E"/>
        <sz val="10.0"/>
      </rPr>
      <t>只有产品出库和产品退回维修需要序列号（SN）。期初库存、普通物料移动和混装物料托盘不需要序列号。</t>
    </r>
  </si>
  <si>
    <r>
      <rPr>
        <rFont val="Microsoft Yahei"/>
        <b/>
        <color rgb="FF1F4E78"/>
        <sz val="10.0"/>
      </rPr>
      <t xml:space="preserve">Serial-number rule
</t>
    </r>
    <r>
      <rPr>
        <rFont val="Microsoft Yahei"/>
        <b val="0"/>
        <color rgb="FF1E1E1E"/>
        <sz val="10.0"/>
      </rPr>
      <t>Only Product Outbound and Product Return_to_Repair require an SN. Opening stock, normal material movements and mixed-material pallets do not require an SN.</t>
    </r>
  </si>
  <si>
    <r>
      <rPr>
        <rFont val="Microsoft Yahei"/>
        <b/>
        <color rgb="FF1F4E78"/>
        <sz val="10.0"/>
      </rPr>
      <t xml:space="preserve">混装托盘
</t>
    </r>
    <r>
      <rPr>
        <rFont val="Microsoft Yahei"/>
        <b val="0"/>
        <color rgb="FF1E1E1E"/>
        <sz val="10.0"/>
      </rPr>
      <t>使用 MIX-001 等容器编号（Container_Code），每个料号录入一行。仓库可视化只显示混装汇总；在当前库存明细中按容器编号筛选，可查看托盘内的具体内容。</t>
    </r>
  </si>
  <si>
    <r>
      <rPr>
        <rFont val="Microsoft Yahei"/>
        <b/>
        <color rgb="FF1F4E78"/>
        <sz val="10.0"/>
      </rPr>
      <t xml:space="preserve">Mixed pallet
</t>
    </r>
    <r>
      <rPr>
        <rFont val="Microsoft Yahei"/>
        <b val="0"/>
        <color rgb="FF1E1E1E"/>
        <sz val="10.0"/>
      </rPr>
      <t>Use a Container_Code such as MIX-001 and enter one row per SKU. The warehouse visualization shows only the mixed summary. Filter the current-stock detail by Container_Code to view the pallet contents.</t>
    </r>
  </si>
  <si>
    <r>
      <rPr>
        <rFont val="Microsoft Yahei"/>
        <b/>
        <color rgb="FF1F4E78"/>
        <sz val="10.0"/>
      </rPr>
      <t xml:space="preserve">库存状态
</t>
    </r>
    <r>
      <rPr>
        <rFont val="Microsoft Yahei"/>
        <b val="0"/>
        <color rgb="FF1E1E1E"/>
        <sz val="10.0"/>
      </rPr>
      <t>在库：当前数量大于0；已出库：当前数量等于0；负库存：当前数量小于0。“重复”不作为库存状态。</t>
    </r>
  </si>
  <si>
    <r>
      <rPr>
        <rFont val="Microsoft Yahei"/>
        <b/>
        <color rgb="FF1F4E78"/>
        <sz val="10.0"/>
      </rPr>
      <t xml:space="preserve">Stock status
</t>
    </r>
    <r>
      <rPr>
        <rFont val="Microsoft Yahei"/>
        <b val="0"/>
        <color rgb="FF1E1E1E"/>
        <sz val="10.0"/>
      </rPr>
      <t>In Stock: Current_Qty &gt; 0. Out: Current_Qty = 0. Negative: Current_Qty &lt; 0. Duplicate is not used as a stock status.</t>
    </r>
  </si>
  <si>
    <r>
      <rPr>
        <rFont val="Microsoft Yahei"/>
        <b/>
        <color rgb="FF1F4E78"/>
        <sz val="10.0"/>
      </rPr>
      <t xml:space="preserve">已备货
</t>
    </r>
    <r>
      <rPr>
        <rFont val="Microsoft Yahei"/>
        <b val="0"/>
        <color rgb="FF1E1E1E"/>
        <sz val="10.0"/>
      </rPr>
      <t>“已备货”只是备货记录，不影响库存。客户提货后，将操作改为“出库”，或另外录入一条出库记录。</t>
    </r>
  </si>
  <si>
    <r>
      <rPr>
        <rFont val="Microsoft Yahei"/>
        <b/>
        <color rgb="FF1F4E78"/>
        <sz val="10.0"/>
      </rPr>
      <t xml:space="preserve">Prepared
</t>
    </r>
    <r>
      <rPr>
        <rFont val="Microsoft Yahei"/>
        <b val="0"/>
        <color rgb="FF1E1E1E"/>
        <sz val="10.0"/>
      </rPr>
      <t>Prepared is a preparation record only and does not affect stock. When the customer collects the goods, change the Action to Outbound or enter a separate Outbound row.</t>
    </r>
  </si>
  <si>
    <t>R1-2-1-M</t>
  </si>
  <si>
    <r>
      <rPr>
        <rFont val="Microsoft Yahei"/>
        <b/>
        <color rgb="FF1F4E78"/>
        <sz val="10.0"/>
      </rPr>
      <t xml:space="preserve">出库
</t>
    </r>
    <r>
      <rPr>
        <rFont val="Microsoft Yahei"/>
        <b val="0"/>
        <color rgb="FF1E1E1E"/>
        <sz val="10.0"/>
      </rPr>
      <t>出库会扣减来源库位（From_Location_Code）的库存。产品出库必须填写序列号。</t>
    </r>
  </si>
  <si>
    <r>
      <rPr>
        <rFont val="Microsoft Yahei"/>
        <b/>
        <color rgb="FF1F4E78"/>
        <sz val="10.0"/>
      </rPr>
      <t xml:space="preserve">Outbound
</t>
    </r>
    <r>
      <rPr>
        <rFont val="Microsoft Yahei"/>
        <b val="0"/>
        <color rgb="FF1E1E1E"/>
        <sz val="10.0"/>
      </rPr>
      <t>Outbound reduces stock at the From_Location_Code. Product outbound requires an SN.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</si>
  <si>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</si>
  <si>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维修回退
</t>
    </r>
    <r>
      <rPr>
        <rFont val="Microsoft Yahei"/>
        <b val="0"/>
        <color rgb="FF1E1E1E"/>
        <sz val="10.0"/>
      </rPr>
      <t>维修回退会增加目标库位（To_Location_Code）的维修库存。产品退回维修必须填写序列号。</t>
    </r>
  </si>
  <si>
    <r>
      <rPr>
        <rFont val="Microsoft Yahei"/>
        <b/>
        <color rgb="FF1F4E78"/>
        <sz val="10.0"/>
      </rPr>
      <t xml:space="preserve">Return to repair
</t>
    </r>
    <r>
      <rPr>
        <rFont val="Microsoft Yahei"/>
        <b val="0"/>
        <color rgb="FF1E1E1E"/>
        <sz val="10.0"/>
      </rPr>
      <t>Return_to_Repair increases repair stock at the To_Location_Code. Product return-to-repair requires an SN.</t>
    </r>
  </si>
  <si>
    <r>
      <rPr>
        <rFont val="Microsoft Yahei"/>
        <b/>
        <color rgb="FF1F4E78"/>
        <sz val="10.0"/>
      </rPr>
      <t xml:space="preserve">流程
</t>
    </r>
    <r>
      <rPr>
        <rFont val="Microsoft Yahei"/>
        <b val="0"/>
        <color rgb="FF1E1E1E"/>
        <sz val="10.0"/>
      </rPr>
      <t>ERP出货单/取货请求 → 已备货 → 客户提货时出库 → 旧机退回维修 → 在简易报表中检查待处理事项和异常。</t>
    </r>
  </si>
  <si>
    <r>
      <rPr>
        <rFont val="Microsoft Yahei"/>
        <b/>
        <color rgb="FF1F4E78"/>
        <sz val="10.0"/>
      </rPr>
      <t xml:space="preserve">Process
</t>
    </r>
    <r>
      <rPr>
        <rFont val="Microsoft Yahei"/>
        <b val="0"/>
        <color rgb="FF1E1E1E"/>
        <sz val="10.0"/>
      </rPr>
      <t>ERP SH / pickup request → Prepared → Outbound when collected → old unit Return_to_Repair → review pending items and exceptions on the dashboard.</t>
    </r>
  </si>
  <si>
    <t>41-406-00002-00</t>
  </si>
  <si>
    <r>
      <rPr>
        <rFont val="Microsoft Yahei"/>
        <b/>
        <color rgb="FF1F4E78"/>
        <sz val="10.0"/>
      </rPr>
      <t xml:space="preserve">图表颜色
</t>
    </r>
    <r>
      <rPr>
        <rFont val="Microsoft Yahei"/>
        <b val="0"/>
        <color rgb="FF1E1E1E"/>
        <sz val="10.0"/>
      </rPr>
      <t>绿色表示可编辑区域；红色表示公式区域，不可编辑；黄色表示维护区域。</t>
    </r>
  </si>
  <si>
    <r>
      <rPr>
        <rFont val="Microsoft Yahei"/>
        <b/>
        <color rgb="FF1F4E78"/>
        <sz val="10.0"/>
      </rPr>
      <t xml:space="preserve">Chart colors
</t>
    </r>
    <r>
      <rPr>
        <rFont val="Microsoft Yahei"/>
        <b val="0"/>
        <color rgb="FF1E1E1E"/>
        <sz val="10.0"/>
      </rPr>
      <t>Green indicates editable areas. Red indicates formula areas and must not be edited. Yellow indicates maintenance areas.</t>
    </r>
  </si>
  <si>
    <t>R1-2-1-R</t>
  </si>
  <si>
    <r>
      <rPr>
        <rFont val="Microsoft Yahei"/>
        <b/>
        <color rgb="FF1F4E78"/>
        <sz val="10.0"/>
      </rPr>
      <t xml:space="preserve">库位码规则
</t>
    </r>
    <r>
      <rPr>
        <rFont val="Microsoft Yahei"/>
        <b val="0"/>
        <color rgb="FF1E1E1E"/>
        <sz val="10.0"/>
      </rPr>
      <t>货架库位使用 R1/R2-排-列-L/M/R 的格式。例如 R1-2-1-L 表示R1货架、第2排、第1列、左位。服务区域继续使用 DISPATCH-01、REPAIR-01、RETURN-01 和 FLEX-01。</t>
    </r>
  </si>
  <si>
    <r>
      <rPr>
        <rFont val="Microsoft Yahei"/>
        <b/>
        <color rgb="FF1F4E78"/>
        <sz val="10.0"/>
      </rPr>
      <t xml:space="preserve">Location-code rule
</t>
    </r>
    <r>
      <rPr>
        <rFont val="Microsoft Yahei"/>
        <b val="0"/>
        <color rgb="FF1E1E1E"/>
        <sz val="10.0"/>
      </rPr>
      <t>Rack locations use the format R1/R2-Row-Bay-L/M/R. For example, R1-2-1-L means rack R1, row 2, bay 1, left position. Service zones remain DISPATCH-01, REPAIR-01, RETURN-01 and FLEX-01.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</si>
  <si>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</si>
  <si>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期初库存
</t>
    </r>
    <r>
      <rPr>
        <rFont val="Microsoft Yahei"/>
        <b val="0"/>
        <color rgb="FF1E1E1E"/>
        <sz val="10.0"/>
      </rPr>
      <t>实盘期初数量应录入“主表 Stock_Transaction_Log”，操作选择 Opening，并在 To_Location_Code 填写盘点库位。不要直接在报表中录入期初库存。</t>
    </r>
  </si>
  <si>
    <t>Row 3</t>
  </si>
  <si>
    <r>
      <rPr>
        <rFont val="Microsoft Yahei"/>
        <b/>
        <color rgb="FF1F4E78"/>
        <sz val="10.0"/>
      </rPr>
      <t xml:space="preserve">Opening balance
</t>
    </r>
    <r>
      <rPr>
        <rFont val="Microsoft Yahei"/>
        <b val="0"/>
        <color rgb="FF1E1E1E"/>
        <sz val="10.0"/>
      </rPr>
      <t>Enter initial physical counts in “主表 Stock_Transaction_Log” with Action = Opening and the counted location in To_Location_Code. Do not enter opening stock directly in report sheets.</t>
    </r>
  </si>
  <si>
    <t>20-051-00080-00</t>
  </si>
  <si>
    <r>
      <rPr>
        <rFont val="Microsoft Yahei"/>
        <b/>
        <color rgb="FF1F4E78"/>
        <sz val="10.0"/>
      </rPr>
      <t xml:space="preserve">数据保护
</t>
    </r>
    <r>
      <rPr>
        <rFont val="Microsoft Yahei"/>
        <b val="0"/>
        <color rgb="FF1E1E1E"/>
        <sz val="10.0"/>
      </rPr>
      <t>更新期初库存和库位时，不修改“Product_Stock_Master产品维护”中已有的产品名称和产品记录。</t>
    </r>
  </si>
  <si>
    <r>
      <rPr>
        <rFont val="Microsoft Yahei"/>
        <b/>
        <color rgb="FF1F4E78"/>
        <sz val="10.0"/>
      </rPr>
      <t xml:space="preserve">Data protection
</t>
    </r>
    <r>
      <rPr>
        <rFont val="Microsoft Yahei"/>
        <b val="0"/>
        <color rgb="FF1E1E1E"/>
        <sz val="10.0"/>
      </rPr>
      <t>Do not change existing product names or product records in “Product_Stock_Master产品维护” when updating opening balances or locations.</t>
    </r>
  </si>
  <si>
    <t>R1-3-1-L</t>
  </si>
  <si>
    <r>
      <rPr>
        <rFont val="Microsoft Yahei"/>
        <b/>
        <color rgb="FF1F4E78"/>
        <sz val="10.0"/>
      </rPr>
      <t xml:space="preserve">库存属性位置
</t>
    </r>
    <r>
      <rPr>
        <rFont val="Microsoft Yahei"/>
        <b val="0"/>
        <color rgb="FF1E1E1E"/>
        <sz val="10.0"/>
      </rPr>
      <t>库存属性位于主表O列，在 Validation_Check 之后、公式辅助列之前，方便日常录入。</t>
    </r>
  </si>
  <si>
    <r>
      <rPr>
        <rFont val="Microsoft Yahei"/>
        <b/>
        <color rgb="FF1F4E78"/>
        <sz val="10.0"/>
      </rPr>
      <t xml:space="preserve">Stock-condition position
</t>
    </r>
    <r>
      <rPr>
        <rFont val="Microsoft Yahei"/>
        <b val="0"/>
        <color rgb="FF1E1E1E"/>
        <sz val="10.0"/>
      </rPr>
      <t>Stock_Condition is in column O of the main transaction log, after Validation_Check and before the helper-formula columns, for easier daily entry.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</si>
  <si>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</si>
  <si>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备注位置
</t>
    </r>
    <r>
      <rPr>
        <rFont val="Microsoft Yahei"/>
        <b val="0"/>
        <color rgb="FF1E1E1E"/>
        <sz val="10.0"/>
      </rPr>
      <t>“Remark / 备注”位于主表U列，原有内容完整保留。</t>
    </r>
  </si>
  <si>
    <r>
      <rPr>
        <rFont val="Microsoft Yahei"/>
        <b/>
        <color rgb="FF1F4E78"/>
        <sz val="10.0"/>
      </rPr>
      <t xml:space="preserve">Remark position
</t>
    </r>
    <r>
      <rPr>
        <rFont val="Microsoft Yahei"/>
        <b val="0"/>
        <color rgb="FF1E1E1E"/>
        <sz val="10.0"/>
      </rPr>
      <t>“Remark / 备注” is in column U of the main transaction log. Existing content is preserved.</t>
    </r>
  </si>
  <si>
    <r>
      <rPr>
        <rFont val="Microsoft Yahei"/>
        <b/>
        <color rgb="FF1F4E78"/>
        <sz val="10.0"/>
      </rPr>
      <t xml:space="preserve">期初分类
</t>
    </r>
    <r>
      <rPr>
        <rFont val="Microsoft Yahei"/>
        <b val="0"/>
        <color rgb="FF1E1E1E"/>
        <sz val="10.0"/>
      </rPr>
      <t>Opening + New 表示新机期初；Opening + Repair_Good 表示维修良品期初；Opening + Repair 表示待修期初。</t>
    </r>
  </si>
  <si>
    <r>
      <rPr>
        <rFont val="Microsoft Yahei"/>
        <b/>
        <color rgb="FF1F4E78"/>
        <sz val="10.0"/>
      </rPr>
      <t xml:space="preserve">Opening classification
</t>
    </r>
    <r>
      <rPr>
        <rFont val="Microsoft Yahei"/>
        <b val="0"/>
        <color rgb="FF1E1E1E"/>
        <sz val="10.0"/>
      </rPr>
      <t>Opening + New is opening new stock. Opening + Repair_Good is opening repair-good stock. Opening + Repair is opening pending-repair stock.</t>
    </r>
  </si>
  <si>
    <r>
      <rPr>
        <rFont val="Microsoft Yahei"/>
        <b/>
        <color rgb="FF1F4E78"/>
        <sz val="10.0"/>
      </rPr>
      <t xml:space="preserve">出库分类
</t>
    </r>
    <r>
      <rPr>
        <rFont val="Microsoft Yahei"/>
        <b val="0"/>
        <color rgb="FF1E1E1E"/>
        <sz val="10.0"/>
      </rPr>
      <t>Outbound + New 计入新机发货；Outbound + Repair_Good 计入维修良品发货。</t>
    </r>
  </si>
  <si>
    <r>
      <rPr>
        <rFont val="Microsoft Yahei"/>
        <b/>
        <color rgb="FF1F4E78"/>
        <sz val="10.0"/>
      </rPr>
      <t xml:space="preserve">Outbound classification
</t>
    </r>
    <r>
      <rPr>
        <rFont val="Microsoft Yahei"/>
        <b val="0"/>
        <color rgb="FF1E1E1E"/>
        <sz val="10.0"/>
      </rPr>
      <t>Outbound + New is counted as new-product shipment. Outbound + Repair_Good is counted as repair-good shipment.</t>
    </r>
  </si>
  <si>
    <t>R1-3-1-M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</si>
  <si>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</si>
  <si>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人工选择
</t>
    </r>
    <r>
      <rPr>
        <rFont val="Microsoft Yahei"/>
        <b val="0"/>
        <color rgb="FF1E1E1E"/>
        <sz val="10.0"/>
      </rPr>
      <t>主表O列使用人工下拉选择，不需要删除任何公式。P:T 为库存辅助公式，V:Z 为校验及报表辅助公式。</t>
    </r>
  </si>
  <si>
    <r>
      <rPr>
        <rFont val="Microsoft Yahei"/>
        <b/>
        <color rgb="FF1F4E78"/>
        <sz val="10.0"/>
      </rPr>
      <t xml:space="preserve">Manual selection
</t>
    </r>
    <r>
      <rPr>
        <rFont val="Microsoft Yahei"/>
        <b val="0"/>
        <color rgb="FF1E1E1E"/>
        <sz val="10.0"/>
      </rPr>
      <t>Column O of the main transaction log is a manual dropdown; no formulas need to be deleted. P:T contain stock helper formulas, and V:Z contain validation and reporting helper formulas.</t>
    </r>
  </si>
  <si>
    <r>
      <rPr>
        <rFont val="Microsoft Yahei"/>
        <b/>
        <color rgb="FF1F4E78"/>
        <sz val="10.0"/>
      </rPr>
      <t xml:space="preserve">软件建议
</t>
    </r>
    <r>
      <rPr>
        <rFont val="Microsoft Yahei"/>
        <b val="0"/>
        <color rgb="FF1E1E1E"/>
        <sz val="10.0"/>
      </rPr>
      <t>先使用本表稳定运行2–4周，再考虑迁移到本地SQLite轻量WMS，避免在业务规则尚未稳定时重复开发。</t>
    </r>
  </si>
  <si>
    <r>
      <rPr>
        <rFont val="Microsoft Yahei"/>
        <b/>
        <color rgb="FF1F4E78"/>
        <sz val="10.0"/>
      </rPr>
      <t xml:space="preserve">Software recommendation
</t>
    </r>
    <r>
      <rPr>
        <rFont val="Microsoft Yahei"/>
        <b val="0"/>
        <color rgb="FF1E1E1E"/>
        <sz val="10.0"/>
      </rPr>
      <t>Run this workbook steadily for 2–4 weeks before considering migration to a lightweight local SQLite WMS. This avoids repeated development while business rules are still changing.</t>
    </r>
  </si>
  <si>
    <r>
      <rPr>
        <rFont val="Microsoft Yahei"/>
        <b/>
        <color rgb="FF1F4E78"/>
        <sz val="10.0"/>
      </rPr>
      <t xml:space="preserve">周报流程
</t>
    </r>
    <r>
      <rPr>
        <rFont val="Microsoft Yahei"/>
        <b val="0"/>
        <color rgb="FF1E1E1E"/>
        <sz val="10.0"/>
      </rPr>
      <t>在“Repair_Weekly_Input 维修周数据”录入维修专属数据 → 核对“周报” → 确认后，将周报 A50:Q50 仅粘贴值到同页历史区的下一空行 → “月报”自动更新。</t>
    </r>
  </si>
  <si>
    <r>
      <rPr>
        <rFont val="Microsoft Yahei"/>
        <b/>
        <color rgb="FF1F4E78"/>
        <sz val="10.0"/>
      </rPr>
      <t xml:space="preserve">Weekly reporting
</t>
    </r>
    <r>
      <rPr>
        <rFont val="Microsoft Yahei"/>
        <b val="0"/>
        <color rgb="FF1E1E1E"/>
        <sz val="10.0"/>
      </rPr>
      <t>Enter repair-only figures in “Repair_Weekly_Input 维修周数据” → review “周报” → after confirmation, copy A50:Q50 and paste values only into the next blank row in the history section on the same sheet → “月报” updates automatically.</t>
    </r>
  </si>
  <si>
    <t>R1-3-1-R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</si>
  <si>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</si>
  <si>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报表分类
</t>
    </r>
    <r>
      <rPr>
        <rFont val="Microsoft Yahei"/>
        <b val="0"/>
        <color rgb="FF1E1E1E"/>
        <sz val="10.0"/>
      </rPr>
      <t>周报和月报只统计上述9个产品机型，并按机型汇总，不按料号统计。新机和维修良品按主表O列的库存属性区分。</t>
    </r>
  </si>
  <si>
    <r>
      <rPr>
        <rFont val="Microsoft Yahei"/>
        <b/>
        <color rgb="FF1F4E78"/>
        <sz val="10.0"/>
      </rPr>
      <t xml:space="preserve">Reporting classification
</t>
    </r>
    <r>
      <rPr>
        <rFont val="Microsoft Yahei"/>
        <b val="0"/>
        <color rgb="FF1E1E1E"/>
        <sz val="10.0"/>
      </rPr>
      <t>Weekly and monthly reports include only the nine Product models listed above and aggregate by model, not by SKU. New and Repair_Good movements are separated by Stock_Condition in column O of the main transaction log.</t>
    </r>
  </si>
  <si>
    <r>
      <rPr>
        <rFont val="Microsoft Yahei"/>
        <b/>
        <color rgb="FF1F4E78"/>
        <sz val="10.0"/>
      </rPr>
      <t xml:space="preserve">历史保护
</t>
    </r>
    <r>
      <rPr>
        <rFont val="Microsoft Yahei"/>
        <b val="0"/>
        <color rgb="FF1E1E1E"/>
        <sz val="10.0"/>
      </rPr>
      <t>周报下方历史区保存已确认的固定快照。不得用公式替换历史行；本周数据最终确认前，不要写入历史区。</t>
    </r>
  </si>
  <si>
    <r>
      <rPr>
        <rFont val="Microsoft Yahei"/>
        <b/>
        <color rgb="FF1F4E78"/>
        <sz val="10.0"/>
      </rPr>
      <t xml:space="preserve">History protection
</t>
    </r>
    <r>
      <rPr>
        <rFont val="Microsoft Yahei"/>
        <b val="0"/>
        <color rgb="FF1E1E1E"/>
        <sz val="10.0"/>
      </rPr>
      <t>The history section below the weekly report contains confirmed fixed snapshots. Never replace historical rows with formulas, and do not add the current week until final confirmation.</t>
    </r>
  </si>
  <si>
    <t>97-406-00017-00</t>
  </si>
  <si>
    <r>
      <rPr>
        <rFont val="Microsoft Yahei"/>
        <b/>
        <color rgb="FF1F4E78"/>
        <sz val="10.0"/>
      </rPr>
      <t xml:space="preserve">报表切换
</t>
    </r>
    <r>
      <rPr>
        <rFont val="Microsoft Yahei"/>
        <b val="0"/>
        <color rgb="FF1E1E1E"/>
        <sz val="10.0"/>
      </rPr>
      <t>截至2026-07-19的历史周数据已导入。在线台账报表从2026-07-20开始，避免重复统计之前的周次。</t>
    </r>
  </si>
  <si>
    <r>
      <rPr>
        <rFont val="Microsoft Yahei"/>
        <b/>
        <color rgb="FF1F4E78"/>
        <sz val="10.0"/>
      </rPr>
      <t xml:space="preserve">Reporting cutover
</t>
    </r>
    <r>
      <rPr>
        <rFont val="Microsoft Yahei"/>
        <b val="0"/>
        <color rgb="FF1E1E1E"/>
        <sz val="10.0"/>
      </rPr>
      <t>Historical weekly snapshots through 2026-07-19 have been imported. Online transaction reporting starts from 2026-07-20; do not duplicate earlier weeks.</t>
    </r>
  </si>
  <si>
    <t>R1-4-1-L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</si>
  <si>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</si>
  <si>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维护逻辑</t>
  </si>
  <si>
    <t>Maintenance Logic</t>
  </si>
  <si>
    <t>10-120-00471-00</t>
  </si>
  <si>
    <t>Row 2</t>
  </si>
  <si>
    <r>
      <rPr>
        <rFont val="Microsoft Yahei"/>
        <b/>
        <color rgb="FF1F4E78"/>
        <sz val="10.0"/>
      </rPr>
      <t xml:space="preserve">系统目标
</t>
    </r>
    <r>
      <rPr>
        <rFont val="Microsoft Yahei"/>
        <b val="0"/>
        <color rgb="FF1E1E1E"/>
        <sz val="10.0"/>
      </rPr>
      <t>维护一套供仓库员工日常使用的轻量、实用的售后仓库台账；本表不是完整的WMS或ERP。</t>
    </r>
  </si>
  <si>
    <r>
      <rPr>
        <rFont val="Microsoft Yahei"/>
        <b/>
        <color rgb="FF1F4E78"/>
        <sz val="10.0"/>
      </rPr>
      <t xml:space="preserve">System goal
</t>
    </r>
    <r>
      <rPr>
        <rFont val="Microsoft Yahei"/>
        <b val="0"/>
        <color rgb="FF1E1E1E"/>
        <sz val="10.0"/>
      </rPr>
      <t>Maintain a lightweight, practical after-sales warehouse ledger for daily warehouse staff; this is not a full WMS or ERP.</t>
    </r>
  </si>
  <si>
    <t>R1-4-1-R</t>
  </si>
  <si>
    <r>
      <rPr>
        <rFont val="Microsoft Yahei"/>
        <b/>
        <color rgb="FF1F4E78"/>
        <sz val="10.0"/>
      </rPr>
      <t xml:space="preserve">工作簿结构
</t>
    </r>
    <r>
      <rPr>
        <rFont val="Microsoft Yahei"/>
        <b val="0"/>
        <color rgb="FF1E1E1E"/>
        <sz val="10.0"/>
      </rPr>
      <t>当前工作表包括：SOP使用说明、主表、当前库存明细查询、仓库可视化、周报、月报、简易报表、产品维护、库位维护、动作维护及维修周数据。</t>
    </r>
  </si>
  <si>
    <r>
      <rPr>
        <rFont val="Microsoft Yahei"/>
        <b/>
        <color rgb="FF1F4E78"/>
        <sz val="10.0"/>
      </rPr>
      <t xml:space="preserve">Workbook structure
</t>
    </r>
    <r>
      <rPr>
        <rFont val="Microsoft Yahei"/>
        <b val="0"/>
        <color rgb="FF1E1E1E"/>
        <sz val="10.0"/>
      </rPr>
      <t>The current workbook contains SOP instructions, the main transaction log, current-stock detail, warehouse visualization, weekly report, monthly report, dashboard, product master, location master, action lists and repair-weekly input.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</si>
  <si>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</si>
  <si>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唯一录入表
</t>
    </r>
    <r>
      <rPr>
        <rFont val="Microsoft Yahei"/>
        <b val="0"/>
        <color rgb="FF1E1E1E"/>
        <sz val="10.0"/>
      </rPr>
      <t>“主表 Stock_Transaction_Log”是唯一的日常业务录入表。不得在报表或库存明细表中手工录入当前库存。</t>
    </r>
  </si>
  <si>
    <r>
      <rPr>
        <rFont val="Microsoft Yahei"/>
        <b/>
        <color rgb="FF1F4E78"/>
        <sz val="10.0"/>
      </rPr>
      <t xml:space="preserve">Single input table
</t>
    </r>
    <r>
      <rPr>
        <rFont val="Microsoft Yahei"/>
        <b val="0"/>
        <color rgb="FF1E1E1E"/>
        <sz val="10.0"/>
      </rPr>
      <t>“主表 Stock_Transaction_Log” is the only daily operational input table. Do not manually enter current stock in report or detail sheets.</t>
    </r>
  </si>
  <si>
    <r>
      <rPr>
        <rFont val="Microsoft Yahei"/>
        <b/>
        <color rgb="FF1F4E78"/>
        <sz val="10.0"/>
      </rPr>
      <t xml:space="preserve">正式订单依据
</t>
    </r>
    <r>
      <rPr>
        <rFont val="Microsoft Yahei"/>
        <b val="0"/>
        <color rgb="FF1E1E1E"/>
        <sz val="10.0"/>
      </rPr>
      <t>ERP的SH_No是主要正式业务依据。不要另建Case_ID或Outbound_ID。ERP尚不可见或普通库存移动时，SH_No可以留空。</t>
    </r>
  </si>
  <si>
    <r>
      <rPr>
        <rFont val="Microsoft Yahei"/>
        <b/>
        <color rgb="FF1F4E78"/>
        <sz val="10.0"/>
      </rPr>
      <t xml:space="preserve">Official order reference
</t>
    </r>
    <r>
      <rPr>
        <rFont val="Microsoft Yahei"/>
        <b val="0"/>
        <color rgb="FF1E1E1E"/>
        <sz val="10.0"/>
      </rPr>
      <t>ERP SH_No is the main official business reference. Do not create Case_ID or Outbound_ID. SH_No may be blank when ERP is not yet visible or for ordinary stock movements.</t>
    </r>
  </si>
  <si>
    <t>R1-2-2-L</t>
  </si>
  <si>
    <r>
      <rPr>
        <rFont val="Microsoft Yahei"/>
        <b/>
        <color rgb="FF1F4E78"/>
        <sz val="10.0"/>
      </rPr>
      <t xml:space="preserve">取货码
</t>
    </r>
    <r>
      <rPr>
        <rFont val="Microsoft Yahei"/>
        <b val="0"/>
        <color rgb="FF1E1E1E"/>
        <sz val="10.0"/>
      </rPr>
      <t>Pickup_Code直接保存在主表中并从主表查询，不要建立单独的取货查询表。</t>
    </r>
  </si>
  <si>
    <r>
      <rPr>
        <rFont val="Microsoft Yahei"/>
        <b/>
        <color rgb="FF1F4E78"/>
        <sz val="10.0"/>
      </rPr>
      <t xml:space="preserve">Pickup code
</t>
    </r>
    <r>
      <rPr>
        <rFont val="Microsoft Yahei"/>
        <b val="0"/>
        <color rgb="FF1E1E1E"/>
        <sz val="10.0"/>
      </rPr>
      <t>Pickup_Code is stored and searched directly in the main transaction log. Do not create a separate pickup-search sheet.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</si>
  <si>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</si>
  <si>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实体库位规则
</t>
    </r>
    <r>
      <rPr>
        <rFont val="Microsoft Yahei"/>
        <b val="0"/>
        <color rgb="FF1E1E1E"/>
        <sz val="10.0"/>
      </rPr>
      <t>From_Location_Code和To_Location_Code表示准确的实体仓库位置。实体库位是库存摆放位置的唯一真实依据。</t>
    </r>
  </si>
  <si>
    <r>
      <rPr>
        <rFont val="Microsoft Yahei"/>
        <b/>
        <color rgb="FF1F4E78"/>
        <sz val="10.0"/>
      </rPr>
      <t xml:space="preserve">Physical location rule
</t>
    </r>
    <r>
      <rPr>
        <rFont val="Microsoft Yahei"/>
        <b val="0"/>
        <color rgb="FF1E1E1E"/>
        <sz val="10.0"/>
      </rPr>
      <t>From_Location_Code and To_Location_Code identify exact physical warehouse locations. Physical location is the source of truth for stock placement.</t>
    </r>
  </si>
  <si>
    <r>
      <rPr>
        <rFont val="Microsoft Yahei"/>
        <b/>
        <color rgb="FF1F4E78"/>
        <sz val="10.0"/>
      </rPr>
      <t xml:space="preserve">ERP仓库选择
</t>
    </r>
    <r>
      <rPr>
        <rFont val="Microsoft Yahei"/>
        <b val="0"/>
        <color rgb="FF1E1E1E"/>
        <sz val="10.0"/>
      </rPr>
      <t>“ERP仓库选择”是可选的ERP分类字段，不能代替实体Location_Code，也不能用于计算实体库位库存。</t>
    </r>
  </si>
  <si>
    <r>
      <rPr>
        <rFont val="Microsoft Yahei"/>
        <b/>
        <color rgb="FF1F4E78"/>
        <sz val="10.0"/>
      </rPr>
      <t xml:space="preserve">ERP warehouse selection
</t>
    </r>
    <r>
      <rPr>
        <rFont val="Microsoft Yahei"/>
        <b val="0"/>
        <color rgb="FF1E1E1E"/>
        <sz val="10.0"/>
      </rPr>
      <t>ERP仓库选择 is an optional ERP classification field. It does not replace physical Location_Code and must not be used to calculate physical slot stock.</t>
    </r>
  </si>
  <si>
    <r>
      <rPr>
        <rFont val="Microsoft Yahei"/>
        <b/>
        <color rgb="FF1F4E78"/>
        <sz val="10.0"/>
      </rPr>
      <t xml:space="preserve">容器规则
</t>
    </r>
    <r>
      <rPr>
        <rFont val="Microsoft Yahei"/>
        <b val="0"/>
        <color rgb="FF1E1E1E"/>
        <sz val="10.0"/>
      </rPr>
      <t>只有一个托盘或容器装有多个料号时才使用Container_Code，例如MIX-001。不要扩展成完整的托盘生命周期管理。</t>
    </r>
  </si>
  <si>
    <r>
      <rPr>
        <rFont val="Microsoft Yahei"/>
        <b/>
        <color rgb="FF1F4E78"/>
        <sz val="10.0"/>
      </rPr>
      <t xml:space="preserve">Container rule
</t>
    </r>
    <r>
      <rPr>
        <rFont val="Microsoft Yahei"/>
        <b val="0"/>
        <color rgb="FF1E1E1E"/>
        <sz val="10.0"/>
      </rPr>
      <t>Use Container_Code only when one pallet or container holds multiple SKUs, for example MIX-001. Do not expand it into full pallet-lifecycle tracking.</t>
    </r>
  </si>
  <si>
    <t>R1-2-2-M</t>
  </si>
  <si>
    <r>
      <rPr>
        <rFont val="Microsoft Yahei"/>
        <b/>
        <color rgb="FF1F4E78"/>
        <sz val="10.0"/>
      </rPr>
      <t xml:space="preserve">料号规则
</t>
    </r>
    <r>
      <rPr>
        <rFont val="Microsoft Yahei"/>
        <b val="0"/>
        <color rgb="FF1E1E1E"/>
        <sz val="10.0"/>
      </rPr>
      <t>SKU/料号是产品或物料的唯一标识。机型和物品类型应尽量从产品维护表取得。</t>
    </r>
  </si>
  <si>
    <r>
      <rPr>
        <rFont val="Microsoft Yahei"/>
        <b/>
        <color rgb="FF1F4E78"/>
        <sz val="10.0"/>
      </rPr>
      <t xml:space="preserve">SKU rule
</t>
    </r>
    <r>
      <rPr>
        <rFont val="Microsoft Yahei"/>
        <b val="0"/>
        <color rgb="FF1E1E1E"/>
        <sz val="10.0"/>
      </rPr>
      <t>SKU is the product or material identifier. Model and Item_Type should come from the product master whenever possible.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</si>
  <si>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</si>
  <si>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产品分类
</t>
    </r>
    <r>
      <rPr>
        <rFont val="Microsoft Yahei"/>
        <b val="0"/>
        <color rgb="FF1E1E1E"/>
        <sz val="10.0"/>
      </rPr>
      <t>只有以下9个机型属于产品：EQ4800-S、EQ4800-M、CQ6-S、CQ6-M、KH10、KH8、H3-10.0-SMART、H3-15.0-SMART、CQ7-S；其余全部属于物料。</t>
    </r>
  </si>
  <si>
    <r>
      <rPr>
        <rFont val="Microsoft Yahei"/>
        <b/>
        <color rgb="FF1F4E78"/>
        <sz val="10.0"/>
      </rPr>
      <t xml:space="preserve">Product classification
</t>
    </r>
    <r>
      <rPr>
        <rFont val="Microsoft Yahei"/>
        <b val="0"/>
        <color rgb="FF1E1E1E"/>
        <sz val="10.0"/>
      </rPr>
      <t>Only these nine models are Product: EQ4800-S, EQ4800-M, CQ6-S, CQ6-M, KH10, KH8, H3-10.0-SMART, H3-15.0-SMART and CQ7-S. Everything else is Material.</t>
    </r>
  </si>
  <si>
    <r>
      <rPr>
        <rFont val="Microsoft Yahei"/>
        <b/>
        <color rgb="FF1F4E78"/>
        <sz val="10.0"/>
      </rPr>
      <t xml:space="preserve">序列号规则
</t>
    </r>
    <r>
      <rPr>
        <rFont val="Microsoft Yahei"/>
        <b val="0"/>
        <color rgb="FF1E1E1E"/>
        <sz val="10.0"/>
      </rPr>
      <t>序列号只用于需要追溯的产品业务：已确认的产品出库和产品退回维修。期初库存、普通数量库存及一般物料不强制要求序列号。</t>
    </r>
  </si>
  <si>
    <r>
      <rPr>
        <rFont val="Microsoft Yahei"/>
        <b/>
        <color rgb="FF1F4E78"/>
        <sz val="10.0"/>
      </rPr>
      <t xml:space="preserve">SN rule
</t>
    </r>
    <r>
      <rPr>
        <rFont val="Microsoft Yahei"/>
        <b val="0"/>
        <color rgb="FF1E1E1E"/>
        <sz val="10.0"/>
      </rPr>
      <t>SN is required only for traceable Product movements: confirmed Product Outbound and Product Return_to_Repair. Opening stock, normal quantity stock and ordinary materials do not require an SN.</t>
    </r>
  </si>
  <si>
    <r>
      <rPr>
        <rFont val="Microsoft Yahei"/>
        <b/>
        <color rgb="FF1F4E78"/>
        <sz val="10.0"/>
      </rPr>
      <t xml:space="preserve">数量规则
</t>
    </r>
    <r>
      <rPr>
        <rFont val="Microsoft Yahei"/>
        <b val="0"/>
        <color rgb="FF1E1E1E"/>
        <sz val="10.0"/>
      </rPr>
      <t>按序列号追踪的产品行通常数量为1；物料填写实际数量；已备货记录不得影响库存。</t>
    </r>
  </si>
  <si>
    <r>
      <rPr>
        <rFont val="Microsoft Yahei"/>
        <b/>
        <color rgb="FF1F4E78"/>
        <sz val="10.0"/>
      </rPr>
      <t xml:space="preserve">Quantity rule
</t>
    </r>
    <r>
      <rPr>
        <rFont val="Microsoft Yahei"/>
        <b val="0"/>
        <color rgb="FF1E1E1E"/>
        <sz val="10.0"/>
      </rPr>
      <t>SN-tracked Product rows normally use Qty = 1. Materials use actual quantity. Prepared records must not change stock.</t>
    </r>
  </si>
  <si>
    <t>R1-2-2-R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</si>
  <si>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</si>
  <si>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期初逻辑
</t>
    </r>
    <r>
      <rPr>
        <rFont val="Microsoft Yahei"/>
        <b val="0"/>
        <color rgb="FF1E1E1E"/>
        <sz val="10.0"/>
      </rPr>
      <t>Opening增加To_Location_Code的库存。除非业务追溯明确要求，否则序列号可以不填。</t>
    </r>
  </si>
  <si>
    <r>
      <rPr>
        <rFont val="Microsoft Yahei"/>
        <b/>
        <color rgb="FF1F4E78"/>
        <sz val="10.0"/>
      </rPr>
      <t xml:space="preserve">Opening logic
</t>
    </r>
    <r>
      <rPr>
        <rFont val="Microsoft Yahei"/>
        <b val="0"/>
        <color rgb="FF1E1E1E"/>
        <sz val="10.0"/>
      </rPr>
      <t>Opening increases stock at To_Location_Code. SN is optional unless business traceability specifically requires it.</t>
    </r>
  </si>
  <si>
    <t>Row 1</t>
  </si>
  <si>
    <t>R1-3-2-L</t>
  </si>
  <si>
    <r>
      <rPr>
        <rFont val="Microsoft Yahei"/>
        <b/>
        <color rgb="FF1F4E78"/>
        <sz val="10.0"/>
      </rPr>
      <t xml:space="preserve">已备货逻辑
</t>
    </r>
    <r>
      <rPr>
        <rFont val="Microsoft Yahei"/>
        <b val="0"/>
        <color rgb="FF1E1E1E"/>
        <sz val="10.0"/>
      </rPr>
      <t>Prepared表示货物已准备好但仍在仓库，不得增加或减少Current_Qty。</t>
    </r>
  </si>
  <si>
    <r>
      <rPr>
        <rFont val="Microsoft Yahei"/>
        <b/>
        <color rgb="FF1F4E78"/>
        <sz val="10.0"/>
      </rPr>
      <t xml:space="preserve">Prepared logic
</t>
    </r>
    <r>
      <rPr>
        <rFont val="Microsoft Yahei"/>
        <b val="0"/>
        <color rgb="FF1E1E1E"/>
        <sz val="10.0"/>
      </rPr>
      <t>Prepared means stock is ready but still physically in stock. It must not increase or decrease Current_Qty.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</si>
  <si>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</si>
  <si>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出库逻辑
</t>
    </r>
    <r>
      <rPr>
        <rFont val="Microsoft Yahei"/>
        <b val="0"/>
        <color rgb="FF1E1E1E"/>
        <sz val="10.0"/>
      </rPr>
      <t>Outbound减少From_Location_Code的库存。售后产品出库应尽量填写SH_No、Pickup_Code和SN，数量通常为1。</t>
    </r>
  </si>
  <si>
    <r>
      <rPr>
        <rFont val="Microsoft Yahei"/>
        <b/>
        <color rgb="FF1F4E78"/>
        <sz val="10.0"/>
      </rPr>
      <t xml:space="preserve">Outbound logic
</t>
    </r>
    <r>
      <rPr>
        <rFont val="Microsoft Yahei"/>
        <b val="0"/>
        <color rgb="FF1E1E1E"/>
        <sz val="10.0"/>
      </rPr>
      <t>Outbound decreases stock at From_Location_Code. After-sales Product outbound should use SH_No when available, Pickup_Code and SN, normally with Qty = 1.</t>
    </r>
  </si>
  <si>
    <r>
      <rPr>
        <rFont val="Microsoft Yahei"/>
        <b/>
        <color rgb="FF1F4E78"/>
        <sz val="10.0"/>
      </rPr>
      <t xml:space="preserve">退回维修逻辑
</t>
    </r>
    <r>
      <rPr>
        <rFont val="Microsoft Yahei"/>
        <b val="0"/>
        <color rgb="FF1E1E1E"/>
        <sz val="10.0"/>
      </rPr>
      <t>Return_to_Repair增加To_Location_Code的维修库存，通常进入REPAIR-01。产品退回维修必须填写旧机序列号。</t>
    </r>
  </si>
  <si>
    <r>
      <rPr>
        <rFont val="Microsoft Yahei"/>
        <b/>
        <color rgb="FF1F4E78"/>
        <sz val="10.0"/>
      </rPr>
      <t xml:space="preserve">Return-to-repair logic
</t>
    </r>
    <r>
      <rPr>
        <rFont val="Microsoft Yahei"/>
        <b val="0"/>
        <color rgb="FF1E1E1E"/>
        <sz val="10.0"/>
      </rPr>
      <t>Return_to_Repair increases repair stock at To_Location_Code, normally REPAIR-01. Product returns require the old-unit SN.</t>
    </r>
  </si>
  <si>
    <t>R1-3-2-M</t>
  </si>
  <si>
    <r>
      <rPr>
        <rFont val="Microsoft Yahei"/>
        <b/>
        <color rgb="FF1F4E78"/>
        <sz val="10.0"/>
      </rPr>
      <t xml:space="preserve">入库逻辑
</t>
    </r>
    <r>
      <rPr>
        <rFont val="Microsoft Yahei"/>
        <b val="0"/>
        <color rgb="FF1E1E1E"/>
        <sz val="10.0"/>
      </rPr>
      <t>Inbound增加To_Location_Code的库存；除非需要追溯，否则序列号可以不填。</t>
    </r>
  </si>
  <si>
    <r>
      <rPr>
        <rFont val="Microsoft Yahei"/>
        <b/>
        <color rgb="FF1F4E78"/>
        <sz val="10.0"/>
      </rPr>
      <t xml:space="preserve">Inbound logic
</t>
    </r>
    <r>
      <rPr>
        <rFont val="Microsoft Yahei"/>
        <b val="0"/>
        <color rgb="FF1E1E1E"/>
        <sz val="10.0"/>
      </rPr>
      <t>Inbound increases stock at To_Location_Code. SN is optional unless traceability is required.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</si>
  <si>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</si>
  <si>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移库逻辑
</t>
    </r>
    <r>
      <rPr>
        <rFont val="Microsoft Yahei"/>
        <b val="0"/>
        <color rgb="FF1E1E1E"/>
        <sz val="10.0"/>
      </rPr>
      <t>Move按相同数量减少From_Location_Code并增加To_Location_Code。</t>
    </r>
  </si>
  <si>
    <r>
      <rPr>
        <rFont val="Microsoft Yahei"/>
        <b/>
        <color rgb="FF1F4E78"/>
        <sz val="10.0"/>
      </rPr>
      <t xml:space="preserve">Move logic
</t>
    </r>
    <r>
      <rPr>
        <rFont val="Microsoft Yahei"/>
        <b val="0"/>
        <color rgb="FF1E1E1E"/>
        <sz val="10.0"/>
      </rPr>
      <t>Move decreases From_Location_Code and increases To_Location_Code by the same Qty.</t>
    </r>
  </si>
  <si>
    <r>
      <rPr>
        <rFont val="Microsoft Yahei"/>
        <b/>
        <color rgb="FF1F4E78"/>
        <sz val="10.0"/>
      </rPr>
      <t xml:space="preserve">调整逻辑
</t>
    </r>
    <r>
      <rPr>
        <rFont val="Microsoft Yahei"/>
        <b val="0"/>
        <color rgb="FF1E1E1E"/>
        <sz val="10.0"/>
      </rPr>
      <t>Adjustment_In增加To_Location_Code；Adjustment_Out减少From_Location_Code。必须填写清晰的备注或业务依据。</t>
    </r>
  </si>
  <si>
    <r>
      <rPr>
        <rFont val="Microsoft Yahei"/>
        <b/>
        <color rgb="FF1F4E78"/>
        <sz val="10.0"/>
      </rPr>
      <t xml:space="preserve">Adjustment logic
</t>
    </r>
    <r>
      <rPr>
        <rFont val="Microsoft Yahei"/>
        <b val="0"/>
        <color rgb="FF1E1E1E"/>
        <sz val="10.0"/>
      </rPr>
      <t>Adjustment_In increases To_Location_Code; Adjustment_Out decreases From_Location_Code. Use a clear Remark or supporting business explanation.</t>
    </r>
  </si>
  <si>
    <t>R1-3-2-R</t>
  </si>
  <si>
    <r>
      <rPr>
        <rFont val="Microsoft Yahei"/>
        <b/>
        <color rgb="FF1F4E78"/>
        <sz val="10.0"/>
      </rPr>
      <t xml:space="preserve">允许的操作
</t>
    </r>
    <r>
      <rPr>
        <rFont val="Microsoft Yahei"/>
        <b val="0"/>
        <color rgb="FF1E1E1E"/>
        <sz val="10.0"/>
      </rPr>
      <t>允许的Action包括Opening、Prepared、Outbound、Return_to_Repair、Inbound、Move、Adjustment_In和Adjustment_Out；下拉来源在“Lists动作维护”中维护。</t>
    </r>
  </si>
  <si>
    <r>
      <rPr>
        <rFont val="Microsoft Yahei"/>
        <b/>
        <color rgb="FF1F4E78"/>
        <sz val="10.0"/>
      </rPr>
      <t xml:space="preserve">Allowed actions
</t>
    </r>
    <r>
      <rPr>
        <rFont val="Microsoft Yahei"/>
        <b val="0"/>
        <color rgb="FF1E1E1E"/>
        <sz val="10.0"/>
      </rPr>
      <t>Allowed Actions are Opening, Prepared, Outbound, Return_to_Repair, Inbound, Move, Adjustment_In and Adjustment_Out. Maintain the dropdown source in “Lists动作维护”.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</si>
  <si>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</si>
  <si>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R1-4-2-L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</si>
  <si>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</si>
  <si>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主表业务字段
</t>
    </r>
    <r>
      <rPr>
        <rFont val="Microsoft Yahei"/>
        <b val="0"/>
        <color rgb="FF1E1E1E"/>
        <sz val="10.0"/>
      </rPr>
      <t>主要业务字段包括Date、Action、SH_No、Pickup_Code、Container_Code、SKU、Model、Item_Type、SN、Qty、From_Location_Code、To_Location_Code、ERP仓库选择、Validation_Check、Stock_Condition及Remark。</t>
    </r>
  </si>
  <si>
    <r>
      <rPr>
        <rFont val="Microsoft Yahei"/>
        <b/>
        <color rgb="FF1F4E78"/>
        <sz val="10.0"/>
      </rPr>
      <t xml:space="preserve">Main-table fields
</t>
    </r>
    <r>
      <rPr>
        <rFont val="Microsoft Yahei"/>
        <b val="0"/>
        <color rgb="FF1E1E1E"/>
        <sz val="10.0"/>
      </rPr>
      <t>Main business fields include Date, Action, SH_No, Pickup_Code, Container_Code, SKU, Model, Item_Type, SN, Qty, From_Location_Code, To_Location_Code, ERP仓库选择, Validation_Check, Stock_Condition and Remark.</t>
    </r>
  </si>
  <si>
    <t>R1-4-2-R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</si>
  <si>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</si>
  <si>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主表辅助列
</t>
    </r>
    <r>
      <rPr>
        <rFont val="Microsoft Yahei"/>
        <b val="0"/>
        <color rgb="FF1E1E1E"/>
        <sz val="10.0"/>
      </rPr>
      <t>主表A:O及U为业务输入；P:T及V:Z为公式、校验或报表辅助列。未经完整测试，不得覆盖、删除、移动或改作其他用途。</t>
    </r>
  </si>
  <si>
    <r>
      <rPr>
        <rFont val="Microsoft Yahei"/>
        <b/>
        <color rgb="FF1F4E78"/>
        <sz val="10.0"/>
      </rPr>
      <t xml:space="preserve">Main-table helper columns
</t>
    </r>
    <r>
      <rPr>
        <rFont val="Microsoft Yahei"/>
        <b val="0"/>
        <color rgb="FF1E1E1E"/>
        <sz val="10.0"/>
      </rPr>
      <t>A:O and U are business-input columns. P:T and V:Z are formula, validation or reporting helper columns. Do not overwrite, delete, move or repurpose them without full testing.</t>
    </r>
  </si>
  <si>
    <r>
      <rPr>
        <rFont val="Microsoft Yahei"/>
        <b/>
        <color rgb="FF1F4E78"/>
        <sz val="10.0"/>
      </rPr>
      <t xml:space="preserve">校验规则
</t>
    </r>
    <r>
      <rPr>
        <rFont val="Microsoft Yahei"/>
        <b val="0"/>
        <color rgb="FF1E1E1E"/>
        <sz val="10.0"/>
      </rPr>
      <t>Validation_Check应返回OK或明确错误，例如缺少料号、数量、来源库位、目标库位、必填序列号，或存在负库存风险。</t>
    </r>
  </si>
  <si>
    <r>
      <rPr>
        <rFont val="Microsoft Yahei"/>
        <b/>
        <color rgb="FF1F4E78"/>
        <sz val="10.0"/>
      </rPr>
      <t xml:space="preserve">Validation rule
</t>
    </r>
    <r>
      <rPr>
        <rFont val="Microsoft Yahei"/>
        <b val="0"/>
        <color rgb="FF1E1E1E"/>
        <sz val="10.0"/>
      </rPr>
      <t>Validation_Check should return OK or a clear error such as Missing SKU, Missing Qty, Missing From Location, Missing To Location, missing required SN or negative-stock risk.</t>
    </r>
  </si>
  <si>
    <t>R2 / 货架2</t>
  </si>
  <si>
    <r>
      <rPr>
        <rFont val="Microsoft Yahei"/>
        <b/>
        <color rgb="FF1F4E78"/>
        <sz val="10.0"/>
      </rPr>
      <t xml:space="preserve">当前库存明细用途
</t>
    </r>
    <r>
      <rPr>
        <rFont val="Microsoft Yahei"/>
        <b val="0"/>
        <color rgb="FF1E1E1E"/>
        <sz val="10.0"/>
      </rPr>
      <t>当前库存明细查询用于按库位、容器、料号及序列号下钻查看当前库存，由公式计算，员工不得在此手工录入库存。</t>
    </r>
  </si>
  <si>
    <r>
      <rPr>
        <rFont val="Microsoft Yahei"/>
        <b/>
        <color rgb="FF1F4E78"/>
        <sz val="10.0"/>
      </rPr>
      <t xml:space="preserve">Current-stock detail purpose
</t>
    </r>
    <r>
      <rPr>
        <rFont val="Microsoft Yahei"/>
        <b val="0"/>
        <color rgb="FF1E1E1E"/>
        <sz val="10.0"/>
      </rPr>
      <t>The current-stock detail is the drill-down source for current stock by location, container, SKU and SN. It is calculated; staff must not enter stock manually here.</t>
    </r>
  </si>
  <si>
    <t>R1-2-3-L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</si>
  <si>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</si>
  <si>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当前库存明细粒度
</t>
    </r>
    <r>
      <rPr>
        <rFont val="Microsoft Yahei"/>
        <b val="0"/>
        <color rgb="FF1E1E1E"/>
        <sz val="10.0"/>
      </rPr>
      <t>实用明细粒度为Location_Code + Container_Code + SKU + SN；Container_Code或SN为空时，从逻辑键中省略。</t>
    </r>
  </si>
  <si>
    <r>
      <rPr>
        <rFont val="Microsoft Yahei"/>
        <b/>
        <color rgb="FF1F4E78"/>
        <sz val="10.0"/>
      </rPr>
      <t xml:space="preserve">Current-stock detail grain
</t>
    </r>
    <r>
      <rPr>
        <rFont val="Microsoft Yahei"/>
        <b val="0"/>
        <color rgb="FF1E1E1E"/>
        <sz val="10.0"/>
      </rPr>
      <t>Use Location_Code + Container_Code + SKU + SN as the practical grain; omit Container_Code or SN from the logical key when blank.</t>
    </r>
  </si>
  <si>
    <t>2026-07-17</t>
  </si>
  <si>
    <r>
      <rPr>
        <rFont val="Microsoft Yahei"/>
        <b/>
        <color rgb="FF1F4E78"/>
        <sz val="10.0"/>
      </rPr>
      <t xml:space="preserve">当前库存明细字段
</t>
    </r>
    <r>
      <rPr>
        <rFont val="Microsoft Yahei"/>
        <b val="0"/>
        <color rgb="FF1E1E1E"/>
        <sz val="10.0"/>
      </rPr>
      <t>左侧A:L为库存明细字段，包括来源行、库位、容器、料号、机型、物品类型、库存SN、当前数量、库存状态、查看类型、唯一标记及库存属性。</t>
    </r>
  </si>
  <si>
    <t>Outbound</t>
  </si>
  <si>
    <r>
      <rPr>
        <rFont val="Microsoft Yahei"/>
        <b/>
        <color rgb="FF1F4E78"/>
        <sz val="10.0"/>
      </rPr>
      <t xml:space="preserve">Current-stock detail fields
</t>
    </r>
    <r>
      <rPr>
        <rFont val="Microsoft Yahei"/>
        <b val="0"/>
        <color rgb="FF1E1E1E"/>
        <sz val="10.0"/>
      </rPr>
      <t>The left-side A:L detail fields include Source_Row, Location_Code, Container_Code, SKU, Model, Item_Type, SN_for_Stock, Current_Qty, Stock_Status, Read_Type, Unique_Flag and Stock_Condition.</t>
    </r>
  </si>
  <si>
    <r>
      <rPr>
        <rFont val="Microsoft Yahei"/>
        <b/>
        <color rgb="FF1F4E78"/>
        <sz val="10.0"/>
      </rPr>
      <t xml:space="preserve">来源行规则
</t>
    </r>
    <r>
      <rPr>
        <rFont val="Microsoft Yahei"/>
        <b val="0"/>
        <color rgb="FF1E1E1E"/>
        <sz val="10.0"/>
      </rPr>
      <t>Source_Row把计算出的库存明细关联回原始交易行；修改公式时必须保留该追溯关系。</t>
    </r>
  </si>
  <si>
    <r>
      <rPr>
        <rFont val="Microsoft Yahei"/>
        <b/>
        <color rgb="FF1F4E78"/>
        <sz val="10.0"/>
      </rPr>
      <t xml:space="preserve">Source-row rule
</t>
    </r>
    <r>
      <rPr>
        <rFont val="Microsoft Yahei"/>
        <b val="0"/>
        <color rgb="FF1E1E1E"/>
        <sz val="10.0"/>
      </rPr>
      <t>Source_Row links a calculated stock line back to its originating transaction row. Preserve this traceability when formulas change.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</si>
  <si>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</si>
  <si>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full qty from R1-2-2-R per request</t>
  </si>
  <si>
    <r>
      <rPr>
        <rFont val="Microsoft Yahei"/>
        <b/>
        <color rgb="FF1F4E78"/>
        <sz val="10.0"/>
      </rPr>
      <t xml:space="preserve">查看类型规则
</t>
    </r>
    <r>
      <rPr>
        <rFont val="Microsoft Yahei"/>
        <b val="0"/>
        <color rgb="FF1E1E1E"/>
        <sz val="10.0"/>
      </rPr>
      <t>Read_Type用于说明该行的读取方式，包括普通库存行、序列号级维修库存及容器明细。</t>
    </r>
  </si>
  <si>
    <r>
      <rPr>
        <rFont val="Microsoft Yahei"/>
        <b/>
        <color rgb="FF1F4E78"/>
        <sz val="10.0"/>
      </rPr>
      <t xml:space="preserve">Read-type rule
</t>
    </r>
    <r>
      <rPr>
        <rFont val="Microsoft Yahei"/>
        <b val="0"/>
        <color rgb="FF1E1E1E"/>
        <sz val="10.0"/>
      </rPr>
      <t>Read_Type explains how to interpret the line, including stock line, SN-level repair stock and container detail.</t>
    </r>
  </si>
  <si>
    <r>
      <rPr>
        <rFont val="Microsoft Yahei"/>
        <b/>
        <color rgb="FF1F4E78"/>
        <sz val="10.0"/>
      </rPr>
      <t xml:space="preserve">库存状态规则
</t>
    </r>
    <r>
      <rPr>
        <rFont val="Microsoft Yahei"/>
        <b val="0"/>
        <color rgb="FF1E1E1E"/>
        <sz val="10.0"/>
      </rPr>
      <t>Stock_Status只描述数量：Current_Qty大于0为在库，等于0为已出库，小于0为负库存异常；不得把Duplicate用作库存状态。</t>
    </r>
  </si>
  <si>
    <r>
      <rPr>
        <rFont val="Microsoft Yahei"/>
        <b/>
        <color rgb="FF1F4E78"/>
        <sz val="10.0"/>
      </rPr>
      <t xml:space="preserve">Stock-status rule
</t>
    </r>
    <r>
      <rPr>
        <rFont val="Microsoft Yahei"/>
        <b val="0"/>
        <color rgb="FF1E1E1E"/>
        <sz val="10.0"/>
      </rPr>
      <t>Stock_Status describes quantity only: In Stock when Current_Qty &gt; 0, Out when Current_Qty = 0, and Negative when Current_Qty &lt; 0. Never use Duplicate as Stock_Status.</t>
    </r>
  </si>
  <si>
    <r>
      <rPr>
        <rFont val="Microsoft Yahei"/>
        <b/>
        <color rgb="FF1F4E78"/>
        <sz val="10.0"/>
      </rPr>
      <t xml:space="preserve">当前库存右侧辅助区
</t>
    </r>
    <r>
      <rPr>
        <rFont val="Microsoft Yahei"/>
        <b val="0"/>
        <color rgb="FF1E1E1E"/>
        <sz val="10.0"/>
      </rPr>
      <t>M列是视觉分隔列；N:T为库位汇总辅助区，提供库位数量、明细行数、料号数量、容器摘要、现场图文本及库位库存属性。不得覆盖这些公式。</t>
    </r>
  </si>
  <si>
    <r>
      <rPr>
        <rFont val="Microsoft Yahei"/>
        <b/>
        <color rgb="FF1F4E78"/>
        <sz val="10.0"/>
      </rPr>
      <t xml:space="preserve">Current-detail helper area
</t>
    </r>
    <r>
      <rPr>
        <rFont val="Microsoft Yahei"/>
        <b val="0"/>
        <color rgb="FF1E1E1E"/>
        <sz val="10.0"/>
      </rPr>
      <t>Column M is a visual separator. N:T is the right-side location-summary helper area containing location quantity, line count, SKU count, container summary, layout text and location stock condition. Do not overwrite these formulas.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</si>
  <si>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</si>
  <si>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2 qty from R1-2-2-M per request</t>
  </si>
  <si>
    <r>
      <rPr>
        <rFont val="Microsoft Yahei"/>
        <b/>
        <color rgb="FF1F4E78"/>
        <sz val="10.0"/>
      </rPr>
      <t xml:space="preserve">混装容器明细
</t>
    </r>
    <r>
      <rPr>
        <rFont val="Microsoft Yahei"/>
        <b val="0"/>
        <color rgb="FF1E1E1E"/>
        <sz val="10.0"/>
      </rPr>
      <t>MIX容器中的每个料号必须使用独立交易行，当前库存明细必须保留可搜索的容器下钻信息。</t>
    </r>
  </si>
  <si>
    <r>
      <rPr>
        <rFont val="Microsoft Yahei"/>
        <b/>
        <color rgb="FF1F4E78"/>
        <sz val="10.0"/>
      </rPr>
      <t xml:space="preserve">Mixed-container detail
</t>
    </r>
    <r>
      <rPr>
        <rFont val="Microsoft Yahei"/>
        <b val="0"/>
        <color rgb="FF1E1E1E"/>
        <sz val="10.0"/>
      </rPr>
      <t>Each SKU inside a MIX container must be a separate transaction row. The current-stock detail must retain searchable container drill-down.</t>
    </r>
  </si>
  <si>
    <t>2026-07-20</t>
  </si>
  <si>
    <r>
      <rPr>
        <rFont val="Microsoft Yahei"/>
        <b/>
        <color rgb="FF1F4E78"/>
        <sz val="10.0"/>
      </rPr>
      <t xml:space="preserve">仓库可视化职责
</t>
    </r>
    <r>
      <rPr>
        <rFont val="Microsoft Yahei"/>
        <b val="0"/>
        <color rgb="FF1E1E1E"/>
        <sz val="10.0"/>
      </rPr>
      <t>仓库可视化只是视觉汇总，不是库存真实来源。普通库位显示料号和数量；混装库位显示混装料号数、容器码和总数量；空库位显示为空。</t>
    </r>
  </si>
  <si>
    <r>
      <rPr>
        <rFont val="Microsoft Yahei"/>
        <b/>
        <color rgb="FF1F4E78"/>
        <sz val="10.0"/>
      </rPr>
      <t xml:space="preserve">Warehouse-layout role
</t>
    </r>
    <r>
      <rPr>
        <rFont val="Microsoft Yahei"/>
        <b val="0"/>
        <color rgb="FF1E1E1E"/>
        <sz val="10.0"/>
      </rPr>
      <t>Warehouse visualization is a visual summary only, never the source of stock truth. Normal slots show SKU and Qty; mixed slots show mixed-SKU count, Container_Code and total Qty; empty slots show Empty.</t>
    </r>
  </si>
  <si>
    <r>
      <rPr>
        <rFont val="Microsoft Yahei"/>
        <b/>
        <color rgb="FF1F4E78"/>
        <sz val="10.0"/>
      </rPr>
      <t xml:space="preserve">货架结构
</t>
    </r>
    <r>
      <rPr>
        <rFont val="Microsoft Yahei"/>
        <b val="0"/>
        <color rgb="FF1E1E1E"/>
        <sz val="10.0"/>
      </rPr>
      <t>R1为4排×6列，R2为4排×5列，每个位置采用L/M/R。显示顺序为第4排在上、第1排在下。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</si>
  <si>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</si>
  <si>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color rgb="FF1F4E78"/>
        <sz val="10.0"/>
      </rPr>
      <t xml:space="preserve">Rack structure
</t>
    </r>
    <r>
      <rPr>
        <rFont val="Microsoft Yahei"/>
        <b val="0"/>
        <color rgb="FF1E1E1E"/>
        <sz val="10.0"/>
      </rPr>
      <t>R1 has 4 rows × 6 bays and R2 has 4 rows × 5 bays, with L/M/R positions. Row 4 displays at the top and Row 1 at the bottom.</t>
    </r>
  </si>
  <si>
    <t>Outbound remaining qty from R1-2-1-R per request</t>
  </si>
  <si>
    <r>
      <rPr>
        <rFont val="Microsoft Yahei"/>
        <b/>
        <color rgb="FF1F4E78"/>
        <sz val="10.0"/>
      </rPr>
      <t xml:space="preserve">功能区域
</t>
    </r>
    <r>
      <rPr>
        <rFont val="Microsoft Yahei"/>
        <b val="0"/>
        <color rgb="FF1E1E1E"/>
        <sz val="10.0"/>
      </rPr>
      <t>DISPATCH-01、REPAIR-01、RETURN-01和FLEX-01为功能区域，必须保留在有效库位清单及仓库可视化中。</t>
    </r>
  </si>
  <si>
    <r>
      <rPr>
        <rFont val="Microsoft Yahei"/>
        <b/>
        <color rgb="FF1F4E78"/>
        <sz val="10.0"/>
      </rPr>
      <t xml:space="preserve">Functional zones
</t>
    </r>
    <r>
      <rPr>
        <rFont val="Microsoft Yahei"/>
        <b val="0"/>
        <color rgb="FF1E1E1E"/>
        <sz val="10.0"/>
      </rPr>
      <t>DISPATCH-01, REPAIR-01, RETURN-01 and FLEX-01 are functional zones and must remain in the valid-location list and warehouse visualization.</t>
    </r>
  </si>
  <si>
    <r>
      <rPr>
        <rFont val="Microsoft Yahei"/>
        <b/>
        <color rgb="FF1F4E78"/>
        <sz val="10.0"/>
      </rPr>
      <t xml:space="preserve">产品维护表职责
</t>
    </r>
    <r>
      <rPr>
        <rFont val="Microsoft Yahei"/>
        <b val="0"/>
        <color rgb="FF1E1E1E"/>
        <sz val="10.0"/>
      </rPr>
      <t>产品维护表同时承担料号主数据和料号级库存报表功能。必须保留料号、机型/名称、物品类型、启用控制、当前数量、良品区数量、维修数量及混装容器数量。</t>
    </r>
  </si>
  <si>
    <r>
      <rPr>
        <rFont val="Microsoft Yahei"/>
        <b/>
        <color rgb="FF1F4E78"/>
        <sz val="10.0"/>
      </rPr>
      <t xml:space="preserve">Product-master role
</t>
    </r>
    <r>
      <rPr>
        <rFont val="Microsoft Yahei"/>
        <b val="0"/>
        <color rgb="FF1E1E1E"/>
        <sz val="10.0"/>
      </rPr>
      <t>The product master is both SKU master data and the SKU-level stock report. Preserve SKU, Model/name, Item_Type, enable control, Current_Qty, Good_Area_Qty, Repair_Qty and Mixed_Container_Qty.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</si>
  <si>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</si>
  <si>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R1-2-2-L per request</t>
  </si>
  <si>
    <r>
      <rPr>
        <rFont val="Microsoft Yahei"/>
        <b/>
        <color rgb="FF1F4E78"/>
        <sz val="10.0"/>
      </rPr>
      <t xml:space="preserve">库位维护表职责
</t>
    </r>
    <r>
      <rPr>
        <rFont val="Microsoft Yahei"/>
        <b val="0"/>
        <color rgb="FF1E1E1E"/>
        <sz val="10.0"/>
      </rPr>
      <t>库位维护表定义有效实体库位及布局元数据；新交易的库位应从该维护清单中选择。</t>
    </r>
  </si>
  <si>
    <r>
      <rPr>
        <rFont val="Microsoft Yahei"/>
        <b/>
        <color rgb="FF1F4E78"/>
        <sz val="10.0"/>
      </rPr>
      <t xml:space="preserve">Location-master role
</t>
    </r>
    <r>
      <rPr>
        <rFont val="Microsoft Yahei"/>
        <b val="0"/>
        <color rgb="FF1E1E1E"/>
        <sz val="10.0"/>
      </rPr>
      <t>The location master defines valid physical location codes and layout metadata. New transaction locations should come from this maintained list.</t>
    </r>
  </si>
  <si>
    <r>
      <rPr>
        <rFont val="Microsoft Yahei"/>
        <b/>
        <color rgb="FF1F4E78"/>
        <sz val="10.0"/>
      </rPr>
      <t xml:space="preserve">简易报表职责
</t>
    </r>
    <r>
      <rPr>
        <rFont val="Microsoft Yahei"/>
        <b val="0"/>
        <color rgb="FF1E1E1E"/>
        <sz val="10.0"/>
      </rPr>
      <t>简易报表是运营库存及异常报表，不是装饰性的BI页面。</t>
    </r>
  </si>
  <si>
    <r>
      <rPr>
        <rFont val="Microsoft Yahei"/>
        <b/>
        <color rgb="FF1F4E78"/>
        <sz val="10.0"/>
      </rPr>
      <t xml:space="preserve">Dashboard role
</t>
    </r>
    <r>
      <rPr>
        <rFont val="Microsoft Yahei"/>
        <b val="0"/>
        <color rgb="FF1E1E1E"/>
        <sz val="10.0"/>
      </rPr>
      <t>The dashboard is an operational inventory and exception report, not decorative BI.</t>
    </r>
  </si>
  <si>
    <r>
      <rPr>
        <rFont val="Microsoft Yahei"/>
        <b/>
        <color rgb="FF1F4E78"/>
        <sz val="10.0"/>
      </rPr>
      <t xml:space="preserve">库存指标
</t>
    </r>
    <r>
      <rPr>
        <rFont val="Microsoft Yahei"/>
        <b val="0"/>
        <color rgb="FF1E1E1E"/>
        <sz val="10.0"/>
      </rPr>
      <t>总当前数量、良品区数量、维修数量、混装容器数量及混装库位数必须关联到计算库存。</t>
    </r>
  </si>
  <si>
    <r>
      <rPr>
        <rFont val="Microsoft Yahei"/>
        <b/>
        <color rgb="FF1F4E78"/>
        <sz val="10.0"/>
      </rPr>
      <t xml:space="preserve">Dashboard inventory metrics
</t>
    </r>
    <r>
      <rPr>
        <rFont val="Microsoft Yahei"/>
        <b val="0"/>
        <color rgb="FF1E1E1E"/>
        <sz val="10.0"/>
      </rPr>
      <t>Keep Total Current Qty, Good Area Qty, Repair Qty, Mixed Container Qty and Mixed Container Locations linked to calculated stock.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</si>
  <si>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</si>
  <si>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R1-2-2-M per request</t>
  </si>
  <si>
    <t>2026-07-21</t>
  </si>
  <si>
    <r>
      <rPr>
        <rFont val="Microsoft Yahei"/>
        <b/>
        <color rgb="FF1F4E78"/>
        <sz val="10.0"/>
      </rPr>
      <t xml:space="preserve">异常指标
</t>
    </r>
    <r>
      <rPr>
        <rFont val="Microsoft Yahei"/>
        <b val="0"/>
        <color rgb="FF1E1E1E"/>
        <sz val="10.0"/>
      </rPr>
      <t>已备货未提货、出库产品缺少SN、维修退回缺少SN及校验错误必须关联到主表业务规则。</t>
    </r>
  </si>
  <si>
    <r>
      <rPr>
        <rFont val="Microsoft Yahei"/>
        <b/>
        <color rgb="FF1F4E78"/>
        <sz val="10.0"/>
      </rPr>
      <t xml:space="preserve">Dashboard exception metrics
</t>
    </r>
    <r>
      <rPr>
        <rFont val="Microsoft Yahei"/>
        <b val="0"/>
        <color rgb="FF1E1E1E"/>
        <sz val="10.0"/>
      </rPr>
      <t>Keep Prepared but not picked, outbound Product missing SN, repair return missing SN and validation errors linked to transaction rules.</t>
    </r>
  </si>
  <si>
    <r>
      <rPr>
        <rFont val="Microsoft Yahei"/>
        <b/>
        <color rgb="FF1F4E78"/>
        <sz val="10.0"/>
      </rPr>
      <t xml:space="preserve">SOP规则
</t>
    </r>
    <r>
      <rPr>
        <rFont val="Microsoft Yahei"/>
        <b val="0"/>
        <color rgb="FF1E1E1E"/>
        <sz val="10.0"/>
      </rPr>
      <t>SOP必须让新入职、非技术人员能够理解期初库存、已备货、出库、维修退回、混装容器、库存查询、布局读取及禁止修改的区域。</t>
    </r>
  </si>
  <si>
    <r>
      <rPr>
        <rFont val="Microsoft Yahei"/>
        <b/>
        <color rgb="FF1F4E78"/>
        <sz val="10.0"/>
      </rPr>
      <t xml:space="preserve">SOP rule
</t>
    </r>
    <r>
      <rPr>
        <rFont val="Microsoft Yahei"/>
        <b val="0"/>
        <color rgb="FF1E1E1E"/>
        <sz val="10.0"/>
      </rPr>
      <t>The SOP must remain understandable to new non-technical staff and explain opening, prepared, outbound, repair return, MIX containers, stock lookup, layout reading and what not to edit.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</si>
  <si>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</si>
  <si>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R1-4-1-L per request</t>
  </si>
  <si>
    <r>
      <rPr>
        <rFont val="Microsoft Yahei"/>
        <b/>
        <color rgb="FF1F4E78"/>
        <sz val="10.0"/>
      </rPr>
      <t xml:space="preserve">公式保护
</t>
    </r>
    <r>
      <rPr>
        <rFont val="Microsoft Yahei"/>
        <b val="0"/>
        <color rgb="FF1E1E1E"/>
        <sz val="10.0"/>
      </rPr>
      <t>不得用静态粘贴值替换计算结果。必须保留公式、数组范围、查找逻辑、辅助列、校验规则、下拉选项及条件格式。</t>
    </r>
  </si>
  <si>
    <r>
      <rPr>
        <rFont val="Microsoft Yahei"/>
        <b/>
        <color rgb="FF1F4E78"/>
        <sz val="10.0"/>
      </rPr>
      <t xml:space="preserve">Formula protection
</t>
    </r>
    <r>
      <rPr>
        <rFont val="Microsoft Yahei"/>
        <b val="0"/>
        <color rgb="FF1E1E1E"/>
        <sz val="10.0"/>
      </rPr>
      <t>Do not replace calculated values with static pasted numbers. Preserve formulas, array ranges, lookups, helper columns, validation rules, dropdowns and conditional formatting.</t>
    </r>
  </si>
  <si>
    <r>
      <rPr>
        <rFont val="Microsoft Yahei"/>
        <b/>
        <color rgb="FF1F4E78"/>
        <sz val="10.0"/>
      </rPr>
      <t xml:space="preserve">变更纪律
</t>
    </r>
    <r>
      <rPr>
        <rFont val="Microsoft Yahei"/>
        <b val="0"/>
        <color rgb="FF1E1E1E"/>
        <sz val="10.0"/>
      </rPr>
      <t>结构性修改前先检查所有工作表及依赖公式；只做最小必要变更，然后验证主表录入、当前库存明细、产品汇总、仓库可视化及简易报表。</t>
    </r>
  </si>
  <si>
    <r>
      <rPr>
        <rFont val="Microsoft Yahei"/>
        <b/>
        <color rgb="FF1F4E78"/>
        <sz val="10.0"/>
      </rPr>
      <t xml:space="preserve">Change discipline
</t>
    </r>
    <r>
      <rPr>
        <rFont val="Microsoft Yahei"/>
        <b val="0"/>
        <color rgb="FF1E1E1E"/>
        <sz val="10.0"/>
      </rPr>
      <t>Before structural edits, inspect all sheets and dependent formulas. Make the smallest necessary change, then verify transaction input, current detail, product summary, layout and dashboard.</t>
    </r>
  </si>
  <si>
    <r>
      <rPr>
        <rFont val="Microsoft Yahei"/>
        <b/>
        <color rgb="FF1F4E78"/>
        <sz val="10.0"/>
      </rPr>
      <t xml:space="preserve">必要测试
</t>
    </r>
    <r>
      <rPr>
        <rFont val="Microsoft Yahei"/>
        <b val="0"/>
        <color rgb="FF1E1E1E"/>
        <sz val="10.0"/>
      </rPr>
      <t>确认没有#REF!、#VALUE!、#NAME?、#N/A或#DIV/0!；Prepared不影响库存；Outbound减少库存；Return_to_Repair增加维修库存；Move两端平衡；负库存会被标记。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</si>
  <si>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</si>
  <si>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R1-4-2-L per request</t>
  </si>
  <si>
    <r>
      <rPr>
        <rFont val="Microsoft Yahei"/>
        <b/>
        <color rgb="FF1F4E78"/>
        <sz val="10.0"/>
      </rPr>
      <t xml:space="preserve">Required tests
</t>
    </r>
    <r>
      <rPr>
        <rFont val="Microsoft Yahei"/>
        <b val="0"/>
        <color rgb="FF1E1E1E"/>
        <sz val="10.0"/>
      </rPr>
      <t>Confirm there are no #REF!, #VALUE!, #NAME?, #N/A or #DIV/0! errors; Prepared has zero stock effect; Outbound reduces stock; Return_to_Repair increases repair stock; Move balances both locations; negative stock is flagged.</t>
    </r>
  </si>
  <si>
    <r>
      <rPr>
        <rFont val="Microsoft Yahei"/>
        <b/>
        <color rgb="FF1F4E78"/>
        <sz val="10.0"/>
      </rPr>
      <t xml:space="preserve">混装容器测试
</t>
    </r>
    <r>
      <rPr>
        <rFont val="Microsoft Yahei"/>
        <b val="0"/>
        <color rgb="FF1E1E1E"/>
        <sz val="10.0"/>
      </rPr>
      <t>确认MIX总数等于各料号明细之和；仓库可视化显示正确摘要；当前库存明细显示所有成员料号。</t>
    </r>
  </si>
  <si>
    <r>
      <rPr>
        <rFont val="Microsoft Yahei"/>
        <b/>
        <color rgb="FF1F4E78"/>
        <sz val="10.0"/>
      </rPr>
      <t xml:space="preserve">Mixed-container tests
</t>
    </r>
    <r>
      <rPr>
        <rFont val="Microsoft Yahei"/>
        <b val="0"/>
        <color rgb="FF1E1E1E"/>
        <sz val="10.0"/>
      </rPr>
      <t>Confirm MIX totals equal the sum of member-SKU lines, the layout shows the correct summary and the current-stock detail shows every member SKU.</t>
    </r>
  </si>
  <si>
    <r>
      <rPr>
        <rFont val="Microsoft Yahei"/>
        <b/>
        <color rgb="FF1F4E78"/>
        <sz val="10.0"/>
      </rPr>
      <t xml:space="preserve">布局测试
</t>
    </r>
    <r>
      <rPr>
        <rFont val="Microsoft Yahei"/>
        <b val="0"/>
        <color rgb="FF1E1E1E"/>
        <sz val="10.0"/>
      </rPr>
      <t>确认R1保持4×6、R2保持4×5，L/M/R位置完整，第1排位于底部，功能区域位置正确。</t>
    </r>
  </si>
  <si>
    <r>
      <rPr>
        <rFont val="Microsoft Yahei"/>
        <b/>
        <color rgb="FF1F4E78"/>
        <sz val="10.0"/>
      </rPr>
      <t xml:space="preserve">Layout tests
</t>
    </r>
    <r>
      <rPr>
        <rFont val="Microsoft Yahei"/>
        <b val="0"/>
        <color rgb="FF1E1E1E"/>
        <sz val="10.0"/>
      </rPr>
      <t>Confirm R1 remains 4×6, R2 remains 4×5, L/M/R positions remain intact, Row 1 remains at the bottom and functional zones remain correctly placed.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</si>
  <si>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</si>
  <si>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R1-3-1-M per request</t>
  </si>
  <si>
    <r>
      <rPr>
        <rFont val="Microsoft YaHei"/>
        <b/>
        <i/>
        <color rgb="FFFFFFFF"/>
        <sz val="10.0"/>
      </rPr>
      <t xml:space="preserve">Source_Row / </t>
    </r>
    <r>
      <rPr>
        <rFont val="Noto Sans CJK SC"/>
        <b/>
        <i/>
        <color rgb="FFFFFFFF"/>
        <sz val="10.0"/>
      </rPr>
      <t>来源行</t>
    </r>
  </si>
  <si>
    <r>
      <rPr>
        <rFont val="Microsoft Yahei"/>
        <b/>
        <color rgb="FF1F4E78"/>
        <sz val="10.0"/>
      </rPr>
      <t xml:space="preserve">AI维护规则
</t>
    </r>
    <r>
      <rPr>
        <rFont val="Microsoft Yahei"/>
        <b val="0"/>
        <color rgb="FF1E1E1E"/>
        <sz val="10.0"/>
      </rPr>
      <t>保持系统简单。不要增加多余编号、重复台账、所有库存强制SN、单独取货表或第二个库存真实来源。</t>
    </r>
  </si>
  <si>
    <r>
      <rPr>
        <rFont val="Microsoft Yahei"/>
        <b/>
        <color rgb="FF1F4E78"/>
        <sz val="10.0"/>
      </rPr>
      <t xml:space="preserve">AI maintenance rule
</t>
    </r>
    <r>
      <rPr>
        <rFont val="Microsoft Yahei"/>
        <b val="0"/>
        <color rgb="FF1E1E1E"/>
        <sz val="10.0"/>
      </rPr>
      <t>Keep the system simple. Do not add extra IDs, duplicate ledgers, mandatory SN for all stock, a separate pickup sheet or a second source of stock truth.</t>
    </r>
  </si>
  <si>
    <r>
      <rPr>
        <rFont val="Microsoft YaHei"/>
        <b/>
        <i/>
        <color rgb="FFFFFFFF"/>
        <sz val="10.0"/>
      </rPr>
      <t xml:space="preserve">Location_Code / </t>
    </r>
    <r>
      <rPr>
        <rFont val="Noto Sans CJK SC"/>
        <b/>
        <i/>
        <color rgb="FFFFFFFF"/>
        <sz val="10.0"/>
      </rPr>
      <t>库位编码</t>
    </r>
  </si>
  <si>
    <r>
      <rPr>
        <rFont val="Microsoft YaHei"/>
        <b/>
        <i/>
        <color rgb="FFFFFFFF"/>
        <sz val="10.0"/>
      </rPr>
      <t xml:space="preserve">Container_Code / </t>
    </r>
    <r>
      <rPr>
        <rFont val="Noto Sans CJK SC"/>
        <b/>
        <i/>
        <color rgb="FFFFFFFF"/>
        <sz val="10.0"/>
      </rPr>
      <t>容器码</t>
    </r>
  </si>
  <si>
    <r>
      <rPr>
        <rFont val="Microsoft YaHei"/>
        <b/>
        <i/>
        <color rgb="FFFFFFFF"/>
        <sz val="10.0"/>
      </rPr>
      <t xml:space="preserve">SKU / </t>
    </r>
    <r>
      <rPr>
        <rFont val="Noto Sans CJK SC"/>
        <b/>
        <i/>
        <color rgb="FFFFFFFF"/>
        <sz val="10.0"/>
      </rPr>
      <t>料号</t>
    </r>
  </si>
  <si>
    <r>
      <rPr>
        <rFont val="Microsoft YaHei"/>
        <b/>
        <i/>
        <color rgb="FFFFFFFF"/>
        <sz val="10.0"/>
      </rPr>
      <t xml:space="preserve">Model / </t>
    </r>
    <r>
      <rPr>
        <rFont val="Noto Sans CJK SC"/>
        <b/>
        <i/>
        <color rgb="FFFFFFFF"/>
        <sz val="10.0"/>
      </rPr>
      <t>机型</t>
    </r>
  </si>
  <si>
    <r>
      <rPr>
        <rFont val="Microsoft YaHei"/>
        <b/>
        <i/>
        <color rgb="FFFFFFFF"/>
        <sz val="10.0"/>
      </rPr>
      <t xml:space="preserve">Item_Type / </t>
    </r>
    <r>
      <rPr>
        <rFont val="Noto Sans CJK SC"/>
        <b/>
        <i/>
        <color rgb="FFFFFFFF"/>
        <sz val="10.0"/>
      </rPr>
      <t>物品类型</t>
    </r>
  </si>
  <si>
    <r>
      <rPr>
        <rFont val="Microsoft YaHei"/>
        <b/>
        <i/>
        <color rgb="FFFFFFFF"/>
        <sz val="10.0"/>
      </rPr>
      <t xml:space="preserve">SN_for_Stock / </t>
    </r>
    <r>
      <rPr>
        <rFont val="Noto Sans CJK SC"/>
        <b/>
        <i/>
        <color rgb="FFFFFFFF"/>
        <sz val="10.0"/>
      </rPr>
      <t>库存</t>
    </r>
    <r>
      <rPr>
        <rFont val="Microsoft YaHei"/>
        <b/>
        <i/>
        <color rgb="FFFFFFFF"/>
        <sz val="10.0"/>
      </rPr>
      <t>SN</t>
    </r>
  </si>
  <si>
    <r>
      <rPr>
        <rFont val="Microsoft YaHei"/>
        <b/>
        <i/>
        <color rgb="FFFFFFFF"/>
        <sz val="10.0"/>
      </rPr>
      <t xml:space="preserve">Current_Qty / </t>
    </r>
    <r>
      <rPr>
        <rFont val="Noto Sans CJK SC"/>
        <b/>
        <i/>
        <color rgb="FFFFFFFF"/>
        <sz val="10.0"/>
      </rPr>
      <t>当前数量</t>
    </r>
  </si>
  <si>
    <r>
      <rPr>
        <rFont val="Microsoft YaHei"/>
        <b/>
        <i/>
        <color rgb="FFFFFFFF"/>
        <sz val="10.0"/>
      </rPr>
      <t xml:space="preserve">Stock_Status / </t>
    </r>
    <r>
      <rPr>
        <rFont val="Noto Sans CJK SC"/>
        <b/>
        <i/>
        <color rgb="FFFFFFFF"/>
        <sz val="10.0"/>
      </rPr>
      <t>库存状态</t>
    </r>
  </si>
  <si>
    <r>
      <rPr>
        <rFont val="Microsoft YaHei"/>
        <b/>
        <i/>
        <color rgb="FFFFFFFF"/>
        <sz val="10.0"/>
      </rPr>
      <t xml:space="preserve">Read_Type / </t>
    </r>
    <r>
      <rPr>
        <rFont val="Noto Sans CJK SC"/>
        <b/>
        <i/>
        <color rgb="FFFFFFFF"/>
        <sz val="10.0"/>
      </rPr>
      <t>查看类型</t>
    </r>
  </si>
  <si>
    <r>
      <rPr>
        <rFont val="Microsoft YaHei"/>
        <b/>
        <i/>
        <color rgb="FFFFFFFF"/>
        <sz val="10.0"/>
      </rPr>
      <t xml:space="preserve">Unique_Flag / </t>
    </r>
    <r>
      <rPr>
        <rFont val="Noto Sans CJK SC"/>
        <b/>
        <i/>
        <color rgb="FFFFFFFF"/>
        <sz val="10.0"/>
      </rPr>
      <t>唯一标记</t>
    </r>
  </si>
  <si>
    <t>Stock_Condition / 库存属性</t>
  </si>
  <si>
    <t>Frozen_Qty / 冻结数量</t>
  </si>
  <si>
    <r>
      <rPr>
        <rFont val="Microsoft YaHei"/>
        <b/>
        <i/>
        <color rgb="FFFFFFFF"/>
        <sz val="10.0"/>
      </rPr>
      <t xml:space="preserve">Location_Code / </t>
    </r>
    <r>
      <rPr>
        <rFont val="Noto Sans CJK SC"/>
        <b/>
        <i/>
        <color rgb="FFFFFFFF"/>
        <sz val="10.0"/>
      </rPr>
      <t>库位编码</t>
    </r>
  </si>
  <si>
    <r>
      <rPr>
        <rFont val="Microsoft YaHei"/>
        <b/>
        <i/>
        <color rgb="FFFFFFFF"/>
        <sz val="10.0"/>
      </rPr>
      <t xml:space="preserve">Location_Qty / </t>
    </r>
    <r>
      <rPr>
        <rFont val="Noto Sans CJK SC"/>
        <b/>
        <i/>
        <color rgb="FFFFFFFF"/>
        <sz val="10.0"/>
      </rPr>
      <t>库位总数</t>
    </r>
  </si>
  <si>
    <r>
      <rPr>
        <rFont val="Microsoft YaHei"/>
        <b/>
        <i/>
        <color rgb="FFFFFFFF"/>
        <sz val="10.0"/>
      </rPr>
      <t xml:space="preserve">Stock_Line_Count / </t>
    </r>
    <r>
      <rPr>
        <rFont val="Noto Sans CJK SC"/>
        <b/>
        <i/>
        <color rgb="FFFFFFFF"/>
        <sz val="10.0"/>
      </rPr>
      <t>库存明细行数</t>
    </r>
  </si>
  <si>
    <r>
      <rPr>
        <rFont val="Microsoft YaHei"/>
        <b/>
        <i/>
        <color rgb="FFFFFFFF"/>
        <sz val="10.0"/>
      </rPr>
      <t>SKU_Count / SKU</t>
    </r>
    <r>
      <rPr>
        <rFont val="Noto Sans CJK SC"/>
        <b/>
        <i/>
        <color rgb="FFFFFFFF"/>
        <sz val="10.0"/>
      </rPr>
      <t>数量</t>
    </r>
  </si>
  <si>
    <r>
      <rPr>
        <rFont val="Microsoft YaHei"/>
        <b/>
        <i/>
        <color rgb="FFFFFFFF"/>
        <sz val="10.0"/>
      </rPr>
      <t xml:space="preserve">Container_Summary / </t>
    </r>
    <r>
      <rPr>
        <rFont val="Noto Sans CJK SC"/>
        <b/>
        <i/>
        <color rgb="FFFFFFFF"/>
        <sz val="10.0"/>
      </rPr>
      <t>容器摘要</t>
    </r>
  </si>
  <si>
    <r>
      <rPr>
        <rFont val="Microsoft Yahei"/>
        <b/>
        <color rgb="FF1F4E78"/>
        <sz val="10.0"/>
      </rPr>
      <t xml:space="preserve">AI交接摘要
</t>
    </r>
    <r>
      <rPr>
        <rFont val="Microsoft Yahei"/>
        <b val="0"/>
        <color rgb="FF1E1E1E"/>
        <sz val="10.0"/>
      </rPr>
      <t>员工只在主表录入日常操作；公式生成当前库存明细、产品维护汇总、仓库可视化及简易报表异常。必须保留这条数据流。</t>
    </r>
  </si>
  <si>
    <r>
      <rPr>
        <rFont val="Microsoft YaHei"/>
        <b/>
        <i/>
        <color rgb="FFFFFFFF"/>
        <sz val="10.0"/>
      </rPr>
      <t xml:space="preserve">Layout_Text / </t>
    </r>
    <r>
      <rPr>
        <rFont val="Noto Sans CJK SC"/>
        <b/>
        <i/>
        <color rgb="FFFFFFFF"/>
        <sz val="10.0"/>
      </rPr>
      <t>现场图文本</t>
    </r>
  </si>
  <si>
    <t>Location_Stock_Condition / 库位库存属性</t>
  </si>
  <si>
    <r>
      <rPr>
        <rFont val="Microsoft Yahei"/>
        <b/>
        <color rgb="FF1F4E78"/>
        <sz val="10.0"/>
      </rPr>
      <t xml:space="preserve">AI handoff summary
</t>
    </r>
    <r>
      <rPr>
        <rFont val="Microsoft Yahei"/>
        <b val="0"/>
        <color rgb="FF1E1E1E"/>
        <sz val="10.0"/>
      </rPr>
      <t>People enter daily actions only in the main transaction log. Calculations produce current-stock detail, product-master totals, warehouse-layout summaries and dashboard exceptions. Preserve this flow.</t>
    </r>
  </si>
  <si>
    <r>
      <rPr>
        <rFont val="Microsoft Yahei"/>
        <b/>
        <color rgb="FF1F4E78"/>
        <sz val="10.0"/>
      </rPr>
      <t xml:space="preserve">库位更新
</t>
    </r>
    <r>
      <rPr>
        <rFont val="Microsoft Yahei"/>
        <b val="0"/>
        <color rgb="FF1E1E1E"/>
        <sz val="10.0"/>
      </rPr>
      <t>实体货架使用R1/R2-排-列-L/M/R。库位维护表是唯一有效库位清单；主表K/L列下拉及当前库存库位汇总必须引用完整维护范围。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</si>
  <si>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</si>
  <si>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R1-3-1-R per request</t>
  </si>
  <si>
    <r>
      <rPr>
        <rFont val="Microsoft Yahei"/>
        <b/>
        <color rgb="FF1F4E78"/>
        <sz val="10.0"/>
      </rPr>
      <t xml:space="preserve">Location update
</t>
    </r>
    <r>
      <rPr>
        <rFont val="Microsoft Yahei"/>
        <b val="0"/>
        <color rgb="FF1E1E1E"/>
        <sz val="10.0"/>
      </rPr>
      <t>Physical rack slots use R1/R2-Row-Bay-L/M/R. The location master is the only valid location list; main-table K/L dropdowns and current-stock location summaries must reference the full maintained range.</t>
    </r>
  </si>
  <si>
    <r>
      <rPr>
        <rFont val="Microsoft Yahei"/>
        <b/>
        <color rgb="FF1F4E78"/>
        <sz val="10.0"/>
      </rPr>
      <t xml:space="preserve">期初库存导入
</t>
    </r>
    <r>
      <rPr>
        <rFont val="Microsoft Yahei"/>
        <b val="0"/>
        <color rgb="FF1E1E1E"/>
        <sz val="10.0"/>
      </rPr>
      <t>期初数据以Action=Opening写入主表，To_Location_Code使用采集的L/M/R或功能区库位，保留Qty、SKU和Container_Code，不修改产品维护表的既有字段。</t>
    </r>
  </si>
  <si>
    <r>
      <rPr>
        <rFont val="Microsoft Yahei"/>
        <b/>
        <color rgb="FF1F4E78"/>
        <sz val="10.0"/>
      </rPr>
      <t xml:space="preserve">Opening-balance import
</t>
    </r>
    <r>
      <rPr>
        <rFont val="Microsoft Yahei"/>
        <b val="0"/>
        <color rgb="FF1E1E1E"/>
        <sz val="10.0"/>
      </rPr>
      <t>Record opening data in the main transaction log with Action = Opening, To_Location_Code = the captured L/M/R or service-zone code, and Qty/SKU/Container_Code retained. Leave existing product-master fields unchanged.</t>
    </r>
  </si>
  <si>
    <r>
      <rPr>
        <rFont val="Microsoft Yahei"/>
        <b/>
        <color rgb="FF1F4E78"/>
        <sz val="10.0"/>
      </rPr>
      <t xml:space="preserve">库存属性位置
</t>
    </r>
    <r>
      <rPr>
        <rFont val="Microsoft Yahei"/>
        <b val="0"/>
        <color rgb="FF1E1E1E"/>
        <sz val="10.0"/>
      </rPr>
      <t>人工Stock_Condition位于主表O列，排在所有辅助公式列之前。</t>
    </r>
  </si>
  <si>
    <r>
      <rPr>
        <rFont val="Microsoft Yahei"/>
        <b/>
        <color rgb="FF1F4E78"/>
        <sz val="10.0"/>
      </rPr>
      <t xml:space="preserve">Stock-condition location
</t>
    </r>
    <r>
      <rPr>
        <rFont val="Microsoft Yahei"/>
        <b val="0"/>
        <color rgb="FF1E1E1E"/>
        <sz val="10.0"/>
      </rPr>
      <t>Manual Stock_Condition is column O, before all helper-formula columns.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</si>
  <si>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</si>
  <si>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R1-3-2-L per request</t>
  </si>
  <si>
    <r>
      <rPr>
        <rFont val="Microsoft Yahei"/>
        <b/>
        <color rgb="FF1F4E78"/>
        <sz val="10.0"/>
      </rPr>
      <t xml:space="preserve">备注位置
</t>
    </r>
    <r>
      <rPr>
        <rFont val="Microsoft Yahei"/>
        <b val="0"/>
        <color rgb="FF1E1E1E"/>
        <sz val="10.0"/>
      </rPr>
      <t>Remark位于主表U列，原有备注值必须保留。</t>
    </r>
  </si>
  <si>
    <r>
      <rPr>
        <rFont val="Microsoft Yahei"/>
        <b/>
        <color rgb="FF1F4E78"/>
        <sz val="10.0"/>
      </rPr>
      <t xml:space="preserve">Remark location
</t>
    </r>
    <r>
      <rPr>
        <rFont val="Microsoft Yahei"/>
        <b val="0"/>
        <color rgb="FF1E1E1E"/>
        <sz val="10.0"/>
      </rPr>
      <t>Remark is in column U of the main transaction log. Existing remark values must be preserved.</t>
    </r>
  </si>
  <si>
    <r>
      <rPr>
        <rFont val="Microsoft Yahei"/>
        <b/>
        <color rgb="FF1F4E78"/>
        <sz val="10.0"/>
      </rPr>
      <t xml:space="preserve">可编辑列
</t>
    </r>
    <r>
      <rPr>
        <rFont val="Microsoft Yahei"/>
        <b val="0"/>
        <color rgb="FF1E1E1E"/>
        <sz val="10.0"/>
      </rPr>
      <t>主表A:O及U为业务输入列；P:T及V:Z为公式或辅助列。</t>
    </r>
  </si>
  <si>
    <r>
      <rPr>
        <rFont val="Microsoft Yahei"/>
        <b/>
        <color rgb="FF1F4E78"/>
        <sz val="10.0"/>
      </rPr>
      <t xml:space="preserve">Editable columns
</t>
    </r>
    <r>
      <rPr>
        <rFont val="Microsoft Yahei"/>
        <b val="0"/>
        <color rgb="FF1E1E1E"/>
        <sz val="10.0"/>
      </rPr>
      <t>A:O and U are business-input columns; P:T and V:Z are formula or helper columns.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</si>
  <si>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</si>
  <si>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R1-3-2-M per request</t>
  </si>
  <si>
    <r>
      <rPr>
        <rFont val="Microsoft Yahei"/>
        <b/>
        <color rgb="FF1F4E78"/>
        <sz val="10.0"/>
      </rPr>
      <t xml:space="preserve">期初报表规则
</t>
    </r>
    <r>
      <rPr>
        <rFont val="Microsoft Yahei"/>
        <b val="0"/>
        <color rgb="FF1E1E1E"/>
        <sz val="10.0"/>
      </rPr>
      <t>Opening必须填写Stock_Condition，但不计入周报的新机入库。</t>
    </r>
  </si>
  <si>
    <r>
      <rPr>
        <rFont val="Microsoft Yahei"/>
        <b/>
        <color rgb="FF1F4E78"/>
        <sz val="10.0"/>
      </rPr>
      <t xml:space="preserve">Opening reporting rule
</t>
    </r>
    <r>
      <rPr>
        <rFont val="Microsoft Yahei"/>
        <b val="0"/>
        <color rgb="FF1E1E1E"/>
        <sz val="10.0"/>
      </rPr>
      <t>Opening requires Stock_Condition but is not counted as weekly inbound.</t>
    </r>
  </si>
  <si>
    <r>
      <rPr>
        <rFont val="Microsoft Yahei"/>
        <b/>
        <color rgb="FF1F4E78"/>
        <sz val="10.0"/>
      </rPr>
      <t xml:space="preserve">出库报表规则
</t>
    </r>
    <r>
      <rPr>
        <rFont val="Microsoft Yahei"/>
        <b val="0"/>
        <color rgb="FF1E1E1E"/>
        <sz val="10.0"/>
      </rPr>
      <t>New和Repair_Good出库按Stock_Condition分别计入新机发货和维修良品发货。</t>
    </r>
  </si>
  <si>
    <r>
      <rPr>
        <rFont val="Microsoft Yahei"/>
        <b/>
        <color rgb="FF1F4E78"/>
        <sz val="10.0"/>
      </rPr>
      <t xml:space="preserve">Outbound reporting rule
</t>
    </r>
    <r>
      <rPr>
        <rFont val="Microsoft Yahei"/>
        <b val="0"/>
        <color rgb="FF1E1E1E"/>
        <sz val="10.0"/>
      </rPr>
      <t>New and Repair_Good outbound are separated by Stock_Condition and reported as new-product and repair-good shipments.</t>
    </r>
  </si>
  <si>
    <r>
      <rPr>
        <rFont val="Microsoft Yahei"/>
        <b/>
        <color rgb="FF1F4E78"/>
        <sz val="10.0"/>
      </rPr>
      <t xml:space="preserve">最新数据来源
</t>
    </r>
    <r>
      <rPr>
        <rFont val="Microsoft Yahei"/>
        <b val="0"/>
        <color rgb="FF1E1E1E"/>
        <sz val="10.0"/>
      </rPr>
      <t>当前版本以最近一次上传的主表及产品维护数据为来源。</t>
    </r>
  </si>
  <si>
    <r>
      <rPr>
        <rFont val="Microsoft Yahei"/>
        <b/>
        <color rgb="FF1F4E78"/>
        <sz val="10.0"/>
      </rPr>
      <t xml:space="preserve">Latest data retained
</t>
    </r>
    <r>
      <rPr>
        <rFont val="Microsoft Yahei"/>
        <b val="0"/>
        <color rgb="FF1E1E1E"/>
        <sz val="10.0"/>
      </rPr>
      <t>The current version uses the latest uploaded main transaction log and product-master data as its source.</t>
    </r>
  </si>
  <si>
    <r>
      <rPr>
        <rFont val="Microsoft Yahei"/>
        <b/>
        <color rgb="FF1F4E78"/>
        <sz val="10.0"/>
      </rPr>
      <t xml:space="preserve">未来离线软件
</t>
    </r>
    <r>
      <rPr>
        <rFont val="Microsoft Yahei"/>
        <b val="0"/>
        <color rgb="FF1E1E1E"/>
        <sz val="10.0"/>
      </rPr>
      <t>任何未来的离线应用都必须保留Action、Stock_Condition、SKU、SN、库位及报表逻辑。</t>
    </r>
  </si>
  <si>
    <r>
      <rPr>
        <rFont val="Microsoft Yahei"/>
        <b/>
        <color rgb="FF1F4E78"/>
        <sz val="10.0"/>
      </rPr>
      <t xml:space="preserve">Future offline software
</t>
    </r>
    <r>
      <rPr>
        <rFont val="Microsoft Yahei"/>
        <b val="0"/>
        <color rgb="FF1E1E1E"/>
        <sz val="10.0"/>
      </rPr>
      <t>Any future offline app must preserve Action, Stock_Condition, SKU, SN, location and reporting logic.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</si>
  <si>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</si>
  <si>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R1-3-2-R per request</t>
  </si>
  <si>
    <r>
      <rPr>
        <rFont val="Microsoft Yahei"/>
        <b/>
        <color rgb="FF1F4E78"/>
        <sz val="10.0"/>
      </rPr>
      <t xml:space="preserve">报表数据流
</t>
    </r>
    <r>
      <rPr>
        <rFont val="Microsoft Yahei"/>
        <b val="0"/>
        <color rgb="FF1E1E1E"/>
        <sz val="10.0"/>
      </rPr>
      <t>维修周数据 → 周报当前周区域 → 确认后在同页历史区追加仅值快照 → 月报。报表不能成为第二个日常库存台账。</t>
    </r>
  </si>
  <si>
    <r>
      <rPr>
        <rFont val="Microsoft Yahei"/>
        <b/>
        <color rgb="FF1F4E78"/>
        <sz val="10.0"/>
      </rPr>
      <t xml:space="preserve">Reporting-sheet flow
</t>
    </r>
    <r>
      <rPr>
        <rFont val="Microsoft Yahei"/>
        <b val="0"/>
        <color rgb="FF1E1E1E"/>
        <sz val="10.0"/>
      </rPr>
      <t>Repair-weekly input → current-week section in “周报” → confirmed values-only snapshot in the history section on the same sheet → “月报”. Reporting sheets must not become a second daily stock ledger.</t>
    </r>
  </si>
  <si>
    <r>
      <rPr>
        <rFont val="Microsoft Yahei"/>
        <b/>
        <color rgb="FF1F4E78"/>
        <sz val="10.0"/>
      </rPr>
      <t xml:space="preserve">维修周数据规则
</t>
    </r>
    <r>
      <rPr>
        <rFont val="Microsoft Yahei"/>
        <b val="0"/>
        <color rgb="FF1E1E1E"/>
        <sz val="10.0"/>
      </rPr>
      <t>仅手工录入无法可靠从主表推导的维修团队周数据：维修完成、维修报废、报废出库、待报废、维修良品入库、待修、维修库存及备注。</t>
    </r>
  </si>
  <si>
    <r>
      <rPr>
        <rFont val="Microsoft Yahei"/>
        <b/>
        <color rgb="FF1F4E78"/>
        <sz val="10.0"/>
      </rPr>
      <t xml:space="preserve">Repair-weekly input rule
</t>
    </r>
    <r>
      <rPr>
        <rFont val="Microsoft Yahei"/>
        <b val="0"/>
        <color rgb="FF1E1E1E"/>
        <sz val="10.0"/>
      </rPr>
      <t>Manually enter only repair-team weekly figures that cannot be derived reliably from the main log: repair completed, repair scrap, scrap outbound, pending scrap, repair-good inbound, pending repair, repair inventory and remark.</t>
    </r>
  </si>
  <si>
    <r>
      <rPr>
        <rFont val="Microsoft Yahei"/>
        <b/>
        <color rgb="FF1F4E78"/>
        <sz val="10.0"/>
      </rPr>
      <t xml:space="preserve">周报规则
</t>
    </r>
    <r>
      <rPr>
        <rFont val="Microsoft Yahei"/>
        <b val="0"/>
        <color rgb="FF1E1E1E"/>
        <sz val="10.0"/>
      </rPr>
      <t>周报B2可输入任意日期，并计算对应的周一至周日。主表业务按日期范围统计；当前库存字段为时点快照。</t>
    </r>
  </si>
  <si>
    <r>
      <rPr>
        <rFont val="Microsoft Yahei"/>
        <b/>
        <color rgb="FF1F4E78"/>
        <sz val="10.0"/>
      </rPr>
      <t xml:space="preserve">Weekly-report rule
</t>
    </r>
    <r>
      <rPr>
        <rFont val="Microsoft Yahei"/>
        <b val="0"/>
        <color rgb="FF1E1E1E"/>
        <sz val="10.0"/>
      </rPr>
      <t>Cell B2 in “周报” accepts any date and calculates the Monday–Sunday week. Ledger movements are date-bounded; current-inventory fields are point-in-time snapshots.</t>
    </r>
  </si>
  <si>
    <r>
      <rPr>
        <rFont val="Microsoft Yahei"/>
        <b/>
        <color rgb="FF1F4E78"/>
        <sz val="10.0"/>
      </rPr>
      <t xml:space="preserve">报表库存属性
</t>
    </r>
    <r>
      <rPr>
        <rFont val="Microsoft Yahei"/>
        <b val="0"/>
        <color rgb="FF1E1E1E"/>
        <sz val="10.0"/>
      </rPr>
      <t>新机及维修良品的入库、出库和当前良品统计使用主表O列Stock_Condition，不得改回固定库位判断。</t>
    </r>
  </si>
  <si>
    <r>
      <rPr>
        <rFont val="Microsoft Yahei"/>
        <b/>
        <color rgb="FF1F4E78"/>
        <sz val="10.0"/>
      </rPr>
      <t xml:space="preserve">Reporting stock condition
</t>
    </r>
    <r>
      <rPr>
        <rFont val="Microsoft Yahei"/>
        <b val="0"/>
        <color rgb="FF1E1E1E"/>
        <sz val="10.0"/>
      </rPr>
      <t>New and Repair_Good inbound, outbound and current-good reporting uses Stock_Condition in column O of the main log. Do not revert these formulas to fixed location-only logic.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</si>
  <si>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</si>
  <si>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R1-2-1-L per request</t>
  </si>
  <si>
    <r>
      <rPr>
        <rFont val="Microsoft Yahei"/>
        <b/>
        <color rgb="FF1F4E78"/>
        <sz val="10.0"/>
      </rPr>
      <t xml:space="preserve">周报历史规则
</t>
    </r>
    <r>
      <rPr>
        <rFont val="Microsoft Yahei"/>
        <b val="0"/>
        <color rgb="FF1E1E1E"/>
        <sz val="10.0"/>
      </rPr>
      <t>周报第57行起为已确认的固定历史值，不能使用实时公式。每周确认后，将A50:Q50仅粘贴值追加到下一空行。</t>
    </r>
  </si>
  <si>
    <r>
      <rPr>
        <rFont val="Microsoft Yahei"/>
        <b/>
        <color rgb="FF1F4E78"/>
        <sz val="10.0"/>
      </rPr>
      <t xml:space="preserve">Weekly-history rule
</t>
    </r>
    <r>
      <rPr>
        <rFont val="Microsoft Yahei"/>
        <b val="0"/>
        <color rgb="FF1E1E1E"/>
        <sz val="10.0"/>
      </rPr>
      <t>The history section in “周报”, from row 57 onward, contains fixed confirmed values, never live formulas. After weekly confirmation, append A50:Q50 as values only to the next blank row.</t>
    </r>
  </si>
  <si>
    <r>
      <rPr>
        <rFont val="Microsoft Yahei"/>
        <b/>
        <color rgb="FF1F4E78"/>
        <sz val="10.0"/>
      </rPr>
      <t xml:space="preserve">月报汇总规则
</t>
    </r>
    <r>
      <rPr>
        <rFont val="Microsoft Yahei"/>
        <b val="0"/>
        <color rgb="FF1E1E1E"/>
        <sz val="10.0"/>
      </rPr>
      <t>月报对流量指标汇总各周快照；待处理及库存字段采用当月最新周快照；报废出库来自维修周数据。</t>
    </r>
  </si>
  <si>
    <r>
      <rPr>
        <rFont val="Microsoft Yahei"/>
        <b/>
        <color rgb="FF1F4E78"/>
        <sz val="10.0"/>
      </rPr>
      <t xml:space="preserve">Monthly-aggregation rule
</t>
    </r>
    <r>
      <rPr>
        <rFont val="Microsoft Yahei"/>
        <b val="0"/>
        <color rgb="FF1E1E1E"/>
        <sz val="10.0"/>
      </rPr>
      <t>The monthly report sums movement metrics across weekly snapshots and uses the latest weekly snapshot in the month for pending and inventory fields. Scrap Out comes from repair-weekly input.</t>
    </r>
  </si>
  <si>
    <r>
      <rPr>
        <rFont val="Microsoft Yahei"/>
        <b/>
        <color rgb="FF1F4E78"/>
        <sz val="10.0"/>
      </rPr>
      <t xml:space="preserve">报表切换
</t>
    </r>
    <r>
      <rPr>
        <rFont val="Microsoft Yahei"/>
        <b val="0"/>
        <color rgb="FF1E1E1E"/>
        <sz val="10.0"/>
      </rPr>
      <t>截至2026-07-19的历史周快照保留为固定值；主表驱动的在线报表从2026-07-20开始，禁止重复录入此前周次。</t>
    </r>
  </si>
  <si>
    <r>
      <rPr>
        <rFont val="Microsoft Yahei"/>
        <b/>
        <color rgb="FF1F4E78"/>
        <sz val="10.0"/>
      </rPr>
      <t xml:space="preserve">Reporting cutover
</t>
    </r>
    <r>
      <rPr>
        <rFont val="Microsoft Yahei"/>
        <b val="0"/>
        <color rgb="FF1E1E1E"/>
        <sz val="10.0"/>
      </rPr>
      <t>Historical weekly snapshots through 2026-07-19 remain fixed values. Ledger-driven reporting starts on 2026-07-20; do not re-enter earlier weeks.</t>
    </r>
  </si>
  <si>
    <t>R1-1-1-L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</si>
  <si>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</si>
  <si>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R1-2-1-M per request</t>
  </si>
  <si>
    <r>
      <rPr>
        <rFont val="Microsoft Yahei"/>
        <b/>
        <color rgb="FF1F4E78"/>
        <sz val="10.0"/>
      </rPr>
      <t xml:space="preserve">报表辅助列
</t>
    </r>
    <r>
      <rPr>
        <rFont val="Microsoft Yahei"/>
        <b val="0"/>
        <color rgb="FF1E1E1E"/>
        <sz val="10.0"/>
      </rPr>
      <t>主表W:Z继续作为报表辅助列：唯一SH/动作标记、旧机未返标记、报表整机标记及报表分组。必须保留其公式与依赖关系。</t>
    </r>
  </si>
  <si>
    <r>
      <rPr>
        <rFont val="Microsoft Yahei"/>
        <b/>
        <color rgb="FF1F4E78"/>
        <sz val="10.0"/>
      </rPr>
      <t xml:space="preserve">Reporting-helper rule
</t>
    </r>
    <r>
      <rPr>
        <rFont val="Microsoft Yahei"/>
        <b val="0"/>
        <color rgb="FF1E1E1E"/>
        <sz val="10.0"/>
      </rPr>
      <t>Main-table W:Z remain reporting helpers: unique SH/action flag, outstanding-return flag, report-machine flag and report group. Preserve their formulas and dependencies.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</si>
  <si>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</si>
  <si>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remaining qty from R1-2-3-L per request</t>
  </si>
  <si>
    <t>2026-07-22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</si>
  <si>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</si>
  <si>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Outbound 1 qty from R1-3-1-L per request</t>
  </si>
  <si>
    <t>Inbound</t>
  </si>
  <si>
    <t>10-105-00346-00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</si>
  <si>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</si>
  <si>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Inbound pallet per request: 10-105-00346-00 qty 200 to R1-4-2-L</t>
  </si>
  <si>
    <t>10-205-00018-02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</si>
  <si>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</si>
  <si>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Inbound pallet per request: 10-205-00018-02 qty 100 to R1-4-1-L</t>
  </si>
  <si>
    <t>97-229-00018-00</t>
  </si>
  <si>
    <t>R2-1-5-L</t>
  </si>
  <si>
    <t>Repair_Good / 维修良品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</si>
  <si>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</si>
  <si>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R1-1-1-M</t>
  </si>
  <si>
    <t>Service Zones / 服务区域</t>
  </si>
  <si>
    <t>Mix001</t>
  </si>
  <si>
    <t>97-229-00015-00</t>
  </si>
  <si>
    <t>Back / 后方</t>
  </si>
  <si>
    <t>Repair Zone / 维修区</t>
  </si>
  <si>
    <t>R2-1-5-R</t>
  </si>
  <si>
    <t>Return Zone / 退回区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</si>
  <si>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</si>
  <si>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</si>
  <si>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97-223-00107-00</t>
  </si>
  <si>
    <t>Front / 前方</t>
  </si>
  <si>
    <t>Dispatch Zone / 发货区</t>
  </si>
  <si>
    <t>Flexible Zone / 机动区</t>
  </si>
  <si>
    <t>R2-1-4-R</t>
  </si>
  <si>
    <t>New / 新机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</si>
  <si>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</si>
  <si>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</si>
  <si>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R1-1-1-R</t>
  </si>
  <si>
    <t>97-406-00018-00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</si>
  <si>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</si>
  <si>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</si>
  <si>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</si>
  <si>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R1-1-2-L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</si>
  <si>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</si>
  <si>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</si>
  <si>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</si>
  <si>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Mix002</t>
  </si>
  <si>
    <t>97-223-00108-00</t>
  </si>
  <si>
    <t>R2-2-5-L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</si>
  <si>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</si>
  <si>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97-223-00090-00</t>
  </si>
  <si>
    <t>R1-1-2-M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</si>
  <si>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</si>
  <si>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97-223-00064-00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</si>
  <si>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</si>
  <si>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</si>
  <si>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R1-1-2-R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</si>
  <si>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</si>
  <si>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Mix003</t>
  </si>
  <si>
    <t>97-229-00012-00</t>
  </si>
  <si>
    <t>R2-3-5-L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</si>
  <si>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</si>
  <si>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97-223-00085-00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</si>
  <si>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</si>
  <si>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Mix004</t>
  </si>
  <si>
    <t>R2-3-5-R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</si>
  <si>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</si>
  <si>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</si>
  <si>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97-229-00003-00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</si>
  <si>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</si>
  <si>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R1-1-3-L</t>
  </si>
  <si>
    <t>Mix005</t>
  </si>
  <si>
    <t>97-223-00105-00</t>
  </si>
  <si>
    <t>R2-1-4-L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</si>
  <si>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</si>
  <si>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</si>
  <si>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R2-2-5-R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</si>
  <si>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</si>
  <si>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2026-07-23</t>
  </si>
  <si>
    <t>R2-4-5-L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</si>
  <si>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</si>
  <si>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R2-4-5-R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</si>
  <si>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</si>
  <si>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R1-1-3-M</t>
  </si>
  <si>
    <t>R2-4-4-R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</si>
  <si>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</si>
  <si>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R2-4-4-L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</si>
  <si>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</si>
  <si>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97-229-00021-00</t>
  </si>
  <si>
    <t>R2-2-4-R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</si>
  <si>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</si>
  <si>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R2-2-4-L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</si>
  <si>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</si>
  <si>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R1-1-3-R</t>
  </si>
  <si>
    <t>R2-3-4-L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</si>
  <si>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</si>
  <si>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R2-3-4-R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</si>
  <si>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</si>
  <si>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坏机</t>
  </si>
  <si>
    <t>R2-1-3-R</t>
  </si>
  <si>
    <t>Repair / 待修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</si>
  <si>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</si>
  <si>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R2-4-3-R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</si>
  <si>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</si>
  <si>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R1-1-4-L</t>
  </si>
  <si>
    <t>R2-4-3-L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</si>
  <si>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</si>
  <si>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R2-3-3-R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</si>
  <si>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</si>
  <si>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周报与历史周对比</t>
  </si>
  <si>
    <t>R2-1-3-L</t>
  </si>
  <si>
    <t>输入日期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</si>
  <si>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</si>
  <si>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所属周一</t>
  </si>
  <si>
    <t>周区间</t>
  </si>
  <si>
    <t>R2-2-3-R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</si>
  <si>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</si>
  <si>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维修与售后</t>
  </si>
  <si>
    <t>新机与单据</t>
  </si>
  <si>
    <t>整机按机型</t>
  </si>
  <si>
    <t>售后回收入库</t>
  </si>
  <si>
    <t>Mix06</t>
  </si>
  <si>
    <t>98-051-00105-00</t>
  </si>
  <si>
    <t>新机入库</t>
  </si>
  <si>
    <t>R1-1-4-M</t>
  </si>
  <si>
    <t>R1-2-5-L</t>
  </si>
  <si>
    <t>月报（由周报历史区自动汇总）</t>
  </si>
  <si>
    <t>机型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</si>
  <si>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</si>
  <si>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类别</t>
  </si>
  <si>
    <t>年度</t>
  </si>
  <si>
    <t>新机发货</t>
  </si>
  <si>
    <t>维修良品发货</t>
  </si>
  <si>
    <t>当前良品库存</t>
  </si>
  <si>
    <t>维修完成</t>
  </si>
  <si>
    <t>98-051-00106-00</t>
  </si>
  <si>
    <t>月份</t>
  </si>
  <si>
    <t>售后回收</t>
  </si>
  <si>
    <t>维修报废</t>
  </si>
  <si>
    <t>报废出库</t>
  </si>
  <si>
    <t>维修良品入库</t>
  </si>
  <si>
    <t>待报废</t>
  </si>
  <si>
    <t>待修</t>
  </si>
  <si>
    <t>维修库存</t>
  </si>
  <si>
    <t>新机库存</t>
  </si>
  <si>
    <t>备货单据</t>
  </si>
  <si>
    <t>出货单据</t>
  </si>
  <si>
    <t>旧机未返</t>
  </si>
  <si>
    <t>库存校验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</si>
  <si>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</si>
  <si>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R1-2-5-R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</si>
  <si>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</si>
  <si>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物料</t>
  </si>
  <si>
    <t>R2-4-2-L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</si>
  <si>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</si>
  <si>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R1-1-4-R</t>
  </si>
  <si>
    <t>R2-4-2-R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</si>
  <si>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</si>
  <si>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</si>
  <si>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旧机未返单据</t>
  </si>
  <si>
    <t>R2-1-2-R</t>
  </si>
  <si>
    <t>台账校验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</si>
  <si>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</si>
  <si>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20-012-10270-04</t>
  </si>
  <si>
    <t>R2-4-1-L</t>
  </si>
  <si>
    <t>R1-1-5-L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</si>
  <si>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</si>
  <si>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R2-4-1-R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</si>
  <si>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</si>
  <si>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R1-1-6-L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</si>
  <si>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</si>
  <si>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Mix07</t>
  </si>
  <si>
    <t>98-012-10639-03</t>
  </si>
  <si>
    <t>R1-4-4-R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</si>
  <si>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</si>
  <si>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R1-1-5-M</t>
  </si>
  <si>
    <t>20-012-10342-02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</si>
  <si>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</si>
  <si>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R1-4-5-R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</si>
  <si>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</si>
  <si>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R1-1-6-M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</si>
  <si>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</si>
  <si>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R1-1-6-R</t>
  </si>
  <si>
    <t>R1-1-5-R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</si>
  <si>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</si>
  <si>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R1-2-6-L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</si>
  <si>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</si>
  <si>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R1-2-6-M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</si>
  <si>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</si>
  <si>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R1-2-6-R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</si>
  <si>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</si>
  <si>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R1-3-6-L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</si>
  <si>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</si>
  <si>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R1-3-6-M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</si>
  <si>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</si>
  <si>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R1-3-6-R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</si>
  <si>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</si>
  <si>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R1-4-6-L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</si>
  <si>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</si>
  <si>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R1-4-6-M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</si>
  <si>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</si>
  <si>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R1-4-6-R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</si>
  <si>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</si>
  <si>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2026-07-24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</si>
  <si>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</si>
  <si>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</si>
  <si>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查询月份产品明细</t>
  </si>
  <si>
    <t>查询月份</t>
  </si>
  <si>
    <t>mix08</t>
  </si>
  <si>
    <t>97-229-00020-00</t>
  </si>
  <si>
    <t>FLEX-01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</si>
  <si>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</si>
  <si>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97-223-00088-00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</si>
  <si>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</si>
  <si>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Opening - Repaired Good / 上周维修完成，原坏机未纳入台账；校正至机动区</t>
  </si>
  <si>
    <t>Prepared</t>
  </si>
  <si>
    <t>SH-2607-00174080</t>
  </si>
  <si>
    <t>SYD00258</t>
  </si>
  <si>
    <t>60E3M48R64CF455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</si>
  <si>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</si>
  <si>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SH-2607-00168887</t>
  </si>
  <si>
    <t>SYD00246</t>
  </si>
  <si>
    <t>每周确认后，将 A50:Q50 仅粘贴值到下方历史区（第57行起）的下一空行。</t>
  </si>
  <si>
    <t>60E5M48R57TG089</t>
  </si>
  <si>
    <t>周开始日期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</si>
  <si>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</si>
  <si>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</si>
  <si>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97-141-00060-B0</t>
  </si>
  <si>
    <t>历史周对比（固定值，不随台账变化）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</si>
  <si>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</si>
  <si>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30-138-K1215-B0</t>
  </si>
  <si>
    <t>6/8-6/14</t>
  </si>
  <si>
    <t>未盘点</t>
  </si>
  <si>
    <t>6/15-6/21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</si>
  <si>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</si>
  <si>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Opening - Repaired Good / 上周维修完成，原坏机未纳入台账；原有1台计入实际数量</t>
  </si>
  <si>
    <t>6/22-6/28</t>
  </si>
  <si>
    <t>6/29-7/5</t>
  </si>
  <si>
    <t>30-229-00003-00</t>
  </si>
  <si>
    <t>7/6-7/12</t>
  </si>
  <si>
    <t>通过</t>
  </si>
  <si>
    <t>7/13-7/19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</si>
  <si>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</si>
  <si>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</si>
  <si>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</si>
  <si>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30-138-K1415-B0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</si>
  <si>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</si>
  <si>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Opening - Repaired Good / 上周维修完成，原坏机未纳入台账；原有2台计入实际数量</t>
  </si>
  <si>
    <t>97-141-00062-B0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</si>
  <si>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</si>
  <si>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</si>
  <si>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</si>
  <si>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新机发货（月度趋势）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</si>
  <si>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</si>
  <si>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合计</t>
  </si>
  <si>
    <t>数量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</si>
  <si>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</si>
  <si>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</si>
  <si>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</si>
  <si>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</si>
  <si>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</si>
  <si>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30-223-00002-00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</si>
  <si>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</si>
  <si>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Opening - Repaired Good / 上周维修完成，原坏机未纳入台账</t>
  </si>
  <si>
    <t>97-223-00067-00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</si>
  <si>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</si>
  <si>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</si>
  <si>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Opening - Repaired Good / 上周维修完成，原坏机未纳入台账；补足实际数量</t>
  </si>
  <si>
    <t>30-138-K1615-B0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</si>
  <si>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</si>
  <si>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</si>
  <si>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97-229-00014-00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</si>
  <si>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</si>
  <si>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Adjustment_In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</si>
  <si>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</si>
  <si>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Adjustment In - Repaired Good / 上周维修完成，原坏机未纳入台账</t>
  </si>
  <si>
    <t/>
  </si>
  <si>
    <t>维修良品发货（月度趋势）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</si>
  <si>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</si>
  <si>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R1-2-3-M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</si>
  <si>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</si>
  <si>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Return_to_Repair</t>
  </si>
  <si>
    <t>SH-2607-00165610</t>
  </si>
  <si>
    <t>60E5M4805C3F242</t>
  </si>
  <si>
    <t>REPAIR-01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</si>
  <si>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</si>
  <si>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Old unit returned / 旧机回退；SKU待补</t>
  </si>
  <si>
    <t>SH-2607-00174529</t>
  </si>
  <si>
    <t>60HD9920617M278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</si>
  <si>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</si>
  <si>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R1-2-3-R</t>
  </si>
  <si>
    <t>SH-2607-00175008</t>
  </si>
  <si>
    <t>SYD-00265</t>
  </si>
  <si>
    <t>60E1S48061KC083</t>
  </si>
  <si>
    <t>悉尼物料仓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</si>
  <si>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</si>
  <si>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60E1S48061KC082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</si>
  <si>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</si>
  <si>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SH-2607-00175011</t>
  </si>
  <si>
    <t>SYD-00266</t>
  </si>
  <si>
    <t>60CQ00LR625Y163</t>
  </si>
  <si>
    <t>悉尼良品仓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</si>
  <si>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</si>
  <si>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R1-2-4-L</t>
  </si>
  <si>
    <t>SH-2607-00172594</t>
  </si>
  <si>
    <t>SYD-00252</t>
  </si>
  <si>
    <t>60CQ00FR61XN205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</si>
  <si>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</si>
  <si>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Move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</si>
  <si>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</si>
  <si>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Move to FLEX-01 / 移库至FLEX-01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</si>
  <si>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</si>
  <si>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R1-2-4-M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</si>
  <si>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</si>
  <si>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</si>
  <si>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</si>
  <si>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Adjustment In - Repaired Good / 维修完成，原坏机未纳入台账；本次新增</t>
  </si>
  <si>
    <t>R1-2-4-R</t>
  </si>
  <si>
    <r>
      <rPr>
        <rFont val="Microsoft YaHei"/>
        <b/>
        <i/>
        <color rgb="FF000000"/>
        <sz val="10.0"/>
      </rPr>
      <t xml:space="preserve">Dashboard / </t>
    </r>
    <r>
      <rPr>
        <rFont val="Noto Sans CJK SC"/>
        <b/>
        <i/>
        <color rgb="FF000000"/>
        <sz val="10.0"/>
      </rPr>
      <t>看板</t>
    </r>
  </si>
  <si>
    <r>
      <rPr>
        <rFont val="Microsoft YaHei"/>
        <b/>
        <i/>
        <color rgb="FF000000"/>
        <sz val="9.0"/>
      </rPr>
      <t xml:space="preserve">Inventory Level Report / </t>
    </r>
    <r>
      <rPr>
        <rFont val="Noto Sans CJK SC"/>
        <b/>
        <i/>
        <color rgb="FF000000"/>
        <sz val="9.0"/>
      </rPr>
      <t>库存水平报告</t>
    </r>
  </si>
  <si>
    <r>
      <rPr>
        <rFont val="Microsoft YaHei"/>
        <b/>
        <i/>
        <color rgb="FF000000"/>
        <sz val="9.0"/>
      </rPr>
      <t xml:space="preserve">Total Current Qty / </t>
    </r>
    <r>
      <rPr>
        <rFont val="Noto Sans CJK SC"/>
        <b/>
        <i/>
        <color rgb="FF000000"/>
        <sz val="9.0"/>
      </rPr>
      <t>当前库存总数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</si>
  <si>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</si>
  <si>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9.0"/>
      </rPr>
      <t xml:space="preserve">Good Area Qty / </t>
    </r>
    <r>
      <rPr>
        <rFont val="Noto Sans CJK SC"/>
        <b/>
        <i/>
        <color rgb="FF000000"/>
        <sz val="9.0"/>
      </rPr>
      <t>良品区库存</t>
    </r>
  </si>
  <si>
    <r>
      <rPr>
        <rFont val="Microsoft YaHei"/>
        <b/>
        <i/>
        <color rgb="FF000000"/>
        <sz val="9.0"/>
      </rPr>
      <t xml:space="preserve">Repair Qty / </t>
    </r>
    <r>
      <rPr>
        <rFont val="Noto Sans CJK SC"/>
        <b/>
        <i/>
        <color rgb="FF000000"/>
        <sz val="9.0"/>
      </rPr>
      <t>维修区库存</t>
    </r>
  </si>
  <si>
    <t>97-223-00091-00</t>
  </si>
  <si>
    <r>
      <rPr>
        <rFont val="Microsoft YaHei"/>
        <b/>
        <i/>
        <color rgb="FF000000"/>
        <sz val="9.0"/>
      </rPr>
      <t xml:space="preserve">Mixed Container Qty / </t>
    </r>
    <r>
      <rPr>
        <rFont val="Noto Sans CJK SC"/>
        <b/>
        <i/>
        <color rgb="FF000000"/>
        <sz val="9.0"/>
      </rPr>
      <t>混装容器库存</t>
    </r>
  </si>
  <si>
    <r>
      <rPr>
        <rFont val="Microsoft YaHei"/>
        <b/>
        <i/>
        <color rgb="FF000000"/>
        <sz val="9.0"/>
      </rPr>
      <t xml:space="preserve">Mixed Container Locations / </t>
    </r>
    <r>
      <rPr>
        <rFont val="Noto Sans CJK SC"/>
        <b/>
        <i/>
        <color rgb="FF000000"/>
        <sz val="9.0"/>
      </rPr>
      <t>混装容器库位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</si>
  <si>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</si>
  <si>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9.0"/>
      </rPr>
      <t xml:space="preserve">Exception / Pending Report / </t>
    </r>
    <r>
      <rPr>
        <rFont val="Noto Sans CJK SC"/>
        <b/>
        <i/>
        <color rgb="FF000000"/>
        <sz val="9.0"/>
      </rPr>
      <t>异常与待处理</t>
    </r>
  </si>
  <si>
    <t>2026-07-27</t>
  </si>
  <si>
    <r>
      <rPr>
        <rFont val="Microsoft YaHei"/>
        <b/>
        <i/>
        <color rgb="FF000000"/>
        <sz val="9.0"/>
      </rPr>
      <t xml:space="preserve">Prepared but not picked / </t>
    </r>
    <r>
      <rPr>
        <rFont val="Noto Sans CJK SC"/>
        <b/>
        <i/>
        <color rgb="FF000000"/>
        <sz val="9.0"/>
      </rPr>
      <t>已备货未取</t>
    </r>
  </si>
  <si>
    <r>
      <rPr>
        <rFont val="Microsoft YaHei"/>
        <b/>
        <i/>
        <color rgb="FF000000"/>
        <sz val="9.0"/>
      </rPr>
      <t xml:space="preserve">Outbound machine missing SN / </t>
    </r>
    <r>
      <rPr>
        <rFont val="Noto Sans CJK SC"/>
        <b/>
        <i/>
        <color rgb="FF000000"/>
        <sz val="9.0"/>
      </rPr>
      <t>出库机器缺</t>
    </r>
    <r>
      <rPr>
        <rFont val="Microsoft YaHei"/>
        <b/>
        <i/>
        <color rgb="FF000000"/>
        <sz val="9.0"/>
      </rPr>
      <t>SN</t>
    </r>
  </si>
  <si>
    <r>
      <rPr>
        <rFont val="Microsoft YaHei"/>
        <b/>
        <i/>
        <color rgb="FF000000"/>
        <sz val="9.0"/>
      </rPr>
      <t xml:space="preserve">Repair return missing SN / </t>
    </r>
    <r>
      <rPr>
        <rFont val="Noto Sans CJK SC"/>
        <b/>
        <i/>
        <color rgb="FF000000"/>
        <sz val="9.0"/>
      </rPr>
      <t>维修退回缺</t>
    </r>
    <r>
      <rPr>
        <rFont val="Microsoft YaHei"/>
        <b/>
        <i/>
        <color rgb="FF000000"/>
        <sz val="9.0"/>
      </rPr>
      <t>SN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</si>
  <si>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</si>
  <si>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Move from FLEX-01 / FLEX-01移库上架</t>
  </si>
  <si>
    <r>
      <rPr>
        <rFont val="Microsoft YaHei"/>
        <b/>
        <i/>
        <color rgb="FF000000"/>
        <sz val="9.0"/>
      </rPr>
      <t xml:space="preserve">Validation errors / </t>
    </r>
    <r>
      <rPr>
        <rFont val="Noto Sans CJK SC"/>
        <b/>
        <i/>
        <color rgb="FF000000"/>
        <sz val="9.0"/>
      </rPr>
      <t>台账检查异常</t>
    </r>
  </si>
  <si>
    <t>Outbound SH awaiting return / 已出库待返修SH单</t>
  </si>
  <si>
    <t>SH_No awaiting return / 尚未返修SH单号</t>
  </si>
  <si>
    <t>Outbound SH helper</t>
  </si>
  <si>
    <t>Returned SH helper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</si>
  <si>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</si>
  <si>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</si>
  <si>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</si>
  <si>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20-012-10219-08</t>
  </si>
  <si>
    <t>R1-4-3-L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</si>
  <si>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</si>
  <si>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Adjustment In / 库存调整入库</t>
  </si>
  <si>
    <t>R1-2-5-M</t>
  </si>
  <si>
    <t>20-012-10330-11</t>
  </si>
  <si>
    <t>R1-4-3-R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</si>
  <si>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</si>
  <si>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R1-3-3-L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</si>
  <si>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</si>
  <si>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20-012-20142-00</t>
  </si>
  <si>
    <t>R1-3-3-R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</si>
  <si>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</si>
  <si>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R1-4-4-L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</si>
  <si>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</si>
  <si>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Unmonitored material / 无料号散装物料</t>
  </si>
  <si>
    <t>R1-3-4-L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</si>
  <si>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</si>
  <si>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R1-3-4-R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</si>
  <si>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</si>
  <si>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FFFFFF"/>
        <sz val="11.0"/>
      </rPr>
      <t xml:space="preserve">SKU / </t>
    </r>
    <r>
      <rPr>
        <rFont val="Noto Sans CJK SC"/>
        <b/>
        <i/>
        <color rgb="FFFFFFFF"/>
        <sz val="11.0"/>
      </rPr>
      <t>料号</t>
    </r>
  </si>
  <si>
    <r>
      <rPr>
        <rFont val="Microsoft YaHei"/>
        <b/>
        <i/>
        <color rgb="FFFFFFFF"/>
        <sz val="11.0"/>
      </rPr>
      <t xml:space="preserve">Model / </t>
    </r>
    <r>
      <rPr>
        <rFont val="Noto Sans CJK SC"/>
        <b/>
        <i/>
        <color rgb="FFFFFFFF"/>
        <sz val="11.0"/>
      </rPr>
      <t>机型</t>
    </r>
  </si>
  <si>
    <r>
      <rPr>
        <rFont val="Microsoft YaHei"/>
        <b/>
        <i/>
        <color rgb="FFFFFFFF"/>
        <sz val="11.0"/>
      </rPr>
      <t xml:space="preserve">Item_Type / </t>
    </r>
    <r>
      <rPr>
        <rFont val="Noto Sans CJK SC"/>
        <b/>
        <i/>
        <color rgb="FFFFFFFF"/>
        <sz val="11.0"/>
      </rPr>
      <t>物品类型</t>
    </r>
  </si>
  <si>
    <r>
      <rPr>
        <rFont val="Microsoft YaHei"/>
        <b/>
        <i/>
        <color rgb="FFFFFFFF"/>
        <sz val="11.0"/>
      </rPr>
      <t xml:space="preserve">Category / </t>
    </r>
    <r>
      <rPr>
        <rFont val="Noto Sans CJK SC"/>
        <b/>
        <i/>
        <color rgb="FFFFFFFF"/>
        <sz val="11.0"/>
      </rPr>
      <t>类别</t>
    </r>
  </si>
  <si>
    <r>
      <rPr>
        <rFont val="Microsoft YaHei"/>
        <b/>
        <i/>
        <color rgb="FFFFFFFF"/>
        <sz val="11.0"/>
      </rPr>
      <t xml:space="preserve">Active / </t>
    </r>
    <r>
      <rPr>
        <rFont val="Noto Sans CJK SC"/>
        <b/>
        <i/>
        <color rgb="FFFFFFFF"/>
        <sz val="11.0"/>
      </rPr>
      <t>启用</t>
    </r>
  </si>
  <si>
    <r>
      <rPr>
        <rFont val="Microsoft YaHei"/>
        <b/>
        <i/>
        <color rgb="FFFFFFFF"/>
        <sz val="11.0"/>
      </rPr>
      <t xml:space="preserve">Current_Qty / </t>
    </r>
    <r>
      <rPr>
        <rFont val="Noto Sans CJK SC"/>
        <b/>
        <i/>
        <color rgb="FFFFFFFF"/>
        <sz val="11.0"/>
      </rPr>
      <t>当前数量</t>
    </r>
  </si>
  <si>
    <r>
      <rPr>
        <rFont val="Microsoft YaHei"/>
        <b/>
        <i/>
        <color rgb="FFFFFFFF"/>
        <sz val="11.0"/>
      </rPr>
      <t xml:space="preserve">Good_Area_Qty / </t>
    </r>
    <r>
      <rPr>
        <rFont val="Noto Sans CJK SC"/>
        <b/>
        <i/>
        <color rgb="FFFFFFFF"/>
        <sz val="11.0"/>
      </rPr>
      <t>良品区数量</t>
    </r>
  </si>
  <si>
    <r>
      <rPr>
        <rFont val="Microsoft YaHei"/>
        <b/>
        <i/>
        <color rgb="FFFFFFFF"/>
        <sz val="11.0"/>
      </rPr>
      <t xml:space="preserve">Repair_Qty / </t>
    </r>
    <r>
      <rPr>
        <rFont val="Noto Sans CJK SC"/>
        <b/>
        <i/>
        <color rgb="FFFFFFFF"/>
        <sz val="11.0"/>
      </rPr>
      <t>维修区数量</t>
    </r>
  </si>
  <si>
    <r>
      <rPr>
        <rFont val="Microsoft YaHei"/>
        <b/>
        <i/>
        <color rgb="FFFFFFFF"/>
        <sz val="11.0"/>
      </rPr>
      <t xml:space="preserve">Mixed_Container_Qty / </t>
    </r>
    <r>
      <rPr>
        <rFont val="Noto Sans CJK SC"/>
        <b/>
        <i/>
        <color rgb="FFFFFFFF"/>
        <sz val="11.0"/>
      </rPr>
      <t>混装容器数量</t>
    </r>
  </si>
  <si>
    <r>
      <rPr>
        <rFont val="Microsoft YaHei"/>
        <b/>
        <i/>
        <color rgb="FFFFFFFF"/>
        <sz val="11.0"/>
      </rPr>
      <t xml:space="preserve">Notes / </t>
    </r>
    <r>
      <rPr>
        <rFont val="Noto Sans CJK SC"/>
        <b/>
        <i/>
        <color rgb="FFFFFFFF"/>
        <sz val="11.0"/>
      </rPr>
      <t>备注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</si>
  <si>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</si>
  <si>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10-208-00069-01</t>
  </si>
  <si>
    <r>
      <rPr>
        <rFont val="Microsoft YaHei"/>
        <b/>
        <i/>
        <color rgb="FF000000"/>
        <sz val="10.0"/>
      </rPr>
      <t>16P</t>
    </r>
    <r>
      <rPr>
        <rFont val="Noto Sans CJK SC"/>
        <b/>
        <i/>
        <color rgb="FF000000"/>
        <sz val="10.0"/>
      </rPr>
      <t xml:space="preserve">线母连接器 </t>
    </r>
    <r>
      <rPr>
        <rFont val="Microsoft YaHei"/>
        <b/>
        <i/>
        <color rgb="FF000000"/>
        <sz val="10.0"/>
      </rPr>
      <t xml:space="preserve">DWXMT-0220 </t>
    </r>
    <r>
      <rPr>
        <rFont val="Noto Sans CJK SC"/>
        <b/>
        <i/>
        <color rgb="FF000000"/>
        <sz val="10.0"/>
      </rPr>
      <t>鲁益</t>
    </r>
  </si>
  <si>
    <t>Material</t>
  </si>
  <si>
    <t>Cable/Connector</t>
  </si>
  <si>
    <t>Yes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</si>
  <si>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</si>
  <si>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</si>
  <si>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No</t>
  </si>
  <si>
    <t>10-208-00098-00</t>
  </si>
  <si>
    <t>通讯端子安装包 HDC-1i24m1 24PIN通讯端子 线端 带丝印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</si>
  <si>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</si>
  <si>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R1-3-5-L</t>
  </si>
  <si>
    <t>10-208-00150-00</t>
  </si>
  <si>
    <t>通讯端子安装包 VPNP-RJ45-SP-SC-A03 典威RJ45分离式防水套筒(L=55.6mm)，螺牙13/16-28UNEF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</si>
  <si>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</si>
  <si>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</si>
  <si>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10-208-00156-00</t>
  </si>
  <si>
    <t>螺丝安装包 （4pcs塑胶固定柱、4pcs M6尖尾自攻螺丝、6pcs M5*12螺丝）</t>
  </si>
  <si>
    <t>Mounting/Hardware</t>
  </si>
  <si>
    <t>R1-3-5-R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</si>
  <si>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</si>
  <si>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</si>
  <si>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20-012-10066-02</t>
  </si>
  <si>
    <r>
      <rPr>
        <rFont val="Microsoft YaHei"/>
        <b/>
        <i/>
        <color rgb="FF000000"/>
        <sz val="10.0"/>
      </rPr>
      <t xml:space="preserve">PCBA PCBA-K Hybrid7-10.5kW  </t>
    </r>
    <r>
      <rPr>
        <rFont val="Noto Sans CJK SC"/>
        <b/>
        <i/>
        <color rgb="FF000000"/>
        <sz val="10.0"/>
      </rPr>
      <t>控制板</t>
    </r>
  </si>
  <si>
    <t>PCBA</t>
  </si>
  <si>
    <t>R1-4-5-L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</si>
  <si>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</si>
  <si>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</si>
  <si>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20-012-10066-06</t>
  </si>
  <si>
    <t>2026-07-28</t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</si>
  <si>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逆变器 </t>
    </r>
    <r>
      <rPr>
        <rFont val="Microsoft YaHei"/>
        <b/>
        <i/>
        <color rgb="FF000000"/>
        <sz val="10.0"/>
      </rPr>
      <t xml:space="preserve">KH Hybrid 7-10.5kW </t>
    </r>
    <r>
      <rPr>
        <rFont val="Noto Sans CJK SC"/>
        <b/>
        <i/>
        <color rgb="FF000000"/>
        <sz val="10.0"/>
      </rPr>
      <t>控制板</t>
    </r>
  </si>
  <si>
    <t>SH-2607-00170883</t>
  </si>
  <si>
    <t>Inverter</t>
  </si>
  <si>
    <t>SYD-00267</t>
  </si>
  <si>
    <t>60E3S48R64XC193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</si>
  <si>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</si>
  <si>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</si>
  <si>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逆变器 </t>
    </r>
    <r>
      <rPr>
        <rFont val="Microsoft YaHei"/>
        <b/>
        <i/>
        <color rgb="FF000000"/>
        <sz val="10.0"/>
      </rPr>
      <t xml:space="preserve">H1-G2 3-6kW </t>
    </r>
    <r>
      <rPr>
        <rFont val="Noto Sans CJK SC"/>
        <b/>
        <i/>
        <color rgb="FF000000"/>
        <sz val="10.0"/>
      </rPr>
      <t>功率板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</si>
  <si>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</si>
  <si>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逆变器 </t>
    </r>
    <r>
      <rPr>
        <rFont val="Microsoft YaHei"/>
        <b/>
        <i/>
        <color rgb="FF000000"/>
        <sz val="10.0"/>
      </rPr>
      <t xml:space="preserve">H3-PRO 30kW </t>
    </r>
    <r>
      <rPr>
        <rFont val="Noto Sans CJK SC"/>
        <b/>
        <i/>
        <color rgb="FF000000"/>
        <sz val="10.0"/>
      </rPr>
      <t>功率板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</si>
  <si>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</si>
  <si>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</si>
  <si>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20-012-10272-01</t>
  </si>
  <si>
    <r>
      <rPr>
        <rFont val="Microsoft YaHei"/>
        <b/>
        <i/>
        <color rgb="FF000000"/>
        <sz val="10.0"/>
      </rPr>
      <t xml:space="preserve">PCBA H3 Pro 30kW </t>
    </r>
    <r>
      <rPr>
        <rFont val="Noto Sans CJK SC"/>
        <b/>
        <i/>
        <color rgb="FF000000"/>
        <sz val="10.0"/>
      </rPr>
      <t>离网板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</si>
  <si>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</si>
  <si>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仅用于库位占用显示，不作为最终物料库存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</si>
  <si>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</si>
  <si>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逆变器 </t>
    </r>
    <r>
      <rPr>
        <rFont val="Microsoft YaHei"/>
        <b/>
        <i/>
        <color rgb="FF000000"/>
        <sz val="10.0"/>
      </rPr>
      <t xml:space="preserve">H3-G2 15kW </t>
    </r>
    <r>
      <rPr>
        <rFont val="Noto Sans CJK SC"/>
        <b/>
        <i/>
        <color rgb="FF000000"/>
        <sz val="10.0"/>
      </rPr>
      <t>控制板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</si>
  <si>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</si>
  <si>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</si>
  <si>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逆变器 </t>
    </r>
    <r>
      <rPr>
        <rFont val="Microsoft YaHei"/>
        <b/>
        <i/>
        <color rgb="FF000000"/>
        <sz val="10.0"/>
      </rPr>
      <t xml:space="preserve">KH 9-10.5kW </t>
    </r>
    <r>
      <rPr>
        <rFont val="Noto Sans CJK SC"/>
        <b/>
        <i/>
        <color rgb="FF000000"/>
        <sz val="10.0"/>
      </rPr>
      <t>功率板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</si>
  <si>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</si>
  <si>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20-012-10363-03</t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</si>
  <si>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逆变器 </t>
    </r>
    <r>
      <rPr>
        <rFont val="Microsoft YaHei"/>
        <b/>
        <i/>
        <color rgb="FF000000"/>
        <sz val="10.0"/>
      </rPr>
      <t xml:space="preserve">H3-PRO 30kW </t>
    </r>
    <r>
      <rPr>
        <rFont val="Noto Sans CJK SC"/>
        <b/>
        <i/>
        <color rgb="FF000000"/>
        <sz val="10.0"/>
      </rPr>
      <t>控制板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</si>
  <si>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</si>
  <si>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</si>
  <si>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20-012-10421-00</t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</si>
  <si>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逆变器 </t>
    </r>
    <r>
      <rPr>
        <rFont val="Microsoft YaHei"/>
        <b/>
        <i/>
        <color rgb="FF000000"/>
        <sz val="10.0"/>
      </rPr>
      <t xml:space="preserve">H3-G2 15kW </t>
    </r>
    <r>
      <rPr>
        <rFont val="Noto Sans CJK SC"/>
        <b/>
        <i/>
        <color rgb="FF000000"/>
        <sz val="10.0"/>
      </rPr>
      <t xml:space="preserve">功率板 </t>
    </r>
    <r>
      <rPr>
        <rFont val="Microsoft YaHei"/>
        <b/>
        <i/>
        <color rgb="FF000000"/>
        <sz val="10.0"/>
      </rPr>
      <t>2</t>
    </r>
    <r>
      <rPr>
        <rFont val="Noto Sans CJK SC"/>
        <b/>
        <i/>
        <color rgb="FF000000"/>
        <sz val="10.0"/>
      </rPr>
      <t>路</t>
    </r>
    <r>
      <rPr>
        <rFont val="Microsoft YaHei"/>
        <b/>
        <i/>
        <color rgb="FF000000"/>
        <sz val="10.0"/>
      </rPr>
      <t>MPPT</t>
    </r>
  </si>
  <si>
    <t>R2-3-1-R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</si>
  <si>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</si>
  <si>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</si>
  <si>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待修占位；数量难以逐台追踪，Qty=99仅用于显示库位占用</t>
  </si>
  <si>
    <t>20-012-20059-06</t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</si>
  <si>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电池 </t>
    </r>
    <r>
      <rPr>
        <rFont val="Microsoft YaHei"/>
        <b/>
        <i/>
        <color rgb="FF000000"/>
        <sz val="10.0"/>
      </rPr>
      <t>ECS ESS HV_BCU_V2_CAN</t>
    </r>
    <r>
      <rPr>
        <rFont val="Noto Sans CJK SC"/>
        <b/>
        <i/>
        <color rgb="FF000000"/>
        <sz val="10.0"/>
      </rPr>
      <t>通信</t>
    </r>
  </si>
  <si>
    <t>Battery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</si>
  <si>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</si>
  <si>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20-012-20131-01</t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</si>
  <si>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电池 </t>
    </r>
    <r>
      <rPr>
        <rFont val="Microsoft YaHei"/>
        <b/>
        <i/>
        <color rgb="FF000000"/>
        <sz val="10.0"/>
      </rPr>
      <t>CQ BMU 1000V 18</t>
    </r>
    <r>
      <rPr>
        <rFont val="Noto Sans CJK SC"/>
        <b/>
        <i/>
        <color rgb="FF000000"/>
        <sz val="10.0"/>
      </rPr>
      <t xml:space="preserve">串 </t>
    </r>
    <r>
      <rPr>
        <rFont val="Microsoft YaHei"/>
        <b/>
        <i/>
        <color rgb="FF000000"/>
        <sz val="10.0"/>
      </rPr>
      <t xml:space="preserve">8NTC </t>
    </r>
    <r>
      <rPr>
        <rFont val="Noto Sans CJK SC"/>
        <b/>
        <i/>
        <color rgb="FF000000"/>
        <sz val="10.0"/>
      </rPr>
      <t>转接编址信号</t>
    </r>
  </si>
  <si>
    <t>R2-2-1-L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</si>
  <si>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</si>
  <si>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</si>
  <si>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20-012-20132-02</t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</si>
  <si>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电池 </t>
    </r>
    <r>
      <rPr>
        <rFont val="Microsoft YaHei"/>
        <b/>
        <i/>
        <color rgb="FF000000"/>
        <sz val="10.0"/>
      </rPr>
      <t xml:space="preserve">CQ </t>
    </r>
    <r>
      <rPr>
        <rFont val="Noto Sans CJK SC"/>
        <b/>
        <i/>
        <color rgb="FF000000"/>
        <sz val="10.0"/>
      </rPr>
      <t>大合板</t>
    </r>
    <r>
      <rPr>
        <rFont val="Microsoft YaHei"/>
        <b/>
        <i/>
        <color rgb="FF000000"/>
        <sz val="10.0"/>
      </rPr>
      <t>BCU 1000V 18</t>
    </r>
    <r>
      <rPr>
        <rFont val="Noto Sans CJK SC"/>
        <b/>
        <i/>
        <color rgb="FF000000"/>
        <sz val="10.0"/>
      </rPr>
      <t xml:space="preserve">串 </t>
    </r>
    <r>
      <rPr>
        <rFont val="Microsoft YaHei"/>
        <b/>
        <i/>
        <color rgb="FF000000"/>
        <sz val="10.0"/>
      </rPr>
      <t xml:space="preserve">8NTC </t>
    </r>
    <r>
      <rPr>
        <rFont val="Noto Sans CJK SC"/>
        <b/>
        <i/>
        <color rgb="FF000000"/>
        <sz val="10.0"/>
      </rPr>
      <t>带加热功能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</si>
  <si>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</si>
  <si>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>PCBA-</t>
    </r>
    <r>
      <rPr>
        <rFont val="Noto Sans CJK SC"/>
        <b/>
        <i/>
        <color rgb="FF000000"/>
        <sz val="10.0"/>
      </rPr>
      <t xml:space="preserve">电池 </t>
    </r>
    <r>
      <rPr>
        <rFont val="Microsoft YaHei"/>
        <b/>
        <i/>
        <color rgb="FF000000"/>
        <sz val="10.0"/>
      </rPr>
      <t>ECS BMU_6813_V2_14</t>
    </r>
    <r>
      <rPr>
        <rFont val="Noto Sans CJK SC"/>
        <b/>
        <i/>
        <color rgb="FF000000"/>
        <sz val="10.0"/>
      </rPr>
      <t>串</t>
    </r>
    <r>
      <rPr>
        <rFont val="Microsoft YaHei"/>
        <b/>
        <i/>
        <color rgb="FF000000"/>
        <sz val="10.0"/>
      </rPr>
      <t>_7NTC_CAN_CM</t>
    </r>
  </si>
  <si>
    <t>R2-2-1-R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</si>
  <si>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</si>
  <si>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</si>
  <si>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30-137-12310-00</t>
  </si>
  <si>
    <t>H3-12.0-E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</si>
  <si>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</si>
  <si>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Inverter / 逆变器</t>
  </si>
  <si>
    <t>R2-1-1-L</t>
  </si>
  <si>
    <t>KH遮线罩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</si>
  <si>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</si>
  <si>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</si>
  <si>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H1-G2遮线罩</t>
  </si>
  <si>
    <t>R2-1-1-R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</si>
  <si>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</si>
  <si>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</si>
  <si>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EQ4800-side-cover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</si>
  <si>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</si>
  <si>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线束半成品 功率线 62930 IEC 131 1x16.0 mm² 红/黑 DC1500V 90℃ VW-1 CQ6-安费诺-正负极外部动力线-光伏线5米PV</t>
  </si>
  <si>
    <t>R2-3-2-L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</si>
  <si>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</si>
  <si>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</si>
  <si>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KH8</t>
  </si>
  <si>
    <t>Product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</si>
  <si>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</si>
  <si>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KH10</t>
  </si>
  <si>
    <t>R2-3-2-R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</si>
  <si>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</si>
  <si>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</si>
  <si>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KH9.9</t>
  </si>
  <si>
    <t>R2-2-2-L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</si>
  <si>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</si>
  <si>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</si>
  <si>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81-138-K3015-B0</t>
  </si>
  <si>
    <t>1K5-1P-HI-10</t>
  </si>
  <si>
    <t>R2-2-2-R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</si>
  <si>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</si>
  <si>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</si>
  <si>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10-082-33036-01</t>
  </si>
  <si>
    <r>
      <rPr>
        <rFont val="Microsoft YaHei"/>
        <b/>
        <i/>
        <color rgb="FF000000"/>
        <sz val="10.0"/>
      </rPr>
      <t xml:space="preserve">ANT COWIN H3-G2 2400-2500MHz RG178 Silver tin cable 90*9.8mm -40℃to+80℃ </t>
    </r>
    <r>
      <rPr>
        <rFont val="Noto Sans CJK SC"/>
        <b/>
        <i/>
        <color rgb="FF000000"/>
        <sz val="10.0"/>
      </rPr>
      <t>带提示标签</t>
    </r>
  </si>
  <si>
    <t>Accessory/Other</t>
  </si>
  <si>
    <t>Location_Code / 库位编码（R-Row-Bay-L/M/R）</t>
  </si>
  <si>
    <r>
      <rPr>
        <rFont val="Microsoft YaHei"/>
        <b/>
        <i/>
        <color rgb="FFFFFFFF"/>
        <sz val="10.0"/>
      </rPr>
      <t xml:space="preserve">Zone_Label / </t>
    </r>
    <r>
      <rPr>
        <rFont val="Noto Sans CJK SC"/>
        <b/>
        <i/>
        <color rgb="FFFFFFFF"/>
        <sz val="10.0"/>
      </rPr>
      <t>区域标签</t>
    </r>
  </si>
  <si>
    <r>
      <rPr>
        <rFont val="Microsoft YaHei"/>
        <b/>
        <i/>
        <color rgb="FFFFFFFF"/>
        <sz val="10.0"/>
      </rPr>
      <t xml:space="preserve">Rack / </t>
    </r>
    <r>
      <rPr>
        <rFont val="Noto Sans CJK SC"/>
        <b/>
        <i/>
        <color rgb="FFFFFFFF"/>
        <sz val="10.0"/>
      </rPr>
      <t>货架</t>
    </r>
  </si>
  <si>
    <r>
      <rPr>
        <rFont val="Microsoft YaHei"/>
        <b/>
        <i/>
        <color rgb="FFFFFFFF"/>
        <sz val="10.0"/>
      </rPr>
      <t xml:space="preserve">Row / </t>
    </r>
    <r>
      <rPr>
        <rFont val="Noto Sans CJK SC"/>
        <b/>
        <i/>
        <color rgb="FFFFFFFF"/>
        <sz val="10.0"/>
      </rPr>
      <t>排</t>
    </r>
  </si>
  <si>
    <r>
      <rPr>
        <rFont val="Microsoft YaHei"/>
        <b/>
        <i/>
        <color rgb="FFFFFFFF"/>
        <sz val="10.0"/>
      </rPr>
      <t xml:space="preserve">Bay / </t>
    </r>
    <r>
      <rPr>
        <rFont val="Noto Sans CJK SC"/>
        <b/>
        <i/>
        <color rgb="FFFFFFFF"/>
        <sz val="10.0"/>
      </rPr>
      <t>列</t>
    </r>
  </si>
  <si>
    <r>
      <rPr>
        <rFont val="Microsoft YaHei"/>
        <b/>
        <i/>
        <color rgb="FFFFFFFF"/>
        <sz val="10.0"/>
      </rPr>
      <t xml:space="preserve">Side / </t>
    </r>
    <r>
      <rPr>
        <rFont val="Noto Sans CJK SC"/>
        <b/>
        <i/>
        <color rgb="FFFFFFFF"/>
        <sz val="10.0"/>
      </rPr>
      <t>左右</t>
    </r>
  </si>
  <si>
    <r>
      <rPr>
        <rFont val="Microsoft YaHei"/>
        <b/>
        <i/>
        <color rgb="FFFFFFFF"/>
        <sz val="10.0"/>
      </rPr>
      <t xml:space="preserve">Is_Service_Zone / </t>
    </r>
    <r>
      <rPr>
        <rFont val="Noto Sans CJK SC"/>
        <b/>
        <i/>
        <color rgb="FFFFFFFF"/>
        <sz val="10.0"/>
      </rPr>
      <t>是否服务区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</si>
  <si>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</si>
  <si>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Rack 1</t>
  </si>
  <si>
    <t>R1</t>
  </si>
  <si>
    <t>L</t>
  </si>
  <si>
    <t>线束半成品 功率线 62930 IEC 131 1×25.0 mm² 红色 DC1500V 90℃ VW-1 CQ6-安费诺-正极外部动力线-光伏线5米甩空</t>
  </si>
  <si>
    <t>R2-1-2-L</t>
  </si>
  <si>
    <t>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</si>
  <si>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</si>
  <si>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</si>
  <si>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</si>
  <si>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30-229-00024-00</t>
  </si>
  <si>
    <t>线束半成品 功率线 62930 IEC 131 1×25.0 mm² 黑色 DC1500V 90℃ VW-1 CQ6-安费诺-负极外部动力线-光伏线5米甩空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</si>
  <si>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</si>
  <si>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维修机转良品机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</si>
  <si>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</si>
  <si>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10-099-20235-00</t>
  </si>
  <si>
    <r>
      <rPr>
        <rFont val="Microsoft YaHei"/>
        <b/>
        <i/>
        <color rgb="FF000000"/>
        <sz val="10.0"/>
      </rPr>
      <t xml:space="preserve">CON-EXT winpin 2pin K2 </t>
    </r>
    <r>
      <rPr>
        <rFont val="Noto Sans CJK SC"/>
        <b/>
        <i/>
        <color rgb="FF000000"/>
        <sz val="10.0"/>
      </rPr>
      <t xml:space="preserve">双刀片 二芯 接线端子 </t>
    </r>
    <r>
      <rPr>
        <rFont val="Microsoft YaHei"/>
        <b/>
        <i/>
        <color rgb="FF000000"/>
        <sz val="10.0"/>
      </rPr>
      <t>1</t>
    </r>
    <r>
      <rPr>
        <rFont val="Noto Sans CJK SC"/>
        <b/>
        <i/>
        <color rgb="FF000000"/>
        <sz val="10.0"/>
      </rPr>
      <t>袋</t>
    </r>
    <r>
      <rPr>
        <rFont val="Microsoft YaHei"/>
        <b/>
        <i/>
        <color rgb="FF000000"/>
        <sz val="10.0"/>
      </rPr>
      <t>2PCS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</si>
  <si>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</si>
  <si>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</si>
  <si>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10-100-01112-00</t>
  </si>
  <si>
    <t>通讯线 UL10368 24AWG 黑色 50mm 300V 105℃ VW-1 水晶头短接PLUG(1与6串联短接),IP67,意华 EFT230900 不带屏蔽壳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</si>
  <si>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</si>
  <si>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</si>
  <si>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10-100-02142-00</t>
  </si>
  <si>
    <t>通讯线 Cat.5E FTP 24AWG 黑色外被 3M 30V 60℃ VW-1 3米外接通讯线束（新典威可拆式-瀚达防水罩）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</si>
  <si>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</si>
  <si>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</si>
  <si>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10-100-02265-00</t>
  </si>
  <si>
    <t>功率线 62930 IEC 131 10mm² （13.3） 红+黑 3000mm 1500V 90℃ VW-1 INV/BAT外部正负极动力线束（光伏线）防拆无理线管-3米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</si>
  <si>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</si>
  <si>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30-302-00700-00</t>
  </si>
  <si>
    <t>Smart WB</t>
  </si>
  <si>
    <t>Monitoring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</si>
  <si>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</si>
  <si>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</si>
  <si>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30-305-00300-00</t>
  </si>
  <si>
    <t>WLan-303645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</si>
  <si>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</si>
  <si>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</si>
  <si>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97-141-00043-B0</t>
  </si>
  <si>
    <t>1K5-HI-15-V1</t>
  </si>
  <si>
    <t>R1-3-3-M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</si>
  <si>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</si>
  <si>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</si>
  <si>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97-141-00045-B0</t>
  </si>
  <si>
    <t>1K5-HI-10-V1</t>
  </si>
  <si>
    <t>R1-3-4-M</t>
  </si>
  <si>
    <t>97-223-00089-00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</si>
  <si>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</si>
  <si>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R1-3-5-M</t>
  </si>
  <si>
    <t>97-141-00058-B0</t>
  </si>
  <si>
    <t>H3-8.0-Smart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</si>
  <si>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</si>
  <si>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</si>
  <si>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97-141-00059-B0</t>
  </si>
  <si>
    <t>H3-9.9-Smart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</si>
  <si>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</si>
  <si>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R1-4-1-M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</si>
  <si>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</si>
  <si>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R1-4-2-M</t>
  </si>
  <si>
    <t>H3-10.0-Smart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</si>
  <si>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</si>
  <si>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R1-4-3-M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</si>
  <si>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</si>
  <si>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H3-15.0-Smart</t>
  </si>
  <si>
    <t>30-223-00001-00</t>
  </si>
  <si>
    <t>R1-4-4-M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</si>
  <si>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</si>
  <si>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10-110-00014-00</t>
  </si>
  <si>
    <t>R1-4-5-M</t>
  </si>
  <si>
    <r>
      <rPr>
        <rFont val="Microsoft YaHei"/>
        <b/>
        <i/>
        <color rgb="FF000000"/>
        <sz val="10.0"/>
      </rPr>
      <t>DC</t>
    </r>
    <r>
      <rPr>
        <rFont val="Noto Sans CJK SC"/>
        <b/>
        <i/>
        <color rgb="FF000000"/>
        <sz val="10.0"/>
      </rPr>
      <t xml:space="preserve">端子塑壳（线端 </t>
    </r>
    <r>
      <rPr>
        <rFont val="Microsoft YaHei"/>
        <b/>
        <i/>
        <color rgb="FF000000"/>
        <sz val="10.0"/>
      </rPr>
      <t>VP-D4B-CHSM4</t>
    </r>
    <r>
      <rPr>
        <rFont val="Noto Sans CJK SC"/>
        <b/>
        <i/>
        <color rgb="FF000000"/>
        <sz val="10.0"/>
      </rPr>
      <t>）</t>
    </r>
    <r>
      <rPr>
        <rFont val="Microsoft YaHei"/>
        <b/>
        <i/>
        <color rgb="FF000000"/>
        <sz val="10.0"/>
      </rPr>
      <t>MALE PBT -40~85℃ V-0 BLACK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</si>
  <si>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</si>
  <si>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</si>
  <si>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10-110-00015-00</t>
  </si>
  <si>
    <r>
      <rPr>
        <rFont val="Microsoft YaHei"/>
        <b/>
        <i/>
        <color rgb="FF000000"/>
        <sz val="10.0"/>
      </rPr>
      <t>DC</t>
    </r>
    <r>
      <rPr>
        <rFont val="Noto Sans CJK SC"/>
        <b/>
        <i/>
        <color rgb="FF000000"/>
        <sz val="10.0"/>
      </rPr>
      <t xml:space="preserve">连接端子 </t>
    </r>
    <r>
      <rPr>
        <rFont val="Microsoft YaHei"/>
        <b/>
        <i/>
        <color rgb="FF000000"/>
        <sz val="10.0"/>
      </rPr>
      <t>MALE(</t>
    </r>
    <r>
      <rPr>
        <rFont val="Noto Sans CJK SC"/>
        <b/>
        <i/>
        <color rgb="FF000000"/>
        <sz val="10.0"/>
      </rPr>
      <t>铜芯）（</t>
    </r>
    <r>
      <rPr>
        <rFont val="Microsoft YaHei"/>
        <b/>
        <i/>
        <color rgb="FF000000"/>
        <sz val="10.0"/>
      </rPr>
      <t>VP-D4B-CHSM4</t>
    </r>
    <r>
      <rPr>
        <rFont val="Noto Sans CJK SC"/>
        <b/>
        <i/>
        <color rgb="FF000000"/>
        <sz val="10.0"/>
      </rPr>
      <t xml:space="preserve">） </t>
    </r>
    <r>
      <rPr>
        <rFont val="Microsoft YaHei"/>
        <b/>
        <i/>
        <color rgb="FF000000"/>
        <sz val="10.0"/>
      </rPr>
      <t>5.8*28.2 CU NI PLATED</t>
    </r>
  </si>
  <si>
    <t>Rack 2</t>
  </si>
  <si>
    <t>R2</t>
  </si>
  <si>
    <t>R2-1-1-M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</si>
  <si>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</si>
  <si>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</si>
  <si>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10-110-00016-00</t>
  </si>
  <si>
    <t>R2-1-2-M</t>
  </si>
  <si>
    <r>
      <rPr>
        <rFont val="Microsoft YaHei"/>
        <b/>
        <i/>
        <color rgb="FF000000"/>
        <sz val="10.0"/>
      </rPr>
      <t>DC</t>
    </r>
    <r>
      <rPr>
        <rFont val="Noto Sans CJK SC"/>
        <b/>
        <i/>
        <color rgb="FF000000"/>
        <sz val="10.0"/>
      </rPr>
      <t xml:space="preserve">端子塑壳（线端 </t>
    </r>
    <r>
      <rPr>
        <rFont val="Microsoft YaHei"/>
        <b/>
        <i/>
        <color rgb="FF000000"/>
        <sz val="10.0"/>
      </rPr>
      <t>VP-D4B-CHSF4</t>
    </r>
    <r>
      <rPr>
        <rFont val="Noto Sans CJK SC"/>
        <b/>
        <i/>
        <color rgb="FF000000"/>
        <sz val="10.0"/>
      </rPr>
      <t>）</t>
    </r>
    <r>
      <rPr>
        <rFont val="Microsoft YaHei"/>
        <b/>
        <i/>
        <color rgb="FF000000"/>
        <sz val="10.0"/>
      </rPr>
      <t>FEMALE PBT -40~85℃ V-0 BLACK</t>
    </r>
  </si>
  <si>
    <t>R2-1-3-M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</si>
  <si>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</si>
  <si>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10-110-00017-00</t>
  </si>
  <si>
    <r>
      <rPr>
        <rFont val="Microsoft YaHei"/>
        <b/>
        <i/>
        <color rgb="FF000000"/>
        <sz val="10.0"/>
      </rPr>
      <t>DC</t>
    </r>
    <r>
      <rPr>
        <rFont val="Noto Sans CJK SC"/>
        <b/>
        <i/>
        <color rgb="FF000000"/>
        <sz val="10.0"/>
      </rPr>
      <t>连接端子</t>
    </r>
    <r>
      <rPr>
        <rFont val="Microsoft YaHei"/>
        <b/>
        <i/>
        <color rgb="FF000000"/>
        <sz val="10.0"/>
      </rPr>
      <t>FEMALE(</t>
    </r>
    <r>
      <rPr>
        <rFont val="Noto Sans CJK SC"/>
        <b/>
        <i/>
        <color rgb="FF000000"/>
        <sz val="10.0"/>
      </rPr>
      <t>铜芯）（</t>
    </r>
    <r>
      <rPr>
        <rFont val="Microsoft YaHei"/>
        <b/>
        <i/>
        <color rgb="FF000000"/>
        <sz val="10.0"/>
      </rPr>
      <t>VP-D4B-CHSF4</t>
    </r>
    <r>
      <rPr>
        <rFont val="Noto Sans CJK SC"/>
        <b/>
        <i/>
        <color rgb="FF000000"/>
        <sz val="10.0"/>
      </rPr>
      <t>）</t>
    </r>
    <r>
      <rPr>
        <rFont val="Microsoft YaHei"/>
        <b/>
        <i/>
        <color rgb="FF000000"/>
        <sz val="10.0"/>
      </rPr>
      <t>5.8*33.1 CU NI PLATED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</si>
  <si>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</si>
  <si>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R2-1-4-M</t>
  </si>
  <si>
    <t>R2-1-5-M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</si>
  <si>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</si>
  <si>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97-223-00065-00</t>
  </si>
  <si>
    <t>30-501-04160-00</t>
  </si>
  <si>
    <t>A7300P1-E-B-WO</t>
  </si>
  <si>
    <t>R2-2-1-M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</si>
  <si>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</si>
  <si>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</si>
  <si>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EV Charger / 充电桩</t>
  </si>
  <si>
    <t>10-120-00109-00</t>
  </si>
  <si>
    <r>
      <rPr>
        <rFont val="Microsoft YaHei"/>
        <b/>
        <i/>
        <color rgb="FF000000"/>
        <sz val="10.0"/>
      </rPr>
      <t>PE</t>
    </r>
    <r>
      <rPr>
        <rFont val="Noto Sans CJK SC"/>
        <b/>
        <i/>
        <color rgb="FF000000"/>
        <sz val="10.0"/>
      </rPr>
      <t xml:space="preserve">袋 </t>
    </r>
    <r>
      <rPr>
        <rFont val="Microsoft YaHei"/>
        <b/>
        <i/>
        <color rgb="FF000000"/>
        <sz val="10.0"/>
      </rPr>
      <t xml:space="preserve">560*500*500mm </t>
    </r>
    <r>
      <rPr>
        <rFont val="Noto Sans CJK SC"/>
        <b/>
        <i/>
        <color rgb="FF000000"/>
        <sz val="10.0"/>
      </rPr>
      <t xml:space="preserve">透明 </t>
    </r>
    <r>
      <rPr>
        <rFont val="Microsoft YaHei"/>
        <b/>
        <i/>
        <color rgb="FF000000"/>
        <sz val="10.0"/>
      </rPr>
      <t>H3</t>
    </r>
    <r>
      <rPr>
        <rFont val="Noto Sans CJK SC"/>
        <b/>
        <i/>
        <color rgb="FF000000"/>
        <sz val="10.0"/>
      </rPr>
      <t>整机</t>
    </r>
    <r>
      <rPr>
        <rFont val="Microsoft YaHei"/>
        <b/>
        <i/>
        <color rgb="FF000000"/>
        <sz val="10.0"/>
      </rPr>
      <t>PE</t>
    </r>
    <r>
      <rPr>
        <rFont val="Noto Sans CJK SC"/>
        <b/>
        <i/>
        <color rgb="FF000000"/>
        <sz val="10.0"/>
      </rPr>
      <t>袋</t>
    </r>
  </si>
  <si>
    <t>R2-2-2-M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</si>
  <si>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</si>
  <si>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R2-2-3-L</t>
  </si>
  <si>
    <t>10-120-00110-00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</si>
  <si>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</si>
  <si>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>PE</t>
    </r>
    <r>
      <rPr>
        <rFont val="Noto Sans CJK SC"/>
        <b/>
        <i/>
        <color rgb="FF000000"/>
        <sz val="10.0"/>
      </rPr>
      <t xml:space="preserve">袋 </t>
    </r>
    <r>
      <rPr>
        <rFont val="Microsoft YaHei"/>
        <b/>
        <i/>
        <color rgb="FF000000"/>
        <sz val="10.0"/>
      </rPr>
      <t>600*410*440*0.08mm</t>
    </r>
    <r>
      <rPr>
        <rFont val="Noto Sans CJK SC"/>
        <b/>
        <i/>
        <color rgb="FF000000"/>
        <sz val="10.0"/>
      </rPr>
      <t xml:space="preserve">，单开口 </t>
    </r>
    <r>
      <rPr>
        <rFont val="Microsoft YaHei"/>
        <b/>
        <i/>
        <color rgb="FF000000"/>
        <sz val="10.0"/>
      </rPr>
      <t>PE CM</t>
    </r>
  </si>
  <si>
    <t>R2-2-3-M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</si>
  <si>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</si>
  <si>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R2-2-4-M</t>
  </si>
  <si>
    <t>10-120-00171-01</t>
  </si>
  <si>
    <t>整机PE袋 620*500*600*0.08 U系列 耐温无要求 LU94-HB 透明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</si>
  <si>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</si>
  <si>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</si>
  <si>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30-132-50225-B0</t>
  </si>
  <si>
    <t>H1-5.0-E-G2</t>
  </si>
  <si>
    <t>R2-2-5-M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</si>
  <si>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</si>
  <si>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R2-3-1-L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</si>
  <si>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</si>
  <si>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30-803-00040-00</t>
  </si>
  <si>
    <t>DTSU666.019</t>
  </si>
  <si>
    <t>R2-3-1-M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</si>
  <si>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</si>
  <si>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EQ4800-M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</si>
  <si>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</si>
  <si>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R2-3-2-M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</si>
  <si>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</si>
  <si>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Battery / 电池</t>
  </si>
  <si>
    <t>R2-3-3-L</t>
  </si>
  <si>
    <t>EQ4800-S</t>
  </si>
  <si>
    <t>R2-3-3-M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</si>
  <si>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</si>
  <si>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</si>
  <si>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97-223-00066-00</t>
  </si>
  <si>
    <t>R2-3-4-M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</si>
  <si>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</si>
  <si>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</si>
  <si>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</si>
  <si>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R2-3-5-M</t>
  </si>
  <si>
    <t>SH-2607-00174586</t>
  </si>
  <si>
    <t>SYD-00268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</si>
  <si>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</si>
  <si>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</si>
  <si>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R2-4-1-M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</si>
  <si>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</si>
  <si>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R2-4-2-M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</si>
  <si>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</si>
  <si>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</si>
  <si>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</si>
  <si>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R2-4-3-M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</si>
  <si>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</si>
  <si>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</si>
  <si>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R2-4-4-M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</si>
  <si>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</si>
  <si>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</si>
  <si>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R2-4-5-M</t>
  </si>
  <si>
    <t>SH-2607-00168454</t>
  </si>
  <si>
    <t>SYD-00269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</si>
  <si>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</si>
  <si>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60E3M48R62NF436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</si>
  <si>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</si>
  <si>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RETURN-01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</si>
  <si>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</si>
  <si>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10-208-00003-00</t>
  </si>
  <si>
    <t>DISPATCH-01</t>
  </si>
  <si>
    <t>通信端子附件包 VPDS06EP-8P（SC） T 8芯插头</t>
  </si>
  <si>
    <t>SH-2607-00161558</t>
  </si>
  <si>
    <t>SYD-00270</t>
  </si>
  <si>
    <t>60E3M48R5BQF427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</si>
  <si>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</si>
  <si>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</si>
  <si>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10-208-00018-01</t>
  </si>
  <si>
    <r>
      <rPr>
        <rFont val="Microsoft YaHei"/>
        <b/>
        <i/>
        <color rgb="FF000000"/>
        <sz val="10.0"/>
      </rPr>
      <t>AC</t>
    </r>
    <r>
      <rPr>
        <rFont val="Noto Sans CJK SC"/>
        <b/>
        <i/>
        <color rgb="FF000000"/>
        <sz val="10.0"/>
      </rPr>
      <t xml:space="preserve">端子安装包 </t>
    </r>
    <r>
      <rPr>
        <rFont val="Microsoft YaHei"/>
        <b/>
        <i/>
        <color rgb="FF000000"/>
        <sz val="10.0"/>
      </rPr>
      <t xml:space="preserve">EN030-2028-1001 Sealingφ12 </t>
    </r>
    <r>
      <rPr>
        <rFont val="Noto Sans CJK SC"/>
        <b/>
        <i/>
        <color rgb="FF000000"/>
        <sz val="10.0"/>
      </rPr>
      <t>工具解锁</t>
    </r>
  </si>
  <si>
    <t>SH-2607-00175722</t>
  </si>
  <si>
    <t>SYD-00271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</si>
  <si>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</si>
  <si>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Formula helper / 公式辅助</t>
  </si>
  <si>
    <t>工程师自提（7.28）</t>
  </si>
  <si>
    <t>10-208-00019-00</t>
  </si>
  <si>
    <r>
      <rPr>
        <rFont val="Microsoft YaHei"/>
        <b/>
        <i/>
        <color rgb="FF000000"/>
        <sz val="10.0"/>
      </rPr>
      <t>AC</t>
    </r>
    <r>
      <rPr>
        <rFont val="Noto Sans CJK SC"/>
        <b/>
        <i/>
        <color rgb="FF000000"/>
        <sz val="10.0"/>
      </rPr>
      <t xml:space="preserve">端子安装包 </t>
    </r>
    <r>
      <rPr>
        <rFont val="Microsoft YaHei"/>
        <b/>
        <i/>
        <color rgb="FF000000"/>
        <sz val="10.0"/>
      </rPr>
      <t xml:space="preserve">VPAC06EP-3S(SC) 60A </t>
    </r>
    <r>
      <rPr>
        <rFont val="Noto Sans CJK SC"/>
        <b/>
        <i/>
        <color rgb="FF000000"/>
        <sz val="10.0"/>
      </rPr>
      <t>黑色 典威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</si>
  <si>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</si>
  <si>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30-132-60225-B0</t>
  </si>
  <si>
    <t>H1-6.0-E-G2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</si>
  <si>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</si>
  <si>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H3 Smart遮线罩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</si>
  <si>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</si>
  <si>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97-224-00034-00</t>
  </si>
  <si>
    <t>EP11-502D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</si>
  <si>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</si>
  <si>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97-229-00008-00</t>
  </si>
  <si>
    <t>CQ6-S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</si>
  <si>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</si>
  <si>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</si>
  <si>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CQ6-M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</si>
  <si>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</si>
  <si>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</si>
  <si>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</si>
  <si>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</si>
  <si>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</si>
  <si>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</si>
  <si>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</si>
  <si>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</si>
  <si>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</si>
  <si>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</si>
  <si>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</si>
  <si>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EQ4800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</si>
  <si>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</si>
  <si>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</si>
  <si>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</si>
  <si>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30-224-00002-00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</si>
  <si>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</si>
  <si>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</si>
  <si>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CQ7-S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</si>
  <si>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</si>
  <si>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Action_List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</si>
  <si>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</si>
  <si>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FFFFFF"/>
        <sz val="11.0"/>
      </rPr>
      <t xml:space="preserve">Item_Type / </t>
    </r>
    <r>
      <rPr>
        <rFont val="Noto Sans CJK SC"/>
        <b/>
        <i/>
        <color rgb="FFFFFFFF"/>
        <sz val="11.0"/>
      </rPr>
      <t>物品类型</t>
    </r>
  </si>
  <si>
    <t>Active_List</t>
  </si>
  <si>
    <t>Stock_Condition_List / 库存属性</t>
  </si>
  <si>
    <t>30-229-00005-00</t>
  </si>
  <si>
    <t>CQ7-M</t>
  </si>
  <si>
    <t>Scrap / 报废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</si>
  <si>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</si>
  <si>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30-229-00022-00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</si>
  <si>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</si>
  <si>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Adjustment_Out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</si>
  <si>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</si>
  <si>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</si>
  <si>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</si>
  <si>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99-205-00125-03</t>
  </si>
  <si>
    <t>纸箱 745*705*370 瓦楞纸 H3-PRO 全型号 Fox ESS</t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</si>
  <si>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</si>
  <si>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GZ-04-00082</t>
  </si>
  <si>
    <t>| 825x500mm |250kg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</si>
  <si>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</si>
  <si>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</si>
  <si>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GZ-04-00083</t>
  </si>
  <si>
    <t>740x490mm150kg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</si>
  <si>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</si>
  <si>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Imported from overseas stock report. Product only when description contains </t>
    </r>
    <r>
      <rPr>
        <rFont val="Noto Sans CJK SC"/>
        <b/>
        <i/>
        <color rgb="FF000000"/>
        <sz val="10.0"/>
      </rPr>
      <t>（成品）</t>
    </r>
    <r>
      <rPr>
        <rFont val="Microsoft YaHei"/>
        <b/>
        <i/>
        <color rgb="FF000000"/>
        <sz val="10.0"/>
      </rPr>
      <t>; others are Material.</t>
    </r>
  </si>
  <si>
    <t>10-099-20205-00</t>
  </si>
  <si>
    <t>CON-INT 连接器 1100V 70A 1 180° -40~85℃ PV端子安装包 VP-D4B-CTDX16B 蓝色PV公母组合件(6AWG/16mm²)防拆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</si>
  <si>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</si>
  <si>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10-099-20252-00</t>
  </si>
  <si>
    <t>TERMINAL TDX 1500V 120A 2(主)+1（地）+13PIN -40℃~+125℃ 腾达兴，RHNP-16M-FC,120A-16芯堆叠短接公端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</si>
  <si>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</si>
  <si>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10-099-20171-00</t>
  </si>
  <si>
    <t>CON-EXT Vaconn 600V DC 70A 多芯 2+2 0° -40℃-85℃ 堆叠短接连接器,典威VP-ESSH-SD16AB0001,EQ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</si>
  <si>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</si>
  <si>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保温棉 橡胶泡棉 -90° -180° V-0 黑色 1主8从 上保温棉+下保温棉+四周保温棉(4+5) 带纸箱</t>
  </si>
  <si>
    <t>10-205-00346-00</t>
  </si>
  <si>
    <t>纸箱 650*450*250mm 瓦楞纸 ECS2.0 EQ4800-S Fox ESS 海运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</si>
  <si>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</si>
  <si>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纸箱 H1/AC1 562*542*282    YELLOW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</si>
  <si>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</si>
  <si>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30-229-00025-00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</si>
  <si>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</si>
  <si>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</si>
  <si>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</si>
  <si>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</si>
  <si>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</si>
  <si>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</si>
  <si>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</si>
  <si>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</si>
  <si>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</si>
  <si>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</si>
  <si>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</si>
  <si>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</si>
  <si>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</si>
  <si>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</si>
  <si>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</si>
  <si>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</si>
  <si>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</si>
  <si>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</si>
  <si>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</si>
  <si>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</si>
  <si>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</si>
  <si>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AI SKILL — 出库打印 Label</t>
  </si>
  <si>
    <t>版本：2026-07-27</t>
  </si>
  <si>
    <t>AI MUST READ BEFORE LABEL GENERATION</t>
  </si>
  <si>
    <t>每次制作/打印仓库出库Label前，先读取本页，并从主表或用户明确提供的数据取值。不得凭记忆补字段。</t>
  </si>
  <si>
    <t>1. 用途</t>
  </si>
  <si>
    <t>Label用于已备货/待出库货物现场识别；Label不是库存台账，库存仍以主表为准。</t>
  </si>
  <si>
    <t>2. 默认字段</t>
  </si>
  <si>
    <t>SH_No；Pickup_Code；SKU；Model；ERP仓库；Qty。Item_Type不是默认Label关键信息。字段来自主表对应记录或用户明确提供的数据。</t>
  </si>
  <si>
    <t>3. 标准顺序</t>
  </si>
  <si>
    <t>SH_No → Pickup_Code → SKU → Model → ERP仓库 → Qty。示例：SH-2607-00175008 | SYD-00265 | 97-223-00107-00 | EQ4800-S | 悉尼物料仓 | 2。</t>
  </si>
  <si>
    <t>4. 批次Label逻辑</t>
  </si>
  <si>
    <t>默认按 Pickup Code 生成批次Label。同一Pickup Code下的全部记录优先合并为一张Label，即使包含不同ERP仓库。Label明细区必须逐行显示 SKU、Model、ERP仓库、汇总Qty；同一SKU+Model+ERP仓库的多行记录先汇总Qty。只有Pickup Code不同，才默认拆成不同Label。</t>
  </si>
  <si>
    <t>5. 一机一标签</t>
  </si>
  <si>
    <t>只有用户明确要求“一机一标签/带SN”时，才逐台生成；每张Qty=1并显示该台唯一SN。</t>
  </si>
  <si>
    <t>6. Pickup Code</t>
  </si>
  <si>
    <t>有Pickup Code必须原样显示；没有则留空，禁止猜。</t>
  </si>
  <si>
    <t>7. Model/ERP仓库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</si>
  <si>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</si>
  <si>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Model优先读取主表公式结果/Product_Master；ERP仓库直接读取主表M列 ERP仓库选择。不得根据料号或库位猜ERP仓库。</t>
  </si>
  <si>
    <t>8. 输出格式</t>
  </si>
  <si>
    <t>用户未指定时优先快速可打印HTML或PDF。A4打印需保持黑白高对比、关键字段粗体、边框清晰、内容不裁切。</t>
  </si>
  <si>
    <t>9. 版式层级</t>
  </si>
  <si>
    <t>SH单号与Pickup Code最醒目；SKU/Model和ERP仓库为关键次级信息；Qty必须醒目清楚；Item_Type默认不显示；避免多余说明。</t>
  </si>
  <si>
    <t>10. 汇总/拆分</t>
  </si>
  <si>
    <t>批次Label：先按Pickup Code合并为一张Label；Label内按SKU+Model+ERP仓库分组汇总Qty并逐行展示。没有Pickup Code时，按SH_No分组。同一Pickup Code即使涉及悉尼物料仓、悉尼良品仓等不同ERP仓库，也不拆页，但每条明细必须明确标注所属ERP仓库。一机一标签：不汇总，逐SN输出。</t>
  </si>
  <si>
    <t>11. 校验</t>
  </si>
  <si>
    <t>生成前核对SH、Pickup_Code、SKU、Model、Item_Type、Qty；生成后核对总Qty与工单/主表一致。</t>
  </si>
  <si>
    <t>12. 禁止事项</t>
  </si>
  <si>
    <t>禁止从Faulty Unit生成Replacement出库Label；禁止猜字段；禁止因主表拆行重复打印批次标签；禁止少打或多打数量。</t>
  </si>
  <si>
    <t>13. 用户样例</t>
  </si>
  <si>
    <t>SH-2607-00175008 / SYD-00265 / 97-223-00107-00 / EQ4800-S / Product / 2；SH-2607-00175011 / SYD-00266 / 97-229-00018-00 / CQ6-S / Product / 1。</t>
  </si>
  <si>
    <t>14. 与工单Skill联动</t>
  </si>
  <si>
    <t>先按 AI_SKILL_工单读取 正确映射工单到主表，再根据用户要批次Label还是一机一标签生成。</t>
  </si>
  <si>
    <t>15. 数据保护</t>
  </si>
  <si>
    <t>生成Label是输出动作，不得因此修改主表库存数量、Action、SN或库位。</t>
  </si>
  <si>
    <t>16. 分页打印规则</t>
  </si>
  <si>
    <t>默认每个Label独占一页A4。禁止在同一A4页面排多个Label。生成HTML/PDF时必须使用分页控制（例如 page-break-after / break-after），确保1个Label = 1页。</t>
  </si>
  <si>
    <t>18. ERP仓库显示规则</t>
  </si>
  <si>
    <t>同一Pickup Code默认只生成一张A4 Label。若包含不同ERP仓库，不拆分Label，而是在每个SKU明细行中单独显示对应ERP仓库。明细列至少包含SKU、Model、ERP Warehouse、Qty。禁止只在Label顶部显示一个仓库而导致其他SKU仓库归属不清。</t>
  </si>
  <si>
    <t>执行顺序</t>
  </si>
  <si>
    <t>READ SKILL → READ SOURCE → GROUP BY PICKUP CODE → AGGREGATE BY SKU+MODEL+ERP WAREHOUSE → GENERATE ONE LABEL PER PICKUP CODE → VERIFY EACH LINE WAREHOUSE AND TOTAL QTY。</t>
  </si>
  <si>
    <t>AI SKILL — ERP SH工单读取 → WMS主表录入</t>
  </si>
  <si>
    <t>版本：2026-07-28</t>
  </si>
  <si>
    <t>AI MUST READ BEFORE ACTION</t>
  </si>
  <si>
    <t>每次处理ERP SH工单、批量录入备货/出库数据前，必须先完整读取本页，再读取主表当前结构和目标行公式。不得仅依赖聊天记忆。</t>
  </si>
  <si>
    <t>1. 数据来源</t>
  </si>
  <si>
    <t>只读取工单中的 Replacement Unit information。不要使用 Faulty Unit Information / 旧机信息作为新机出库料号。</t>
  </si>
  <si>
    <t>2. 抓取字段</t>
  </si>
  <si>
    <t>SH单号；Replacement Unit information 下的 Part No./料号、QTY、Stock of warehouse/出货仓；Pickup Code（存在时）。其他字段除非用户明确要求，不自动带入。</t>
  </si>
  <si>
    <t>3. ERP仓库映射</t>
  </si>
  <si>
    <t>Stock of warehouse 原值写入 M列 ERP仓库选择。悉尼物料仓 → O列 New / 新机；悉尼良品仓 → O列 Repair_Good / 维修良品。物理库位与ERP仓库必须分开。</t>
  </si>
  <si>
    <t>4. Product拆行（强制）</t>
  </si>
  <si>
    <t>Product且需要SN追踪时，工单QTY=N必须生成N行，每行Qty=1。同一SH/Pickup Code/SKU/ERP仓库/Stock_Condition重复。每行只允许一个SN。QTY=2绝不能只写一行Qty=2。</t>
  </si>
  <si>
    <t>5. Material规则</t>
  </si>
  <si>
    <t>Material/普通物料不需要SN时，可按工单原QTY一行录入；除非用户要求拆行。</t>
  </si>
  <si>
    <t>6. Action规则</t>
  </si>
  <si>
    <t>工单刚收到、已准备但尚未取货时用 Prepared；Prepared不扣库存。实际发走/提货后用 Outbound。</t>
  </si>
  <si>
    <t>7. Location规则</t>
  </si>
  <si>
    <t>From_Location_Code必须来自用户实际选择或可靠库存匹配。用户说稍后选择时保持空白，禁止AI猜库位。Outbound前必须补来源库位。</t>
  </si>
  <si>
    <t>10. 新增行结构</t>
  </si>
  <si>
    <t>新增行必须继承样式、数据验证和公式。确认G/H/N/P/Q/R/S/V/W/X/Y/Z以及AA/AB移库辅助列均有对应行公式。禁止只写A:O导致后续公式断层。</t>
  </si>
  <si>
    <t>9. 主表映射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</si>
  <si>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</si>
  <si>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t>A Date；B Action；C SH_No；D Pickup_Code；F SKU；I SN；J Qty；K From_Location_Code；L To_Location_Code；M ERP仓库选择；O Stock_Condition。G/H/N/P-T/V-Z为公式/辅助列。</t>
  </si>
  <si>
    <t>新增行必须继承样式、数据验证和公式。确认G/H/N/P/Q/R/S/V/W/X/Y/Z均有对应行公式。禁止只写A:O导致后续公式断层。</t>
  </si>
  <si>
    <t>11. 公式维护</t>
  </si>
  <si>
    <t>主表公式至少预填到第500行。插入行后验证新行及后续行公式引用正确；不得覆盖手工录入列。</t>
  </si>
  <si>
    <t>12. 去重</t>
  </si>
  <si>
    <t>写入前搜索SH_No。若已存在，判断是补拆行/SN还是重复导入，禁止无检查重复追加整单。</t>
  </si>
  <si>
    <t>13. 写后校验</t>
  </si>
  <si>
    <t>重新读取新行，检查SH、SKU、Qty、ERP仓库、Stock_Condition、Location、SN、Action及公式。Product各行Qty汇总必须等于工单QTY。</t>
  </si>
  <si>
    <t>14. 示例</t>
  </si>
  <si>
    <t>SH-2607-00175008；97-223-00107-00；QTY=2；悉尼物料仓 → 两行Prepared；每行Qty=1；ERP仓库=悉尼物料仓；Stock_Condition=New / 新机；Location和SN可暂空。</t>
  </si>
  <si>
    <t>15. 禁止事项</t>
  </si>
  <si>
    <t>禁止猜SKU/库位/SN；禁止把Faulty Unit料号当Replacement料号；禁止把Product QTY&gt;1压在一行；禁止漏公式；禁止把Prepared当Outbound；禁止擅改历史数据。</t>
  </si>
  <si>
    <t>16. 用户指令优先</t>
  </si>
  <si>
    <t>用户对具体工单的明确更正优先，但仍必须遵守“一台Product一行一个SN”的结构规则。</t>
  </si>
  <si>
    <t>17. 输出确认</t>
  </si>
  <si>
    <t>完成后回报SH、SKU、拆成几行、总QTY、ERP仓库、库存属性、Action，以及Location/SN是否待补。</t>
  </si>
  <si>
    <t>19. 维修完成入账规则</t>
  </si>
  <si>
    <t>坏机暂不纳入库存台账。原坏机未在台账、维修完成后作为可用良品重新进入库存时，用 Adjustment_In 入账；L=实际入库库位，O=Repair_Good / 维修良品。不要用 Opening。Opening仅用于期初/基准库存。</t>
  </si>
  <si>
    <t>20. 日期与复制规则</t>
  </si>
  <si>
    <t>新增工单行时，只允许复制历史行的格式、数据验证和公式，禁止复制Date、Action、SH_No、Pickup_Code、SKU、SN、Qty、Location、ERP仓库、Stock_Condition、Remark等业务值。A列Date必须按本次实际录入日期单独写入；写后必须重新读取并核对日期，不得沿用来源行日期。</t>
  </si>
  <si>
    <t>22. Outbound Date / 实际出库日</t>
  </si>
  <si>
    <t>主表AC列为 Outbound_Date / 实际出库日。Prepared、Pick、Prepare等未实际离库状态必须留空；只有货物已实际交付/提走并将Action改为Outbound时，才填写实际出库日期。A列Date继续记录工单录入/业务记录日期，两者不得混用。若用户仅说“已出库”但未给日期，可按用户明确的实际出库当天填写；禁止提前填写计划日期。</t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</si>
  <si>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</si>
  <si>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</si>
  <si>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</si>
  <si>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</si>
  <si>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</si>
  <si>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</si>
  <si>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</si>
  <si>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</si>
  <si>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</si>
  <si>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</si>
  <si>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</si>
  <si>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</si>
  <si>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</si>
  <si>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</si>
  <si>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</si>
  <si>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</si>
  <si>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</si>
  <si>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</si>
  <si>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</si>
  <si>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</si>
  <si>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</si>
  <si>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</si>
  <si>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</si>
  <si>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</si>
  <si>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</si>
  <si>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</si>
  <si>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</si>
  <si>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</si>
  <si>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</si>
  <si>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</si>
  <si>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</si>
  <si>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</si>
  <si>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</si>
  <si>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</si>
  <si>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</si>
  <si>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</si>
  <si>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</si>
  <si>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</si>
  <si>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</si>
  <si>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</si>
  <si>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</si>
  <si>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</si>
  <si>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</si>
  <si>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</si>
  <si>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</si>
  <si>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</si>
  <si>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</si>
  <si>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</si>
  <si>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</si>
  <si>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</si>
  <si>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</si>
  <si>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</si>
  <si>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</si>
  <si>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</si>
  <si>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</si>
  <si>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</si>
  <si>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</si>
  <si>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</si>
  <si>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</si>
  <si>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</si>
  <si>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</si>
  <si>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</si>
  <si>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</si>
  <si>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</si>
  <si>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</si>
  <si>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</si>
  <si>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</si>
  <si>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</si>
  <si>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</si>
  <si>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</si>
  <si>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</si>
  <si>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</si>
  <si>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</si>
  <si>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</si>
  <si>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</si>
  <si>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</si>
  <si>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</si>
  <si>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</si>
  <si>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</si>
  <si>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</si>
  <si>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</si>
  <si>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</si>
  <si>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</si>
  <si>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</si>
  <si>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</si>
  <si>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</si>
  <si>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</si>
  <si>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</si>
  <si>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</si>
  <si>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</si>
  <si>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</si>
  <si>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</si>
  <si>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</si>
  <si>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</si>
  <si>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</si>
  <si>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</si>
  <si>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</si>
  <si>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</si>
  <si>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</si>
  <si>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</si>
  <si>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</si>
  <si>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</si>
  <si>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</si>
  <si>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</si>
  <si>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</si>
  <si>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</si>
  <si>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</si>
  <si>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</si>
  <si>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</si>
  <si>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</si>
  <si>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</si>
  <si>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</si>
  <si>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</si>
  <si>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</si>
  <si>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</si>
  <si>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</si>
  <si>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</si>
  <si>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</si>
  <si>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</si>
  <si>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</si>
  <si>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</si>
  <si>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</si>
  <si>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</si>
  <si>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</si>
  <si>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</si>
  <si>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</si>
  <si>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</si>
  <si>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</si>
  <si>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</si>
  <si>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</si>
  <si>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</si>
  <si>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</si>
  <si>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</si>
  <si>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</si>
  <si>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</si>
  <si>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</si>
  <si>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</si>
  <si>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</si>
  <si>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</si>
  <si>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</si>
  <si>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</si>
  <si>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</si>
  <si>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</si>
  <si>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</si>
  <si>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</si>
  <si>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</si>
  <si>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</si>
  <si>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</si>
  <si>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</si>
  <si>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</si>
  <si>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</si>
  <si>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</si>
  <si>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</si>
  <si>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</si>
  <si>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</si>
  <si>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</si>
  <si>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</si>
  <si>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</si>
  <si>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</si>
  <si>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</si>
  <si>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</si>
  <si>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</si>
  <si>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</si>
  <si>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</si>
  <si>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</si>
  <si>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</si>
  <si>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</si>
  <si>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</si>
  <si>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</si>
  <si>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</si>
  <si>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</si>
  <si>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</si>
  <si>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</si>
  <si>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</si>
  <si>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</si>
  <si>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</si>
  <si>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</si>
  <si>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</si>
  <si>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</si>
  <si>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</si>
  <si>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</si>
  <si>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</si>
  <si>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</si>
  <si>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</si>
  <si>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</si>
  <si>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</si>
  <si>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</si>
  <si>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</si>
  <si>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</si>
  <si>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</si>
  <si>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</si>
  <si>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</si>
  <si>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</si>
  <si>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</si>
  <si>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</si>
  <si>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</si>
  <si>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</si>
  <si>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</si>
  <si>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</si>
  <si>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</si>
  <si>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</si>
  <si>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</si>
  <si>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</si>
  <si>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</si>
  <si>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</si>
  <si>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</si>
  <si>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</si>
  <si>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</si>
  <si>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</si>
  <si>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</si>
  <si>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</si>
  <si>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</si>
  <si>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</si>
  <si>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</si>
  <si>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</si>
  <si>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</si>
  <si>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</si>
  <si>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</si>
  <si>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</si>
  <si>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</si>
  <si>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</si>
  <si>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</si>
  <si>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</si>
  <si>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</si>
  <si>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</si>
  <si>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</si>
  <si>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</si>
  <si>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</si>
  <si>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</si>
  <si>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</si>
  <si>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</si>
  <si>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</si>
  <si>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</si>
  <si>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</si>
  <si>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</si>
  <si>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</si>
  <si>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</si>
  <si>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</si>
  <si>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</si>
  <si>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</si>
  <si>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</si>
  <si>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</si>
  <si>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</si>
  <si>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</si>
  <si>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</si>
  <si>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</si>
  <si>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</si>
  <si>
    <r>
      <rPr>
        <rFont val="Microsoft YaHei"/>
        <b/>
        <i/>
        <color rgb="FF000000"/>
        <sz val="10.0"/>
      </rPr>
      <t xml:space="preserve">Formula helper / </t>
    </r>
    <r>
      <rPr>
        <rFont val="Noto Sans CJK SC"/>
        <b/>
        <i/>
        <color rgb="FF000000"/>
        <sz val="10.0"/>
      </rPr>
      <t>公式辅助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</si>
</sst>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&quot;月&quot;"/>
    <numFmt numFmtId="166" formatCode="yyyy-mm"/>
  </numFmts>
  <fonts count="55">
    <font>
      <sz val="12.0"/>
      <color theme="1"/>
      <name val="Calibri"/>
      <scheme val="minor"/>
    </font>
    <font>
      <b/>
      <sz val="15.0"/>
      <color rgb="FFFFFFFF"/>
      <name val="Microsoft Yahei"/>
    </font>
    <font>
      <b/>
      <sz val="13.0"/>
      <color rgb="FFFFFFFF"/>
      <name val="Microsoft Yahei"/>
    </font>
    <font>
      <b/>
      <sz val="12.0"/>
      <color rgb="FF1F4E78"/>
      <name val="Calibri"/>
    </font>
    <font/>
    <font>
      <b/>
      <sz val="10.0"/>
      <color rgb="FFFFFFFF"/>
      <name val="Microsoft Yahei"/>
    </font>
    <font>
      <sz val="8.0"/>
      <color rgb="FF111726"/>
      <name val="Calibri"/>
    </font>
    <font>
      <sz val="9.0"/>
      <color rgb="FF111726"/>
      <name val="Calibri"/>
    </font>
    <font>
      <b/>
      <sz val="10.0"/>
      <color theme="1"/>
      <name val="Microsoft Yahei"/>
    </font>
    <font>
      <sz val="10.0"/>
      <color rgb="FF000000"/>
      <name val="Calibri"/>
    </font>
    <font>
      <b/>
      <sz val="11.0"/>
      <color rgb="FF1F4E78"/>
      <name val="Microsoft Yahei"/>
    </font>
    <font>
      <b/>
      <sz val="9.0"/>
      <color rgb="FF1F4E78"/>
      <name val="Calibri"/>
    </font>
    <font>
      <sz val="10.0"/>
      <color rgb="FF1F2937"/>
      <name val="Microsoft Yahei"/>
    </font>
    <font>
      <b/>
      <sz val="12.0"/>
      <color rgb="FFFFFFFF"/>
      <name val="Microsoft Yahei"/>
    </font>
    <font>
      <b/>
      <sz val="10.0"/>
      <color rgb="FF1B5E1F"/>
      <name val="Microsoft Yahei"/>
    </font>
    <font>
      <b/>
      <sz val="10.0"/>
      <color rgb="FF6B4F07"/>
      <name val="Microsoft Yahei"/>
    </font>
    <font>
      <b/>
      <sz val="10.0"/>
      <color rgb="FFA51B1B"/>
      <name val="Microsoft Yahei"/>
    </font>
    <font>
      <sz val="10.0"/>
      <color theme="1"/>
      <name val="Microsoft Yahei"/>
    </font>
    <font>
      <b/>
      <i/>
      <sz val="10.0"/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b/>
      <sz val="10.0"/>
      <color rgb="FF000000"/>
      <name val="Calibri"/>
    </font>
    <font>
      <sz val="8.0"/>
      <color rgb="FF000000"/>
      <name val="Calibri"/>
    </font>
    <font>
      <b/>
      <sz val="10.0"/>
      <color rgb="FF334155"/>
      <name val="Microsoft Yahei"/>
    </font>
    <font>
      <b/>
      <sz val="11.0"/>
      <color rgb="FF1F2937"/>
      <name val="Microsoft Yahei"/>
    </font>
    <font>
      <b/>
      <sz val="11.0"/>
      <color rgb="FFFFFFFF"/>
      <name val="Microsoft Yahei"/>
    </font>
    <font>
      <sz val="10.0"/>
      <color rgb="FF4B5563"/>
      <name val="Microsoft Yahei"/>
    </font>
    <font>
      <b/>
      <sz val="11.0"/>
      <color rgb="FF9F3F3F"/>
      <name val="Microsoft Yahei"/>
    </font>
    <font>
      <sz val="10.0"/>
      <color rgb="FF355B54"/>
      <name val="Microsoft Yahei"/>
    </font>
    <font>
      <b/>
      <sz val="11.0"/>
      <color rgb="FF1F6B5D"/>
      <name val="Microsoft Yahei"/>
    </font>
    <font>
      <b/>
      <sz val="9.0"/>
      <color rgb="FF1E3A5F"/>
      <name val="Microsoft Yahei"/>
    </font>
    <font>
      <b/>
      <sz val="9.0"/>
      <color rgb="FF1F2937"/>
      <name val="Microsoft Yahei"/>
    </font>
    <font>
      <b/>
      <sz val="12.0"/>
      <color rgb="FF1F2937"/>
      <name val="Microsoft Yahei"/>
    </font>
    <font>
      <b/>
      <sz val="9.0"/>
      <color rgb="FFFFFFFF"/>
      <name val="Microsoft Yahei"/>
    </font>
    <font>
      <sz val="10.0"/>
      <color rgb="FF243447"/>
      <name val="Microsoft Yahei"/>
    </font>
    <font>
      <sz val="10.0"/>
      <color rgb="FF5E3A3A"/>
      <name val="Microsoft Yahei"/>
    </font>
    <font>
      <b/>
      <sz val="10.0"/>
      <color rgb="FF1F3B5B"/>
      <name val="Microsoft Yahei"/>
    </font>
    <font>
      <b/>
      <sz val="10.0"/>
      <color rgb="FF25603B"/>
      <name val="Microsoft Yahei"/>
    </font>
    <font>
      <sz val="10.0"/>
      <color rgb="FF315A52"/>
      <name val="Microsoft Yahei"/>
    </font>
    <font>
      <sz val="10.0"/>
      <color rgb="FF70531E"/>
      <name val="Microsoft Yahei"/>
    </font>
    <font>
      <b/>
      <sz val="9.0"/>
      <color rgb="FF334155"/>
      <name val="Microsoft Yahei"/>
    </font>
    <font>
      <color rgb="FF000000"/>
      <name val="Calibri"/>
      <scheme val="minor"/>
    </font>
    <font>
      <i/>
      <sz val="9.0"/>
      <color rgb="FF6B5A1E"/>
      <name val="Microsoft Yahei"/>
    </font>
    <font>
      <b/>
      <sz val="10.0"/>
      <color rgb="FF3A4653"/>
      <name val="Microsoft Yahei"/>
    </font>
    <font>
      <sz val="9.0"/>
      <color rgb="FF243447"/>
      <name val="Microsoft Yahei"/>
    </font>
    <font>
      <b/>
      <sz val="9.0"/>
      <color rgb="FF24594F"/>
      <name val="Microsoft Yahei"/>
    </font>
    <font>
      <b/>
      <sz val="10.0"/>
      <color rgb="FF24594F"/>
      <name val="Microsoft Yahei"/>
    </font>
    <font>
      <b/>
      <sz val="10.0"/>
      <color rgb="FF1E3A5F"/>
      <name val="Microsoft Yahei"/>
    </font>
    <font>
      <b/>
      <sz val="9.0"/>
      <color rgb="FF7A3737"/>
      <name val="Microsoft Yahei"/>
    </font>
    <font>
      <b/>
      <sz val="10.0"/>
      <color rgb="FF7A3737"/>
      <name val="Microsoft Yahei"/>
    </font>
    <font>
      <b/>
      <sz val="10.0"/>
      <color rgb="FF000000"/>
      <name val="Microsoft Yahei"/>
    </font>
    <font>
      <sz val="9.0"/>
      <color rgb="FF000000"/>
      <name val="Calibri"/>
    </font>
    <font>
      <b/>
      <sz val="10.0"/>
      <color rgb="FF1E1E1E"/>
      <name val="Microsoft Yahei"/>
    </font>
    <font>
      <sz val="10.0"/>
      <color rgb="FF000000"/>
      <name val="Microsoft Yahei"/>
    </font>
    <font>
      <b/>
      <sz val="11.0"/>
      <color theme="1"/>
      <name val="Microsoft Yahei"/>
    </font>
  </fonts>
  <fills count="4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F4E78"/>
        <bgColor rgb="FF1F4E78"/>
      </patternFill>
    </fill>
    <fill>
      <patternFill patternType="solid">
        <fgColor rgb="FF2E7D32"/>
        <bgColor rgb="FF2E7D32"/>
      </patternFill>
    </fill>
    <fill>
      <patternFill patternType="solid">
        <fgColor rgb="FFD9E9F6"/>
        <bgColor rgb="FFD9E9F6"/>
      </patternFill>
    </fill>
    <fill>
      <patternFill patternType="solid">
        <fgColor rgb="FFFFFFFF"/>
        <bgColor rgb="FFFFFFFF"/>
      </patternFill>
    </fill>
    <fill>
      <patternFill patternType="solid">
        <fgColor rgb="FFE8F1F6"/>
        <bgColor rgb="FFE8F1F6"/>
      </patternFill>
    </fill>
    <fill>
      <patternFill patternType="solid">
        <fgColor rgb="FFFFF0CC"/>
        <bgColor rgb="FFFFF0CC"/>
      </patternFill>
    </fill>
    <fill>
      <patternFill patternType="solid">
        <fgColor rgb="FF64738B"/>
        <bgColor rgb="FF64738B"/>
      </patternFill>
    </fill>
    <fill>
      <patternFill patternType="solid">
        <fgColor rgb="FFD8E9F6"/>
        <bgColor rgb="FFD8E9F6"/>
      </patternFill>
    </fill>
    <fill>
      <patternFill patternType="solid">
        <fgColor rgb="FFF1F4F6"/>
        <bgColor rgb="FFF1F4F6"/>
      </patternFill>
    </fill>
    <fill>
      <patternFill patternType="solid">
        <fgColor rgb="FFECF5FA"/>
        <bgColor rgb="FFECF5FA"/>
      </patternFill>
    </fill>
    <fill>
      <patternFill patternType="solid">
        <fgColor rgb="FFE2F0D9"/>
        <bgColor rgb="FFE2F0D9"/>
      </patternFill>
    </fill>
    <fill>
      <patternFill patternType="solid">
        <fgColor rgb="FFFFF1CC"/>
        <bgColor rgb="FFFFF1CC"/>
      </patternFill>
    </fill>
    <fill>
      <patternFill patternType="solid">
        <fgColor rgb="FFFBE4E4"/>
        <bgColor rgb="FFFBE4E4"/>
      </patternFill>
    </fill>
    <fill>
      <patternFill patternType="solid">
        <fgColor rgb="FFFBE3D5"/>
        <bgColor rgb="FFFBE3D5"/>
      </patternFill>
    </fill>
    <fill>
      <patternFill patternType="solid">
        <fgColor rgb="FFFFF6F0"/>
        <bgColor rgb="FFFFF6F0"/>
      </patternFill>
    </fill>
    <fill>
      <patternFill patternType="solid">
        <fgColor rgb="FFF3F6F9"/>
        <bgColor rgb="FFF3F6F9"/>
      </patternFill>
    </fill>
    <fill>
      <patternFill patternType="solid">
        <fgColor rgb="FFFFF4CC"/>
        <bgColor rgb="FFFFF4CC"/>
      </patternFill>
    </fill>
    <fill>
      <patternFill patternType="solid">
        <fgColor rgb="FFB85C5C"/>
        <bgColor rgb="FFB85C5C"/>
      </patternFill>
    </fill>
    <fill>
      <patternFill patternType="solid">
        <fgColor rgb="FF2F7D70"/>
        <bgColor rgb="FF2F7D70"/>
      </patternFill>
    </fill>
    <fill>
      <patternFill patternType="solid">
        <fgColor rgb="FF3B6EA8"/>
        <bgColor rgb="FF3B6EA8"/>
      </patternFill>
    </fill>
    <fill>
      <patternFill patternType="solid">
        <fgColor rgb="FFFCEBE9"/>
        <bgColor rgb="FFFCEBE9"/>
      </patternFill>
    </fill>
    <fill>
      <patternFill patternType="solid">
        <fgColor rgb="FFFFF8F7"/>
        <bgColor rgb="FFFFF8F7"/>
      </patternFill>
    </fill>
    <fill>
      <patternFill patternType="solid">
        <fgColor rgb="FFE8F4F1"/>
        <bgColor rgb="FFE8F4F1"/>
      </patternFill>
    </fill>
    <fill>
      <patternFill patternType="solid">
        <fgColor rgb="FFF7FCFA"/>
        <bgColor rgb="FFF7FCFA"/>
      </patternFill>
    </fill>
    <fill>
      <patternFill patternType="solid">
        <fgColor rgb="FFDCE8F4"/>
        <bgColor rgb="FFDCE8F4"/>
      </patternFill>
    </fill>
    <fill>
      <patternFill patternType="solid">
        <fgColor rgb="FFD9EAF7"/>
        <bgColor rgb="FFD9EAF7"/>
      </patternFill>
    </fill>
    <fill>
      <patternFill patternType="solid">
        <fgColor rgb="FFE8EEF5"/>
        <bgColor rgb="FFE8EEF5"/>
      </patternFill>
    </fill>
    <fill>
      <patternFill patternType="solid">
        <fgColor rgb="FFB9822B"/>
        <bgColor rgb="FFB9822B"/>
      </patternFill>
    </fill>
    <fill>
      <patternFill patternType="solid">
        <fgColor rgb="FF52677D"/>
        <bgColor rgb="FF52677D"/>
      </patternFill>
    </fill>
    <fill>
      <patternFill patternType="solid">
        <fgColor rgb="FFF5F7FA"/>
        <bgColor rgb="FFF5F7FA"/>
      </patternFill>
    </fill>
    <fill>
      <patternFill patternType="solid">
        <fgColor rgb="FFFFF7F6"/>
        <bgColor rgb="FFFFF7F6"/>
      </patternFill>
    </fill>
    <fill>
      <patternFill patternType="solid">
        <fgColor rgb="FFEAF5EA"/>
        <bgColor rgb="FFEAF5EA"/>
      </patternFill>
    </fill>
    <fill>
      <patternFill patternType="solid">
        <fgColor rgb="FFF4FAF8"/>
        <bgColor rgb="FFF4FAF8"/>
      </patternFill>
    </fill>
    <fill>
      <patternFill patternType="solid">
        <fgColor rgb="FFF6F9FC"/>
        <bgColor rgb="FFF6F9FC"/>
      </patternFill>
    </fill>
    <fill>
      <patternFill patternType="solid">
        <fgColor rgb="FFFFF9EC"/>
        <bgColor rgb="FFFFF9EC"/>
      </patternFill>
    </fill>
    <fill>
      <patternFill patternType="solid">
        <fgColor rgb="FFFFF7D6"/>
        <bgColor rgb="FFFFF7D6"/>
      </patternFill>
    </fill>
    <fill>
      <patternFill patternType="solid">
        <fgColor rgb="FF5D7895"/>
        <bgColor rgb="FF5D7895"/>
      </patternFill>
    </fill>
    <fill>
      <patternFill patternType="solid">
        <fgColor rgb="FFFFF2CC"/>
        <bgColor rgb="FFFFF2CC"/>
      </patternFill>
    </fill>
    <fill>
      <patternFill patternType="solid">
        <fgColor rgb="FFDDF0EB"/>
        <bgColor rgb="FFDDF0EB"/>
      </patternFill>
    </fill>
    <fill>
      <patternFill patternType="solid">
        <fgColor rgb="FFF5DDDA"/>
        <bgColor rgb="FFF5DDDA"/>
      </patternFill>
    </fill>
    <fill>
      <patternFill patternType="solid">
        <fgColor rgb="FFF4B026"/>
        <bgColor rgb="FFF4B026"/>
      </patternFill>
    </fill>
    <fill>
      <patternFill patternType="solid">
        <fgColor rgb="FFECEFF2"/>
        <bgColor rgb="FFECEFF2"/>
      </patternFill>
    </fill>
  </fills>
  <borders count="29">
    <border/>
    <border>
      <left style="thin">
        <color rgb="FFD1DDE8"/>
      </left>
      <right style="thin">
        <color rgb="FFD1DDE8"/>
      </right>
      <top style="thin">
        <color rgb="FFD1DDE8"/>
      </top>
      <bottom style="thin">
        <color rgb="FFD1DDE8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medium">
        <color rgb="FF1F4E78"/>
      </left>
      <right style="thin">
        <color rgb="FFD1DDE8"/>
      </right>
      <top style="medium">
        <color rgb="FF1F4E78"/>
      </top>
      <bottom style="thin">
        <color rgb="FFD1DDE8"/>
      </bottom>
    </border>
    <border>
      <left style="thin">
        <color rgb="FFD1DDE8"/>
      </left>
      <right style="thin">
        <color rgb="FFD1DDE8"/>
      </right>
      <top style="medium">
        <color rgb="FF1F4E78"/>
      </top>
      <bottom style="thin">
        <color rgb="FFD1DDE8"/>
      </bottom>
    </border>
    <border>
      <left style="thin">
        <color rgb="FFD1DDE8"/>
      </left>
      <right style="medium">
        <color rgb="FF1F4E78"/>
      </right>
      <top style="medium">
        <color rgb="FF1F4E78"/>
      </top>
      <bottom style="thin">
        <color rgb="FFD1DDE8"/>
      </bottom>
    </border>
    <border>
      <left style="thin">
        <color rgb="FFE2E7F0"/>
      </left>
      <top style="thin">
        <color rgb="FFE2E7F0"/>
      </top>
      <bottom style="medium">
        <color rgb="FF1F4E78"/>
      </bottom>
    </border>
    <border>
      <left style="thin">
        <color rgb="FFA6B8C6"/>
      </left>
      <right style="thin">
        <color rgb="FFA6B8C6"/>
      </right>
      <top style="thin">
        <color rgb="FFA6B8C6"/>
      </top>
      <bottom style="thin">
        <color rgb="FFA6B8C6"/>
      </bottom>
    </border>
    <border>
      <left style="medium">
        <color rgb="FF1F4E78"/>
      </left>
      <right style="thin">
        <color rgb="FFD1DDE8"/>
      </right>
      <top style="thin">
        <color rgb="FFD1DDE8"/>
      </top>
      <bottom style="medium">
        <color rgb="FF1F4E78"/>
      </bottom>
    </border>
    <border>
      <left style="thin">
        <color rgb="FFD1DDE8"/>
      </left>
      <right style="thin">
        <color rgb="FFD1DDE8"/>
      </right>
      <top style="thin">
        <color rgb="FFD1DDE8"/>
      </top>
      <bottom style="medium">
        <color rgb="FF1F4E78"/>
      </bottom>
    </border>
    <border>
      <left style="thin">
        <color rgb="FFD1DDE8"/>
      </left>
      <right style="medium">
        <color rgb="FF1F4E78"/>
      </right>
      <top style="thin">
        <color rgb="FFD1DDE8"/>
      </top>
      <bottom style="medium">
        <color rgb="FF1F4E78"/>
      </bottom>
    </border>
    <border>
      <left style="thin">
        <color rgb="FFE2E7F0"/>
      </left>
      <bottom style="medium">
        <color rgb="FF1F4E78"/>
      </bottom>
    </border>
    <border>
      <left style="medium">
        <color rgb="FF1F4E78"/>
      </left>
      <right style="thin">
        <color rgb="FFD1DDE8"/>
      </right>
      <bottom style="medium">
        <color rgb="FF1F4E78"/>
      </bottom>
    </border>
    <border>
      <left style="thin">
        <color rgb="FFD1DDE8"/>
      </left>
      <right style="thin">
        <color rgb="FFD1DDE8"/>
      </right>
      <bottom style="medium">
        <color rgb="FF1F4E78"/>
      </bottom>
    </border>
    <border>
      <left style="thin">
        <color rgb="FFD1DDE8"/>
      </left>
      <right style="medium">
        <color rgb="FF1F4E78"/>
      </right>
      <bottom style="medium">
        <color rgb="FF1F4E78"/>
      </bottom>
    </border>
    <border>
      <right/>
      <top/>
      <bottom/>
    </border>
    <border>
      <left/>
      <right/>
      <top/>
      <bottom/>
    </border>
    <border>
      <left style="thin">
        <color rgb="FFE2E7F0"/>
      </left>
      <right style="thin">
        <color rgb="FFE2E7F0"/>
      </right>
      <top style="thin">
        <color rgb="FFE2E7F0"/>
      </top>
      <bottom style="thin">
        <color rgb="FFE2E7F0"/>
      </bottom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B8C6"/>
      </left>
      <top style="thin">
        <color rgb="FFA6B8C6"/>
      </top>
      <bottom style="thin">
        <color rgb="FFA6B8C6"/>
      </bottom>
    </border>
    <border>
      <right style="thin">
        <color rgb="FFA6B8C6"/>
      </right>
      <top style="thin">
        <color rgb="FFA6B8C6"/>
      </top>
      <bottom style="thin">
        <color rgb="FFA6B8C6"/>
      </bottom>
    </border>
    <border>
      <left style="thin">
        <color rgb="FFCCD3DB"/>
      </left>
      <right style="thin">
        <color rgb="FFCCD3DB"/>
      </right>
    </border>
  </borders>
  <cellStyleXfs count="1">
    <xf borderId="0" fillId="2" fontId="0" numFmtId="0" applyAlignment="1" applyFill="1" applyFont="1"/>
  </cellStyleXfs>
  <cellXfs count="175">
    <xf borderId="0" fillId="2" fontId="0" numFmtId="0" xfId="0" applyAlignment="1" applyFill="1" applyFont="1">
      <alignment readingOrder="0" shrinkToFit="0" vertical="center" wrapText="0"/>
    </xf>
    <xf borderId="1" fillId="3" fontId="1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5" fillId="4" fontId="5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vertical="center"/>
    </xf>
    <xf borderId="0" fillId="6" fontId="6" numFmtId="0" xfId="0" applyAlignment="1" applyFill="1" applyFont="1">
      <alignment horizontal="center" shrinkToFit="0" vertical="center" wrapText="1"/>
    </xf>
    <xf borderId="7" fillId="0" fontId="4" numFmtId="0" xfId="0" applyAlignment="1" applyBorder="1" applyFont="1">
      <alignment vertical="center"/>
    </xf>
    <xf borderId="5" fillId="4" fontId="5" numFmtId="0" xfId="0" applyAlignment="1" applyBorder="1" applyFont="1">
      <alignment horizontal="center" readingOrder="0" shrinkToFit="0" vertical="center" wrapText="1"/>
    </xf>
    <xf borderId="3" fillId="7" fontId="7" numFmtId="0" xfId="0" applyAlignment="1" applyBorder="1" applyFill="1" applyFont="1">
      <alignment horizontal="left" shrinkToFit="0" vertical="center" wrapText="1"/>
    </xf>
    <xf borderId="0" fillId="8" fontId="8" numFmtId="0" xfId="0" applyAlignment="1" applyFill="1" applyFont="1">
      <alignment readingOrder="0" shrinkToFit="0" vertical="center" wrapText="1"/>
    </xf>
    <xf borderId="8" fillId="0" fontId="4" numFmtId="0" xfId="0" applyAlignment="1" applyBorder="1" applyFont="1">
      <alignment vertical="center"/>
    </xf>
    <xf borderId="0" fillId="6" fontId="9" numFmtId="0" xfId="0" applyAlignment="1" applyFont="1">
      <alignment horizontal="center" shrinkToFit="0" vertical="center" wrapText="1"/>
    </xf>
    <xf borderId="1" fillId="5" fontId="10" numFmtId="0" xfId="0" applyAlignment="1" applyBorder="1" applyFont="1">
      <alignment horizontal="left" shrinkToFit="0" vertical="center" wrapText="1"/>
    </xf>
    <xf borderId="5" fillId="9" fontId="5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3" fillId="10" fontId="11" numFmtId="0" xfId="0" applyAlignment="1" applyBorder="1" applyFill="1" applyFont="1">
      <alignment horizontal="center" shrinkToFit="0" vertical="center" wrapText="1"/>
    </xf>
    <xf borderId="9" fillId="10" fontId="11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vertical="center"/>
    </xf>
    <xf borderId="10" fillId="10" fontId="11" numFmtId="0" xfId="0" applyAlignment="1" applyBorder="1" applyFont="1">
      <alignment horizontal="center" shrinkToFit="0" vertical="center" wrapText="1"/>
    </xf>
    <xf borderId="11" fillId="10" fontId="11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left" shrinkToFit="0" vertical="center" wrapText="1"/>
    </xf>
    <xf borderId="5" fillId="11" fontId="12" numFmtId="164" xfId="0" applyAlignment="1" applyBorder="1" applyFill="1" applyFont="1" applyNumberFormat="1">
      <alignment horizontal="center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5" fillId="11" fontId="12" numFmtId="0" xfId="0" applyAlignment="1" applyBorder="1" applyFont="1">
      <alignment horizontal="center" shrinkToFit="0" vertical="center" wrapText="1"/>
    </xf>
    <xf borderId="12" fillId="12" fontId="11" numFmtId="0" xfId="0" applyAlignment="1" applyBorder="1" applyFill="1" applyFont="1">
      <alignment horizontal="center" shrinkToFit="0" vertical="center" wrapText="1"/>
    </xf>
    <xf borderId="13" fillId="13" fontId="9" numFmtId="164" xfId="0" applyAlignment="1" applyBorder="1" applyFill="1" applyFont="1" applyNumberFormat="1">
      <alignment shrinkToFit="0" vertical="center" wrapText="1"/>
    </xf>
    <xf borderId="5" fillId="13" fontId="12" numFmtId="1" xfId="0" applyAlignment="1" applyBorder="1" applyFont="1" applyNumberFormat="1">
      <alignment horizontal="center" shrinkToFit="0" vertical="center" wrapText="1"/>
    </xf>
    <xf borderId="5" fillId="3" fontId="13" numFmtId="0" xfId="0" applyAlignment="1" applyBorder="1" applyFont="1">
      <alignment horizontal="center" readingOrder="0" shrinkToFit="0" vertical="center" wrapText="1"/>
    </xf>
    <xf borderId="5" fillId="13" fontId="12" numFmtId="0" xfId="0" applyAlignment="1" applyBorder="1" applyFont="1">
      <alignment shrinkToFit="0" vertical="center" wrapText="1"/>
    </xf>
    <xf borderId="13" fillId="13" fontId="9" numFmtId="0" xfId="0" applyAlignment="1" applyBorder="1" applyFont="1">
      <alignment shrinkToFit="0" vertical="center" wrapText="1"/>
    </xf>
    <xf borderId="5" fillId="13" fontId="14" numFmtId="0" xfId="0" applyAlignment="1" applyBorder="1" applyFont="1">
      <alignment horizontal="left" readingOrder="0" shrinkToFit="0" vertical="center" wrapText="1"/>
    </xf>
    <xf borderId="13" fillId="11" fontId="9" numFmtId="0" xfId="0" applyAlignment="1" applyBorder="1" applyFont="1">
      <alignment shrinkToFit="0" vertical="center" wrapText="1"/>
    </xf>
    <xf borderId="5" fillId="14" fontId="15" numFmtId="0" xfId="0" applyAlignment="1" applyBorder="1" applyFill="1" applyFont="1">
      <alignment horizontal="left" readingOrder="0" shrinkToFit="0" vertical="center" wrapText="1"/>
    </xf>
    <xf borderId="14" fillId="6" fontId="9" numFmtId="0" xfId="0" applyAlignment="1" applyBorder="1" applyFont="1">
      <alignment horizontal="center" shrinkToFit="0" vertical="center" wrapText="1"/>
    </xf>
    <xf borderId="5" fillId="15" fontId="16" numFmtId="0" xfId="0" applyAlignment="1" applyBorder="1" applyFill="1" applyFont="1">
      <alignment horizontal="left" readingOrder="0" shrinkToFit="0" vertical="center" wrapText="1"/>
    </xf>
    <xf borderId="15" fillId="6" fontId="9" numFmtId="0" xfId="0" applyAlignment="1" applyBorder="1" applyFont="1">
      <alignment horizontal="center" shrinkToFit="0" vertical="center" wrapText="1"/>
    </xf>
    <xf borderId="1" fillId="6" fontId="17" numFmtId="0" xfId="0" applyAlignment="1" applyBorder="1" applyFont="1">
      <alignment horizontal="left" readingOrder="0" shrinkToFit="0" vertical="top" wrapText="1"/>
    </xf>
    <xf borderId="16" fillId="6" fontId="9" numFmtId="0" xfId="0" applyAlignment="1" applyBorder="1" applyFont="1">
      <alignment horizontal="center" shrinkToFit="0" vertical="center" wrapText="1"/>
    </xf>
    <xf borderId="0" fillId="13" fontId="9" numFmtId="0" xfId="0" applyAlignment="1" applyFont="1">
      <alignment shrinkToFit="0" vertical="center" wrapText="1"/>
    </xf>
    <xf borderId="0" fillId="11" fontId="9" numFmtId="0" xfId="0" applyAlignment="1" applyFont="1">
      <alignment shrinkToFit="0" vertical="center" wrapText="1"/>
    </xf>
    <xf borderId="17" fillId="12" fontId="11" numFmtId="0" xfId="0" applyAlignment="1" applyBorder="1" applyFont="1">
      <alignment horizontal="center" shrinkToFit="0" vertical="center" wrapText="1"/>
    </xf>
    <xf borderId="18" fillId="6" fontId="9" numFmtId="0" xfId="0" applyAlignment="1" applyBorder="1" applyFont="1">
      <alignment horizontal="center" shrinkToFit="0" vertical="center" wrapText="1"/>
    </xf>
    <xf borderId="19" fillId="6" fontId="9" numFmtId="0" xfId="0" applyAlignment="1" applyBorder="1" applyFont="1">
      <alignment horizontal="center" shrinkToFit="0" vertical="center" wrapText="1"/>
    </xf>
    <xf borderId="20" fillId="6" fontId="9" numFmtId="0" xfId="0" applyAlignment="1" applyBorder="1" applyFont="1">
      <alignment horizontal="center" shrinkToFit="0" vertical="center" wrapText="1"/>
    </xf>
    <xf borderId="1" fillId="10" fontId="18" numFmtId="0" xfId="0" applyAlignment="1" applyBorder="1" applyFont="1">
      <alignment horizontal="left" shrinkToFit="0" vertical="center" wrapText="1"/>
    </xf>
    <xf borderId="13" fillId="3" fontId="2" numFmtId="0" xfId="0" applyAlignment="1" applyBorder="1" applyFont="1">
      <alignment horizontal="center" vertical="center"/>
    </xf>
    <xf borderId="13" fillId="6" fontId="17" numFmtId="0" xfId="0" applyAlignment="1" applyBorder="1" applyFont="1">
      <alignment horizontal="left" shrinkToFit="0" vertical="top" wrapText="1"/>
    </xf>
    <xf borderId="21" fillId="6" fontId="9" numFmtId="0" xfId="0" applyAlignment="1" applyBorder="1" applyFont="1">
      <alignment horizontal="center" shrinkToFit="0" vertical="center" wrapText="1"/>
    </xf>
    <xf borderId="22" fillId="6" fontId="9" numFmtId="0" xfId="0" applyAlignment="1" applyBorder="1" applyFont="1">
      <alignment horizontal="center" shrinkToFit="0" vertical="center" wrapText="1"/>
    </xf>
    <xf borderId="0" fillId="11" fontId="19" numFmtId="0" xfId="0" applyAlignment="1" applyFont="1">
      <alignment vertical="center"/>
    </xf>
    <xf borderId="0" fillId="13" fontId="19" numFmtId="0" xfId="0" applyAlignment="1" applyFont="1">
      <alignment vertical="center"/>
    </xf>
    <xf borderId="13" fillId="3" fontId="5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vertical="center"/>
    </xf>
    <xf borderId="13" fillId="6" fontId="9" numFmtId="0" xfId="0" applyAlignment="1" applyBorder="1" applyFont="1">
      <alignment shrinkToFit="0" vertical="center" wrapText="1"/>
    </xf>
    <xf borderId="0" fillId="6" fontId="9" numFmtId="0" xfId="0" applyAlignment="1" applyFont="1">
      <alignment shrinkToFit="0" vertical="center" wrapText="1"/>
    </xf>
    <xf quotePrefix="1" borderId="13" fillId="13" fontId="9" numFmtId="164" xfId="0" applyAlignment="1" applyBorder="1" applyFont="1" applyNumberFormat="1">
      <alignment readingOrder="0" shrinkToFit="0" vertical="center" wrapText="1"/>
    </xf>
    <xf borderId="13" fillId="13" fontId="9" numFmtId="164" xfId="0" applyAlignment="1" applyBorder="1" applyFont="1" applyNumberFormat="1">
      <alignment readingOrder="0" shrinkToFit="0" vertical="center" wrapText="1"/>
    </xf>
    <xf borderId="13" fillId="13" fontId="9" numFmtId="0" xfId="0" applyAlignment="1" applyBorder="1" applyFont="1">
      <alignment readingOrder="0" shrinkToFit="0" vertical="center" wrapText="1"/>
    </xf>
    <xf borderId="13" fillId="13" fontId="9" numFmtId="0" xfId="0" applyAlignment="1" applyBorder="1" applyFont="1">
      <alignment readingOrder="0" shrinkToFit="0" vertical="center" wrapText="1"/>
    </xf>
    <xf borderId="3" fillId="16" fontId="21" numFmtId="0" xfId="0" applyAlignment="1" applyBorder="1" applyFill="1" applyFont="1">
      <alignment horizontal="left" shrinkToFit="0" vertical="center" wrapText="1"/>
    </xf>
    <xf borderId="23" fillId="12" fontId="11" numFmtId="0" xfId="0" applyAlignment="1" applyBorder="1" applyFont="1">
      <alignment horizontal="center" shrinkToFit="0" vertical="center" wrapText="1"/>
    </xf>
    <xf borderId="23" fillId="17" fontId="22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horizontal="left" vertical="center"/>
    </xf>
    <xf borderId="24" fillId="18" fontId="23" numFmtId="0" xfId="0" applyAlignment="1" applyBorder="1" applyFill="1" applyFont="1">
      <alignment readingOrder="0" shrinkToFit="0" vertical="center" wrapText="1"/>
    </xf>
    <xf borderId="24" fillId="19" fontId="24" numFmtId="164" xfId="0" applyAlignment="1" applyBorder="1" applyFill="1" applyFont="1" applyNumberFormat="1">
      <alignment horizontal="center" shrinkToFit="0" vertical="center" wrapText="1"/>
    </xf>
    <xf borderId="24" fillId="19" fontId="24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20" fontId="25" numFmtId="0" xfId="0" applyAlignment="1" applyFill="1" applyFont="1">
      <alignment horizontal="center" readingOrder="0" shrinkToFit="0" vertical="center" wrapText="1"/>
    </xf>
    <xf borderId="0" fillId="21" fontId="25" numFmtId="0" xfId="0" applyAlignment="1" applyFill="1" applyFont="1">
      <alignment horizontal="center" readingOrder="0" shrinkToFit="0" vertical="center" wrapText="1"/>
    </xf>
    <xf borderId="0" fillId="22" fontId="25" numFmtId="0" xfId="0" applyAlignment="1" applyFill="1" applyFont="1">
      <alignment horizontal="center" readingOrder="0" shrinkToFit="0" vertical="center" wrapText="1"/>
    </xf>
    <xf borderId="24" fillId="23" fontId="26" numFmtId="0" xfId="0" applyAlignment="1" applyBorder="1" applyFill="1" applyFont="1">
      <alignment readingOrder="0" shrinkToFit="0" vertical="center" wrapText="1"/>
    </xf>
    <xf borderId="24" fillId="24" fontId="27" numFmtId="1" xfId="0" applyAlignment="1" applyBorder="1" applyFill="1" applyFont="1" applyNumberFormat="1">
      <alignment horizontal="center" shrinkToFit="0" vertical="center" wrapText="1"/>
    </xf>
    <xf borderId="24" fillId="25" fontId="28" numFmtId="0" xfId="0" applyAlignment="1" applyBorder="1" applyFill="1" applyFont="1">
      <alignment readingOrder="0" shrinkToFit="0" vertical="center" wrapText="1"/>
    </xf>
    <xf borderId="24" fillId="26" fontId="29" numFmtId="1" xfId="0" applyAlignment="1" applyBorder="1" applyFill="1" applyFont="1" applyNumberFormat="1">
      <alignment horizontal="center" shrinkToFit="0" vertical="center" wrapText="1"/>
    </xf>
    <xf borderId="24" fillId="27" fontId="30" numFmtId="0" xfId="0" applyAlignment="1" applyBorder="1" applyFill="1" applyFont="1">
      <alignment horizontal="center" readingOrder="0" shrinkToFit="0" vertical="center" wrapText="1"/>
    </xf>
    <xf borderId="5" fillId="28" fontId="31" numFmtId="0" xfId="0" applyAlignment="1" applyBorder="1" applyFill="1" applyFont="1">
      <alignment horizontal="center" shrinkToFit="0" vertical="center" wrapText="1"/>
    </xf>
    <xf borderId="24" fillId="29" fontId="23" numFmtId="0" xfId="0" applyAlignment="1" applyBorder="1" applyFill="1" applyFont="1">
      <alignment readingOrder="0" shrinkToFit="0" vertical="center" wrapText="1"/>
    </xf>
    <xf borderId="24" fillId="19" fontId="32" numFmtId="1" xfId="0" applyAlignment="1" applyBorder="1" applyFont="1" applyNumberFormat="1">
      <alignment horizontal="center" shrinkToFit="0" vertical="center" wrapText="1"/>
    </xf>
    <xf borderId="24" fillId="22" fontId="33" numFmtId="0" xfId="0" applyAlignment="1" applyBorder="1" applyFont="1">
      <alignment horizontal="center" readingOrder="0" shrinkToFit="0" vertical="center" wrapText="1"/>
    </xf>
    <xf borderId="24" fillId="20" fontId="33" numFmtId="0" xfId="0" applyAlignment="1" applyBorder="1" applyFont="1">
      <alignment horizontal="center" readingOrder="0" shrinkToFit="0" vertical="center" wrapText="1"/>
    </xf>
    <xf borderId="24" fillId="21" fontId="33" numFmtId="0" xfId="0" applyAlignment="1" applyBorder="1" applyFont="1">
      <alignment horizontal="center" readingOrder="0" shrinkToFit="0" vertical="center" wrapText="1"/>
    </xf>
    <xf borderId="24" fillId="30" fontId="33" numFmtId="0" xfId="0" applyAlignment="1" applyBorder="1" applyFill="1" applyFont="1">
      <alignment horizontal="center" readingOrder="0" shrinkToFit="0" vertical="center" wrapText="1"/>
    </xf>
    <xf borderId="24" fillId="31" fontId="33" numFmtId="0" xfId="0" applyAlignment="1" applyBorder="1" applyFill="1" applyFont="1">
      <alignment horizontal="center" readingOrder="0" shrinkToFit="0" vertical="center" wrapText="1"/>
    </xf>
    <xf borderId="24" fillId="6" fontId="34" numFmtId="0" xfId="0" applyAlignment="1" applyBorder="1" applyFont="1">
      <alignment shrinkToFit="0" vertical="center" wrapText="1"/>
    </xf>
    <xf borderId="24" fillId="32" fontId="23" numFmtId="165" xfId="0" applyAlignment="1" applyBorder="1" applyFill="1" applyFont="1" applyNumberFormat="1">
      <alignment horizontal="center" shrinkToFit="0" vertical="center" wrapText="1"/>
    </xf>
    <xf borderId="24" fillId="33" fontId="35" numFmtId="1" xfId="0" applyAlignment="1" applyBorder="1" applyFill="1" applyFont="1" applyNumberFormat="1">
      <alignment horizontal="center" shrinkToFit="0" vertical="center" wrapText="1"/>
    </xf>
    <xf borderId="24" fillId="6" fontId="36" numFmtId="1" xfId="0" applyAlignment="1" applyBorder="1" applyFont="1" applyNumberFormat="1">
      <alignment horizontal="center" shrinkToFit="0" vertical="center" wrapText="1"/>
    </xf>
    <xf borderId="24" fillId="34" fontId="37" numFmtId="1" xfId="0" applyAlignment="1" applyBorder="1" applyFill="1" applyFont="1" applyNumberFormat="1">
      <alignment horizontal="center" shrinkToFit="0" vertical="center" wrapText="1"/>
    </xf>
    <xf borderId="5" fillId="0" fontId="12" numFmtId="1" xfId="0" applyAlignment="1" applyBorder="1" applyFont="1" applyNumberFormat="1">
      <alignment horizontal="center" shrinkToFit="0" vertical="center" wrapText="1"/>
    </xf>
    <xf borderId="24" fillId="35" fontId="38" numFmtId="1" xfId="0" applyAlignment="1" applyBorder="1" applyFill="1" applyFont="1" applyNumberFormat="1">
      <alignment horizontal="center" shrinkToFit="0" vertical="center" wrapText="1"/>
    </xf>
    <xf borderId="24" fillId="36" fontId="34" numFmtId="0" xfId="0" applyAlignment="1" applyBorder="1" applyFill="1" applyFont="1">
      <alignment shrinkToFit="0" vertical="center" wrapText="1"/>
    </xf>
    <xf borderId="24" fillId="36" fontId="36" numFmtId="1" xfId="0" applyAlignment="1" applyBorder="1" applyFont="1" applyNumberFormat="1">
      <alignment horizontal="center" shrinkToFit="0" vertical="center" wrapText="1"/>
    </xf>
    <xf borderId="24" fillId="37" fontId="39" numFmtId="1" xfId="0" applyAlignment="1" applyBorder="1" applyFill="1" applyFont="1" applyNumberFormat="1">
      <alignment horizontal="center" shrinkToFit="0" vertical="center" wrapText="1"/>
    </xf>
    <xf borderId="24" fillId="32" fontId="40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0" fillId="22" fontId="13" numFmtId="0" xfId="0" applyAlignment="1" applyFont="1">
      <alignment horizontal="left" readingOrder="0" shrinkToFit="0" vertical="center" wrapText="1"/>
    </xf>
    <xf borderId="0" fillId="22" fontId="13" numFmtId="0" xfId="0" applyAlignment="1" applyFont="1">
      <alignment horizontal="left" shrinkToFit="0" vertical="center" wrapText="1"/>
    </xf>
    <xf borderId="24" fillId="19" fontId="24" numFmtId="166" xfId="0" applyAlignment="1" applyBorder="1" applyFont="1" applyNumberFormat="1">
      <alignment horizontal="center" shrinkToFit="0" vertical="center" wrapText="1"/>
    </xf>
    <xf borderId="0" fillId="13" fontId="9" numFmtId="0" xfId="0" applyAlignment="1" applyFont="1">
      <alignment readingOrder="0" shrinkToFit="0" vertical="center" wrapText="1"/>
    </xf>
    <xf borderId="25" fillId="0" fontId="41" numFmtId="0" xfId="0" applyAlignment="1" applyBorder="1" applyFont="1">
      <alignment horizontal="center" readingOrder="0" vertical="center"/>
    </xf>
    <xf borderId="0" fillId="38" fontId="42" numFmtId="0" xfId="0" applyAlignment="1" applyFill="1" applyFont="1">
      <alignment readingOrder="0" shrinkToFit="0" vertical="center" wrapText="1"/>
    </xf>
    <xf borderId="0" fillId="28" fontId="31" numFmtId="0" xfId="0" applyAlignment="1" applyFont="1">
      <alignment shrinkToFit="0" vertical="center" wrapText="1"/>
    </xf>
    <xf borderId="24" fillId="39" fontId="33" numFmtId="0" xfId="0" applyAlignment="1" applyBorder="1" applyFill="1" applyFont="1">
      <alignment horizontal="center" readingOrder="0" shrinkToFit="0" vertical="center" wrapText="1"/>
    </xf>
    <xf borderId="0" fillId="28" fontId="31" numFmtId="0" xfId="0" applyAlignment="1" applyFont="1">
      <alignment horizontal="center" shrinkToFit="0" vertical="center" wrapText="1"/>
    </xf>
    <xf borderId="24" fillId="19" fontId="43" numFmtId="164" xfId="0" applyAlignment="1" applyBorder="1" applyFont="1" applyNumberFormat="1">
      <alignment horizontal="center" shrinkToFit="0" vertical="center" wrapText="1"/>
    </xf>
    <xf borderId="24" fillId="19" fontId="43" numFmtId="0" xfId="0" applyAlignment="1" applyBorder="1" applyFont="1">
      <alignment horizontal="center" shrinkToFit="0" vertical="center" wrapText="1"/>
    </xf>
    <xf borderId="24" fillId="19" fontId="43" numFmtId="1" xfId="0" applyAlignment="1" applyBorder="1" applyFont="1" applyNumberFormat="1">
      <alignment horizontal="center" shrinkToFit="0" vertical="center" wrapText="1"/>
    </xf>
    <xf borderId="0" fillId="40" fontId="12" numFmtId="0" xfId="0" applyAlignment="1" applyFill="1" applyFont="1">
      <alignment horizontal="center" shrinkToFit="0" vertical="center" wrapText="1"/>
    </xf>
    <xf borderId="0" fillId="3" fontId="13" numFmtId="0" xfId="0" applyAlignment="1" applyFont="1">
      <alignment horizontal="left" readingOrder="0" vertical="center"/>
    </xf>
    <xf borderId="5" fillId="3" fontId="13" numFmtId="0" xfId="0" applyAlignment="1" applyBorder="1" applyFont="1">
      <alignment horizontal="center" readingOrder="0" shrinkToFit="0" vertical="center" wrapText="1"/>
    </xf>
    <xf borderId="24" fillId="27" fontId="30" numFmtId="164" xfId="0" applyAlignment="1" applyBorder="1" applyFont="1" applyNumberFormat="1">
      <alignment horizontal="center" shrinkToFit="0" vertical="center" wrapText="1"/>
    </xf>
    <xf borderId="24" fillId="27" fontId="30" numFmtId="0" xfId="0" applyAlignment="1" applyBorder="1" applyFont="1">
      <alignment horizontal="center" shrinkToFit="0" vertical="center" wrapText="1"/>
    </xf>
    <xf borderId="24" fillId="27" fontId="30" numFmtId="1" xfId="0" applyAlignment="1" applyBorder="1" applyFont="1" applyNumberFormat="1">
      <alignment horizontal="center" shrinkToFit="0" vertical="center" wrapText="1"/>
    </xf>
    <xf borderId="24" fillId="0" fontId="44" numFmtId="164" xfId="0" applyAlignment="1" applyBorder="1" applyFont="1" applyNumberFormat="1">
      <alignment horizontal="center" shrinkToFit="0" vertical="center" wrapText="1"/>
    </xf>
    <xf borderId="24" fillId="0" fontId="44" numFmtId="1" xfId="0" applyAlignment="1" applyBorder="1" applyFont="1" applyNumberFormat="1">
      <alignment horizontal="center" shrinkToFit="0" vertical="center" wrapText="1"/>
    </xf>
    <xf borderId="24" fillId="0" fontId="44" numFmtId="1" xfId="0" applyAlignment="1" applyBorder="1" applyFont="1" applyNumberFormat="1">
      <alignment horizontal="center" readingOrder="0" shrinkToFit="0" vertical="center" wrapText="1"/>
    </xf>
    <xf borderId="5" fillId="21" fontId="13" numFmtId="0" xfId="0" applyAlignment="1" applyBorder="1" applyFont="1">
      <alignment horizontal="left" readingOrder="0" shrinkToFit="0" vertical="center" wrapText="1"/>
    </xf>
    <xf borderId="5" fillId="21" fontId="13" numFmtId="0" xfId="0" applyAlignment="1" applyBorder="1" applyFont="1">
      <alignment horizontal="left" shrinkToFit="0" vertical="center" wrapText="1"/>
    </xf>
    <xf borderId="5" fillId="21" fontId="13" numFmtId="1" xfId="0" applyAlignment="1" applyBorder="1" applyFont="1" applyNumberFormat="1">
      <alignment horizontal="left" shrinkToFit="0" vertical="center" wrapText="1"/>
    </xf>
    <xf borderId="0" fillId="21" fontId="13" numFmtId="0" xfId="0" applyAlignment="1" applyFont="1">
      <alignment horizontal="left" shrinkToFit="0" vertical="center" wrapText="1"/>
    </xf>
    <xf borderId="0" fillId="22" fontId="25" numFmtId="0" xfId="0" applyAlignment="1" applyFont="1">
      <alignment horizontal="left" readingOrder="0" shrinkToFit="0" vertical="center" wrapText="1"/>
    </xf>
    <xf borderId="0" fillId="22" fontId="25" numFmtId="0" xfId="0" applyAlignment="1" applyFont="1">
      <alignment horizontal="left" shrinkToFit="0" vertical="center" wrapText="1"/>
    </xf>
    <xf borderId="24" fillId="41" fontId="45" numFmtId="0" xfId="0" applyAlignment="1" applyBorder="1" applyFill="1" applyFont="1">
      <alignment horizontal="center" readingOrder="0" shrinkToFit="0" vertical="center" wrapText="1"/>
    </xf>
    <xf borderId="24" fillId="41" fontId="45" numFmtId="165" xfId="0" applyAlignment="1" applyBorder="1" applyFont="1" applyNumberFormat="1">
      <alignment horizontal="center" shrinkToFit="0" vertical="center" wrapText="1"/>
    </xf>
    <xf borderId="24" fillId="6" fontId="44" numFmtId="1" xfId="0" applyAlignment="1" applyBorder="1" applyFont="1" applyNumberFormat="1">
      <alignment horizontal="center" shrinkToFit="0" vertical="center" wrapText="1"/>
    </xf>
    <xf borderId="24" fillId="6" fontId="44" numFmtId="1" xfId="0" applyAlignment="1" applyBorder="1" applyFont="1" applyNumberFormat="1">
      <alignment horizontal="center" readingOrder="0" shrinkToFit="0" vertical="center" wrapText="1"/>
    </xf>
    <xf borderId="24" fillId="6" fontId="44" numFmtId="0" xfId="0" applyAlignment="1" applyBorder="1" applyFont="1">
      <alignment shrinkToFit="0" vertical="center" wrapText="1"/>
    </xf>
    <xf borderId="24" fillId="35" fontId="44" numFmtId="1" xfId="0" applyAlignment="1" applyBorder="1" applyFont="1" applyNumberFormat="1">
      <alignment horizontal="center" shrinkToFit="0" vertical="center" wrapText="1"/>
    </xf>
    <xf borderId="24" fillId="35" fontId="44" numFmtId="1" xfId="0" applyAlignment="1" applyBorder="1" applyFont="1" applyNumberFormat="1">
      <alignment horizontal="center" readingOrder="0" shrinkToFit="0" vertical="center" wrapText="1"/>
    </xf>
    <xf borderId="24" fillId="36" fontId="44" numFmtId="0" xfId="0" applyAlignment="1" applyBorder="1" applyFont="1">
      <alignment shrinkToFit="0" vertical="center" wrapText="1"/>
    </xf>
    <xf borderId="0" fillId="13" fontId="9" numFmtId="0" xfId="0" applyAlignment="1" applyFont="1">
      <alignment readingOrder="0" shrinkToFit="0" vertical="center" wrapText="1"/>
    </xf>
    <xf borderId="24" fillId="41" fontId="46" numFmtId="1" xfId="0" applyAlignment="1" applyBorder="1" applyFont="1" applyNumberFormat="1">
      <alignment horizontal="center" readingOrder="0" shrinkToFit="0" vertical="center" wrapText="1"/>
    </xf>
    <xf borderId="24" fillId="41" fontId="46" numFmtId="1" xfId="0" applyAlignment="1" applyBorder="1" applyFont="1" applyNumberFormat="1">
      <alignment horizontal="center" shrinkToFit="0" vertical="center" wrapText="1"/>
    </xf>
    <xf borderId="13" fillId="11" fontId="9" numFmtId="0" xfId="0" applyAlignment="1" applyBorder="1" applyFont="1">
      <alignment readingOrder="0" shrinkToFit="0" vertical="center" wrapText="1"/>
    </xf>
    <xf borderId="24" fillId="27" fontId="47" numFmtId="1" xfId="0" applyAlignment="1" applyBorder="1" applyFont="1" applyNumberFormat="1">
      <alignment horizontal="center" readingOrder="0" shrinkToFit="0" vertical="center" wrapText="1"/>
    </xf>
    <xf borderId="24" fillId="27" fontId="47" numFmtId="1" xfId="0" applyAlignment="1" applyBorder="1" applyFont="1" applyNumberFormat="1">
      <alignment horizontal="center" vertical="center"/>
    </xf>
    <xf borderId="5" fillId="20" fontId="13" numFmtId="0" xfId="0" applyAlignment="1" applyBorder="1" applyFont="1">
      <alignment horizontal="left" readingOrder="0" shrinkToFit="0" vertical="center" wrapText="1"/>
    </xf>
    <xf borderId="5" fillId="20" fontId="13" numFmtId="0" xfId="0" applyAlignment="1" applyBorder="1" applyFont="1">
      <alignment horizontal="left" shrinkToFit="0" vertical="center" wrapText="1"/>
    </xf>
    <xf borderId="5" fillId="20" fontId="13" numFmtId="1" xfId="0" applyAlignment="1" applyBorder="1" applyFont="1" applyNumberFormat="1">
      <alignment horizontal="left" shrinkToFit="0" vertical="center" wrapText="1"/>
    </xf>
    <xf borderId="0" fillId="20" fontId="13" numFmtId="0" xfId="0" applyAlignment="1" applyFont="1">
      <alignment horizontal="left" shrinkToFit="0" vertical="center" wrapText="1"/>
    </xf>
    <xf borderId="24" fillId="42" fontId="48" numFmtId="0" xfId="0" applyAlignment="1" applyBorder="1" applyFill="1" applyFont="1">
      <alignment horizontal="center" readingOrder="0" shrinkToFit="0" vertical="center" wrapText="1"/>
    </xf>
    <xf borderId="24" fillId="42" fontId="48" numFmtId="165" xfId="0" applyAlignment="1" applyBorder="1" applyFont="1" applyNumberFormat="1">
      <alignment horizontal="center" shrinkToFit="0" vertical="center" wrapText="1"/>
    </xf>
    <xf borderId="24" fillId="33" fontId="44" numFmtId="1" xfId="0" applyAlignment="1" applyBorder="1" applyFont="1" applyNumberFormat="1">
      <alignment horizontal="center" shrinkToFit="0" vertical="center" wrapText="1"/>
    </xf>
    <xf borderId="24" fillId="33" fontId="44" numFmtId="1" xfId="0" applyAlignment="1" applyBorder="1" applyFont="1" applyNumberFormat="1">
      <alignment horizontal="center" readingOrder="0" shrinkToFit="0" vertical="center" wrapText="1"/>
    </xf>
    <xf borderId="24" fillId="42" fontId="49" numFmtId="1" xfId="0" applyAlignment="1" applyBorder="1" applyFont="1" applyNumberFormat="1">
      <alignment horizontal="center" readingOrder="0" shrinkToFit="0" vertical="center" wrapText="1"/>
    </xf>
    <xf borderId="24" fillId="42" fontId="49" numFmtId="1" xfId="0" applyAlignment="1" applyBorder="1" applyFont="1" applyNumberFormat="1">
      <alignment horizontal="center" shrinkToFit="0" vertical="center" wrapText="1"/>
    </xf>
    <xf borderId="26" fillId="6" fontId="50" numFmtId="0" xfId="0" applyAlignment="1" applyBorder="1" applyFont="1">
      <alignment shrinkToFit="0" vertical="center" wrapText="1"/>
    </xf>
    <xf borderId="27" fillId="0" fontId="4" numFmtId="0" xfId="0" applyAlignment="1" applyBorder="1" applyFont="1">
      <alignment vertical="center"/>
    </xf>
    <xf borderId="0" fillId="6" fontId="20" numFmtId="0" xfId="0" applyAlignment="1" applyFont="1">
      <alignment shrinkToFit="0" vertical="center" wrapText="1"/>
    </xf>
    <xf borderId="0" fillId="6" fontId="20" numFmtId="0" xfId="0" applyAlignment="1" applyFont="1">
      <alignment vertical="center"/>
    </xf>
    <xf borderId="13" fillId="6" fontId="51" numFmtId="0" xfId="0" applyAlignment="1" applyBorder="1" applyFont="1">
      <alignment shrinkToFit="0" vertical="center" wrapText="1"/>
    </xf>
    <xf borderId="0" fillId="6" fontId="51" numFmtId="0" xfId="0" applyAlignment="1" applyFont="1">
      <alignment shrinkToFit="0" vertical="center" wrapText="1"/>
    </xf>
    <xf borderId="0" fillId="0" fontId="19" numFmtId="164" xfId="0" applyAlignment="1" applyFont="1" applyNumberFormat="1">
      <alignment vertical="center"/>
    </xf>
    <xf borderId="5" fillId="43" fontId="52" numFmtId="0" xfId="0" applyAlignment="1" applyBorder="1" applyFill="1" applyFont="1">
      <alignment horizontal="center" shrinkToFit="0" vertical="center" wrapText="1"/>
    </xf>
    <xf borderId="5" fillId="43" fontId="52" numFmtId="0" xfId="0" applyAlignment="1" applyBorder="1" applyFont="1">
      <alignment horizontal="center" shrinkToFit="0" vertical="center" wrapText="1"/>
    </xf>
    <xf borderId="13" fillId="6" fontId="9" numFmtId="0" xfId="0" applyAlignment="1" applyBorder="1" applyFont="1">
      <alignment readingOrder="0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13" fillId="13" fontId="53" numFmtId="164" xfId="0" applyAlignment="1" applyBorder="1" applyFont="1" applyNumberFormat="1">
      <alignment shrinkToFit="0" vertical="center" wrapText="1"/>
    </xf>
    <xf borderId="13" fillId="13" fontId="53" numFmtId="0" xfId="0" applyAlignment="1" applyBorder="1" applyFont="1">
      <alignment shrinkToFit="0" vertical="center" wrapText="1"/>
    </xf>
    <xf borderId="13" fillId="11" fontId="53" numFmtId="0" xfId="0" applyAlignment="1" applyBorder="1" applyFont="1">
      <alignment shrinkToFit="0" vertical="center" wrapText="1"/>
    </xf>
    <xf borderId="13" fillId="6" fontId="9" numFmtId="0" xfId="0" applyAlignment="1" applyBorder="1" applyFont="1">
      <alignment readingOrder="0" shrinkToFit="0" vertical="center" wrapText="1"/>
    </xf>
    <xf borderId="5" fillId="6" fontId="9" numFmtId="0" xfId="0" applyAlignment="1" applyBorder="1" applyFont="1">
      <alignment horizontal="center" readingOrder="0" shrinkToFit="0" vertical="center" wrapText="1"/>
    </xf>
    <xf borderId="0" fillId="8" fontId="54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 vertical="center"/>
    </xf>
    <xf borderId="0" fillId="13" fontId="19" numFmtId="164" xfId="0" applyAlignment="1" applyFont="1" applyNumberFormat="1">
      <alignment vertical="center"/>
    </xf>
    <xf borderId="13" fillId="2" fontId="53" numFmtId="0" xfId="0" applyAlignment="1" applyBorder="1" applyFill="1" applyFont="1">
      <alignment shrinkToFit="0" vertical="center" wrapText="1"/>
    </xf>
    <xf borderId="0" fillId="0" fontId="19" numFmtId="0" xfId="0" applyAlignment="1" applyFont="1">
      <alignment vertical="center"/>
    </xf>
    <xf borderId="28" fillId="44" fontId="19" numFmtId="0" xfId="0" applyAlignment="1" applyBorder="1" applyFill="1" applyFont="1">
      <alignment vertical="center"/>
    </xf>
  </cellXfs>
  <cellStyles count="1">
    <cellStyle xfId="0" name="Normal" builtinId="0"/>
  </cellStyles>
  <dxfs count="10">
    <dxf>
      <font>
        <b/>
        <color rgb="FF0A3011"/>
      </font>
      <fill>
        <patternFill patternType="solid">
          <fgColor rgb="FF62D370"/>
          <bgColor rgb="FF62D370"/>
        </patternFill>
      </fill>
      <border/>
    </dxf>
    <dxf>
      <font>
        <b/>
        <color rgb="FFFFFFFF"/>
      </font>
      <fill>
        <patternFill patternType="solid">
          <fgColor rgb="FFF15F5C"/>
          <bgColor rgb="FFF15F5C"/>
        </patternFill>
      </fill>
      <border/>
    </dxf>
    <dxf>
      <font>
        <b/>
        <color rgb="FF5B4815"/>
      </font>
      <fill>
        <patternFill patternType="solid">
          <fgColor rgb="FFFFF2B2"/>
          <bgColor rgb="FFFFF2B2"/>
        </patternFill>
      </fill>
      <border/>
    </dxf>
    <dxf>
      <font>
        <b/>
        <color rgb="FF1B5E20"/>
      </font>
      <fill>
        <patternFill patternType="solid">
          <fgColor rgb="FFE2F0D9"/>
          <bgColor rgb="FFE2F0D9"/>
        </patternFill>
      </fill>
      <border/>
    </dxf>
    <dxf>
      <font>
        <b/>
        <color rgb="FFA61B1B"/>
      </font>
      <fill>
        <patternFill patternType="solid">
          <fgColor rgb="FFFCE8E6"/>
          <bgColor rgb="FFFCE8E6"/>
        </patternFill>
      </fill>
      <border/>
    </dxf>
    <dxf>
      <font>
        <b/>
        <color rgb="FF27542B"/>
      </font>
      <fill>
        <patternFill patternType="solid">
          <fgColor rgb="FFD9EAD3"/>
          <bgColor rgb="FFD9EAD3"/>
        </patternFill>
      </fill>
      <border/>
    </dxf>
    <dxf>
      <font>
        <b/>
        <color rgb="FF114069"/>
      </font>
      <fill>
        <patternFill patternType="solid">
          <fgColor rgb="FFCFE2F3"/>
          <bgColor rgb="FFCFE2F3"/>
        </patternFill>
      </fill>
      <border/>
    </dxf>
    <dxf>
      <font>
        <b/>
        <color rgb="FF7A330E"/>
      </font>
      <fill>
        <patternFill patternType="solid">
          <fgColor rgb="FFFCE5CD"/>
          <bgColor rgb="FFFCE5CD"/>
        </patternFill>
      </fill>
      <border/>
    </dxf>
    <dxf>
      <font>
        <b/>
        <color rgb="FF7A5A07"/>
      </font>
      <fill>
        <patternFill patternType="solid">
          <fgColor rgb="FFFFF2CC"/>
          <bgColor rgb="FFFFF2CC"/>
        </patternFill>
      </fill>
      <border/>
    </dxf>
    <dxf>
      <font>
        <b/>
        <color rgb="FF661B54"/>
      </font>
      <fill>
        <patternFill patternType="solid">
          <fgColor rgb="FFEAD2E3"/>
          <bgColor rgb="FFEAD2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Microsoft Yahei"/>
              </a:defRPr>
            </a:pPr>
            <a:r>
              <a:rPr b="0">
                <a:solidFill>
                  <a:srgbClr val="757575"/>
                </a:solidFill>
                <a:latin typeface="Microsoft Yahei"/>
              </a:rPr>
              <a:t>周度维修趋势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'周报'!$C$56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'周报'!$C$57:$C$254</c:f>
              <c:numCache/>
            </c:numRef>
          </c:val>
          <c:smooth val="0"/>
        </c:ser>
        <c:ser>
          <c:idx val="1"/>
          <c:order val="1"/>
          <c:tx>
            <c:strRef>
              <c:f>'周报'!$D$56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'周报'!$D$57:$D$254</c:f>
              <c:numCache/>
            </c:numRef>
          </c:val>
          <c:smooth val="0"/>
        </c:ser>
        <c:ser>
          <c:idx val="2"/>
          <c:order val="2"/>
          <c:tx>
            <c:strRef>
              <c:f>'周报'!$E$56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'周报'!$E$57:$E$254</c:f>
              <c:numCache/>
            </c:numRef>
          </c:val>
          <c:smooth val="0"/>
        </c:ser>
        <c:ser>
          <c:idx val="3"/>
          <c:order val="3"/>
          <c:tx>
            <c:strRef>
              <c:f>'周报'!$F$56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'周报'!$F$57:$F$254</c:f>
              <c:numCache/>
            </c:numRef>
          </c:val>
          <c:smooth val="0"/>
        </c:ser>
        <c:ser>
          <c:idx val="4"/>
          <c:order val="4"/>
          <c:tx>
            <c:strRef>
              <c:f>'周报'!$H$56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'周报'!$H$57:$H$254</c:f>
              <c:numCache/>
            </c:numRef>
          </c:val>
          <c:smooth val="0"/>
        </c:ser>
        <c:axId val="918998558"/>
        <c:axId val="1282113913"/>
      </c:lineChart>
      <c:catAx>
        <c:axId val="918998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1282113913"/>
      </c:catAx>
      <c:valAx>
        <c:axId val="1282113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数量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9189985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Microsoft Yahe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Microsoft Yahei"/>
              </a:defRPr>
            </a:pPr>
            <a:r>
              <a:rPr b="0">
                <a:solidFill>
                  <a:srgbClr val="757575"/>
                </a:solidFill>
                <a:latin typeface="Microsoft Yahei"/>
              </a:rPr>
              <a:t>周度库存快照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'周报'!$G$56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'周报'!$G$57:$G$254</c:f>
              <c:numCache/>
            </c:numRef>
          </c:val>
          <c:smooth val="0"/>
        </c:ser>
        <c:ser>
          <c:idx val="1"/>
          <c:order val="1"/>
          <c:tx>
            <c:strRef>
              <c:f>'周报'!$I$56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'周报'!$I$57:$I$254</c:f>
              <c:numCache/>
            </c:numRef>
          </c:val>
          <c:smooth val="0"/>
        </c:ser>
        <c:ser>
          <c:idx val="2"/>
          <c:order val="2"/>
          <c:tx>
            <c:strRef>
              <c:f>'周报'!$J$56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'周报'!$J$57:$J$254</c:f>
              <c:numCache/>
            </c:numRef>
          </c:val>
          <c:smooth val="0"/>
        </c:ser>
        <c:ser>
          <c:idx val="3"/>
          <c:order val="3"/>
          <c:tx>
            <c:strRef>
              <c:f>'周报'!$M$56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'周报'!$M$57:$M$254</c:f>
              <c:numCache/>
            </c:numRef>
          </c:val>
          <c:smooth val="0"/>
        </c:ser>
        <c:ser>
          <c:idx val="4"/>
          <c:order val="4"/>
          <c:tx>
            <c:strRef>
              <c:f>'周报'!$P$56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'周报'!$A$57:$A$254</c:f>
            </c:strRef>
          </c:cat>
          <c:val>
            <c:numRef>
              <c:f>'周报'!$P$57:$P$254</c:f>
              <c:numCache/>
            </c:numRef>
          </c:val>
          <c:smooth val="0"/>
        </c:ser>
        <c:axId val="452534802"/>
        <c:axId val="457750348"/>
      </c:lineChart>
      <c:catAx>
        <c:axId val="452534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457750348"/>
      </c:catAx>
      <c:valAx>
        <c:axId val="457750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数量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45253480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Microsoft Yahe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F4E78"/>
                </a:solidFill>
                <a:latin typeface="Microsoft Yahei"/>
              </a:defRPr>
            </a:pPr>
            <a:r>
              <a:rPr b="1" sz="1400">
                <a:solidFill>
                  <a:srgbClr val="1F4E78"/>
                </a:solidFill>
                <a:latin typeface="Microsoft Yahei"/>
              </a:rPr>
              <a:t>本周按机型发货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'周报'!$I$5</c:f>
            </c:strRef>
          </c:tx>
          <c:spPr>
            <a:solidFill>
              <a:srgbClr val="2F7D70"/>
            </a:solidFill>
            <a:ln cmpd="sng">
              <a:noFill/>
            </a:ln>
          </c:spPr>
          <c:cat>
            <c:strRef>
              <c:f>'周报'!$G$6:$G$14</c:f>
            </c:strRef>
          </c:cat>
          <c:val>
            <c:numRef>
              <c:f>'周报'!$I$6:$I$14</c:f>
              <c:numCache/>
            </c:numRef>
          </c:val>
        </c:ser>
        <c:ser>
          <c:idx val="1"/>
          <c:order val="1"/>
          <c:tx>
            <c:strRef>
              <c:f>'周报'!$J$5</c:f>
            </c:strRef>
          </c:tx>
          <c:spPr>
            <a:solidFill>
              <a:srgbClr val="C76D67"/>
            </a:solidFill>
            <a:ln cmpd="sng">
              <a:noFill/>
            </a:ln>
          </c:spPr>
          <c:cat>
            <c:strRef>
              <c:f>'周报'!$G$6:$G$14</c:f>
            </c:strRef>
          </c:cat>
          <c:val>
            <c:numRef>
              <c:f>'周报'!$J$6:$J$14</c:f>
              <c:numCache/>
            </c:numRef>
          </c:val>
        </c:ser>
        <c:axId val="1914838160"/>
        <c:axId val="799669190"/>
      </c:barChart>
      <c:catAx>
        <c:axId val="1914838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机型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799669190"/>
      </c:catAx>
      <c:valAx>
        <c:axId val="799669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数量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19148381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Microsoft Yahe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Microsoft Yahei"/>
              </a:defRPr>
            </a:pPr>
            <a:r>
              <a:rPr b="0">
                <a:solidFill>
                  <a:srgbClr val="757575"/>
                </a:solidFill>
                <a:latin typeface="Microsoft Yahei"/>
              </a:rPr>
              <a:t>月度维修趋势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'月报'!$C$4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'月报'!$A$5:$A$16</c:f>
            </c:strRef>
          </c:cat>
          <c:val>
            <c:numRef>
              <c:f>'月报'!$C$5:$C$16</c:f>
              <c:numCache/>
            </c:numRef>
          </c:val>
          <c:smooth val="0"/>
        </c:ser>
        <c:ser>
          <c:idx val="1"/>
          <c:order val="1"/>
          <c:tx>
            <c:strRef>
              <c:f>'月报'!$D$4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'月报'!$A$5:$A$16</c:f>
            </c:strRef>
          </c:cat>
          <c:val>
            <c:numRef>
              <c:f>'月报'!$D$5:$D$16</c:f>
              <c:numCache/>
            </c:numRef>
          </c:val>
          <c:smooth val="0"/>
        </c:ser>
        <c:ser>
          <c:idx val="2"/>
          <c:order val="2"/>
          <c:tx>
            <c:strRef>
              <c:f>'月报'!$E$4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'月报'!$A$5:$A$16</c:f>
            </c:strRef>
          </c:cat>
          <c:val>
            <c:numRef>
              <c:f>'月报'!$E$5:$E$16</c:f>
              <c:numCache/>
            </c:numRef>
          </c:val>
          <c:smooth val="0"/>
        </c:ser>
        <c:ser>
          <c:idx val="3"/>
          <c:order val="3"/>
          <c:tx>
            <c:strRef>
              <c:f>'月报'!$G$4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'月报'!$A$5:$A$16</c:f>
            </c:strRef>
          </c:cat>
          <c:val>
            <c:numRef>
              <c:f>'月报'!$G$5:$G$16</c:f>
              <c:numCache/>
            </c:numRef>
          </c:val>
          <c:smooth val="0"/>
        </c:ser>
        <c:axId val="1181227934"/>
        <c:axId val="989949026"/>
      </c:lineChart>
      <c:catAx>
        <c:axId val="1181227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月份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989949026"/>
      </c:catAx>
      <c:valAx>
        <c:axId val="989949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数量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118122793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Microsoft Yahe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1F4E78"/>
                </a:solidFill>
                <a:latin typeface="Microsoft Yahei"/>
              </a:defRPr>
            </a:pPr>
            <a:r>
              <a:rPr b="1" sz="1400">
                <a:solidFill>
                  <a:srgbClr val="1F4E78"/>
                </a:solidFill>
                <a:latin typeface="Microsoft Yahei"/>
              </a:rPr>
              <a:t>查询月份各机型发货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'月报'!$C$21</c:f>
            </c:strRef>
          </c:tx>
          <c:spPr>
            <a:solidFill>
              <a:srgbClr val="2F7D70"/>
            </a:solidFill>
            <a:ln cmpd="sng">
              <a:noFill/>
            </a:ln>
          </c:spPr>
          <c:cat>
            <c:strRef>
              <c:f>'月报'!$A$22:$A$30</c:f>
            </c:strRef>
          </c:cat>
          <c:val>
            <c:numRef>
              <c:f>'月报'!$C$22:$C$30</c:f>
              <c:numCache/>
            </c:numRef>
          </c:val>
        </c:ser>
        <c:ser>
          <c:idx val="1"/>
          <c:order val="1"/>
          <c:tx>
            <c:strRef>
              <c:f>'月报'!$D$21</c:f>
            </c:strRef>
          </c:tx>
          <c:spPr>
            <a:solidFill>
              <a:srgbClr val="C76D67"/>
            </a:solidFill>
            <a:ln cmpd="sng">
              <a:noFill/>
            </a:ln>
          </c:spPr>
          <c:cat>
            <c:strRef>
              <c:f>'月报'!$A$22:$A$30</c:f>
            </c:strRef>
          </c:cat>
          <c:val>
            <c:numRef>
              <c:f>'月报'!$D$22:$D$30</c:f>
              <c:numCache/>
            </c:numRef>
          </c:val>
        </c:ser>
        <c:axId val="964138931"/>
        <c:axId val="359972603"/>
      </c:barChart>
      <c:catAx>
        <c:axId val="964138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机型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359972603"/>
      </c:catAx>
      <c:valAx>
        <c:axId val="359972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icrosoft Yahei"/>
                  </a:defRPr>
                </a:pPr>
                <a:r>
                  <a:rPr b="0">
                    <a:solidFill>
                      <a:srgbClr val="000000"/>
                    </a:solidFill>
                    <a:latin typeface="Microsoft Yahei"/>
                  </a:rPr>
                  <a:t>数量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icrosoft Yahei"/>
              </a:defRPr>
            </a:pPr>
          </a:p>
        </c:txPr>
        <c:crossAx val="9641389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Microsoft Yahei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54</xdr:row>
      <xdr:rowOff>0</xdr:rowOff>
    </xdr:from>
    <xdr:ext cx="7239000" cy="3429000"/>
    <xdr:graphicFrame>
      <xdr:nvGraphicFramePr>
        <xdr:cNvPr id="1" name="Chart 1" title="周度维修趋势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0</xdr:colOff>
      <xdr:row>74</xdr:row>
      <xdr:rowOff>0</xdr:rowOff>
    </xdr:from>
    <xdr:ext cx="7239000" cy="3429000"/>
    <xdr:graphicFrame>
      <xdr:nvGraphicFramePr>
        <xdr:cNvPr id="2" name="Chart 2" title="周度库存快照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</xdr:colOff>
      <xdr:row>4</xdr:row>
      <xdr:rowOff>0</xdr:rowOff>
    </xdr:from>
    <xdr:ext cx="4248150" cy="2457450"/>
    <xdr:graphicFrame>
      <xdr:nvGraphicFramePr>
        <xdr:cNvPr id="3" name="Chart 3" title="本周按机型发货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0</xdr:colOff>
      <xdr:row>1</xdr:row>
      <xdr:rowOff>0</xdr:rowOff>
    </xdr:from>
    <xdr:ext cx="7239000" cy="3333750"/>
    <xdr:graphicFrame>
      <xdr:nvGraphicFramePr>
        <xdr:cNvPr descr="Monthly Repair Trend / 维修月度趋势" id="4" name="Chart 4" title="月度维修趋势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18</xdr:row>
      <xdr:rowOff>38100</xdr:rowOff>
    </xdr:from>
    <xdr:ext cx="6858000" cy="2857500"/>
    <xdr:graphicFrame>
      <xdr:nvGraphicFramePr>
        <xdr:cNvPr id="5" name="Chart 5" title="查询月份各机型发货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2" width="57.89"/>
    <col customWidth="1" min="3" max="3" width="46.78"/>
    <col customWidth="1" min="4" max="22" width="12.0"/>
  </cols>
  <sheetData>
    <row r="1">
      <c r="A1" s="1" t="s">
        <v>0</v>
      </c>
      <c r="B1" s="1" t="s">
        <v>4</v>
      </c>
      <c r="C1" s="11" t="s">
        <v>5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0" t="s">
        <v>35</v>
      </c>
      <c r="B2" s="20" t="s">
        <v>37</v>
      </c>
      <c r="C2" s="11" t="s">
        <v>39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30" t="s">
        <v>64</v>
      </c>
      <c r="B3" s="30" t="s">
        <v>65</v>
      </c>
      <c r="C3" s="11" t="s">
        <v>66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33" t="s">
        <v>68</v>
      </c>
      <c r="B4" s="33" t="s">
        <v>69</v>
      </c>
      <c r="C4" s="11" t="s">
        <v>71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35" t="s">
        <v>72</v>
      </c>
      <c r="B5" s="35" t="s">
        <v>73</v>
      </c>
      <c r="C5" s="11" t="s">
        <v>74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37" t="s">
        <v>76</v>
      </c>
      <c r="B6" s="37" t="s">
        <v>77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39" t="s">
        <v>78</v>
      </c>
      <c r="B7" s="39" t="s">
        <v>80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39" t="s">
        <v>81</v>
      </c>
      <c r="B8" s="39" t="s">
        <v>82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39" t="s">
        <v>83</v>
      </c>
      <c r="B9" s="39" t="s">
        <v>84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39" t="s">
        <v>87</v>
      </c>
      <c r="B10" s="39" t="s">
        <v>88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39" t="s">
        <v>89</v>
      </c>
      <c r="B11" s="39" t="s">
        <v>90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39" t="s">
        <v>91</v>
      </c>
      <c r="B12" s="39" t="s">
        <v>92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39" t="s">
        <v>93</v>
      </c>
      <c r="B13" s="39" t="s">
        <v>94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39" t="s">
        <v>96</v>
      </c>
      <c r="B14" s="39" t="s">
        <v>97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39" t="s">
        <v>99</v>
      </c>
      <c r="B15" s="39" t="s">
        <v>100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39" t="s">
        <v>101</v>
      </c>
      <c r="B16" s="39" t="s">
        <v>102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39" t="s">
        <v>104</v>
      </c>
      <c r="B17" s="39" t="s">
        <v>105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39" t="s">
        <v>107</v>
      </c>
      <c r="B18" s="39" t="s">
        <v>108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39" t="s">
        <v>110</v>
      </c>
      <c r="B19" s="39" t="s">
        <v>112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39" t="s">
        <v>114</v>
      </c>
      <c r="B20" s="39" t="s">
        <v>115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39" t="s">
        <v>117</v>
      </c>
      <c r="B21" s="39" t="s">
        <v>118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39" t="s">
        <v>120</v>
      </c>
      <c r="B22" s="39" t="s">
        <v>121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39" t="s">
        <v>122</v>
      </c>
      <c r="B23" s="39" t="s">
        <v>123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39" t="s">
        <v>124</v>
      </c>
      <c r="B24" s="39" t="s">
        <v>125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39" t="s">
        <v>128</v>
      </c>
      <c r="B25" s="39" t="s">
        <v>129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39" t="s">
        <v>130</v>
      </c>
      <c r="B26" s="39" t="s">
        <v>131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39" t="s">
        <v>132</v>
      </c>
      <c r="B27" s="39" t="s">
        <v>133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39" t="s">
        <v>136</v>
      </c>
      <c r="B28" s="39" t="s">
        <v>137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39" t="s">
        <v>138</v>
      </c>
      <c r="B29" s="39" t="s">
        <v>139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39" t="s">
        <v>141</v>
      </c>
      <c r="B30" s="39" t="s">
        <v>142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47"/>
      <c r="B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48" t="s">
        <v>145</v>
      </c>
      <c r="B32" s="48" t="s">
        <v>146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49" t="s">
        <v>149</v>
      </c>
      <c r="B33" s="49" t="s">
        <v>150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49" t="s">
        <v>152</v>
      </c>
      <c r="B34" s="49" t="s">
        <v>153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49" t="s">
        <v>155</v>
      </c>
      <c r="B35" s="49" t="s">
        <v>156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49" t="s">
        <v>157</v>
      </c>
      <c r="B36" s="49" t="s">
        <v>158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49" t="s">
        <v>160</v>
      </c>
      <c r="B37" s="49" t="s">
        <v>161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49" t="s">
        <v>163</v>
      </c>
      <c r="B38" s="49" t="s">
        <v>164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49" t="s">
        <v>165</v>
      </c>
      <c r="B39" s="49" t="s">
        <v>166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49" t="s">
        <v>167</v>
      </c>
      <c r="B40" s="49" t="s">
        <v>168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49" t="s">
        <v>170</v>
      </c>
      <c r="B41" s="49" t="s">
        <v>171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49" t="s">
        <v>173</v>
      </c>
      <c r="B42" s="49" t="s">
        <v>174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49" t="s">
        <v>175</v>
      </c>
      <c r="B43" s="49" t="s">
        <v>176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49" t="s">
        <v>177</v>
      </c>
      <c r="B44" s="49" t="s">
        <v>178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49" t="s">
        <v>181</v>
      </c>
      <c r="B45" s="49" t="s">
        <v>182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49" t="s">
        <v>185</v>
      </c>
      <c r="B46" s="49" t="s">
        <v>186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49" t="s">
        <v>188</v>
      </c>
      <c r="B47" s="49" t="s">
        <v>189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49" t="s">
        <v>190</v>
      </c>
      <c r="B48" s="49" t="s">
        <v>191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49" t="s">
        <v>193</v>
      </c>
      <c r="B49" s="49" t="s">
        <v>194</v>
      </c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49" t="s">
        <v>196</v>
      </c>
      <c r="B50" s="49" t="s">
        <v>197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49" t="s">
        <v>198</v>
      </c>
      <c r="B51" s="49" t="s">
        <v>199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49" t="s">
        <v>201</v>
      </c>
      <c r="B52" s="49" t="s">
        <v>202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49" t="s">
        <v>206</v>
      </c>
      <c r="B53" s="49" t="s">
        <v>207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49" t="s">
        <v>210</v>
      </c>
      <c r="B54" s="49" t="s">
        <v>211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49" t="s">
        <v>212</v>
      </c>
      <c r="B55" s="49" t="s">
        <v>213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49" t="s">
        <v>215</v>
      </c>
      <c r="B56" s="49" t="s">
        <v>216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49" t="s">
        <v>219</v>
      </c>
      <c r="B57" s="49" t="s">
        <v>220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49" t="s">
        <v>222</v>
      </c>
      <c r="B58" s="49" t="s">
        <v>224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49" t="s">
        <v>225</v>
      </c>
      <c r="B59" s="49" t="s">
        <v>226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49" t="s">
        <v>229</v>
      </c>
      <c r="B60" s="49" t="s">
        <v>230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49" t="s">
        <v>231</v>
      </c>
      <c r="B61" s="49" t="s">
        <v>232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49" t="s">
        <v>233</v>
      </c>
      <c r="B62" s="49" t="s">
        <v>234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49" t="s">
        <v>237</v>
      </c>
      <c r="B63" s="49" t="s">
        <v>238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49" t="s">
        <v>240</v>
      </c>
      <c r="B64" s="49" t="s">
        <v>241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49" t="s">
        <v>242</v>
      </c>
      <c r="B65" s="49" t="s">
        <v>244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49" t="s">
        <v>246</v>
      </c>
      <c r="B66" s="49" t="s">
        <v>247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49" t="s">
        <v>248</v>
      </c>
      <c r="B67" s="49" t="s">
        <v>249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49" t="s">
        <v>252</v>
      </c>
      <c r="B68" s="49" t="s">
        <v>253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49" t="s">
        <v>254</v>
      </c>
      <c r="B69" s="49" t="s">
        <v>255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49" t="s">
        <v>256</v>
      </c>
      <c r="B70" s="49" t="s">
        <v>257</v>
      </c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49" t="s">
        <v>261</v>
      </c>
      <c r="B71" s="49" t="s">
        <v>262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49" t="s">
        <v>263</v>
      </c>
      <c r="B72" s="49" t="s">
        <v>264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49" t="s">
        <v>267</v>
      </c>
      <c r="B73" s="49" t="s">
        <v>268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49" t="s">
        <v>269</v>
      </c>
      <c r="B74" s="49" t="s">
        <v>270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49" t="s">
        <v>271</v>
      </c>
      <c r="B75" s="49" t="s">
        <v>274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49" t="s">
        <v>275</v>
      </c>
      <c r="B76" s="49" t="s">
        <v>276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49" t="s">
        <v>277</v>
      </c>
      <c r="B77" s="49" t="s">
        <v>278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49" t="s">
        <v>282</v>
      </c>
      <c r="B78" s="49" t="s">
        <v>283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49" t="s">
        <v>301</v>
      </c>
      <c r="B79" s="49" t="s">
        <v>304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49" t="s">
        <v>305</v>
      </c>
      <c r="B80" s="49" t="s">
        <v>308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49" t="s">
        <v>309</v>
      </c>
      <c r="B81" s="49" t="s">
        <v>310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49" t="s">
        <v>311</v>
      </c>
      <c r="B82" s="49" t="s">
        <v>312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49" t="s">
        <v>315</v>
      </c>
      <c r="B83" s="49" t="s">
        <v>316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49" t="s">
        <v>317</v>
      </c>
      <c r="B84" s="49" t="s">
        <v>318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49" t="s">
        <v>321</v>
      </c>
      <c r="B85" s="49" t="s">
        <v>322</v>
      </c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49" t="s">
        <v>323</v>
      </c>
      <c r="B86" s="49" t="s">
        <v>324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49" t="s">
        <v>325</v>
      </c>
      <c r="B87" s="49" t="s">
        <v>326</v>
      </c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49" t="s">
        <v>327</v>
      </c>
      <c r="B88" s="49" t="s">
        <v>328</v>
      </c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49" t="s">
        <v>331</v>
      </c>
      <c r="B89" s="49" t="s">
        <v>332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49" t="s">
        <v>333</v>
      </c>
      <c r="B90" s="49" t="s">
        <v>334</v>
      </c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49" t="s">
        <v>335</v>
      </c>
      <c r="B91" s="49" t="s">
        <v>336</v>
      </c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49" t="s">
        <v>337</v>
      </c>
      <c r="B92" s="49" t="s">
        <v>338</v>
      </c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49" t="s">
        <v>341</v>
      </c>
      <c r="B93" s="49" t="s">
        <v>342</v>
      </c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49" t="s">
        <v>343</v>
      </c>
      <c r="B94" s="49" t="s">
        <v>344</v>
      </c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49" t="s">
        <v>345</v>
      </c>
      <c r="B95" s="49" t="s">
        <v>346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49" t="s">
        <v>350</v>
      </c>
      <c r="B96" s="49" t="s">
        <v>351</v>
      </c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89"/>
    <col customWidth="1" min="2" max="2" width="12.0"/>
    <col customWidth="1" min="3" max="3" width="16.0"/>
    <col customWidth="1" min="4" max="4" width="15.89"/>
    <col customWidth="1" min="5" max="5" width="14.89"/>
    <col customWidth="1" min="6" max="6" width="17.22"/>
    <col customWidth="1" min="7" max="7" width="11.22"/>
    <col customWidth="1" min="8" max="8" width="30.0"/>
    <col customWidth="1" min="9" max="9" width="16.0"/>
    <col customWidth="1" min="10" max="10" width="16.67"/>
    <col customWidth="1" min="11" max="11" width="8.11"/>
    <col customWidth="1" min="12" max="12" width="20.89"/>
    <col customWidth="1" min="13" max="13" width="21.67"/>
    <col customWidth="1" min="14" max="14" width="9.67"/>
    <col customWidth="1" min="15" max="15" width="18.11"/>
    <col customWidth="1" min="16" max="16" width="22.0"/>
    <col customWidth="1" min="17" max="19" width="11.22"/>
    <col customWidth="1" min="20" max="20" width="17.89"/>
    <col customWidth="1" min="21" max="21" width="16.78"/>
    <col customWidth="1" min="22" max="22" width="34.0"/>
    <col customWidth="1" min="23" max="23" width="28.0"/>
    <col customWidth="1" min="24" max="29" width="12.0"/>
  </cols>
  <sheetData>
    <row r="1">
      <c r="A1" s="5" t="s">
        <v>3</v>
      </c>
      <c r="B1" s="9" t="s">
        <v>6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16" t="s">
        <v>14</v>
      </c>
      <c r="I1" s="16" t="s">
        <v>16</v>
      </c>
      <c r="J1" s="5" t="s">
        <v>18</v>
      </c>
      <c r="K1" s="5" t="s">
        <v>20</v>
      </c>
      <c r="L1" s="5" t="s">
        <v>23</v>
      </c>
      <c r="M1" s="5" t="s">
        <v>25</v>
      </c>
      <c r="N1" s="5" t="s">
        <v>28</v>
      </c>
      <c r="O1" s="16" t="s">
        <v>30</v>
      </c>
      <c r="P1" s="5" t="s">
        <v>32</v>
      </c>
      <c r="Q1" s="16" t="s">
        <v>33</v>
      </c>
      <c r="R1" s="16" t="s">
        <v>33</v>
      </c>
      <c r="S1" s="16" t="s">
        <v>33</v>
      </c>
      <c r="T1" s="16" t="s">
        <v>33</v>
      </c>
      <c r="U1" s="16" t="s">
        <v>33</v>
      </c>
      <c r="V1" s="5" t="s">
        <v>29</v>
      </c>
      <c r="W1" s="16" t="s">
        <v>45</v>
      </c>
      <c r="X1" s="16" t="s">
        <v>48</v>
      </c>
      <c r="Y1" s="16" t="s">
        <v>52</v>
      </c>
      <c r="Z1" s="16" t="s">
        <v>54</v>
      </c>
      <c r="AA1" s="16" t="s">
        <v>58</v>
      </c>
      <c r="AB1" s="25" t="s">
        <v>60</v>
      </c>
      <c r="AC1" s="25" t="s">
        <v>61</v>
      </c>
    </row>
    <row r="2">
      <c r="A2" s="28" t="s">
        <v>63</v>
      </c>
      <c r="B2" s="28"/>
      <c r="C2" s="32" t="s">
        <v>67</v>
      </c>
      <c r="D2" s="32"/>
      <c r="E2" s="32"/>
      <c r="F2" s="32"/>
      <c r="G2" s="32" t="s">
        <v>70</v>
      </c>
      <c r="H2" s="34" t="str">
        <f>IF(G2="","",IFERROR(VLOOKUP(G2,'Product_Stock_Master产品维护'!$A$2:$E992,2,FALSE()),"SKU not found"))</f>
        <v>EQ4800-side-cover</v>
      </c>
      <c r="I2" s="34" t="str">
        <f>IF(G2="","",IFERROR(VLOOKUP(G2,'Product_Stock_Master产品维护'!$A$2:$E992,3,FALSE()),"Item type not found"))</f>
        <v>Material</v>
      </c>
      <c r="J2" s="32"/>
      <c r="K2" s="32">
        <v>288.0</v>
      </c>
      <c r="L2" s="32"/>
      <c r="M2" s="32" t="s">
        <v>75</v>
      </c>
      <c r="N2" s="32"/>
      <c r="O2" s="34" t="str">
        <f t="shared" ref="O2:O992" si="1">IF(C2="","",IF(AND(G2="",NOT(AND(C2="Adjustment_In",P2="Material / 物料"))),"Missing SKU / 缺料号",IF(K2="","Missing Qty / 缺数量",IF(AND(I2="Product",OR(C2="Outbound",C2="Return_to_Repair"),J2=""),"Missing SN for product outbound/return / 成品出库或维修回退缺SN",IF(C2="Move",IF(OR(L2="",M2=""),"Missing Move location / 移库缺来源或目标库位","OK"),IF(OR(C2="Opening",C2="Inbound",C2="Return_to_Repair",C2="Adjustment_In"),IF(M2="","Missing To Location / 缺目标库位","OK"),IF(OR(C2="Outbound",C2="Adjustment_Out",C2="Prepared"),IF(L2="","Missing From Location / 缺来源库位","OK"),"OK")))))))</f>
        <v>OK</v>
      </c>
      <c r="P2" s="32" t="s">
        <v>79</v>
      </c>
      <c r="Q2" s="34" t="str">
        <f t="shared" ref="Q2:Q135" si="2">IF(C2="","",IF(OR(C2="Opening",C2="Inbound",C2="Return_to_Repair",C2="Adjustment_In"),M2,IF(OR(C2="Outbound",C2="Move",C2="Adjustment_Out",C2="Prepared"),L2,"")))</f>
        <v>R1-2-1-L</v>
      </c>
      <c r="R2" s="34" t="str">
        <f t="shared" ref="R2:R992" si="3">IF(C2="","",IF(C2="Return_to_Repair",J2,""))</f>
        <v/>
      </c>
      <c r="S2" s="34">
        <f t="shared" ref="S2:S135" si="4">IF(C2="","",IF(C2="Prepared",0,IF(OR(C2="Opening",C2="Inbound",C2="Return_to_Repair",C2="Adjustment_In"),K2,IF(OR(C2="Outbound",C2="Adjustment_Out",C2="Move"),-K2,0))))</f>
        <v>288</v>
      </c>
      <c r="T2" s="34" t="str">
        <f t="shared" ref="T2:T992" si="5">IF(Q2="","",Q2&amp;"|"&amp;F2&amp;"|"&amp;G2&amp;"|"&amp;R2&amp;"|"&amp;P2)</f>
        <v>R1-2-1-L||97-414-00027-00||Material / 物料</v>
      </c>
      <c r="U2" s="34" t="s">
        <v>85</v>
      </c>
      <c r="V2" s="41" t="s">
        <v>86</v>
      </c>
      <c r="W2" s="42" t="str">
        <f t="shared" ref="W2:W992" si="6">IF(A2="","",IF(AND(Z2="Yes",P2=""),"Missing stock condition / 缺库存属性",IF(AND(P2="New / 新机",C2="Return_to_Repair"),"New/repair conflict / 新机维修冲突","OK")))</f>
        <v>OK</v>
      </c>
      <c r="X2" s="42">
        <f t="shared" ref="X2:X992" si="7">IF(OR(C2="",D2=""),0,IF(COUNTIFS($C$2:C2,C2,$D$2:D2,D2)=1,1,0))</f>
        <v>0</v>
      </c>
      <c r="Y2" s="42">
        <f t="shared" ref="Y2:Y992" si="8">IF(AND(C2="Outbound",D2&lt;&gt;"",COUNTIFS($C$2:C2,"Outbound",$D$2:D2,D2)=1,COUNTIFS($C$2:$C992,"Return_to_Repair",$D$2:$D992,D2)=0),1,0)</f>
        <v>0</v>
      </c>
      <c r="Z2" s="42" t="str">
        <f>IF(G2="","",IFERROR(VLOOKUP(G2,'Product_Stock_Master产品维护'!$A$2:$L992,11,FALSE),"No"))</f>
        <v>No</v>
      </c>
      <c r="AA2" s="42" t="str">
        <f>IF(G2="","",IFERROR(VLOOKUP(G2,'Product_Stock_Master产品维护'!$A$2:$L992,12,FALSE),""))</f>
        <v/>
      </c>
      <c r="AB2" s="42"/>
      <c r="AC2" s="42"/>
    </row>
    <row r="3">
      <c r="A3" s="28" t="s">
        <v>63</v>
      </c>
      <c r="B3" s="28"/>
      <c r="C3" s="32" t="s">
        <v>67</v>
      </c>
      <c r="D3" s="32"/>
      <c r="E3" s="32"/>
      <c r="F3" s="32"/>
      <c r="G3" s="32" t="s">
        <v>70</v>
      </c>
      <c r="H3" s="34" t="str">
        <f>IF(G3="","",IFERROR(VLOOKUP(G3,'Product_Stock_Master产品维护'!$A$2:$E992,2,FALSE()),"SKU not found"))</f>
        <v>EQ4800-side-cover</v>
      </c>
      <c r="I3" s="34" t="str">
        <f>IF(G3="","",IFERROR(VLOOKUP(G3,'Product_Stock_Master产品维护'!$A$2:$E992,3,FALSE()),"Item type not found"))</f>
        <v>Material</v>
      </c>
      <c r="J3" s="32"/>
      <c r="K3" s="32">
        <v>286.0</v>
      </c>
      <c r="L3" s="32"/>
      <c r="M3" s="32" t="s">
        <v>95</v>
      </c>
      <c r="N3" s="32"/>
      <c r="O3" s="34" t="str">
        <f t="shared" si="1"/>
        <v>OK</v>
      </c>
      <c r="P3" s="32" t="s">
        <v>79</v>
      </c>
      <c r="Q3" s="34" t="str">
        <f t="shared" si="2"/>
        <v>R1-2-1-M</v>
      </c>
      <c r="R3" s="34" t="str">
        <f t="shared" si="3"/>
        <v/>
      </c>
      <c r="S3" s="34">
        <f t="shared" si="4"/>
        <v>286</v>
      </c>
      <c r="T3" s="34" t="str">
        <f t="shared" si="5"/>
        <v>R1-2-1-M||97-414-00027-00||Material / 物料</v>
      </c>
      <c r="U3" s="34" t="s">
        <v>98</v>
      </c>
      <c r="V3" s="41" t="s">
        <v>86</v>
      </c>
      <c r="W3" s="42" t="str">
        <f t="shared" si="6"/>
        <v>OK</v>
      </c>
      <c r="X3" s="42">
        <f t="shared" si="7"/>
        <v>0</v>
      </c>
      <c r="Y3" s="42">
        <f t="shared" si="8"/>
        <v>0</v>
      </c>
      <c r="Z3" s="42" t="str">
        <f>IF(G3="","",IFERROR(VLOOKUP(G3,'Product_Stock_Master产品维护'!$A$2:$L992,11,FALSE),"No"))</f>
        <v>No</v>
      </c>
      <c r="AA3" s="42" t="str">
        <f>IF(G3="","",IFERROR(VLOOKUP(G3,'Product_Stock_Master产品维护'!$A$2:$L992,12,FALSE),""))</f>
        <v/>
      </c>
      <c r="AB3" s="42"/>
      <c r="AC3" s="42"/>
    </row>
    <row r="4">
      <c r="A4" s="28" t="s">
        <v>63</v>
      </c>
      <c r="B4" s="28"/>
      <c r="C4" s="32" t="s">
        <v>67</v>
      </c>
      <c r="D4" s="32"/>
      <c r="E4" s="32"/>
      <c r="F4" s="32"/>
      <c r="G4" s="32" t="s">
        <v>103</v>
      </c>
      <c r="H4" s="34" t="str">
        <f>IF(G4="","",IFERROR(VLOOKUP(G4,'Product_Stock_Master产品维护'!$A$2:$E992,2,FALSE()),"SKU not found"))</f>
        <v>H3 Smart遮线罩</v>
      </c>
      <c r="I4" s="34" t="str">
        <f>IF(G4="","",IFERROR(VLOOKUP(G4,'Product_Stock_Master产品维护'!$A$2:$E992,3,FALSE()),"Item type not found"))</f>
        <v>Material</v>
      </c>
      <c r="J4" s="32"/>
      <c r="K4" s="32">
        <v>42.0</v>
      </c>
      <c r="L4" s="32"/>
      <c r="M4" s="32" t="s">
        <v>106</v>
      </c>
      <c r="N4" s="32"/>
      <c r="O4" s="34" t="str">
        <f t="shared" si="1"/>
        <v>OK</v>
      </c>
      <c r="P4" s="32" t="s">
        <v>79</v>
      </c>
      <c r="Q4" s="34" t="str">
        <f t="shared" si="2"/>
        <v>R1-2-1-R</v>
      </c>
      <c r="R4" s="34" t="str">
        <f t="shared" si="3"/>
        <v/>
      </c>
      <c r="S4" s="34">
        <f t="shared" si="4"/>
        <v>42</v>
      </c>
      <c r="T4" s="34" t="str">
        <f t="shared" si="5"/>
        <v>R1-2-1-R||41-406-00002-00||Material / 物料</v>
      </c>
      <c r="U4" s="34" t="s">
        <v>109</v>
      </c>
      <c r="V4" s="41" t="s">
        <v>86</v>
      </c>
      <c r="W4" s="42" t="str">
        <f t="shared" si="6"/>
        <v>OK</v>
      </c>
      <c r="X4" s="42">
        <f t="shared" si="7"/>
        <v>0</v>
      </c>
      <c r="Y4" s="42">
        <f t="shared" si="8"/>
        <v>0</v>
      </c>
      <c r="Z4" s="42" t="str">
        <f>IF(G4="","",IFERROR(VLOOKUP(G4,'Product_Stock_Master产品维护'!$A$2:$L992,11,FALSE),"No"))</f>
        <v>No</v>
      </c>
      <c r="AA4" s="42" t="str">
        <f>IF(G4="","",IFERROR(VLOOKUP(G4,'Product_Stock_Master产品维护'!$A$2:$L992,12,FALSE),""))</f>
        <v/>
      </c>
      <c r="AB4" s="42"/>
      <c r="AC4" s="42"/>
    </row>
    <row r="5">
      <c r="A5" s="28" t="s">
        <v>63</v>
      </c>
      <c r="B5" s="28"/>
      <c r="C5" s="32" t="s">
        <v>67</v>
      </c>
      <c r="D5" s="32"/>
      <c r="E5" s="32"/>
      <c r="F5" s="32"/>
      <c r="G5" s="32" t="s">
        <v>113</v>
      </c>
      <c r="H5" s="34" t="str">
        <f>IF(G5="","",IFERROR(VLOOKUP(G5,'Product_Stock_Master产品维护'!$A$2:$E992,2,FALSE()),"SKU not found"))</f>
        <v>线束半成品 功率线 62930 IEC 131 1x16.0 mm² 红/黑 DC1500V 90℃ VW-1 CQ6-安费诺-正负极外部动力线-光伏线5米PV</v>
      </c>
      <c r="I5" s="34" t="str">
        <f>IF(G5="","",IFERROR(VLOOKUP(G5,'Product_Stock_Master产品维护'!$A$2:$E992,3,FALSE()),"Item type not found"))</f>
        <v>Material</v>
      </c>
      <c r="J5" s="32"/>
      <c r="K5" s="32">
        <v>130.0</v>
      </c>
      <c r="L5" s="32"/>
      <c r="M5" s="32" t="s">
        <v>116</v>
      </c>
      <c r="N5" s="32"/>
      <c r="O5" s="34" t="str">
        <f t="shared" si="1"/>
        <v>OK</v>
      </c>
      <c r="P5" s="32" t="s">
        <v>79</v>
      </c>
      <c r="Q5" s="34" t="str">
        <f t="shared" si="2"/>
        <v>R1-3-1-L</v>
      </c>
      <c r="R5" s="34" t="str">
        <f t="shared" si="3"/>
        <v/>
      </c>
      <c r="S5" s="34">
        <f t="shared" si="4"/>
        <v>130</v>
      </c>
      <c r="T5" s="34" t="str">
        <f t="shared" si="5"/>
        <v>R1-3-1-L||20-051-00080-00||Material / 物料</v>
      </c>
      <c r="U5" s="34" t="s">
        <v>119</v>
      </c>
      <c r="V5" s="41" t="s">
        <v>86</v>
      </c>
      <c r="W5" s="42" t="str">
        <f t="shared" si="6"/>
        <v>OK</v>
      </c>
      <c r="X5" s="42">
        <f t="shared" si="7"/>
        <v>0</v>
      </c>
      <c r="Y5" s="42">
        <f t="shared" si="8"/>
        <v>0</v>
      </c>
      <c r="Z5" s="42" t="str">
        <f>IF(G5="","",IFERROR(VLOOKUP(G5,'Product_Stock_Master产品维护'!$A$2:$L992,11,FALSE),"No"))</f>
        <v>No</v>
      </c>
      <c r="AA5" s="42" t="str">
        <f>IF(G5="","",IFERROR(VLOOKUP(G5,'Product_Stock_Master产品维护'!$A$2:$L992,12,FALSE),""))</f>
        <v/>
      </c>
      <c r="AB5" s="42"/>
      <c r="AC5" s="42"/>
    </row>
    <row r="6">
      <c r="A6" s="28" t="s">
        <v>63</v>
      </c>
      <c r="B6" s="28"/>
      <c r="C6" s="32" t="s">
        <v>67</v>
      </c>
      <c r="D6" s="32"/>
      <c r="E6" s="32"/>
      <c r="F6" s="32"/>
      <c r="G6" s="32" t="s">
        <v>103</v>
      </c>
      <c r="H6" s="34" t="str">
        <f>IF(G6="","",IFERROR(VLOOKUP(G6,'Product_Stock_Master产品维护'!$A$2:$E992,2,FALSE()),"SKU not found"))</f>
        <v>H3 Smart遮线罩</v>
      </c>
      <c r="I6" s="34" t="str">
        <f>IF(G6="","",IFERROR(VLOOKUP(G6,'Product_Stock_Master产品维护'!$A$2:$E992,3,FALSE()),"Item type not found"))</f>
        <v>Material</v>
      </c>
      <c r="J6" s="32"/>
      <c r="K6" s="32">
        <v>42.0</v>
      </c>
      <c r="L6" s="32"/>
      <c r="M6" s="32" t="s">
        <v>126</v>
      </c>
      <c r="N6" s="32"/>
      <c r="O6" s="34" t="str">
        <f t="shared" si="1"/>
        <v>OK</v>
      </c>
      <c r="P6" s="32" t="s">
        <v>79</v>
      </c>
      <c r="Q6" s="34" t="str">
        <f t="shared" si="2"/>
        <v>R1-3-1-M</v>
      </c>
      <c r="R6" s="34" t="str">
        <f t="shared" si="3"/>
        <v/>
      </c>
      <c r="S6" s="34">
        <f t="shared" si="4"/>
        <v>42</v>
      </c>
      <c r="T6" s="34" t="str">
        <f t="shared" si="5"/>
        <v>R1-3-1-M||41-406-00002-00||Material / 物料</v>
      </c>
      <c r="U6" s="34" t="s">
        <v>127</v>
      </c>
      <c r="V6" s="41" t="s">
        <v>86</v>
      </c>
      <c r="W6" s="42" t="str">
        <f t="shared" si="6"/>
        <v>OK</v>
      </c>
      <c r="X6" s="42">
        <f t="shared" si="7"/>
        <v>0</v>
      </c>
      <c r="Y6" s="42">
        <f t="shared" si="8"/>
        <v>0</v>
      </c>
      <c r="Z6" s="42" t="str">
        <f>IF(G6="","",IFERROR(VLOOKUP(G6,'Product_Stock_Master产品维护'!$A$2:$L992,11,FALSE),"No"))</f>
        <v>No</v>
      </c>
      <c r="AA6" s="42" t="str">
        <f>IF(G6="","",IFERROR(VLOOKUP(G6,'Product_Stock_Master产品维护'!$A$2:$L992,12,FALSE),""))</f>
        <v/>
      </c>
      <c r="AB6" s="42"/>
      <c r="AC6" s="42"/>
    </row>
    <row r="7">
      <c r="A7" s="28" t="s">
        <v>63</v>
      </c>
      <c r="B7" s="28"/>
      <c r="C7" s="32" t="s">
        <v>67</v>
      </c>
      <c r="D7" s="32"/>
      <c r="E7" s="32"/>
      <c r="F7" s="32"/>
      <c r="G7" s="32" t="s">
        <v>103</v>
      </c>
      <c r="H7" s="34" t="str">
        <f>IF(G7="","",IFERROR(VLOOKUP(G7,'Product_Stock_Master产品维护'!$A$2:$E992,2,FALSE()),"SKU not found"))</f>
        <v>H3 Smart遮线罩</v>
      </c>
      <c r="I7" s="34" t="str">
        <f>IF(G7="","",IFERROR(VLOOKUP(G7,'Product_Stock_Master产品维护'!$A$2:$E992,3,FALSE()),"Item type not found"))</f>
        <v>Material</v>
      </c>
      <c r="J7" s="32"/>
      <c r="K7" s="32">
        <v>42.0</v>
      </c>
      <c r="L7" s="32"/>
      <c r="M7" s="32" t="s">
        <v>134</v>
      </c>
      <c r="N7" s="32"/>
      <c r="O7" s="34" t="str">
        <f t="shared" si="1"/>
        <v>OK</v>
      </c>
      <c r="P7" s="32" t="s">
        <v>79</v>
      </c>
      <c r="Q7" s="34" t="str">
        <f t="shared" si="2"/>
        <v>R1-3-1-R</v>
      </c>
      <c r="R7" s="34" t="str">
        <f t="shared" si="3"/>
        <v/>
      </c>
      <c r="S7" s="34">
        <f t="shared" si="4"/>
        <v>42</v>
      </c>
      <c r="T7" s="34" t="str">
        <f t="shared" si="5"/>
        <v>R1-3-1-R||41-406-00002-00||Material / 物料</v>
      </c>
      <c r="U7" s="34" t="s">
        <v>135</v>
      </c>
      <c r="V7" s="41" t="s">
        <v>86</v>
      </c>
      <c r="W7" s="42" t="str">
        <f t="shared" si="6"/>
        <v>OK</v>
      </c>
      <c r="X7" s="42">
        <f t="shared" si="7"/>
        <v>0</v>
      </c>
      <c r="Y7" s="42">
        <f t="shared" si="8"/>
        <v>0</v>
      </c>
      <c r="Z7" s="42" t="str">
        <f>IF(G7="","",IFERROR(VLOOKUP(G7,'Product_Stock_Master产品维护'!$A$2:$L992,11,FALSE),"No"))</f>
        <v>No</v>
      </c>
      <c r="AA7" s="42" t="str">
        <f>IF(G7="","",IFERROR(VLOOKUP(G7,'Product_Stock_Master产品维护'!$A$2:$L992,12,FALSE),""))</f>
        <v/>
      </c>
      <c r="AB7" s="42"/>
      <c r="AC7" s="42"/>
    </row>
    <row r="8">
      <c r="A8" s="28" t="s">
        <v>63</v>
      </c>
      <c r="B8" s="28"/>
      <c r="C8" s="32" t="s">
        <v>67</v>
      </c>
      <c r="D8" s="32"/>
      <c r="E8" s="32"/>
      <c r="F8" s="32"/>
      <c r="G8" s="32" t="s">
        <v>140</v>
      </c>
      <c r="H8" s="34" t="str">
        <f>IF(G8="","",IFERROR(VLOOKUP(G8,'Product_Stock_Master产品维护'!$A$2:$E992,2,FALSE()),"SKU not found"))</f>
        <v>KH遮线罩</v>
      </c>
      <c r="I8" s="34" t="str">
        <f>IF(G8="","",IFERROR(VLOOKUP(G8,'Product_Stock_Master产品维护'!$A$2:$E992,3,FALSE()),"Item type not found"))</f>
        <v>Material</v>
      </c>
      <c r="J8" s="32"/>
      <c r="K8" s="32">
        <v>96.0</v>
      </c>
      <c r="L8" s="32"/>
      <c r="M8" s="32" t="s">
        <v>143</v>
      </c>
      <c r="N8" s="32"/>
      <c r="O8" s="34" t="str">
        <f t="shared" si="1"/>
        <v>OK</v>
      </c>
      <c r="P8" s="32" t="s">
        <v>79</v>
      </c>
      <c r="Q8" s="34" t="str">
        <f t="shared" si="2"/>
        <v>R1-4-1-L</v>
      </c>
      <c r="R8" s="34" t="str">
        <f t="shared" si="3"/>
        <v/>
      </c>
      <c r="S8" s="34">
        <f t="shared" si="4"/>
        <v>96</v>
      </c>
      <c r="T8" s="34" t="str">
        <f t="shared" si="5"/>
        <v>R1-4-1-L||97-406-00017-00||Material / 物料</v>
      </c>
      <c r="U8" s="34" t="s">
        <v>144</v>
      </c>
      <c r="V8" s="41" t="s">
        <v>86</v>
      </c>
      <c r="W8" s="42" t="str">
        <f t="shared" si="6"/>
        <v>OK</v>
      </c>
      <c r="X8" s="42">
        <f t="shared" si="7"/>
        <v>0</v>
      </c>
      <c r="Y8" s="42">
        <f t="shared" si="8"/>
        <v>0</v>
      </c>
      <c r="Z8" s="42" t="str">
        <f>IF(G8="","",IFERROR(VLOOKUP(G8,'Product_Stock_Master产品维护'!$A$2:$L992,11,FALSE),"No"))</f>
        <v>No</v>
      </c>
      <c r="AA8" s="42" t="str">
        <f>IF(G8="","",IFERROR(VLOOKUP(G8,'Product_Stock_Master产品维护'!$A$2:$L992,12,FALSE),""))</f>
        <v/>
      </c>
      <c r="AB8" s="42"/>
      <c r="AC8" s="42"/>
    </row>
    <row r="9">
      <c r="A9" s="28" t="s">
        <v>63</v>
      </c>
      <c r="B9" s="28"/>
      <c r="C9" s="32" t="s">
        <v>67</v>
      </c>
      <c r="D9" s="32"/>
      <c r="E9" s="32"/>
      <c r="F9" s="32"/>
      <c r="G9" s="32" t="s">
        <v>147</v>
      </c>
      <c r="H9" s="34" t="str">
        <f>IF(G9="","",IFERROR(VLOOKUP(G9,'Product_Stock_Master产品维护'!$A$2:$E992,2,FALSE()),"SKU not found"))</f>
        <v>保温棉 橡胶泡棉 -90° -180° V-0 黑色 1主8从 上保温棉+下保温棉+四周保温棉(4+5) 带纸箱</v>
      </c>
      <c r="I9" s="34" t="str">
        <f>IF(G9="","",IFERROR(VLOOKUP(G9,'Product_Stock_Master产品维护'!$A$2:$E992,3,FALSE()),"Item type not found"))</f>
        <v>Material</v>
      </c>
      <c r="J9" s="32"/>
      <c r="K9" s="32">
        <v>19.0</v>
      </c>
      <c r="L9" s="32"/>
      <c r="M9" s="32" t="s">
        <v>151</v>
      </c>
      <c r="N9" s="32"/>
      <c r="O9" s="34" t="str">
        <f t="shared" si="1"/>
        <v>OK</v>
      </c>
      <c r="P9" s="32" t="s">
        <v>79</v>
      </c>
      <c r="Q9" s="34" t="str">
        <f t="shared" si="2"/>
        <v>R1-4-1-R</v>
      </c>
      <c r="R9" s="34" t="str">
        <f t="shared" si="3"/>
        <v/>
      </c>
      <c r="S9" s="34">
        <f t="shared" si="4"/>
        <v>19</v>
      </c>
      <c r="T9" s="34" t="str">
        <f t="shared" si="5"/>
        <v>R1-4-1-R||10-120-00471-00||Material / 物料</v>
      </c>
      <c r="U9" s="34" t="s">
        <v>154</v>
      </c>
      <c r="V9" s="41" t="s">
        <v>86</v>
      </c>
      <c r="W9" s="42" t="str">
        <f t="shared" si="6"/>
        <v>OK</v>
      </c>
      <c r="X9" s="42">
        <f t="shared" si="7"/>
        <v>0</v>
      </c>
      <c r="Y9" s="42">
        <f t="shared" si="8"/>
        <v>0</v>
      </c>
      <c r="Z9" s="42" t="str">
        <f>IF(G9="","",IFERROR(VLOOKUP(G9,'Product_Stock_Master产品维护'!$A$2:$L992,11,FALSE),"No"))</f>
        <v/>
      </c>
      <c r="AA9" s="42" t="str">
        <f>IF(G9="","",IFERROR(VLOOKUP(G9,'Product_Stock_Master产品维护'!$A$2:$L992,12,FALSE),""))</f>
        <v/>
      </c>
      <c r="AB9" s="42"/>
      <c r="AC9" s="42"/>
    </row>
    <row r="10">
      <c r="A10" s="28" t="s">
        <v>63</v>
      </c>
      <c r="B10" s="28"/>
      <c r="C10" s="32" t="s">
        <v>67</v>
      </c>
      <c r="D10" s="32"/>
      <c r="E10" s="32"/>
      <c r="F10" s="32"/>
      <c r="G10" s="32" t="s">
        <v>103</v>
      </c>
      <c r="H10" s="34" t="str">
        <f>IF(G10="","",IFERROR(VLOOKUP(G10,'Product_Stock_Master产品维护'!$A$2:$E992,2,FALSE()),"SKU not found"))</f>
        <v>H3 Smart遮线罩</v>
      </c>
      <c r="I10" s="34" t="str">
        <f>IF(G10="","",IFERROR(VLOOKUP(G10,'Product_Stock_Master产品维护'!$A$2:$E992,3,FALSE()),"Item type not found"))</f>
        <v>Material</v>
      </c>
      <c r="J10" s="32"/>
      <c r="K10" s="32">
        <v>42.0</v>
      </c>
      <c r="L10" s="32"/>
      <c r="M10" s="32" t="s">
        <v>159</v>
      </c>
      <c r="N10" s="32"/>
      <c r="O10" s="34" t="str">
        <f t="shared" si="1"/>
        <v>OK</v>
      </c>
      <c r="P10" s="32" t="s">
        <v>79</v>
      </c>
      <c r="Q10" s="34" t="str">
        <f t="shared" si="2"/>
        <v>R1-2-2-L</v>
      </c>
      <c r="R10" s="34" t="str">
        <f t="shared" si="3"/>
        <v/>
      </c>
      <c r="S10" s="34">
        <f t="shared" si="4"/>
        <v>42</v>
      </c>
      <c r="T10" s="34" t="str">
        <f t="shared" si="5"/>
        <v>R1-2-2-L||41-406-00002-00||Material / 物料</v>
      </c>
      <c r="U10" s="34" t="s">
        <v>162</v>
      </c>
      <c r="V10" s="41" t="s">
        <v>86</v>
      </c>
      <c r="W10" s="42" t="str">
        <f t="shared" si="6"/>
        <v>OK</v>
      </c>
      <c r="X10" s="42">
        <f t="shared" si="7"/>
        <v>0</v>
      </c>
      <c r="Y10" s="42">
        <f t="shared" si="8"/>
        <v>0</v>
      </c>
      <c r="Z10" s="42" t="str">
        <f>IF(G10="","",IFERROR(VLOOKUP(G10,'Product_Stock_Master产品维护'!$A$2:$L992,11,FALSE),"No"))</f>
        <v>No</v>
      </c>
      <c r="AA10" s="42" t="str">
        <f>IF(G10="","",IFERROR(VLOOKUP(G10,'Product_Stock_Master产品维护'!$A$2:$L992,12,FALSE),""))</f>
        <v/>
      </c>
      <c r="AB10" s="42"/>
      <c r="AC10" s="42"/>
    </row>
    <row r="11">
      <c r="A11" s="28" t="s">
        <v>63</v>
      </c>
      <c r="B11" s="28"/>
      <c r="C11" s="32" t="s">
        <v>67</v>
      </c>
      <c r="D11" s="32"/>
      <c r="E11" s="32"/>
      <c r="F11" s="32"/>
      <c r="G11" s="32" t="s">
        <v>103</v>
      </c>
      <c r="H11" s="34" t="str">
        <f>IF(G11="","",IFERROR(VLOOKUP(G11,'Product_Stock_Master产品维护'!$A$2:$E992,2,FALSE()),"SKU not found"))</f>
        <v>H3 Smart遮线罩</v>
      </c>
      <c r="I11" s="34" t="str">
        <f>IF(G11="","",IFERROR(VLOOKUP(G11,'Product_Stock_Master产品维护'!$A$2:$E992,3,FALSE()),"Item type not found"))</f>
        <v>Material</v>
      </c>
      <c r="J11" s="32"/>
      <c r="K11" s="32">
        <v>42.0</v>
      </c>
      <c r="L11" s="32"/>
      <c r="M11" s="32" t="s">
        <v>169</v>
      </c>
      <c r="N11" s="32"/>
      <c r="O11" s="34" t="str">
        <f t="shared" si="1"/>
        <v>OK</v>
      </c>
      <c r="P11" s="32" t="s">
        <v>79</v>
      </c>
      <c r="Q11" s="34" t="str">
        <f t="shared" si="2"/>
        <v>R1-2-2-M</v>
      </c>
      <c r="R11" s="34" t="str">
        <f t="shared" si="3"/>
        <v/>
      </c>
      <c r="S11" s="34">
        <f t="shared" si="4"/>
        <v>42</v>
      </c>
      <c r="T11" s="34" t="str">
        <f t="shared" si="5"/>
        <v>R1-2-2-M||41-406-00002-00||Material / 物料</v>
      </c>
      <c r="U11" s="34" t="s">
        <v>172</v>
      </c>
      <c r="V11" s="41" t="s">
        <v>86</v>
      </c>
      <c r="W11" s="42" t="str">
        <f t="shared" si="6"/>
        <v>OK</v>
      </c>
      <c r="X11" s="42">
        <f t="shared" si="7"/>
        <v>0</v>
      </c>
      <c r="Y11" s="42">
        <f t="shared" si="8"/>
        <v>0</v>
      </c>
      <c r="Z11" s="42" t="str">
        <f>IF(G11="","",IFERROR(VLOOKUP(G11,'Product_Stock_Master产品维护'!$A$2:$L992,11,FALSE),"No"))</f>
        <v>No</v>
      </c>
      <c r="AA11" s="42" t="str">
        <f>IF(G11="","",IFERROR(VLOOKUP(G11,'Product_Stock_Master产品维护'!$A$2:$L992,12,FALSE),""))</f>
        <v/>
      </c>
      <c r="AB11" s="42"/>
      <c r="AC11" s="42"/>
    </row>
    <row r="12">
      <c r="A12" s="28" t="s">
        <v>63</v>
      </c>
      <c r="B12" s="28"/>
      <c r="C12" s="32" t="s">
        <v>67</v>
      </c>
      <c r="D12" s="32"/>
      <c r="E12" s="32"/>
      <c r="F12" s="32"/>
      <c r="G12" s="32" t="s">
        <v>103</v>
      </c>
      <c r="H12" s="34" t="str">
        <f>IF(G12="","",IFERROR(VLOOKUP(G12,'Product_Stock_Master产品维护'!$A$2:$E992,2,FALSE()),"SKU not found"))</f>
        <v>H3 Smart遮线罩</v>
      </c>
      <c r="I12" s="34" t="str">
        <f>IF(G12="","",IFERROR(VLOOKUP(G12,'Product_Stock_Master产品维护'!$A$2:$E992,3,FALSE()),"Item type not found"))</f>
        <v>Material</v>
      </c>
      <c r="J12" s="32"/>
      <c r="K12" s="32">
        <v>42.0</v>
      </c>
      <c r="L12" s="32"/>
      <c r="M12" s="32" t="s">
        <v>179</v>
      </c>
      <c r="N12" s="32"/>
      <c r="O12" s="34" t="str">
        <f t="shared" si="1"/>
        <v>OK</v>
      </c>
      <c r="P12" s="32" t="s">
        <v>79</v>
      </c>
      <c r="Q12" s="34" t="str">
        <f t="shared" si="2"/>
        <v>R1-2-2-R</v>
      </c>
      <c r="R12" s="34" t="str">
        <f t="shared" si="3"/>
        <v/>
      </c>
      <c r="S12" s="34">
        <f t="shared" si="4"/>
        <v>42</v>
      </c>
      <c r="T12" s="34" t="str">
        <f t="shared" si="5"/>
        <v>R1-2-2-R||41-406-00002-00||Material / 物料</v>
      </c>
      <c r="U12" s="34" t="s">
        <v>180</v>
      </c>
      <c r="V12" s="41" t="s">
        <v>86</v>
      </c>
      <c r="W12" s="42" t="str">
        <f t="shared" si="6"/>
        <v>OK</v>
      </c>
      <c r="X12" s="42">
        <f t="shared" si="7"/>
        <v>0</v>
      </c>
      <c r="Y12" s="42">
        <f t="shared" si="8"/>
        <v>0</v>
      </c>
      <c r="Z12" s="42" t="str">
        <f>IF(G12="","",IFERROR(VLOOKUP(G12,'Product_Stock_Master产品维护'!$A$2:$L992,11,FALSE),"No"))</f>
        <v>No</v>
      </c>
      <c r="AA12" s="42" t="str">
        <f>IF(G12="","",IFERROR(VLOOKUP(G12,'Product_Stock_Master产品维护'!$A$2:$L992,12,FALSE),""))</f>
        <v/>
      </c>
      <c r="AB12" s="42"/>
      <c r="AC12" s="42"/>
    </row>
    <row r="13">
      <c r="A13" s="28" t="s">
        <v>63</v>
      </c>
      <c r="B13" s="28"/>
      <c r="C13" s="32" t="s">
        <v>67</v>
      </c>
      <c r="D13" s="32"/>
      <c r="E13" s="32"/>
      <c r="F13" s="32"/>
      <c r="G13" s="32" t="s">
        <v>103</v>
      </c>
      <c r="H13" s="34" t="str">
        <f>IF(G13="","",IFERROR(VLOOKUP(G13,'Product_Stock_Master产品维护'!$A$2:$E992,2,FALSE()),"SKU not found"))</f>
        <v>H3 Smart遮线罩</v>
      </c>
      <c r="I13" s="34" t="str">
        <f>IF(G13="","",IFERROR(VLOOKUP(G13,'Product_Stock_Master产品维护'!$A$2:$E992,3,FALSE()),"Item type not found"))</f>
        <v>Material</v>
      </c>
      <c r="J13" s="32"/>
      <c r="K13" s="32">
        <v>42.0</v>
      </c>
      <c r="L13" s="32"/>
      <c r="M13" s="32" t="s">
        <v>184</v>
      </c>
      <c r="N13" s="32"/>
      <c r="O13" s="34" t="str">
        <f t="shared" si="1"/>
        <v>OK</v>
      </c>
      <c r="P13" s="32" t="s">
        <v>79</v>
      </c>
      <c r="Q13" s="34" t="str">
        <f t="shared" si="2"/>
        <v>R1-3-2-L</v>
      </c>
      <c r="R13" s="34" t="str">
        <f t="shared" si="3"/>
        <v/>
      </c>
      <c r="S13" s="34">
        <f t="shared" si="4"/>
        <v>42</v>
      </c>
      <c r="T13" s="34" t="str">
        <f t="shared" si="5"/>
        <v>R1-3-2-L||41-406-00002-00||Material / 物料</v>
      </c>
      <c r="U13" s="34" t="s">
        <v>187</v>
      </c>
      <c r="V13" s="41" t="s">
        <v>86</v>
      </c>
      <c r="W13" s="42" t="str">
        <f t="shared" si="6"/>
        <v>OK</v>
      </c>
      <c r="X13" s="42">
        <f t="shared" si="7"/>
        <v>0</v>
      </c>
      <c r="Y13" s="42">
        <f t="shared" si="8"/>
        <v>0</v>
      </c>
      <c r="Z13" s="42" t="str">
        <f>IF(G13="","",IFERROR(VLOOKUP(G13,'Product_Stock_Master产品维护'!$A$2:$L992,11,FALSE),"No"))</f>
        <v>No</v>
      </c>
      <c r="AA13" s="42" t="str">
        <f>IF(G13="","",IFERROR(VLOOKUP(G13,'Product_Stock_Master产品维护'!$A$2:$L992,12,FALSE),""))</f>
        <v/>
      </c>
      <c r="AB13" s="42"/>
      <c r="AC13" s="42"/>
    </row>
    <row r="14">
      <c r="A14" s="28" t="s">
        <v>63</v>
      </c>
      <c r="B14" s="28"/>
      <c r="C14" s="32" t="s">
        <v>67</v>
      </c>
      <c r="D14" s="32"/>
      <c r="E14" s="32"/>
      <c r="F14" s="32"/>
      <c r="G14" s="32" t="s">
        <v>103</v>
      </c>
      <c r="H14" s="34" t="str">
        <f>IF(G14="","",IFERROR(VLOOKUP(G14,'Product_Stock_Master产品维护'!$A$2:$E992,2,FALSE()),"SKU not found"))</f>
        <v>H3 Smart遮线罩</v>
      </c>
      <c r="I14" s="34" t="str">
        <f>IF(G14="","",IFERROR(VLOOKUP(G14,'Product_Stock_Master产品维护'!$A$2:$E992,3,FALSE()),"Item type not found"))</f>
        <v>Material</v>
      </c>
      <c r="J14" s="32"/>
      <c r="K14" s="32">
        <v>42.0</v>
      </c>
      <c r="L14" s="32"/>
      <c r="M14" s="32" t="s">
        <v>192</v>
      </c>
      <c r="N14" s="32"/>
      <c r="O14" s="34" t="str">
        <f t="shared" si="1"/>
        <v>OK</v>
      </c>
      <c r="P14" s="32" t="s">
        <v>79</v>
      </c>
      <c r="Q14" s="34" t="str">
        <f t="shared" si="2"/>
        <v>R1-3-2-M</v>
      </c>
      <c r="R14" s="34" t="str">
        <f t="shared" si="3"/>
        <v/>
      </c>
      <c r="S14" s="34">
        <f t="shared" si="4"/>
        <v>42</v>
      </c>
      <c r="T14" s="34" t="str">
        <f t="shared" si="5"/>
        <v>R1-3-2-M||41-406-00002-00||Material / 物料</v>
      </c>
      <c r="U14" s="34" t="s">
        <v>195</v>
      </c>
      <c r="V14" s="41" t="s">
        <v>86</v>
      </c>
      <c r="W14" s="42" t="str">
        <f t="shared" si="6"/>
        <v>OK</v>
      </c>
      <c r="X14" s="42">
        <f t="shared" si="7"/>
        <v>0</v>
      </c>
      <c r="Y14" s="42">
        <f t="shared" si="8"/>
        <v>0</v>
      </c>
      <c r="Z14" s="42" t="str">
        <f>IF(G14="","",IFERROR(VLOOKUP(G14,'Product_Stock_Master产品维护'!$A$2:$L992,11,FALSE),"No"))</f>
        <v>No</v>
      </c>
      <c r="AA14" s="42" t="str">
        <f>IF(G14="","",IFERROR(VLOOKUP(G14,'Product_Stock_Master产品维护'!$A$2:$L992,12,FALSE),""))</f>
        <v/>
      </c>
      <c r="AB14" s="42"/>
      <c r="AC14" s="42"/>
    </row>
    <row r="15">
      <c r="A15" s="28" t="s">
        <v>63</v>
      </c>
      <c r="B15" s="28"/>
      <c r="C15" s="32" t="s">
        <v>67</v>
      </c>
      <c r="D15" s="32"/>
      <c r="E15" s="32"/>
      <c r="F15" s="32"/>
      <c r="G15" s="32" t="s">
        <v>103</v>
      </c>
      <c r="H15" s="34" t="str">
        <f>IF(G15="","",IFERROR(VLOOKUP(G15,'Product_Stock_Master产品维护'!$A$2:$E992,2,FALSE()),"SKU not found"))</f>
        <v>H3 Smart遮线罩</v>
      </c>
      <c r="I15" s="34" t="str">
        <f>IF(G15="","",IFERROR(VLOOKUP(G15,'Product_Stock_Master产品维护'!$A$2:$E992,3,FALSE()),"Item type not found"))</f>
        <v>Material</v>
      </c>
      <c r="J15" s="32"/>
      <c r="K15" s="32">
        <v>42.0</v>
      </c>
      <c r="L15" s="32"/>
      <c r="M15" s="32" t="s">
        <v>200</v>
      </c>
      <c r="N15" s="32"/>
      <c r="O15" s="34" t="str">
        <f t="shared" si="1"/>
        <v>OK</v>
      </c>
      <c r="P15" s="32" t="s">
        <v>79</v>
      </c>
      <c r="Q15" s="34" t="str">
        <f t="shared" si="2"/>
        <v>R1-3-2-R</v>
      </c>
      <c r="R15" s="34" t="str">
        <f t="shared" si="3"/>
        <v/>
      </c>
      <c r="S15" s="34">
        <f t="shared" si="4"/>
        <v>42</v>
      </c>
      <c r="T15" s="34" t="str">
        <f t="shared" si="5"/>
        <v>R1-3-2-R||41-406-00002-00||Material / 物料</v>
      </c>
      <c r="U15" s="34" t="s">
        <v>203</v>
      </c>
      <c r="V15" s="41" t="s">
        <v>86</v>
      </c>
      <c r="W15" s="42" t="str">
        <f t="shared" si="6"/>
        <v>OK</v>
      </c>
      <c r="X15" s="42">
        <f t="shared" si="7"/>
        <v>0</v>
      </c>
      <c r="Y15" s="42">
        <f t="shared" si="8"/>
        <v>0</v>
      </c>
      <c r="Z15" s="42" t="str">
        <f>IF(G15="","",IFERROR(VLOOKUP(G15,'Product_Stock_Master产品维护'!$A$2:$L992,11,FALSE),"No"))</f>
        <v>No</v>
      </c>
      <c r="AA15" s="42" t="str">
        <f>IF(G15="","",IFERROR(VLOOKUP(G15,'Product_Stock_Master产品维护'!$A$2:$L992,12,FALSE),""))</f>
        <v/>
      </c>
      <c r="AB15" s="42"/>
      <c r="AC15" s="42"/>
    </row>
    <row r="16">
      <c r="A16" s="28" t="s">
        <v>63</v>
      </c>
      <c r="B16" s="28"/>
      <c r="C16" s="32" t="s">
        <v>67</v>
      </c>
      <c r="D16" s="32"/>
      <c r="E16" s="32"/>
      <c r="F16" s="32"/>
      <c r="G16" s="32" t="s">
        <v>140</v>
      </c>
      <c r="H16" s="34" t="str">
        <f>IF(G16="","",IFERROR(VLOOKUP(G16,'Product_Stock_Master产品维护'!$A$2:$E992,2,FALSE()),"SKU not found"))</f>
        <v>KH遮线罩</v>
      </c>
      <c r="I16" s="34" t="str">
        <f>IF(G16="","",IFERROR(VLOOKUP(G16,'Product_Stock_Master产品维护'!$A$2:$E992,3,FALSE()),"Item type not found"))</f>
        <v>Material</v>
      </c>
      <c r="J16" s="32"/>
      <c r="K16" s="32">
        <v>96.0</v>
      </c>
      <c r="L16" s="32"/>
      <c r="M16" s="32" t="s">
        <v>204</v>
      </c>
      <c r="N16" s="32"/>
      <c r="O16" s="34" t="str">
        <f t="shared" si="1"/>
        <v>OK</v>
      </c>
      <c r="P16" s="32" t="s">
        <v>79</v>
      </c>
      <c r="Q16" s="34" t="str">
        <f t="shared" si="2"/>
        <v>R1-4-2-L</v>
      </c>
      <c r="R16" s="34" t="str">
        <f t="shared" si="3"/>
        <v/>
      </c>
      <c r="S16" s="34">
        <f t="shared" si="4"/>
        <v>96</v>
      </c>
      <c r="T16" s="34" t="str">
        <f t="shared" si="5"/>
        <v>R1-4-2-L||97-406-00017-00||Material / 物料</v>
      </c>
      <c r="U16" s="34" t="s">
        <v>205</v>
      </c>
      <c r="V16" s="41" t="s">
        <v>86</v>
      </c>
      <c r="W16" s="42" t="str">
        <f t="shared" si="6"/>
        <v>OK</v>
      </c>
      <c r="X16" s="42">
        <f t="shared" si="7"/>
        <v>0</v>
      </c>
      <c r="Y16" s="42">
        <f t="shared" si="8"/>
        <v>0</v>
      </c>
      <c r="Z16" s="42" t="str">
        <f>IF(G16="","",IFERROR(VLOOKUP(G16,'Product_Stock_Master产品维护'!$A$2:$L992,11,FALSE),"No"))</f>
        <v>No</v>
      </c>
      <c r="AA16" s="42" t="str">
        <f>IF(G16="","",IFERROR(VLOOKUP(G16,'Product_Stock_Master产品维护'!$A$2:$L992,12,FALSE),""))</f>
        <v/>
      </c>
      <c r="AB16" s="42"/>
      <c r="AC16" s="42"/>
    </row>
    <row r="17">
      <c r="A17" s="28" t="s">
        <v>63</v>
      </c>
      <c r="B17" s="28"/>
      <c r="C17" s="32" t="s">
        <v>67</v>
      </c>
      <c r="D17" s="32"/>
      <c r="E17" s="32"/>
      <c r="F17" s="32"/>
      <c r="G17" s="32" t="s">
        <v>147</v>
      </c>
      <c r="H17" s="34" t="str">
        <f>IF(G17="","",IFERROR(VLOOKUP(G17,'Product_Stock_Master产品维护'!$A$2:$E992,2,FALSE()),"SKU not found"))</f>
        <v>保温棉 橡胶泡棉 -90° -180° V-0 黑色 1主8从 上保温棉+下保温棉+四周保温棉(4+5) 带纸箱</v>
      </c>
      <c r="I17" s="34" t="str">
        <f>IF(G17="","",IFERROR(VLOOKUP(G17,'Product_Stock_Master产品维护'!$A$2:$E992,3,FALSE()),"Item type not found"))</f>
        <v>Material</v>
      </c>
      <c r="J17" s="32"/>
      <c r="K17" s="32">
        <v>20.0</v>
      </c>
      <c r="L17" s="32"/>
      <c r="M17" s="32" t="s">
        <v>208</v>
      </c>
      <c r="N17" s="32"/>
      <c r="O17" s="34" t="str">
        <f t="shared" si="1"/>
        <v>OK</v>
      </c>
      <c r="P17" s="32" t="s">
        <v>79</v>
      </c>
      <c r="Q17" s="34" t="str">
        <f t="shared" si="2"/>
        <v>R1-4-2-R</v>
      </c>
      <c r="R17" s="34" t="str">
        <f t="shared" si="3"/>
        <v/>
      </c>
      <c r="S17" s="34">
        <f t="shared" si="4"/>
        <v>20</v>
      </c>
      <c r="T17" s="34" t="str">
        <f t="shared" si="5"/>
        <v>R1-4-2-R||10-120-00471-00||Material / 物料</v>
      </c>
      <c r="U17" s="34" t="s">
        <v>209</v>
      </c>
      <c r="V17" s="41" t="s">
        <v>86</v>
      </c>
      <c r="W17" s="42" t="str">
        <f t="shared" si="6"/>
        <v>OK</v>
      </c>
      <c r="X17" s="42">
        <f t="shared" si="7"/>
        <v>0</v>
      </c>
      <c r="Y17" s="42">
        <f t="shared" si="8"/>
        <v>0</v>
      </c>
      <c r="Z17" s="42" t="str">
        <f>IF(G17="","",IFERROR(VLOOKUP(G17,'Product_Stock_Master产品维护'!$A$2:$L992,11,FALSE),"No"))</f>
        <v/>
      </c>
      <c r="AA17" s="42" t="str">
        <f>IF(G17="","",IFERROR(VLOOKUP(G17,'Product_Stock_Master产品维护'!$A$2:$L992,12,FALSE),""))</f>
        <v/>
      </c>
      <c r="AB17" s="42"/>
      <c r="AC17" s="42"/>
    </row>
    <row r="18">
      <c r="A18" s="28" t="s">
        <v>63</v>
      </c>
      <c r="B18" s="28"/>
      <c r="C18" s="32" t="s">
        <v>67</v>
      </c>
      <c r="D18" s="32"/>
      <c r="E18" s="32"/>
      <c r="F18" s="32"/>
      <c r="G18" s="32" t="s">
        <v>103</v>
      </c>
      <c r="H18" s="34" t="str">
        <f>IF(G18="","",IFERROR(VLOOKUP(G18,'Product_Stock_Master产品维护'!$A$2:$E992,2,FALSE()),"SKU not found"))</f>
        <v>H3 Smart遮线罩</v>
      </c>
      <c r="I18" s="34" t="str">
        <f>IF(G18="","",IFERROR(VLOOKUP(G18,'Product_Stock_Master产品维护'!$A$2:$E992,3,FALSE()),"Item type not found"))</f>
        <v>Material</v>
      </c>
      <c r="J18" s="32"/>
      <c r="K18" s="32">
        <v>42.0</v>
      </c>
      <c r="L18" s="32"/>
      <c r="M18" s="32" t="s">
        <v>217</v>
      </c>
      <c r="N18" s="32"/>
      <c r="O18" s="34" t="str">
        <f t="shared" si="1"/>
        <v>OK</v>
      </c>
      <c r="P18" s="32" t="s">
        <v>79</v>
      </c>
      <c r="Q18" s="34" t="str">
        <f t="shared" si="2"/>
        <v>R1-2-3-L</v>
      </c>
      <c r="R18" s="34" t="str">
        <f t="shared" si="3"/>
        <v/>
      </c>
      <c r="S18" s="34">
        <f t="shared" si="4"/>
        <v>42</v>
      </c>
      <c r="T18" s="34" t="str">
        <f t="shared" si="5"/>
        <v>R1-2-3-L||41-406-00002-00||Material / 物料</v>
      </c>
      <c r="U18" s="34" t="s">
        <v>218</v>
      </c>
      <c r="V18" s="41" t="s">
        <v>86</v>
      </c>
      <c r="W18" s="42" t="str">
        <f t="shared" si="6"/>
        <v>OK</v>
      </c>
      <c r="X18" s="42">
        <f t="shared" si="7"/>
        <v>0</v>
      </c>
      <c r="Y18" s="42">
        <f t="shared" si="8"/>
        <v>0</v>
      </c>
      <c r="Z18" s="42" t="str">
        <f>IF(G18="","",IFERROR(VLOOKUP(G18,'Product_Stock_Master产品维护'!$A$2:$L992,11,FALSE),"No"))</f>
        <v>No</v>
      </c>
      <c r="AA18" s="42" t="str">
        <f>IF(G18="","",IFERROR(VLOOKUP(G18,'Product_Stock_Master产品维护'!$A$2:$L992,12,FALSE),""))</f>
        <v/>
      </c>
      <c r="AB18" s="42"/>
      <c r="AC18" s="42"/>
    </row>
    <row r="19">
      <c r="A19" s="28" t="s">
        <v>221</v>
      </c>
      <c r="B19" s="28"/>
      <c r="C19" s="32" t="s">
        <v>223</v>
      </c>
      <c r="D19" s="32"/>
      <c r="E19" s="32"/>
      <c r="F19" s="32"/>
      <c r="G19" s="32" t="s">
        <v>103</v>
      </c>
      <c r="H19" s="34" t="str">
        <f>IF(G19="","",IFERROR(VLOOKUP(G19,'Product_Stock_Master产品维护'!$A$2:$E992,2,FALSE()),"SKU not found"))</f>
        <v>H3 Smart遮线罩</v>
      </c>
      <c r="I19" s="34" t="str">
        <f>IF(G19="","",IFERROR(VLOOKUP(G19,'Product_Stock_Master产品维护'!$A$2:$E992,3,FALSE()),"Item type not found"))</f>
        <v>Material</v>
      </c>
      <c r="J19" s="32"/>
      <c r="K19" s="32">
        <v>42.0</v>
      </c>
      <c r="L19" s="32" t="s">
        <v>179</v>
      </c>
      <c r="M19" s="32"/>
      <c r="N19" s="32"/>
      <c r="O19" s="34" t="str">
        <f t="shared" si="1"/>
        <v>OK</v>
      </c>
      <c r="P19" s="32" t="s">
        <v>79</v>
      </c>
      <c r="Q19" s="34" t="str">
        <f t="shared" si="2"/>
        <v>R1-2-2-R</v>
      </c>
      <c r="R19" s="34" t="str">
        <f t="shared" si="3"/>
        <v/>
      </c>
      <c r="S19" s="34">
        <f t="shared" si="4"/>
        <v>-42</v>
      </c>
      <c r="T19" s="34" t="str">
        <f t="shared" si="5"/>
        <v>R1-2-2-R||41-406-00002-00||Material / 物料</v>
      </c>
      <c r="U19" s="34" t="s">
        <v>227</v>
      </c>
      <c r="V19" s="41" t="s">
        <v>228</v>
      </c>
      <c r="W19" s="42" t="str">
        <f t="shared" si="6"/>
        <v>OK</v>
      </c>
      <c r="X19" s="42">
        <f t="shared" si="7"/>
        <v>0</v>
      </c>
      <c r="Y19" s="42">
        <f t="shared" si="8"/>
        <v>0</v>
      </c>
      <c r="Z19" s="42" t="str">
        <f>IF(G19="","",IFERROR(VLOOKUP(G19,'Product_Stock_Master产品维护'!$A$2:$L992,11,FALSE),"No"))</f>
        <v>No</v>
      </c>
      <c r="AA19" s="42" t="str">
        <f>IF(G19="","",IFERROR(VLOOKUP(G19,'Product_Stock_Master产品维护'!$A$2:$L992,12,FALSE),""))</f>
        <v/>
      </c>
      <c r="AB19" s="42"/>
      <c r="AC19" s="42"/>
    </row>
    <row r="20">
      <c r="A20" s="28" t="s">
        <v>221</v>
      </c>
      <c r="B20" s="28"/>
      <c r="C20" s="32" t="s">
        <v>223</v>
      </c>
      <c r="D20" s="32"/>
      <c r="E20" s="32"/>
      <c r="F20" s="32"/>
      <c r="G20" s="32" t="s">
        <v>103</v>
      </c>
      <c r="H20" s="34" t="str">
        <f>IF(G20="","",IFERROR(VLOOKUP(G20,'Product_Stock_Master产品维护'!$A$2:$E992,2,FALSE()),"SKU not found"))</f>
        <v>H3 Smart遮线罩</v>
      </c>
      <c r="I20" s="34" t="str">
        <f>IF(G20="","",IFERROR(VLOOKUP(G20,'Product_Stock_Master产品维护'!$A$2:$E992,3,FALSE()),"Item type not found"))</f>
        <v>Material</v>
      </c>
      <c r="J20" s="32"/>
      <c r="K20" s="32">
        <v>2.0</v>
      </c>
      <c r="L20" s="32" t="s">
        <v>169</v>
      </c>
      <c r="M20" s="32"/>
      <c r="N20" s="32"/>
      <c r="O20" s="34" t="str">
        <f t="shared" si="1"/>
        <v>OK</v>
      </c>
      <c r="P20" s="32" t="s">
        <v>79</v>
      </c>
      <c r="Q20" s="34" t="str">
        <f t="shared" si="2"/>
        <v>R1-2-2-M</v>
      </c>
      <c r="R20" s="34" t="str">
        <f t="shared" si="3"/>
        <v/>
      </c>
      <c r="S20" s="34">
        <f t="shared" si="4"/>
        <v>-2</v>
      </c>
      <c r="T20" s="34" t="str">
        <f t="shared" si="5"/>
        <v>R1-2-2-M||41-406-00002-00||Material / 物料</v>
      </c>
      <c r="U20" s="34" t="s">
        <v>235</v>
      </c>
      <c r="V20" s="41" t="s">
        <v>236</v>
      </c>
      <c r="W20" s="42" t="str">
        <f t="shared" si="6"/>
        <v>OK</v>
      </c>
      <c r="X20" s="42">
        <f t="shared" si="7"/>
        <v>0</v>
      </c>
      <c r="Y20" s="42">
        <f t="shared" si="8"/>
        <v>0</v>
      </c>
      <c r="Z20" s="42" t="str">
        <f>IF(G20="","",IFERROR(VLOOKUP(G20,'Product_Stock_Master产品维护'!$A$2:$L992,11,FALSE),"No"))</f>
        <v>No</v>
      </c>
      <c r="AA20" s="42" t="str">
        <f>IF(G20="","",IFERROR(VLOOKUP(G20,'Product_Stock_Master产品维护'!$A$2:$L992,12,FALSE),""))</f>
        <v/>
      </c>
      <c r="AB20" s="42"/>
      <c r="AC20" s="42"/>
    </row>
    <row r="21" ht="15.75" customHeight="1">
      <c r="A21" s="28" t="s">
        <v>239</v>
      </c>
      <c r="B21" s="28"/>
      <c r="C21" s="32" t="s">
        <v>223</v>
      </c>
      <c r="D21" s="32"/>
      <c r="E21" s="32"/>
      <c r="F21" s="32"/>
      <c r="G21" s="32" t="s">
        <v>103</v>
      </c>
      <c r="H21" s="34" t="str">
        <f>IF(G21="","",IFERROR(VLOOKUP(G21,'Product_Stock_Master产品维护'!$A$2:$E992,2,FALSE()),"SKU not found"))</f>
        <v>H3 Smart遮线罩</v>
      </c>
      <c r="I21" s="34" t="str">
        <f>IF(G21="","",IFERROR(VLOOKUP(G21,'Product_Stock_Master产品维护'!$A$2:$E992,3,FALSE()),"Item type not found"))</f>
        <v>Material</v>
      </c>
      <c r="J21" s="32"/>
      <c r="K21" s="32">
        <v>42.0</v>
      </c>
      <c r="L21" s="32" t="s">
        <v>106</v>
      </c>
      <c r="M21" s="32"/>
      <c r="N21" s="32"/>
      <c r="O21" s="34" t="str">
        <f t="shared" si="1"/>
        <v>OK</v>
      </c>
      <c r="P21" s="32" t="s">
        <v>79</v>
      </c>
      <c r="Q21" s="34" t="str">
        <f t="shared" si="2"/>
        <v>R1-2-1-R</v>
      </c>
      <c r="R21" s="34" t="str">
        <f t="shared" si="3"/>
        <v/>
      </c>
      <c r="S21" s="34">
        <f t="shared" si="4"/>
        <v>-42</v>
      </c>
      <c r="T21" s="34" t="str">
        <f t="shared" si="5"/>
        <v>R1-2-1-R||41-406-00002-00||Material / 物料</v>
      </c>
      <c r="U21" s="34" t="s">
        <v>243</v>
      </c>
      <c r="V21" s="41" t="s">
        <v>245</v>
      </c>
      <c r="W21" s="42" t="str">
        <f t="shared" si="6"/>
        <v>OK</v>
      </c>
      <c r="X21" s="42">
        <f t="shared" si="7"/>
        <v>0</v>
      </c>
      <c r="Y21" s="42">
        <f t="shared" si="8"/>
        <v>0</v>
      </c>
      <c r="Z21" s="42" t="str">
        <f>IF(G21="","",IFERROR(VLOOKUP(G21,'Product_Stock_Master产品维护'!$A$2:$L992,11,FALSE),"No"))</f>
        <v>No</v>
      </c>
      <c r="AA21" s="42" t="str">
        <f>IF(G21="","",IFERROR(VLOOKUP(G21,'Product_Stock_Master产品维护'!$A$2:$L992,12,FALSE),""))</f>
        <v/>
      </c>
      <c r="AB21" s="42"/>
      <c r="AC21" s="42"/>
    </row>
    <row r="22" ht="15.75" customHeight="1">
      <c r="A22" s="28" t="s">
        <v>239</v>
      </c>
      <c r="B22" s="28"/>
      <c r="C22" s="32" t="s">
        <v>223</v>
      </c>
      <c r="D22" s="32"/>
      <c r="E22" s="32"/>
      <c r="F22" s="32"/>
      <c r="G22" s="32" t="s">
        <v>103</v>
      </c>
      <c r="H22" s="34" t="str">
        <f>IF(G22="","",IFERROR(VLOOKUP(G22,'Product_Stock_Master产品维护'!$A$2:$E992,2,FALSE()),"SKU not found"))</f>
        <v>H3 Smart遮线罩</v>
      </c>
      <c r="I22" s="34" t="str">
        <f>IF(G22="","",IFERROR(VLOOKUP(G22,'Product_Stock_Master产品维护'!$A$2:$E992,3,FALSE()),"Item type not found"))</f>
        <v>Material</v>
      </c>
      <c r="J22" s="32"/>
      <c r="K22" s="32">
        <v>42.0</v>
      </c>
      <c r="L22" s="32" t="s">
        <v>159</v>
      </c>
      <c r="M22" s="32"/>
      <c r="N22" s="32"/>
      <c r="O22" s="34" t="str">
        <f t="shared" si="1"/>
        <v>OK</v>
      </c>
      <c r="P22" s="32" t="s">
        <v>79</v>
      </c>
      <c r="Q22" s="34" t="str">
        <f t="shared" si="2"/>
        <v>R1-2-2-L</v>
      </c>
      <c r="R22" s="34" t="str">
        <f t="shared" si="3"/>
        <v/>
      </c>
      <c r="S22" s="34">
        <f t="shared" si="4"/>
        <v>-42</v>
      </c>
      <c r="T22" s="34" t="str">
        <f t="shared" si="5"/>
        <v>R1-2-2-L||41-406-00002-00||Material / 物料</v>
      </c>
      <c r="U22" s="34" t="s">
        <v>250</v>
      </c>
      <c r="V22" s="41" t="s">
        <v>251</v>
      </c>
      <c r="W22" s="42" t="str">
        <f t="shared" si="6"/>
        <v>OK</v>
      </c>
      <c r="X22" s="42">
        <f t="shared" si="7"/>
        <v>0</v>
      </c>
      <c r="Y22" s="42">
        <f t="shared" si="8"/>
        <v>0</v>
      </c>
      <c r="Z22" s="42" t="str">
        <f>IF(G22="","",IFERROR(VLOOKUP(G22,'Product_Stock_Master产品维护'!$A$2:$L992,11,FALSE),"No"))</f>
        <v>No</v>
      </c>
      <c r="AA22" s="42" t="str">
        <f>IF(G22="","",IFERROR(VLOOKUP(G22,'Product_Stock_Master产品维护'!$A$2:$L992,12,FALSE),""))</f>
        <v/>
      </c>
      <c r="AB22" s="42"/>
      <c r="AC22" s="42"/>
    </row>
    <row r="23" ht="15.75" customHeight="1">
      <c r="A23" s="28" t="s">
        <v>239</v>
      </c>
      <c r="B23" s="28"/>
      <c r="C23" s="32" t="s">
        <v>223</v>
      </c>
      <c r="D23" s="32"/>
      <c r="E23" s="32"/>
      <c r="F23" s="32"/>
      <c r="G23" s="32" t="s">
        <v>103</v>
      </c>
      <c r="H23" s="34" t="str">
        <f>IF(G23="","",IFERROR(VLOOKUP(G23,'Product_Stock_Master产品维护'!$A$2:$E992,2,FALSE()),"SKU not found"))</f>
        <v>H3 Smart遮线罩</v>
      </c>
      <c r="I23" s="34" t="str">
        <f>IF(G23="","",IFERROR(VLOOKUP(G23,'Product_Stock_Master产品维护'!$A$2:$E992,3,FALSE()),"Item type not found"))</f>
        <v>Material</v>
      </c>
      <c r="J23" s="32"/>
      <c r="K23" s="32">
        <v>40.0</v>
      </c>
      <c r="L23" s="32" t="s">
        <v>169</v>
      </c>
      <c r="M23" s="32"/>
      <c r="N23" s="32"/>
      <c r="O23" s="34" t="str">
        <f t="shared" si="1"/>
        <v>OK</v>
      </c>
      <c r="P23" s="32" t="s">
        <v>79</v>
      </c>
      <c r="Q23" s="34" t="str">
        <f t="shared" si="2"/>
        <v>R1-2-2-M</v>
      </c>
      <c r="R23" s="34" t="str">
        <f t="shared" si="3"/>
        <v/>
      </c>
      <c r="S23" s="34">
        <f t="shared" si="4"/>
        <v>-40</v>
      </c>
      <c r="T23" s="34" t="str">
        <f t="shared" si="5"/>
        <v>R1-2-2-M||41-406-00002-00||Material / 物料</v>
      </c>
      <c r="U23" s="34" t="s">
        <v>258</v>
      </c>
      <c r="V23" s="41" t="s">
        <v>259</v>
      </c>
      <c r="W23" s="42" t="str">
        <f t="shared" si="6"/>
        <v>OK</v>
      </c>
      <c r="X23" s="42">
        <f t="shared" si="7"/>
        <v>0</v>
      </c>
      <c r="Y23" s="42">
        <f t="shared" si="8"/>
        <v>0</v>
      </c>
      <c r="Z23" s="42" t="str">
        <f>IF(G23="","",IFERROR(VLOOKUP(G23,'Product_Stock_Master产品维护'!$A$2:$L992,11,FALSE),"No"))</f>
        <v>No</v>
      </c>
      <c r="AA23" s="42" t="str">
        <f>IF(G23="","",IFERROR(VLOOKUP(G23,'Product_Stock_Master产品维护'!$A$2:$L992,12,FALSE),""))</f>
        <v/>
      </c>
      <c r="AB23" s="42"/>
      <c r="AC23" s="42"/>
    </row>
    <row r="24" ht="15.75" customHeight="1">
      <c r="A24" s="28" t="s">
        <v>260</v>
      </c>
      <c r="B24" s="28"/>
      <c r="C24" s="32" t="s">
        <v>223</v>
      </c>
      <c r="D24" s="32"/>
      <c r="E24" s="32"/>
      <c r="F24" s="32"/>
      <c r="G24" s="32" t="s">
        <v>140</v>
      </c>
      <c r="H24" s="34" t="str">
        <f>IF(G24="","",IFERROR(VLOOKUP(G24,'Product_Stock_Master产品维护'!$A$2:$E992,2,FALSE()),"SKU not found"))</f>
        <v>KH遮线罩</v>
      </c>
      <c r="I24" s="34" t="str">
        <f>IF(G24="","",IFERROR(VLOOKUP(G24,'Product_Stock_Master产品维护'!$A$2:$E992,3,FALSE()),"Item type not found"))</f>
        <v>Material</v>
      </c>
      <c r="J24" s="32"/>
      <c r="K24" s="32">
        <v>96.0</v>
      </c>
      <c r="L24" s="32" t="s">
        <v>143</v>
      </c>
      <c r="M24" s="32"/>
      <c r="N24" s="32"/>
      <c r="O24" s="34" t="str">
        <f t="shared" si="1"/>
        <v>OK</v>
      </c>
      <c r="P24" s="32" t="s">
        <v>79</v>
      </c>
      <c r="Q24" s="34" t="str">
        <f t="shared" si="2"/>
        <v>R1-4-1-L</v>
      </c>
      <c r="R24" s="34" t="str">
        <f t="shared" si="3"/>
        <v/>
      </c>
      <c r="S24" s="34">
        <f t="shared" si="4"/>
        <v>-96</v>
      </c>
      <c r="T24" s="34" t="str">
        <f t="shared" si="5"/>
        <v>R1-4-1-L||97-406-00017-00||Material / 物料</v>
      </c>
      <c r="U24" s="34" t="s">
        <v>265</v>
      </c>
      <c r="V24" s="41" t="s">
        <v>266</v>
      </c>
      <c r="W24" s="42" t="str">
        <f t="shared" si="6"/>
        <v>OK</v>
      </c>
      <c r="X24" s="42">
        <f t="shared" si="7"/>
        <v>0</v>
      </c>
      <c r="Y24" s="42">
        <f t="shared" si="8"/>
        <v>0</v>
      </c>
      <c r="Z24" s="42" t="str">
        <f>IF(G24="","",IFERROR(VLOOKUP(G24,'Product_Stock_Master产品维护'!$A$2:$L992,11,FALSE),"No"))</f>
        <v>No</v>
      </c>
      <c r="AA24" s="42" t="str">
        <f>IF(G24="","",IFERROR(VLOOKUP(G24,'Product_Stock_Master产品维护'!$A$2:$L992,12,FALSE),""))</f>
        <v/>
      </c>
      <c r="AB24" s="42"/>
      <c r="AC24" s="42"/>
    </row>
    <row r="25" ht="15.75" customHeight="1">
      <c r="A25" s="28" t="s">
        <v>260</v>
      </c>
      <c r="B25" s="28"/>
      <c r="C25" s="32" t="s">
        <v>223</v>
      </c>
      <c r="D25" s="32"/>
      <c r="E25" s="32"/>
      <c r="F25" s="32"/>
      <c r="G25" s="32" t="s">
        <v>140</v>
      </c>
      <c r="H25" s="34" t="str">
        <f>IF(G25="","",IFERROR(VLOOKUP(G25,'Product_Stock_Master产品维护'!$A$2:$E992,2,FALSE()),"SKU not found"))</f>
        <v>KH遮线罩</v>
      </c>
      <c r="I25" s="34" t="str">
        <f>IF(G25="","",IFERROR(VLOOKUP(G25,'Product_Stock_Master产品维护'!$A$2:$E992,3,FALSE()),"Item type not found"))</f>
        <v>Material</v>
      </c>
      <c r="J25" s="32"/>
      <c r="K25" s="32">
        <v>96.0</v>
      </c>
      <c r="L25" s="32" t="s">
        <v>204</v>
      </c>
      <c r="M25" s="32"/>
      <c r="N25" s="32"/>
      <c r="O25" s="34" t="str">
        <f t="shared" si="1"/>
        <v>OK</v>
      </c>
      <c r="P25" s="32" t="s">
        <v>79</v>
      </c>
      <c r="Q25" s="34" t="str">
        <f t="shared" si="2"/>
        <v>R1-4-2-L</v>
      </c>
      <c r="R25" s="34" t="str">
        <f t="shared" si="3"/>
        <v/>
      </c>
      <c r="S25" s="34">
        <f t="shared" si="4"/>
        <v>-96</v>
      </c>
      <c r="T25" s="34" t="str">
        <f t="shared" si="5"/>
        <v>R1-4-2-L||97-406-00017-00||Material / 物料</v>
      </c>
      <c r="U25" s="34" t="s">
        <v>272</v>
      </c>
      <c r="V25" s="41" t="s">
        <v>273</v>
      </c>
      <c r="W25" s="42" t="str">
        <f t="shared" si="6"/>
        <v>OK</v>
      </c>
      <c r="X25" s="42">
        <f t="shared" si="7"/>
        <v>0</v>
      </c>
      <c r="Y25" s="42">
        <f t="shared" si="8"/>
        <v>0</v>
      </c>
      <c r="Z25" s="42" t="str">
        <f>IF(G25="","",IFERROR(VLOOKUP(G25,'Product_Stock_Master产品维护'!$A$2:$L992,11,FALSE),"No"))</f>
        <v>No</v>
      </c>
      <c r="AA25" s="42" t="str">
        <f>IF(G25="","",IFERROR(VLOOKUP(G25,'Product_Stock_Master产品维护'!$A$2:$L992,12,FALSE),""))</f>
        <v/>
      </c>
      <c r="AB25" s="42"/>
      <c r="AC25" s="42"/>
    </row>
    <row r="26" ht="15.75" customHeight="1">
      <c r="A26" s="28" t="s">
        <v>260</v>
      </c>
      <c r="B26" s="28"/>
      <c r="C26" s="32" t="s">
        <v>223</v>
      </c>
      <c r="D26" s="32"/>
      <c r="E26" s="32"/>
      <c r="F26" s="32"/>
      <c r="G26" s="32" t="s">
        <v>103</v>
      </c>
      <c r="H26" s="34" t="str">
        <f>IF(G26="","",IFERROR(VLOOKUP(G26,'Product_Stock_Master产品维护'!$A$2:$E992,2,FALSE()),"SKU not found"))</f>
        <v>H3 Smart遮线罩</v>
      </c>
      <c r="I26" s="34" t="str">
        <f>IF(G26="","",IFERROR(VLOOKUP(G26,'Product_Stock_Master产品维护'!$A$2:$E992,3,FALSE()),"Item type not found"))</f>
        <v>Material</v>
      </c>
      <c r="J26" s="32"/>
      <c r="K26" s="32">
        <v>42.0</v>
      </c>
      <c r="L26" s="32" t="s">
        <v>126</v>
      </c>
      <c r="M26" s="32"/>
      <c r="N26" s="32"/>
      <c r="O26" s="34" t="str">
        <f t="shared" si="1"/>
        <v>OK</v>
      </c>
      <c r="P26" s="32" t="s">
        <v>79</v>
      </c>
      <c r="Q26" s="34" t="str">
        <f t="shared" si="2"/>
        <v>R1-3-1-M</v>
      </c>
      <c r="R26" s="34" t="str">
        <f t="shared" si="3"/>
        <v/>
      </c>
      <c r="S26" s="34">
        <f t="shared" si="4"/>
        <v>-42</v>
      </c>
      <c r="T26" s="34" t="str">
        <f t="shared" si="5"/>
        <v>R1-3-1-M||41-406-00002-00||Material / 物料</v>
      </c>
      <c r="U26" s="34" t="s">
        <v>279</v>
      </c>
      <c r="V26" s="41" t="s">
        <v>280</v>
      </c>
      <c r="W26" s="42" t="str">
        <f t="shared" si="6"/>
        <v>OK</v>
      </c>
      <c r="X26" s="42">
        <f t="shared" si="7"/>
        <v>0</v>
      </c>
      <c r="Y26" s="42">
        <f t="shared" si="8"/>
        <v>0</v>
      </c>
      <c r="Z26" s="42" t="str">
        <f>IF(G26="","",IFERROR(VLOOKUP(G26,'Product_Stock_Master产品维护'!$A$2:$L992,11,FALSE),"No"))</f>
        <v>No</v>
      </c>
      <c r="AA26" s="42" t="str">
        <f>IF(G26="","",IFERROR(VLOOKUP(G26,'Product_Stock_Master产品维护'!$A$2:$L992,12,FALSE),""))</f>
        <v/>
      </c>
      <c r="AB26" s="42"/>
      <c r="AC26" s="42"/>
    </row>
    <row r="27" ht="15.75" customHeight="1">
      <c r="A27" s="28" t="s">
        <v>260</v>
      </c>
      <c r="B27" s="28"/>
      <c r="C27" s="32" t="s">
        <v>223</v>
      </c>
      <c r="D27" s="32"/>
      <c r="E27" s="32"/>
      <c r="F27" s="32"/>
      <c r="G27" s="32" t="s">
        <v>103</v>
      </c>
      <c r="H27" s="34" t="str">
        <f>IF(G27="","",IFERROR(VLOOKUP(G27,'Product_Stock_Master产品维护'!$A$2:$E992,2,FALSE()),"SKU not found"))</f>
        <v>H3 Smart遮线罩</v>
      </c>
      <c r="I27" s="34" t="str">
        <f>IF(G27="","",IFERROR(VLOOKUP(G27,'Product_Stock_Master产品维护'!$A$2:$E992,3,FALSE()),"Item type not found"))</f>
        <v>Material</v>
      </c>
      <c r="J27" s="32"/>
      <c r="K27" s="32">
        <v>42.0</v>
      </c>
      <c r="L27" s="32" t="s">
        <v>134</v>
      </c>
      <c r="M27" s="32"/>
      <c r="N27" s="32"/>
      <c r="O27" s="34" t="str">
        <f t="shared" si="1"/>
        <v>OK</v>
      </c>
      <c r="P27" s="32" t="s">
        <v>79</v>
      </c>
      <c r="Q27" s="34" t="str">
        <f t="shared" si="2"/>
        <v>R1-3-1-R</v>
      </c>
      <c r="R27" s="34" t="str">
        <f t="shared" si="3"/>
        <v/>
      </c>
      <c r="S27" s="34">
        <f t="shared" si="4"/>
        <v>-42</v>
      </c>
      <c r="T27" s="34" t="str">
        <f t="shared" si="5"/>
        <v>R1-3-1-R||41-406-00002-00||Material / 物料</v>
      </c>
      <c r="U27" s="34" t="s">
        <v>306</v>
      </c>
      <c r="V27" s="41" t="s">
        <v>307</v>
      </c>
      <c r="W27" s="42" t="str">
        <f t="shared" si="6"/>
        <v>OK</v>
      </c>
      <c r="X27" s="42">
        <f t="shared" si="7"/>
        <v>0</v>
      </c>
      <c r="Y27" s="42">
        <f t="shared" si="8"/>
        <v>0</v>
      </c>
      <c r="Z27" s="42" t="str">
        <f>IF(G27="","",IFERROR(VLOOKUP(G27,'Product_Stock_Master产品维护'!$A$2:$L992,11,FALSE),"No"))</f>
        <v>No</v>
      </c>
      <c r="AA27" s="42" t="str">
        <f>IF(G27="","",IFERROR(VLOOKUP(G27,'Product_Stock_Master产品维护'!$A$2:$L992,12,FALSE),""))</f>
        <v/>
      </c>
      <c r="AB27" s="42"/>
      <c r="AC27" s="42"/>
    </row>
    <row r="28" ht="15.75" customHeight="1">
      <c r="A28" s="28" t="s">
        <v>260</v>
      </c>
      <c r="B28" s="28"/>
      <c r="C28" s="32" t="s">
        <v>223</v>
      </c>
      <c r="D28" s="32"/>
      <c r="E28" s="32"/>
      <c r="F28" s="32"/>
      <c r="G28" s="32" t="s">
        <v>103</v>
      </c>
      <c r="H28" s="34" t="str">
        <f>IF(G28="","",IFERROR(VLOOKUP(G28,'Product_Stock_Master产品维护'!$A$2:$E992,2,FALSE()),"SKU not found"))</f>
        <v>H3 Smart遮线罩</v>
      </c>
      <c r="I28" s="34" t="str">
        <f>IF(G28="","",IFERROR(VLOOKUP(G28,'Product_Stock_Master产品维护'!$A$2:$E992,3,FALSE()),"Item type not found"))</f>
        <v>Material</v>
      </c>
      <c r="J28" s="32"/>
      <c r="K28" s="32">
        <v>42.0</v>
      </c>
      <c r="L28" s="32" t="s">
        <v>184</v>
      </c>
      <c r="M28" s="32"/>
      <c r="N28" s="32"/>
      <c r="O28" s="34" t="str">
        <f t="shared" si="1"/>
        <v>OK</v>
      </c>
      <c r="P28" s="32" t="s">
        <v>79</v>
      </c>
      <c r="Q28" s="34" t="str">
        <f t="shared" si="2"/>
        <v>R1-3-2-L</v>
      </c>
      <c r="R28" s="34" t="str">
        <f t="shared" si="3"/>
        <v/>
      </c>
      <c r="S28" s="34">
        <f t="shared" si="4"/>
        <v>-42</v>
      </c>
      <c r="T28" s="34" t="str">
        <f t="shared" si="5"/>
        <v>R1-3-2-L||41-406-00002-00||Material / 物料</v>
      </c>
      <c r="U28" s="34" t="s">
        <v>313</v>
      </c>
      <c r="V28" s="41" t="s">
        <v>314</v>
      </c>
      <c r="W28" s="42" t="str">
        <f t="shared" si="6"/>
        <v>OK</v>
      </c>
      <c r="X28" s="42">
        <f t="shared" si="7"/>
        <v>0</v>
      </c>
      <c r="Y28" s="42">
        <f t="shared" si="8"/>
        <v>0</v>
      </c>
      <c r="Z28" s="42" t="str">
        <f>IF(G28="","",IFERROR(VLOOKUP(G28,'Product_Stock_Master产品维护'!$A$2:$L992,11,FALSE),"No"))</f>
        <v>No</v>
      </c>
      <c r="AA28" s="42" t="str">
        <f>IF(G28="","",IFERROR(VLOOKUP(G28,'Product_Stock_Master产品维护'!$A$2:$L992,12,FALSE),""))</f>
        <v/>
      </c>
      <c r="AB28" s="42"/>
      <c r="AC28" s="42"/>
    </row>
    <row r="29" ht="15.75" customHeight="1">
      <c r="A29" s="28" t="s">
        <v>260</v>
      </c>
      <c r="B29" s="28"/>
      <c r="C29" s="32" t="s">
        <v>223</v>
      </c>
      <c r="D29" s="32"/>
      <c r="E29" s="32"/>
      <c r="F29" s="32"/>
      <c r="G29" s="32" t="s">
        <v>103</v>
      </c>
      <c r="H29" s="34" t="str">
        <f>IF(G29="","",IFERROR(VLOOKUP(G29,'Product_Stock_Master产品维护'!$A$2:$E992,2,FALSE()),"SKU not found"))</f>
        <v>H3 Smart遮线罩</v>
      </c>
      <c r="I29" s="34" t="str">
        <f>IF(G29="","",IFERROR(VLOOKUP(G29,'Product_Stock_Master产品维护'!$A$2:$E992,3,FALSE()),"Item type not found"))</f>
        <v>Material</v>
      </c>
      <c r="J29" s="32"/>
      <c r="K29" s="32">
        <v>42.0</v>
      </c>
      <c r="L29" s="32" t="s">
        <v>192</v>
      </c>
      <c r="M29" s="32"/>
      <c r="N29" s="32"/>
      <c r="O29" s="34" t="str">
        <f t="shared" si="1"/>
        <v>OK</v>
      </c>
      <c r="P29" s="32" t="s">
        <v>79</v>
      </c>
      <c r="Q29" s="34" t="str">
        <f t="shared" si="2"/>
        <v>R1-3-2-M</v>
      </c>
      <c r="R29" s="34" t="str">
        <f t="shared" si="3"/>
        <v/>
      </c>
      <c r="S29" s="34">
        <f t="shared" si="4"/>
        <v>-42</v>
      </c>
      <c r="T29" s="34" t="str">
        <f t="shared" si="5"/>
        <v>R1-3-2-M||41-406-00002-00||Material / 物料</v>
      </c>
      <c r="U29" s="34" t="s">
        <v>319</v>
      </c>
      <c r="V29" s="41" t="s">
        <v>320</v>
      </c>
      <c r="W29" s="42" t="str">
        <f t="shared" si="6"/>
        <v>OK</v>
      </c>
      <c r="X29" s="42">
        <f t="shared" si="7"/>
        <v>0</v>
      </c>
      <c r="Y29" s="42">
        <f t="shared" si="8"/>
        <v>0</v>
      </c>
      <c r="Z29" s="42" t="str">
        <f>IF(G29="","",IFERROR(VLOOKUP(G29,'Product_Stock_Master产品维护'!$A$2:$L992,11,FALSE),"No"))</f>
        <v>No</v>
      </c>
      <c r="AA29" s="42" t="str">
        <f>IF(G29="","",IFERROR(VLOOKUP(G29,'Product_Stock_Master产品维护'!$A$2:$L992,12,FALSE),""))</f>
        <v/>
      </c>
      <c r="AB29" s="42"/>
      <c r="AC29" s="42"/>
    </row>
    <row r="30" ht="15.75" customHeight="1">
      <c r="A30" s="28" t="s">
        <v>260</v>
      </c>
      <c r="B30" s="28"/>
      <c r="C30" s="32" t="s">
        <v>223</v>
      </c>
      <c r="D30" s="32"/>
      <c r="E30" s="32"/>
      <c r="F30" s="32"/>
      <c r="G30" s="32" t="s">
        <v>103</v>
      </c>
      <c r="H30" s="34" t="str">
        <f>IF(G30="","",IFERROR(VLOOKUP(G30,'Product_Stock_Master产品维护'!$A$2:$E992,2,FALSE()),"SKU not found"))</f>
        <v>H3 Smart遮线罩</v>
      </c>
      <c r="I30" s="34" t="str">
        <f>IF(G30="","",IFERROR(VLOOKUP(G30,'Product_Stock_Master产品维护'!$A$2:$E992,3,FALSE()),"Item type not found"))</f>
        <v>Material</v>
      </c>
      <c r="J30" s="32"/>
      <c r="K30" s="32">
        <v>42.0</v>
      </c>
      <c r="L30" s="32" t="s">
        <v>200</v>
      </c>
      <c r="M30" s="32"/>
      <c r="N30" s="32"/>
      <c r="O30" s="34" t="str">
        <f t="shared" si="1"/>
        <v>OK</v>
      </c>
      <c r="P30" s="32" t="s">
        <v>79</v>
      </c>
      <c r="Q30" s="34" t="str">
        <f t="shared" si="2"/>
        <v>R1-3-2-R</v>
      </c>
      <c r="R30" s="34" t="str">
        <f t="shared" si="3"/>
        <v/>
      </c>
      <c r="S30" s="34">
        <f t="shared" si="4"/>
        <v>-42</v>
      </c>
      <c r="T30" s="34" t="str">
        <f t="shared" si="5"/>
        <v>R1-3-2-R||41-406-00002-00||Material / 物料</v>
      </c>
      <c r="U30" s="34" t="s">
        <v>329</v>
      </c>
      <c r="V30" s="41" t="s">
        <v>330</v>
      </c>
      <c r="W30" s="42" t="str">
        <f t="shared" si="6"/>
        <v>OK</v>
      </c>
      <c r="X30" s="42">
        <f t="shared" si="7"/>
        <v>0</v>
      </c>
      <c r="Y30" s="42">
        <f t="shared" si="8"/>
        <v>0</v>
      </c>
      <c r="Z30" s="42" t="str">
        <f>IF(G30="","",IFERROR(VLOOKUP(G30,'Product_Stock_Master产品维护'!$A$2:$L992,11,FALSE),"No"))</f>
        <v>No</v>
      </c>
      <c r="AA30" s="42" t="str">
        <f>IF(G30="","",IFERROR(VLOOKUP(G30,'Product_Stock_Master产品维护'!$A$2:$L992,12,FALSE),""))</f>
        <v/>
      </c>
      <c r="AB30" s="42"/>
      <c r="AC30" s="42"/>
    </row>
    <row r="31" ht="15.75" customHeight="1">
      <c r="A31" s="28" t="s">
        <v>260</v>
      </c>
      <c r="B31" s="28"/>
      <c r="C31" s="32" t="s">
        <v>223</v>
      </c>
      <c r="D31" s="32"/>
      <c r="E31" s="32"/>
      <c r="F31" s="32"/>
      <c r="G31" s="32" t="s">
        <v>70</v>
      </c>
      <c r="H31" s="34" t="str">
        <f>IF(G31="","",IFERROR(VLOOKUP(G31,'Product_Stock_Master产品维护'!$A$2:$E992,2,FALSE()),"SKU not found"))</f>
        <v>EQ4800-side-cover</v>
      </c>
      <c r="I31" s="34" t="str">
        <f>IF(G31="","",IFERROR(VLOOKUP(G31,'Product_Stock_Master产品维护'!$A$2:$E992,3,FALSE()),"Item type not found"))</f>
        <v>Material</v>
      </c>
      <c r="J31" s="32"/>
      <c r="K31" s="32">
        <v>288.0</v>
      </c>
      <c r="L31" s="32" t="s">
        <v>75</v>
      </c>
      <c r="M31" s="32"/>
      <c r="N31" s="32"/>
      <c r="O31" s="34" t="str">
        <f t="shared" si="1"/>
        <v>OK</v>
      </c>
      <c r="P31" s="32" t="s">
        <v>79</v>
      </c>
      <c r="Q31" s="34" t="str">
        <f t="shared" si="2"/>
        <v>R1-2-1-L</v>
      </c>
      <c r="R31" s="34" t="str">
        <f t="shared" si="3"/>
        <v/>
      </c>
      <c r="S31" s="34">
        <f t="shared" si="4"/>
        <v>-288</v>
      </c>
      <c r="T31" s="34" t="str">
        <f t="shared" si="5"/>
        <v>R1-2-1-L||97-414-00027-00||Material / 物料</v>
      </c>
      <c r="U31" s="34" t="s">
        <v>339</v>
      </c>
      <c r="V31" s="41" t="s">
        <v>340</v>
      </c>
      <c r="W31" s="42" t="str">
        <f t="shared" si="6"/>
        <v>OK</v>
      </c>
      <c r="X31" s="42">
        <f t="shared" si="7"/>
        <v>0</v>
      </c>
      <c r="Y31" s="42">
        <f t="shared" si="8"/>
        <v>0</v>
      </c>
      <c r="Z31" s="42" t="str">
        <f>IF(G31="","",IFERROR(VLOOKUP(G31,'Product_Stock_Master产品维护'!$A$2:$L992,11,FALSE),"No"))</f>
        <v>No</v>
      </c>
      <c r="AA31" s="42" t="str">
        <f>IF(G31="","",IFERROR(VLOOKUP(G31,'Product_Stock_Master产品维护'!$A$2:$L992,12,FALSE),""))</f>
        <v/>
      </c>
      <c r="AB31" s="42"/>
      <c r="AC31" s="42"/>
    </row>
    <row r="32" ht="15.75" customHeight="1">
      <c r="A32" s="28" t="s">
        <v>260</v>
      </c>
      <c r="B32" s="28"/>
      <c r="C32" s="32" t="s">
        <v>223</v>
      </c>
      <c r="D32" s="32"/>
      <c r="E32" s="32"/>
      <c r="F32" s="32"/>
      <c r="G32" s="32" t="s">
        <v>70</v>
      </c>
      <c r="H32" s="34" t="str">
        <f>IF(G32="","",IFERROR(VLOOKUP(G32,'Product_Stock_Master产品维护'!$A$2:$E992,2,FALSE()),"SKU not found"))</f>
        <v>EQ4800-side-cover</v>
      </c>
      <c r="I32" s="34" t="str">
        <f>IF(G32="","",IFERROR(VLOOKUP(G32,'Product_Stock_Master产品维护'!$A$2:$E992,3,FALSE()),"Item type not found"))</f>
        <v>Material</v>
      </c>
      <c r="J32" s="32"/>
      <c r="K32" s="32">
        <v>286.0</v>
      </c>
      <c r="L32" s="32" t="s">
        <v>95</v>
      </c>
      <c r="M32" s="32"/>
      <c r="N32" s="32"/>
      <c r="O32" s="34" t="str">
        <f t="shared" si="1"/>
        <v>OK</v>
      </c>
      <c r="P32" s="32" t="s">
        <v>79</v>
      </c>
      <c r="Q32" s="34" t="str">
        <f t="shared" si="2"/>
        <v>R1-2-1-M</v>
      </c>
      <c r="R32" s="34" t="str">
        <f t="shared" si="3"/>
        <v/>
      </c>
      <c r="S32" s="34">
        <f t="shared" si="4"/>
        <v>-286</v>
      </c>
      <c r="T32" s="34" t="str">
        <f t="shared" si="5"/>
        <v>R1-2-1-M||97-414-00027-00||Material / 物料</v>
      </c>
      <c r="U32" s="34" t="s">
        <v>348</v>
      </c>
      <c r="V32" s="41" t="s">
        <v>349</v>
      </c>
      <c r="W32" s="42" t="str">
        <f t="shared" si="6"/>
        <v>OK</v>
      </c>
      <c r="X32" s="42">
        <f t="shared" si="7"/>
        <v>0</v>
      </c>
      <c r="Y32" s="42">
        <f t="shared" si="8"/>
        <v>0</v>
      </c>
      <c r="Z32" s="42" t="str">
        <f>IF(G32="","",IFERROR(VLOOKUP(G32,'Product_Stock_Master产品维护'!$A$2:$L992,11,FALSE),"No"))</f>
        <v>No</v>
      </c>
      <c r="AA32" s="42" t="str">
        <f>IF(G32="","",IFERROR(VLOOKUP(G32,'Product_Stock_Master产品维护'!$A$2:$L992,12,FALSE),""))</f>
        <v/>
      </c>
      <c r="AB32" s="42"/>
      <c r="AC32" s="42"/>
    </row>
    <row r="33" ht="15.75" customHeight="1">
      <c r="A33" s="28" t="s">
        <v>260</v>
      </c>
      <c r="B33" s="28"/>
      <c r="C33" s="32" t="s">
        <v>223</v>
      </c>
      <c r="D33" s="32"/>
      <c r="E33" s="32"/>
      <c r="F33" s="32"/>
      <c r="G33" s="32" t="s">
        <v>103</v>
      </c>
      <c r="H33" s="34" t="str">
        <f>IF(G33="","",IFERROR(VLOOKUP(G33,'Product_Stock_Master产品维护'!$A$2:$E992,2,FALSE()),"SKU not found"))</f>
        <v>H3 Smart遮线罩</v>
      </c>
      <c r="I33" s="34" t="str">
        <f>IF(G33="","",IFERROR(VLOOKUP(G33,'Product_Stock_Master产品维护'!$A$2:$E992,3,FALSE()),"Item type not found"))</f>
        <v>Material</v>
      </c>
      <c r="J33" s="32"/>
      <c r="K33" s="32">
        <v>42.0</v>
      </c>
      <c r="L33" s="32" t="s">
        <v>217</v>
      </c>
      <c r="M33" s="32"/>
      <c r="N33" s="32"/>
      <c r="O33" s="34" t="str">
        <f t="shared" si="1"/>
        <v>OK</v>
      </c>
      <c r="P33" s="32" t="s">
        <v>79</v>
      </c>
      <c r="Q33" s="34" t="str">
        <f t="shared" si="2"/>
        <v>R1-2-3-L</v>
      </c>
      <c r="R33" s="34" t="str">
        <f t="shared" si="3"/>
        <v/>
      </c>
      <c r="S33" s="34">
        <f t="shared" si="4"/>
        <v>-42</v>
      </c>
      <c r="T33" s="34" t="str">
        <f t="shared" si="5"/>
        <v>R1-2-3-L||41-406-00002-00||Material / 物料</v>
      </c>
      <c r="U33" s="34" t="s">
        <v>352</v>
      </c>
      <c r="V33" s="41" t="s">
        <v>353</v>
      </c>
      <c r="W33" s="42" t="str">
        <f t="shared" si="6"/>
        <v>OK</v>
      </c>
      <c r="X33" s="42">
        <f t="shared" si="7"/>
        <v>0</v>
      </c>
      <c r="Y33" s="42">
        <f t="shared" si="8"/>
        <v>0</v>
      </c>
      <c r="Z33" s="42" t="str">
        <f>IF(G33="","",IFERROR(VLOOKUP(G33,'Product_Stock_Master产品维护'!$A$2:$L992,11,FALSE),"No"))</f>
        <v>No</v>
      </c>
      <c r="AA33" s="42" t="str">
        <f>IF(G33="","",IFERROR(VLOOKUP(G33,'Product_Stock_Master产品维护'!$A$2:$L992,12,FALSE),""))</f>
        <v/>
      </c>
      <c r="AB33" s="42"/>
      <c r="AC33" s="42"/>
    </row>
    <row r="34" ht="15.75" customHeight="1">
      <c r="A34" s="28" t="s">
        <v>354</v>
      </c>
      <c r="B34" s="28"/>
      <c r="C34" s="32" t="s">
        <v>223</v>
      </c>
      <c r="D34" s="32"/>
      <c r="E34" s="32"/>
      <c r="F34" s="32"/>
      <c r="G34" s="32" t="s">
        <v>113</v>
      </c>
      <c r="H34" s="34" t="str">
        <f>IF(G34="","",IFERROR(VLOOKUP(G34,'Product_Stock_Master产品维护'!$A$2:$E992,2,FALSE()),"SKU not found"))</f>
        <v>线束半成品 功率线 62930 IEC 131 1x16.0 mm² 红/黑 DC1500V 90℃ VW-1 CQ6-安费诺-正负极外部动力线-光伏线5米PV</v>
      </c>
      <c r="I34" s="34" t="str">
        <f>IF(G34="","",IFERROR(VLOOKUP(G34,'Product_Stock_Master产品维护'!$A$2:$E992,3,FALSE()),"Item type not found"))</f>
        <v>Material</v>
      </c>
      <c r="J34" s="32"/>
      <c r="K34" s="32">
        <v>1.0</v>
      </c>
      <c r="L34" s="32" t="s">
        <v>116</v>
      </c>
      <c r="M34" s="32"/>
      <c r="N34" s="32"/>
      <c r="O34" s="34" t="str">
        <f t="shared" si="1"/>
        <v>OK</v>
      </c>
      <c r="P34" s="32" t="s">
        <v>79</v>
      </c>
      <c r="Q34" s="34" t="str">
        <f t="shared" si="2"/>
        <v>R1-3-1-L</v>
      </c>
      <c r="R34" s="34" t="str">
        <f t="shared" si="3"/>
        <v/>
      </c>
      <c r="S34" s="34">
        <f t="shared" si="4"/>
        <v>-1</v>
      </c>
      <c r="T34" s="34" t="str">
        <f t="shared" si="5"/>
        <v>R1-3-1-L||20-051-00080-00||Material / 物料</v>
      </c>
      <c r="U34" s="34" t="s">
        <v>355</v>
      </c>
      <c r="V34" s="41" t="s">
        <v>356</v>
      </c>
      <c r="W34" s="42" t="str">
        <f t="shared" si="6"/>
        <v>OK</v>
      </c>
      <c r="X34" s="42">
        <f t="shared" si="7"/>
        <v>0</v>
      </c>
      <c r="Y34" s="42">
        <f t="shared" si="8"/>
        <v>0</v>
      </c>
      <c r="Z34" s="42" t="str">
        <f>IF(G34="","",IFERROR(VLOOKUP(G34,'Product_Stock_Master产品维护'!$A$2:$L992,11,FALSE),"No"))</f>
        <v>No</v>
      </c>
      <c r="AA34" s="42" t="str">
        <f>IF(G34="","",IFERROR(VLOOKUP(G34,'Product_Stock_Master产品维护'!$A$2:$L992,12,FALSE),""))</f>
        <v/>
      </c>
      <c r="AB34" s="42"/>
      <c r="AC34" s="42"/>
    </row>
    <row r="35" ht="15.75" customHeight="1">
      <c r="A35" s="28" t="s">
        <v>354</v>
      </c>
      <c r="B35" s="28"/>
      <c r="C35" s="32" t="s">
        <v>357</v>
      </c>
      <c r="D35" s="32"/>
      <c r="E35" s="32"/>
      <c r="F35" s="32"/>
      <c r="G35" s="32" t="s">
        <v>358</v>
      </c>
      <c r="H35" s="34" t="str">
        <f>IF(G35="","",IFERROR(VLOOKUP(G35,'Product_Stock_Master产品维护'!$A$2:$E992,2,FALSE()),"SKU not found"))</f>
        <v>SKU not found</v>
      </c>
      <c r="I35" s="34" t="str">
        <f>IF(G35="","",IFERROR(VLOOKUP(G35,'Product_Stock_Master产品维护'!$A$2:$E992,3,FALSE()),"Item type not found"))</f>
        <v>Item type not found</v>
      </c>
      <c r="J35" s="32"/>
      <c r="K35" s="32">
        <v>200.0</v>
      </c>
      <c r="L35" s="32"/>
      <c r="M35" s="32" t="s">
        <v>204</v>
      </c>
      <c r="N35" s="32"/>
      <c r="O35" s="34" t="str">
        <f t="shared" si="1"/>
        <v>OK</v>
      </c>
      <c r="P35" s="32" t="s">
        <v>79</v>
      </c>
      <c r="Q35" s="34" t="str">
        <f t="shared" si="2"/>
        <v>R1-4-2-L</v>
      </c>
      <c r="R35" s="34" t="str">
        <f t="shared" si="3"/>
        <v/>
      </c>
      <c r="S35" s="34">
        <f t="shared" si="4"/>
        <v>200</v>
      </c>
      <c r="T35" s="34" t="str">
        <f t="shared" si="5"/>
        <v>R1-4-2-L||10-105-00346-00||Material / 物料</v>
      </c>
      <c r="U35" s="34" t="s">
        <v>359</v>
      </c>
      <c r="V35" s="41" t="s">
        <v>360</v>
      </c>
      <c r="W35" s="42" t="str">
        <f t="shared" si="6"/>
        <v>OK</v>
      </c>
      <c r="X35" s="42">
        <f t="shared" si="7"/>
        <v>0</v>
      </c>
      <c r="Y35" s="42">
        <f t="shared" si="8"/>
        <v>0</v>
      </c>
      <c r="Z35" s="42" t="str">
        <f>IF(G35="","",IFERROR(VLOOKUP(G35,'Product_Stock_Master产品维护'!$A$2:$L992,11,FALSE),"No"))</f>
        <v>No</v>
      </c>
      <c r="AA35" s="42" t="str">
        <f>IF(G35="","",IFERROR(VLOOKUP(G35,'Product_Stock_Master产品维护'!$A$2:$L992,12,FALSE),""))</f>
        <v/>
      </c>
      <c r="AB35" s="42"/>
      <c r="AC35" s="42"/>
    </row>
    <row r="36" ht="15.75" customHeight="1">
      <c r="A36" s="28" t="s">
        <v>354</v>
      </c>
      <c r="B36" s="28"/>
      <c r="C36" s="32" t="s">
        <v>357</v>
      </c>
      <c r="D36" s="32"/>
      <c r="E36" s="32"/>
      <c r="F36" s="32"/>
      <c r="G36" s="32" t="s">
        <v>361</v>
      </c>
      <c r="H36" s="34" t="str">
        <f>IF(G36="","",IFERROR(VLOOKUP(G36,'Product_Stock_Master产品维护'!$A$2:$E992,2,FALSE()),"SKU not found"))</f>
        <v>纸箱 H1/AC1 562*542*282    YELLOW</v>
      </c>
      <c r="I36" s="34" t="str">
        <f>IF(G36="","",IFERROR(VLOOKUP(G36,'Product_Stock_Master产品维护'!$A$2:$E992,3,FALSE()),"Item type not found"))</f>
        <v>Material</v>
      </c>
      <c r="J36" s="32"/>
      <c r="K36" s="32">
        <v>100.0</v>
      </c>
      <c r="L36" s="32"/>
      <c r="M36" s="32" t="s">
        <v>143</v>
      </c>
      <c r="N36" s="32"/>
      <c r="O36" s="34" t="str">
        <f t="shared" si="1"/>
        <v>OK</v>
      </c>
      <c r="P36" s="32" t="s">
        <v>79</v>
      </c>
      <c r="Q36" s="34" t="str">
        <f t="shared" si="2"/>
        <v>R1-4-1-L</v>
      </c>
      <c r="R36" s="34" t="str">
        <f t="shared" si="3"/>
        <v/>
      </c>
      <c r="S36" s="34">
        <f t="shared" si="4"/>
        <v>100</v>
      </c>
      <c r="T36" s="34" t="str">
        <f t="shared" si="5"/>
        <v>R1-4-1-L||10-205-00018-02||Material / 物料</v>
      </c>
      <c r="U36" s="34" t="s">
        <v>362</v>
      </c>
      <c r="V36" s="41" t="s">
        <v>363</v>
      </c>
      <c r="W36" s="42" t="str">
        <f t="shared" si="6"/>
        <v>OK</v>
      </c>
      <c r="X36" s="42">
        <f t="shared" si="7"/>
        <v>0</v>
      </c>
      <c r="Y36" s="42">
        <f t="shared" si="8"/>
        <v>0</v>
      </c>
      <c r="Z36" s="42" t="str">
        <f>IF(G36="","",IFERROR(VLOOKUP(G36,'Product_Stock_Master产品维护'!$A$2:$L992,11,FALSE),"No"))</f>
        <v/>
      </c>
      <c r="AA36" s="42" t="str">
        <f>IF(G36="","",IFERROR(VLOOKUP(G36,'Product_Stock_Master产品维护'!$A$2:$L992,12,FALSE),""))</f>
        <v/>
      </c>
      <c r="AB36" s="42"/>
      <c r="AC36" s="42"/>
    </row>
    <row r="37" ht="15.75" customHeight="1">
      <c r="A37" s="59" t="s">
        <v>354</v>
      </c>
      <c r="B37" s="60"/>
      <c r="C37" s="61" t="s">
        <v>67</v>
      </c>
      <c r="D37" s="32"/>
      <c r="E37" s="32"/>
      <c r="F37" s="32"/>
      <c r="G37" s="61" t="s">
        <v>364</v>
      </c>
      <c r="H37" s="34" t="str">
        <f>IF(G37="","",IFERROR(VLOOKUP(G37,'Product_Stock_Master产品维护'!$A$2:$E992,2,FALSE()),"SKU not found"))</f>
        <v>CQ6-S</v>
      </c>
      <c r="I37" s="34" t="str">
        <f>IF(G37="","",IFERROR(VLOOKUP(G37,'Product_Stock_Master产品维护'!$A$2:$E992,3,FALSE()),"Item type not found"))</f>
        <v>Product</v>
      </c>
      <c r="J37" s="32"/>
      <c r="K37" s="61">
        <v>8.0</v>
      </c>
      <c r="L37" s="32"/>
      <c r="M37" s="61" t="s">
        <v>365</v>
      </c>
      <c r="N37" s="32"/>
      <c r="O37" s="34" t="str">
        <f t="shared" si="1"/>
        <v>OK</v>
      </c>
      <c r="P37" s="62" t="s">
        <v>366</v>
      </c>
      <c r="Q37" s="34" t="str">
        <f t="shared" si="2"/>
        <v>R2-1-5-L</v>
      </c>
      <c r="R37" s="34" t="str">
        <f t="shared" si="3"/>
        <v/>
      </c>
      <c r="S37" s="34">
        <f t="shared" si="4"/>
        <v>8</v>
      </c>
      <c r="T37" s="34" t="str">
        <f t="shared" si="5"/>
        <v>R2-1-5-L||97-229-00018-00||Repair_Good / 维修良品</v>
      </c>
      <c r="U37" s="34" t="s">
        <v>367</v>
      </c>
      <c r="V37" s="41"/>
      <c r="W37" s="42" t="str">
        <f t="shared" si="6"/>
        <v>OK</v>
      </c>
      <c r="X37" s="42">
        <f t="shared" si="7"/>
        <v>0</v>
      </c>
      <c r="Y37" s="42">
        <f t="shared" si="8"/>
        <v>0</v>
      </c>
      <c r="Z37" s="42" t="str">
        <f>IF(G37="","",IFERROR(VLOOKUP(G37,'Product_Stock_Master产品维护'!$A$2:$L992,11,FALSE),"No"))</f>
        <v>Yes</v>
      </c>
      <c r="AA37" s="42" t="str">
        <f>IF(G37="","",IFERROR(VLOOKUP(G37,'Product_Stock_Master产品维护'!$A$2:$L992,12,FALSE),""))</f>
        <v>Battery / 电池</v>
      </c>
      <c r="AB37" s="42"/>
      <c r="AC37" s="42"/>
    </row>
    <row r="38" ht="15.75" customHeight="1">
      <c r="A38" s="59" t="s">
        <v>354</v>
      </c>
      <c r="B38" s="60"/>
      <c r="C38" s="61" t="s">
        <v>67</v>
      </c>
      <c r="D38" s="32"/>
      <c r="E38" s="32"/>
      <c r="F38" s="61" t="s">
        <v>370</v>
      </c>
      <c r="G38" s="61" t="s">
        <v>371</v>
      </c>
      <c r="H38" s="34" t="str">
        <f>IF(G38="","",IFERROR(VLOOKUP(G38,'Product_Stock_Master产品维护'!$A$2:$E992,2,FALSE()),"SKU not found"))</f>
        <v>CQ6-S</v>
      </c>
      <c r="I38" s="34" t="str">
        <f>IF(G38="","",IFERROR(VLOOKUP(G38,'Product_Stock_Master产品维护'!$A$2:$E992,3,FALSE()),"Item type not found"))</f>
        <v>Product</v>
      </c>
      <c r="J38" s="32"/>
      <c r="K38" s="61">
        <v>3.0</v>
      </c>
      <c r="L38" s="32"/>
      <c r="M38" s="61" t="s">
        <v>374</v>
      </c>
      <c r="N38" s="32"/>
      <c r="O38" s="34" t="str">
        <f t="shared" si="1"/>
        <v>OK</v>
      </c>
      <c r="P38" s="62" t="s">
        <v>366</v>
      </c>
      <c r="Q38" s="34" t="str">
        <f t="shared" si="2"/>
        <v>R2-1-5-R</v>
      </c>
      <c r="R38" s="34" t="str">
        <f t="shared" si="3"/>
        <v/>
      </c>
      <c r="S38" s="34">
        <f t="shared" si="4"/>
        <v>3</v>
      </c>
      <c r="T38" s="34" t="str">
        <f t="shared" si="5"/>
        <v>R2-1-5-R|Mix001|97-229-00015-00||Repair_Good / 维修良品</v>
      </c>
      <c r="U38" s="34" t="s">
        <v>376</v>
      </c>
      <c r="V38" s="41"/>
      <c r="W38" s="42" t="str">
        <f t="shared" si="6"/>
        <v>OK</v>
      </c>
      <c r="X38" s="42">
        <f t="shared" si="7"/>
        <v>0</v>
      </c>
      <c r="Y38" s="42">
        <f t="shared" si="8"/>
        <v>0</v>
      </c>
      <c r="Z38" s="42" t="str">
        <f>IF(G38="","",IFERROR(VLOOKUP(G38,'Product_Stock_Master产品维护'!$A$2:$L992,11,FALSE),"No"))</f>
        <v>Yes</v>
      </c>
      <c r="AA38" s="42" t="str">
        <f>IF(G38="","",IFERROR(VLOOKUP(G38,'Product_Stock_Master产品维护'!$A$2:$L992,12,FALSE),""))</f>
        <v>Battery / 电池</v>
      </c>
      <c r="AB38" s="42"/>
      <c r="AC38" s="42"/>
    </row>
    <row r="39" ht="15.75" customHeight="1">
      <c r="A39" s="59" t="s">
        <v>354</v>
      </c>
      <c r="B39" s="60"/>
      <c r="C39" s="61" t="s">
        <v>67</v>
      </c>
      <c r="D39" s="32"/>
      <c r="E39" s="32"/>
      <c r="F39" s="61" t="s">
        <v>370</v>
      </c>
      <c r="G39" s="61" t="s">
        <v>364</v>
      </c>
      <c r="H39" s="34" t="str">
        <f>IF(G39="","",IFERROR(VLOOKUP(G39,'Product_Stock_Master产品维护'!$A$2:$E992,2,FALSE()),"SKU not found"))</f>
        <v>CQ6-S</v>
      </c>
      <c r="I39" s="34" t="str">
        <f>IF(G39="","",IFERROR(VLOOKUP(G39,'Product_Stock_Master产品维护'!$A$2:$E992,3,FALSE()),"Item type not found"))</f>
        <v>Product</v>
      </c>
      <c r="J39" s="32"/>
      <c r="K39" s="61">
        <v>5.0</v>
      </c>
      <c r="L39" s="32"/>
      <c r="M39" s="61" t="s">
        <v>374</v>
      </c>
      <c r="N39" s="32"/>
      <c r="O39" s="34" t="str">
        <f t="shared" si="1"/>
        <v>OK</v>
      </c>
      <c r="P39" s="62" t="s">
        <v>366</v>
      </c>
      <c r="Q39" s="34" t="str">
        <f t="shared" si="2"/>
        <v>R2-1-5-R</v>
      </c>
      <c r="R39" s="34" t="str">
        <f t="shared" si="3"/>
        <v/>
      </c>
      <c r="S39" s="34">
        <f t="shared" si="4"/>
        <v>5</v>
      </c>
      <c r="T39" s="34" t="str">
        <f t="shared" si="5"/>
        <v>R2-1-5-R|Mix001|97-229-00018-00||Repair_Good / 维修良品</v>
      </c>
      <c r="U39" s="34" t="s">
        <v>377</v>
      </c>
      <c r="V39" s="41"/>
      <c r="W39" s="42" t="str">
        <f t="shared" si="6"/>
        <v>OK</v>
      </c>
      <c r="X39" s="42">
        <f t="shared" si="7"/>
        <v>0</v>
      </c>
      <c r="Y39" s="42">
        <f t="shared" si="8"/>
        <v>0</v>
      </c>
      <c r="Z39" s="42" t="str">
        <f>IF(G39="","",IFERROR(VLOOKUP(G39,'Product_Stock_Master产品维护'!$A$2:$L992,11,FALSE),"No"))</f>
        <v>Yes</v>
      </c>
      <c r="AA39" s="42" t="str">
        <f>IF(G39="","",IFERROR(VLOOKUP(G39,'Product_Stock_Master产品维护'!$A$2:$L992,12,FALSE),""))</f>
        <v>Battery / 电池</v>
      </c>
      <c r="AB39" s="42"/>
      <c r="AC39" s="42"/>
    </row>
    <row r="40" ht="15.75" customHeight="1">
      <c r="A40" s="59" t="s">
        <v>354</v>
      </c>
      <c r="B40" s="60"/>
      <c r="C40" s="61" t="s">
        <v>67</v>
      </c>
      <c r="D40" s="32"/>
      <c r="E40" s="32"/>
      <c r="F40" s="32"/>
      <c r="G40" s="61" t="s">
        <v>378</v>
      </c>
      <c r="H40" s="34" t="str">
        <f>IF(G40="","",IFERROR(VLOOKUP(G40,'Product_Stock_Master产品维护'!$A$2:$E992,2,FALSE()),"SKU not found"))</f>
        <v>EQ4800-S</v>
      </c>
      <c r="I40" s="34" t="str">
        <f>IF(G40="","",IFERROR(VLOOKUP(G40,'Product_Stock_Master产品维护'!$A$2:$E992,3,FALSE()),"Item type not found"))</f>
        <v>Product</v>
      </c>
      <c r="J40" s="32"/>
      <c r="K40" s="61">
        <v>16.0</v>
      </c>
      <c r="L40" s="32"/>
      <c r="M40" s="61" t="s">
        <v>382</v>
      </c>
      <c r="N40" s="32"/>
      <c r="O40" s="34" t="str">
        <f t="shared" si="1"/>
        <v>OK</v>
      </c>
      <c r="P40" s="62" t="s">
        <v>383</v>
      </c>
      <c r="Q40" s="34" t="str">
        <f t="shared" si="2"/>
        <v>R2-1-4-R</v>
      </c>
      <c r="R40" s="34" t="str">
        <f t="shared" si="3"/>
        <v/>
      </c>
      <c r="S40" s="34">
        <f t="shared" si="4"/>
        <v>16</v>
      </c>
      <c r="T40" s="34" t="str">
        <f t="shared" si="5"/>
        <v>R2-1-4-R||97-223-00107-00||New / 新机</v>
      </c>
      <c r="U40" s="34" t="s">
        <v>384</v>
      </c>
      <c r="V40" s="41"/>
      <c r="W40" s="42" t="str">
        <f t="shared" si="6"/>
        <v>OK</v>
      </c>
      <c r="X40" s="42">
        <f t="shared" si="7"/>
        <v>0</v>
      </c>
      <c r="Y40" s="42">
        <f t="shared" si="8"/>
        <v>0</v>
      </c>
      <c r="Z40" s="42" t="str">
        <f>IF(G40="","",IFERROR(VLOOKUP(G40,'Product_Stock_Master产品维护'!$A$2:$L992,11,FALSE),"No"))</f>
        <v>Yes</v>
      </c>
      <c r="AA40" s="42" t="str">
        <f>IF(G40="","",IFERROR(VLOOKUP(G40,'Product_Stock_Master产品维护'!$A$2:$L992,12,FALSE),""))</f>
        <v>Battery / 电池</v>
      </c>
      <c r="AB40" s="42"/>
      <c r="AC40" s="42"/>
    </row>
    <row r="41" ht="15.75" customHeight="1">
      <c r="A41" s="59" t="s">
        <v>354</v>
      </c>
      <c r="B41" s="60"/>
      <c r="C41" s="61" t="s">
        <v>223</v>
      </c>
      <c r="D41" s="32"/>
      <c r="E41" s="32"/>
      <c r="F41" s="32"/>
      <c r="G41" s="61" t="s">
        <v>113</v>
      </c>
      <c r="H41" s="34" t="str">
        <f>IF(G41="","",IFERROR(VLOOKUP(G41,'Product_Stock_Master产品维护'!$A$2:$E992,2,FALSE()),"SKU not found"))</f>
        <v>线束半成品 功率线 62930 IEC 131 1x16.0 mm² 红/黑 DC1500V 90℃ VW-1 CQ6-安费诺-正负极外部动力线-光伏线5米PV</v>
      </c>
      <c r="I41" s="34" t="str">
        <f>IF(G41="","",IFERROR(VLOOKUP(G41,'Product_Stock_Master产品维护'!$A$2:$E992,3,FALSE()),"Item type not found"))</f>
        <v>Material</v>
      </c>
      <c r="J41" s="32"/>
      <c r="K41" s="61">
        <v>129.0</v>
      </c>
      <c r="L41" s="61" t="s">
        <v>116</v>
      </c>
      <c r="M41" s="32"/>
      <c r="N41" s="32"/>
      <c r="O41" s="34" t="str">
        <f t="shared" si="1"/>
        <v>OK</v>
      </c>
      <c r="P41" s="61" t="s">
        <v>79</v>
      </c>
      <c r="Q41" s="34" t="str">
        <f t="shared" si="2"/>
        <v>R1-3-1-L</v>
      </c>
      <c r="R41" s="34" t="str">
        <f t="shared" si="3"/>
        <v/>
      </c>
      <c r="S41" s="34">
        <f t="shared" si="4"/>
        <v>-129</v>
      </c>
      <c r="T41" s="34" t="str">
        <f t="shared" si="5"/>
        <v>R1-3-1-L||20-051-00080-00||Material / 物料</v>
      </c>
      <c r="U41" s="34" t="s">
        <v>385</v>
      </c>
      <c r="V41" s="41"/>
      <c r="W41" s="42" t="str">
        <f t="shared" si="6"/>
        <v>OK</v>
      </c>
      <c r="X41" s="42">
        <f t="shared" si="7"/>
        <v>0</v>
      </c>
      <c r="Y41" s="42">
        <f t="shared" si="8"/>
        <v>0</v>
      </c>
      <c r="Z41" s="42" t="str">
        <f>IF(G41="","",IFERROR(VLOOKUP(G41,'Product_Stock_Master产品维护'!$A$2:$L992,11,FALSE),"No"))</f>
        <v>No</v>
      </c>
      <c r="AA41" s="42" t="str">
        <f>IF(G41="","",IFERROR(VLOOKUP(G41,'Product_Stock_Master产品维护'!$A$2:$L992,12,FALSE),""))</f>
        <v/>
      </c>
      <c r="AB41" s="42"/>
      <c r="AC41" s="42"/>
    </row>
    <row r="42" ht="15.75" customHeight="1">
      <c r="A42" s="59" t="s">
        <v>354</v>
      </c>
      <c r="B42" s="60"/>
      <c r="C42" s="61" t="s">
        <v>357</v>
      </c>
      <c r="D42" s="32"/>
      <c r="E42" s="32"/>
      <c r="F42" s="32"/>
      <c r="G42" s="61" t="s">
        <v>387</v>
      </c>
      <c r="H42" s="34" t="str">
        <f>IF(G42="","",IFERROR(VLOOKUP(G42,'Product_Stock_Master产品维护'!$A$2:$E992,2,FALSE()),"SKU not found"))</f>
        <v>H1-G2遮线罩</v>
      </c>
      <c r="I42" s="34" t="str">
        <f>IF(G42="","",IFERROR(VLOOKUP(G42,'Product_Stock_Master产品维护'!$A$2:$E992,3,FALSE()),"Item type not found"))</f>
        <v>Material</v>
      </c>
      <c r="J42" s="32"/>
      <c r="K42" s="61">
        <v>84.0</v>
      </c>
      <c r="L42" s="32"/>
      <c r="M42" s="61" t="s">
        <v>116</v>
      </c>
      <c r="N42" s="32"/>
      <c r="O42" s="34" t="str">
        <f t="shared" si="1"/>
        <v>OK</v>
      </c>
      <c r="P42" s="61" t="s">
        <v>79</v>
      </c>
      <c r="Q42" s="34" t="str">
        <f t="shared" si="2"/>
        <v>R1-3-1-L</v>
      </c>
      <c r="R42" s="34" t="str">
        <f t="shared" si="3"/>
        <v/>
      </c>
      <c r="S42" s="34">
        <f t="shared" si="4"/>
        <v>84</v>
      </c>
      <c r="T42" s="34" t="str">
        <f t="shared" si="5"/>
        <v>R1-3-1-L||97-406-00018-00||Material / 物料</v>
      </c>
      <c r="U42" s="34" t="s">
        <v>388</v>
      </c>
      <c r="V42" s="41"/>
      <c r="W42" s="42" t="str">
        <f t="shared" si="6"/>
        <v>OK</v>
      </c>
      <c r="X42" s="42">
        <f t="shared" si="7"/>
        <v>0</v>
      </c>
      <c r="Y42" s="42">
        <f t="shared" si="8"/>
        <v>0</v>
      </c>
      <c r="Z42" s="42" t="str">
        <f>IF(G42="","",IFERROR(VLOOKUP(G42,'Product_Stock_Master产品维护'!$A$2:$L992,11,FALSE),"No"))</f>
        <v>No</v>
      </c>
      <c r="AA42" s="42" t="str">
        <f>IF(G42="","",IFERROR(VLOOKUP(G42,'Product_Stock_Master产品维护'!$A$2:$L992,12,FALSE),""))</f>
        <v/>
      </c>
      <c r="AB42" s="42"/>
      <c r="AC42" s="42"/>
    </row>
    <row r="43" ht="15.75" customHeight="1">
      <c r="A43" s="59" t="s">
        <v>354</v>
      </c>
      <c r="B43" s="60"/>
      <c r="C43" s="61" t="s">
        <v>357</v>
      </c>
      <c r="D43" s="32"/>
      <c r="E43" s="32"/>
      <c r="F43" s="32"/>
      <c r="G43" s="61" t="s">
        <v>387</v>
      </c>
      <c r="H43" s="34" t="str">
        <f>IF(G43="","",IFERROR(VLOOKUP(G43,'Product_Stock_Master产品维护'!$A$2:$E992,2,FALSE()),"SKU not found"))</f>
        <v>H1-G2遮线罩</v>
      </c>
      <c r="I43" s="34" t="str">
        <f>IF(G43="","",IFERROR(VLOOKUP(G43,'Product_Stock_Master产品维护'!$A$2:$E992,3,FALSE()),"Item type not found"))</f>
        <v>Material</v>
      </c>
      <c r="J43" s="32"/>
      <c r="K43" s="61">
        <v>84.0</v>
      </c>
      <c r="L43" s="32"/>
      <c r="M43" s="61" t="s">
        <v>134</v>
      </c>
      <c r="N43" s="32"/>
      <c r="O43" s="34" t="str">
        <f t="shared" si="1"/>
        <v>OK</v>
      </c>
      <c r="P43" s="61" t="s">
        <v>79</v>
      </c>
      <c r="Q43" s="34" t="str">
        <f t="shared" si="2"/>
        <v>R1-3-1-R</v>
      </c>
      <c r="R43" s="34" t="str">
        <f t="shared" si="3"/>
        <v/>
      </c>
      <c r="S43" s="34">
        <f t="shared" si="4"/>
        <v>84</v>
      </c>
      <c r="T43" s="34" t="str">
        <f t="shared" si="5"/>
        <v>R1-3-1-R||97-406-00018-00||Material / 物料</v>
      </c>
      <c r="U43" s="34" t="s">
        <v>389</v>
      </c>
      <c r="V43" s="41"/>
      <c r="W43" s="42" t="str">
        <f t="shared" si="6"/>
        <v>OK</v>
      </c>
      <c r="X43" s="42">
        <f t="shared" si="7"/>
        <v>0</v>
      </c>
      <c r="Y43" s="42">
        <f t="shared" si="8"/>
        <v>0</v>
      </c>
      <c r="Z43" s="42" t="str">
        <f>IF(G43="","",IFERROR(VLOOKUP(G43,'Product_Stock_Master产品维护'!$A$2:$L992,11,FALSE),"No"))</f>
        <v>No</v>
      </c>
      <c r="AA43" s="42" t="str">
        <f>IF(G43="","",IFERROR(VLOOKUP(G43,'Product_Stock_Master产品维护'!$A$2:$L992,12,FALSE),""))</f>
        <v/>
      </c>
      <c r="AB43" s="42"/>
      <c r="AC43" s="42"/>
    </row>
    <row r="44" ht="15.75" customHeight="1">
      <c r="A44" s="59" t="s">
        <v>354</v>
      </c>
      <c r="B44" s="60"/>
      <c r="C44" s="61" t="s">
        <v>357</v>
      </c>
      <c r="D44" s="32"/>
      <c r="E44" s="32"/>
      <c r="F44" s="32"/>
      <c r="G44" s="61" t="s">
        <v>70</v>
      </c>
      <c r="H44" s="34" t="str">
        <f>IF(G44="","",IFERROR(VLOOKUP(G44,'Product_Stock_Master产品维护'!$A$2:$E992,2,FALSE()),"SKU not found"))</f>
        <v>EQ4800-side-cover</v>
      </c>
      <c r="I44" s="34" t="str">
        <f>IF(G44="","",IFERROR(VLOOKUP(G44,'Product_Stock_Master产品维护'!$A$2:$E992,3,FALSE()),"Item type not found"))</f>
        <v>Material</v>
      </c>
      <c r="J44" s="32"/>
      <c r="K44" s="61">
        <v>288.0</v>
      </c>
      <c r="L44" s="32"/>
      <c r="M44" s="61" t="s">
        <v>75</v>
      </c>
      <c r="N44" s="32"/>
      <c r="O44" s="34" t="str">
        <f t="shared" si="1"/>
        <v>OK</v>
      </c>
      <c r="P44" s="61" t="s">
        <v>79</v>
      </c>
      <c r="Q44" s="34" t="str">
        <f t="shared" si="2"/>
        <v>R1-2-1-L</v>
      </c>
      <c r="R44" s="34" t="str">
        <f t="shared" si="3"/>
        <v/>
      </c>
      <c r="S44" s="34">
        <f t="shared" si="4"/>
        <v>288</v>
      </c>
      <c r="T44" s="34" t="str">
        <f t="shared" si="5"/>
        <v>R1-2-1-L||97-414-00027-00||Material / 物料</v>
      </c>
      <c r="U44" s="34" t="s">
        <v>390</v>
      </c>
      <c r="V44" s="41"/>
      <c r="W44" s="42" t="str">
        <f t="shared" si="6"/>
        <v>OK</v>
      </c>
      <c r="X44" s="42">
        <f t="shared" si="7"/>
        <v>0</v>
      </c>
      <c r="Y44" s="42">
        <f t="shared" si="8"/>
        <v>0</v>
      </c>
      <c r="Z44" s="42" t="str">
        <f>IF(G44="","",IFERROR(VLOOKUP(G44,'Product_Stock_Master产品维护'!$A$2:$L992,11,FALSE),"No"))</f>
        <v>No</v>
      </c>
      <c r="AA44" s="42" t="str">
        <f>IF(G44="","",IFERROR(VLOOKUP(G44,'Product_Stock_Master产品维护'!$A$2:$L992,12,FALSE),""))</f>
        <v/>
      </c>
      <c r="AB44" s="42"/>
      <c r="AC44" s="42"/>
    </row>
    <row r="45" ht="15.75" customHeight="1">
      <c r="A45" s="59" t="s">
        <v>354</v>
      </c>
      <c r="B45" s="60"/>
      <c r="C45" s="61" t="s">
        <v>357</v>
      </c>
      <c r="D45" s="32"/>
      <c r="E45" s="32"/>
      <c r="F45" s="32"/>
      <c r="G45" s="61" t="s">
        <v>70</v>
      </c>
      <c r="H45" s="34" t="str">
        <f>IF(G45="","",IFERROR(VLOOKUP(G45,'Product_Stock_Master产品维护'!$A$2:$E992,2,FALSE()),"SKU not found"))</f>
        <v>EQ4800-side-cover</v>
      </c>
      <c r="I45" s="34" t="str">
        <f>IF(G45="","",IFERROR(VLOOKUP(G45,'Product_Stock_Master产品维护'!$A$2:$E992,3,FALSE()),"Item type not found"))</f>
        <v>Material</v>
      </c>
      <c r="J45" s="32"/>
      <c r="K45" s="61">
        <v>288.0</v>
      </c>
      <c r="L45" s="32"/>
      <c r="M45" s="61" t="s">
        <v>106</v>
      </c>
      <c r="N45" s="32"/>
      <c r="O45" s="34" t="str">
        <f t="shared" si="1"/>
        <v>OK</v>
      </c>
      <c r="P45" s="61" t="s">
        <v>79</v>
      </c>
      <c r="Q45" s="34" t="str">
        <f t="shared" si="2"/>
        <v>R1-2-1-R</v>
      </c>
      <c r="R45" s="34" t="str">
        <f t="shared" si="3"/>
        <v/>
      </c>
      <c r="S45" s="34">
        <f t="shared" si="4"/>
        <v>288</v>
      </c>
      <c r="T45" s="34" t="str">
        <f t="shared" si="5"/>
        <v>R1-2-1-R||97-414-00027-00||Material / 物料</v>
      </c>
      <c r="U45" s="34" t="s">
        <v>392</v>
      </c>
      <c r="V45" s="41"/>
      <c r="W45" s="42" t="str">
        <f t="shared" si="6"/>
        <v>OK</v>
      </c>
      <c r="X45" s="42">
        <f t="shared" si="7"/>
        <v>0</v>
      </c>
      <c r="Y45" s="42">
        <f t="shared" si="8"/>
        <v>0</v>
      </c>
      <c r="Z45" s="42" t="str">
        <f>IF(G45="","",IFERROR(VLOOKUP(G45,'Product_Stock_Master产品维护'!$A$2:$L992,11,FALSE),"No"))</f>
        <v>No</v>
      </c>
      <c r="AA45" s="42" t="str">
        <f>IF(G45="","",IFERROR(VLOOKUP(G45,'Product_Stock_Master产品维护'!$A$2:$L992,12,FALSE),""))</f>
        <v/>
      </c>
      <c r="AB45" s="42"/>
      <c r="AC45" s="42"/>
    </row>
    <row r="46" ht="15.75" customHeight="1">
      <c r="A46" s="59" t="s">
        <v>354</v>
      </c>
      <c r="B46" s="60"/>
      <c r="C46" s="61" t="s">
        <v>357</v>
      </c>
      <c r="D46" s="32"/>
      <c r="E46" s="32"/>
      <c r="F46" s="32"/>
      <c r="G46" s="61" t="s">
        <v>140</v>
      </c>
      <c r="H46" s="34" t="str">
        <f>IF(G46="","",IFERROR(VLOOKUP(G46,'Product_Stock_Master产品维护'!$A$2:$E992,2,FALSE()),"SKU not found"))</f>
        <v>KH遮线罩</v>
      </c>
      <c r="I46" s="34" t="str">
        <f>IF(G46="","",IFERROR(VLOOKUP(G46,'Product_Stock_Master产品维护'!$A$2:$E992,3,FALSE()),"Item type not found"))</f>
        <v>Material</v>
      </c>
      <c r="J46" s="32"/>
      <c r="K46" s="61">
        <v>72.0</v>
      </c>
      <c r="L46" s="32"/>
      <c r="M46" s="61" t="s">
        <v>184</v>
      </c>
      <c r="N46" s="32"/>
      <c r="O46" s="34" t="str">
        <f t="shared" si="1"/>
        <v>OK</v>
      </c>
      <c r="P46" s="61" t="s">
        <v>79</v>
      </c>
      <c r="Q46" s="34" t="str">
        <f t="shared" si="2"/>
        <v>R1-3-2-L</v>
      </c>
      <c r="R46" s="34" t="str">
        <f t="shared" si="3"/>
        <v/>
      </c>
      <c r="S46" s="34">
        <f t="shared" si="4"/>
        <v>72</v>
      </c>
      <c r="T46" s="34" t="str">
        <f t="shared" si="5"/>
        <v>R1-3-2-L||97-406-00017-00||Material / 物料</v>
      </c>
      <c r="U46" s="34" t="s">
        <v>393</v>
      </c>
      <c r="V46" s="41"/>
      <c r="W46" s="42" t="str">
        <f t="shared" si="6"/>
        <v>OK</v>
      </c>
      <c r="X46" s="42">
        <f t="shared" si="7"/>
        <v>0</v>
      </c>
      <c r="Y46" s="42">
        <f t="shared" si="8"/>
        <v>0</v>
      </c>
      <c r="Z46" s="42" t="str">
        <f>IF(G46="","",IFERROR(VLOOKUP(G46,'Product_Stock_Master产品维护'!$A$2:$L992,11,FALSE),"No"))</f>
        <v>No</v>
      </c>
      <c r="AA46" s="42" t="str">
        <f>IF(G46="","",IFERROR(VLOOKUP(G46,'Product_Stock_Master产品维护'!$A$2:$L992,12,FALSE),""))</f>
        <v/>
      </c>
      <c r="AB46" s="42"/>
      <c r="AC46" s="42"/>
    </row>
    <row r="47" ht="15.75" customHeight="1">
      <c r="A47" s="59" t="s">
        <v>354</v>
      </c>
      <c r="B47" s="60"/>
      <c r="C47" s="61" t="s">
        <v>357</v>
      </c>
      <c r="D47" s="32"/>
      <c r="E47" s="32"/>
      <c r="F47" s="32"/>
      <c r="G47" s="61" t="s">
        <v>140</v>
      </c>
      <c r="H47" s="34" t="str">
        <f>IF(G47="","",IFERROR(VLOOKUP(G47,'Product_Stock_Master产品维护'!$A$2:$E992,2,FALSE()),"SKU not found"))</f>
        <v>KH遮线罩</v>
      </c>
      <c r="I47" s="34" t="str">
        <f>IF(G47="","",IFERROR(VLOOKUP(G47,'Product_Stock_Master产品维护'!$A$2:$E992,3,FALSE()),"Item type not found"))</f>
        <v>Material</v>
      </c>
      <c r="J47" s="32"/>
      <c r="K47" s="61">
        <v>72.0</v>
      </c>
      <c r="L47" s="32"/>
      <c r="M47" s="61" t="s">
        <v>200</v>
      </c>
      <c r="N47" s="32"/>
      <c r="O47" s="34" t="str">
        <f t="shared" si="1"/>
        <v>OK</v>
      </c>
      <c r="P47" s="61" t="s">
        <v>79</v>
      </c>
      <c r="Q47" s="34" t="str">
        <f t="shared" si="2"/>
        <v>R1-3-2-R</v>
      </c>
      <c r="R47" s="34" t="str">
        <f t="shared" si="3"/>
        <v/>
      </c>
      <c r="S47" s="34">
        <f t="shared" si="4"/>
        <v>72</v>
      </c>
      <c r="T47" s="34" t="str">
        <f t="shared" si="5"/>
        <v>R1-3-2-R||97-406-00017-00||Material / 物料</v>
      </c>
      <c r="U47" s="34" t="s">
        <v>394</v>
      </c>
      <c r="V47" s="41"/>
      <c r="W47" s="42" t="str">
        <f t="shared" si="6"/>
        <v>OK</v>
      </c>
      <c r="X47" s="42">
        <f t="shared" si="7"/>
        <v>0</v>
      </c>
      <c r="Y47" s="42">
        <f t="shared" si="8"/>
        <v>0</v>
      </c>
      <c r="Z47" s="42" t="str">
        <f>IF(G47="","",IFERROR(VLOOKUP(G47,'Product_Stock_Master产品维护'!$A$2:$L992,11,FALSE),"No"))</f>
        <v>No</v>
      </c>
      <c r="AA47" s="42" t="str">
        <f>IF(G47="","",IFERROR(VLOOKUP(G47,'Product_Stock_Master产品维护'!$A$2:$L992,12,FALSE),""))</f>
        <v/>
      </c>
      <c r="AB47" s="42"/>
      <c r="AC47" s="42"/>
    </row>
    <row r="48" ht="15.75" customHeight="1">
      <c r="A48" s="59" t="s">
        <v>354</v>
      </c>
      <c r="B48" s="60"/>
      <c r="C48" s="61" t="s">
        <v>67</v>
      </c>
      <c r="D48" s="32"/>
      <c r="E48" s="32"/>
      <c r="F48" s="61" t="s">
        <v>395</v>
      </c>
      <c r="G48" s="61" t="s">
        <v>396</v>
      </c>
      <c r="H48" s="34" t="str">
        <f>IF(G48="","",IFERROR(VLOOKUP(G48,'Product_Stock_Master产品维护'!$A$2:$E992,2,FALSE()),"SKU not found"))</f>
        <v>EQ4800-M</v>
      </c>
      <c r="I48" s="34" t="str">
        <f>IF(G48="","",IFERROR(VLOOKUP(G48,'Product_Stock_Master产品维护'!$A$2:$E992,3,FALSE()),"Item type not found"))</f>
        <v>Product</v>
      </c>
      <c r="J48" s="32"/>
      <c r="K48" s="61">
        <v>1.0</v>
      </c>
      <c r="L48" s="32"/>
      <c r="M48" s="61" t="s">
        <v>397</v>
      </c>
      <c r="N48" s="32"/>
      <c r="O48" s="34" t="str">
        <f t="shared" si="1"/>
        <v>OK</v>
      </c>
      <c r="P48" s="62" t="s">
        <v>366</v>
      </c>
      <c r="Q48" s="34" t="str">
        <f t="shared" si="2"/>
        <v>R2-2-5-L</v>
      </c>
      <c r="R48" s="34" t="str">
        <f t="shared" si="3"/>
        <v/>
      </c>
      <c r="S48" s="34">
        <f t="shared" si="4"/>
        <v>1</v>
      </c>
      <c r="T48" s="34" t="str">
        <f t="shared" si="5"/>
        <v>R2-2-5-L|Mix002|97-223-00108-00||Repair_Good / 维修良品</v>
      </c>
      <c r="U48" s="34" t="s">
        <v>398</v>
      </c>
      <c r="V48" s="41"/>
      <c r="W48" s="42" t="str">
        <f t="shared" si="6"/>
        <v>OK</v>
      </c>
      <c r="X48" s="42">
        <f t="shared" si="7"/>
        <v>0</v>
      </c>
      <c r="Y48" s="42">
        <f t="shared" si="8"/>
        <v>0</v>
      </c>
      <c r="Z48" s="42" t="str">
        <f>IF(G48="","",IFERROR(VLOOKUP(G48,'Product_Stock_Master产品维护'!$A$2:$L992,11,FALSE),"No"))</f>
        <v>Yes</v>
      </c>
      <c r="AA48" s="42" t="str">
        <f>IF(G48="","",IFERROR(VLOOKUP(G48,'Product_Stock_Master产品维护'!$A$2:$L992,12,FALSE),""))</f>
        <v>Battery / 电池</v>
      </c>
      <c r="AB48" s="42"/>
      <c r="AC48" s="42"/>
    </row>
    <row r="49" ht="15.75" customHeight="1">
      <c r="A49" s="59" t="s">
        <v>354</v>
      </c>
      <c r="B49" s="60"/>
      <c r="C49" s="61" t="s">
        <v>67</v>
      </c>
      <c r="D49" s="32"/>
      <c r="E49" s="32"/>
      <c r="F49" s="61" t="s">
        <v>395</v>
      </c>
      <c r="G49" s="62" t="s">
        <v>399</v>
      </c>
      <c r="H49" s="34" t="str">
        <f>IF(G49="","",IFERROR(VLOOKUP(G49,'Product_Stock_Master产品维护'!$A$2:$E992,2,FALSE()),"SKU not found"))</f>
        <v>EQ4800-M</v>
      </c>
      <c r="I49" s="34" t="str">
        <f>IF(G49="","",IFERROR(VLOOKUP(G49,'Product_Stock_Master产品维护'!$A$2:$E992,3,FALSE()),"Item type not found"))</f>
        <v>Product</v>
      </c>
      <c r="J49" s="32"/>
      <c r="K49" s="61">
        <v>4.0</v>
      </c>
      <c r="L49" s="32"/>
      <c r="M49" s="61" t="s">
        <v>397</v>
      </c>
      <c r="N49" s="32"/>
      <c r="O49" s="34" t="str">
        <f t="shared" si="1"/>
        <v>OK</v>
      </c>
      <c r="P49" s="62" t="s">
        <v>366</v>
      </c>
      <c r="Q49" s="34" t="str">
        <f t="shared" si="2"/>
        <v>R2-2-5-L</v>
      </c>
      <c r="R49" s="34" t="str">
        <f t="shared" si="3"/>
        <v/>
      </c>
      <c r="S49" s="34">
        <f t="shared" si="4"/>
        <v>4</v>
      </c>
      <c r="T49" s="34" t="str">
        <f t="shared" si="5"/>
        <v>R2-2-5-L|Mix002|97-223-00090-00||Repair_Good / 维修良品</v>
      </c>
      <c r="U49" s="34" t="s">
        <v>401</v>
      </c>
      <c r="V49" s="41"/>
      <c r="W49" s="42" t="str">
        <f t="shared" si="6"/>
        <v>OK</v>
      </c>
      <c r="X49" s="42">
        <f t="shared" si="7"/>
        <v>0</v>
      </c>
      <c r="Y49" s="42">
        <f t="shared" si="8"/>
        <v>0</v>
      </c>
      <c r="Z49" s="42" t="str">
        <f>IF(G49="","",IFERROR(VLOOKUP(G49,'Product_Stock_Master产品维护'!$A$2:$L992,11,FALSE),"No"))</f>
        <v>Yes</v>
      </c>
      <c r="AA49" s="42" t="str">
        <f>IF(G49="","",IFERROR(VLOOKUP(G49,'Product_Stock_Master产品维护'!$A$2:$L992,12,FALSE),""))</f>
        <v>Battery / 电池</v>
      </c>
      <c r="AB49" s="42"/>
      <c r="AC49" s="42"/>
    </row>
    <row r="50" ht="15.75" customHeight="1">
      <c r="A50" s="59" t="s">
        <v>354</v>
      </c>
      <c r="B50" s="60"/>
      <c r="C50" s="61" t="s">
        <v>67</v>
      </c>
      <c r="D50" s="32"/>
      <c r="E50" s="32"/>
      <c r="F50" s="61" t="s">
        <v>395</v>
      </c>
      <c r="G50" s="62" t="s">
        <v>402</v>
      </c>
      <c r="H50" s="34" t="str">
        <f>IF(G50="","",IFERROR(VLOOKUP(G50,'Product_Stock_Master产品维护'!$A$2:$E992,2,FALSE()),"SKU not found"))</f>
        <v>EQ4800-M</v>
      </c>
      <c r="I50" s="34" t="str">
        <f>IF(G50="","",IFERROR(VLOOKUP(G50,'Product_Stock_Master产品维护'!$A$2:$E992,3,FALSE()),"Item type not found"))</f>
        <v>Product</v>
      </c>
      <c r="J50" s="32"/>
      <c r="K50" s="61">
        <v>3.0</v>
      </c>
      <c r="L50" s="32"/>
      <c r="M50" s="61" t="s">
        <v>397</v>
      </c>
      <c r="N50" s="32"/>
      <c r="O50" s="34" t="str">
        <f t="shared" si="1"/>
        <v>OK</v>
      </c>
      <c r="P50" s="62" t="s">
        <v>366</v>
      </c>
      <c r="Q50" s="34" t="str">
        <f t="shared" si="2"/>
        <v>R2-2-5-L</v>
      </c>
      <c r="R50" s="34" t="str">
        <f t="shared" si="3"/>
        <v/>
      </c>
      <c r="S50" s="34">
        <f t="shared" si="4"/>
        <v>3</v>
      </c>
      <c r="T50" s="34" t="str">
        <f t="shared" si="5"/>
        <v>R2-2-5-L|Mix002|97-223-00064-00||Repair_Good / 维修良品</v>
      </c>
      <c r="U50" s="34" t="s">
        <v>403</v>
      </c>
      <c r="V50" s="41"/>
      <c r="W50" s="42" t="str">
        <f t="shared" si="6"/>
        <v>OK</v>
      </c>
      <c r="X50" s="42">
        <f t="shared" si="7"/>
        <v>0</v>
      </c>
      <c r="Y50" s="42">
        <f t="shared" si="8"/>
        <v>0</v>
      </c>
      <c r="Z50" s="42" t="str">
        <f>IF(G50="","",IFERROR(VLOOKUP(G50,'Product_Stock_Master产品维护'!$A$2:$L992,11,FALSE),"No"))</f>
        <v>Yes</v>
      </c>
      <c r="AA50" s="42" t="str">
        <f>IF(G50="","",IFERROR(VLOOKUP(G50,'Product_Stock_Master产品维护'!$A$2:$L992,12,FALSE),""))</f>
        <v>Battery / 电池</v>
      </c>
      <c r="AB50" s="42"/>
      <c r="AC50" s="42"/>
    </row>
    <row r="51" ht="15.75" customHeight="1">
      <c r="A51" s="59" t="s">
        <v>354</v>
      </c>
      <c r="B51" s="60"/>
      <c r="C51" s="61" t="s">
        <v>67</v>
      </c>
      <c r="D51" s="32"/>
      <c r="E51" s="32"/>
      <c r="F51" s="61" t="s">
        <v>395</v>
      </c>
      <c r="G51" s="61" t="s">
        <v>396</v>
      </c>
      <c r="H51" s="34" t="str">
        <f>IF(G51="","",IFERROR(VLOOKUP(G51,'Product_Stock_Master产品维护'!$A$2:$E992,2,FALSE()),"SKU not found"))</f>
        <v>EQ4800-M</v>
      </c>
      <c r="I51" s="34" t="str">
        <f>IF(G51="","",IFERROR(VLOOKUP(G51,'Product_Stock_Master产品维护'!$A$2:$E992,3,FALSE()),"Item type not found"))</f>
        <v>Product</v>
      </c>
      <c r="J51" s="32"/>
      <c r="K51" s="61">
        <v>1.0</v>
      </c>
      <c r="L51" s="32"/>
      <c r="M51" s="61" t="s">
        <v>397</v>
      </c>
      <c r="N51" s="32"/>
      <c r="O51" s="34" t="str">
        <f t="shared" si="1"/>
        <v>OK</v>
      </c>
      <c r="P51" s="62" t="s">
        <v>366</v>
      </c>
      <c r="Q51" s="34" t="str">
        <f t="shared" si="2"/>
        <v>R2-2-5-L</v>
      </c>
      <c r="R51" s="34" t="str">
        <f t="shared" si="3"/>
        <v/>
      </c>
      <c r="S51" s="34">
        <f t="shared" si="4"/>
        <v>1</v>
      </c>
      <c r="T51" s="34" t="str">
        <f t="shared" si="5"/>
        <v>R2-2-5-L|Mix002|97-223-00108-00||Repair_Good / 维修良品</v>
      </c>
      <c r="U51" s="34" t="s">
        <v>404</v>
      </c>
      <c r="V51" s="41"/>
      <c r="W51" s="42" t="str">
        <f t="shared" si="6"/>
        <v>OK</v>
      </c>
      <c r="X51" s="42">
        <f t="shared" si="7"/>
        <v>0</v>
      </c>
      <c r="Y51" s="42">
        <f t="shared" si="8"/>
        <v>0</v>
      </c>
      <c r="Z51" s="42" t="str">
        <f>IF(G51="","",IFERROR(VLOOKUP(G51,'Product_Stock_Master产品维护'!$A$2:$L992,11,FALSE),"No"))</f>
        <v>Yes</v>
      </c>
      <c r="AA51" s="42" t="str">
        <f>IF(G51="","",IFERROR(VLOOKUP(G51,'Product_Stock_Master产品维护'!$A$2:$L992,12,FALSE),""))</f>
        <v>Battery / 电池</v>
      </c>
      <c r="AB51" s="42"/>
      <c r="AC51" s="42"/>
    </row>
    <row r="52" ht="15.75" customHeight="1">
      <c r="A52" s="59" t="s">
        <v>354</v>
      </c>
      <c r="B52" s="60"/>
      <c r="C52" s="61" t="s">
        <v>67</v>
      </c>
      <c r="D52" s="32"/>
      <c r="E52" s="32"/>
      <c r="F52" s="61" t="s">
        <v>395</v>
      </c>
      <c r="G52" s="62" t="s">
        <v>399</v>
      </c>
      <c r="H52" s="34" t="str">
        <f>IF(G52="","",IFERROR(VLOOKUP(G52,'Product_Stock_Master产品维护'!$A$2:$E992,2,FALSE()),"SKU not found"))</f>
        <v>EQ4800-M</v>
      </c>
      <c r="I52" s="34" t="str">
        <f>IF(G52="","",IFERROR(VLOOKUP(G52,'Product_Stock_Master产品维护'!$A$2:$E992,3,FALSE()),"Item type not found"))</f>
        <v>Product</v>
      </c>
      <c r="J52" s="32"/>
      <c r="K52" s="61">
        <v>3.0</v>
      </c>
      <c r="L52" s="32"/>
      <c r="M52" s="61" t="s">
        <v>397</v>
      </c>
      <c r="N52" s="32"/>
      <c r="O52" s="34" t="str">
        <f t="shared" si="1"/>
        <v>OK</v>
      </c>
      <c r="P52" s="62" t="s">
        <v>366</v>
      </c>
      <c r="Q52" s="34" t="str">
        <f t="shared" si="2"/>
        <v>R2-2-5-L</v>
      </c>
      <c r="R52" s="34" t="str">
        <f t="shared" si="3"/>
        <v/>
      </c>
      <c r="S52" s="34">
        <f t="shared" si="4"/>
        <v>3</v>
      </c>
      <c r="T52" s="34" t="str">
        <f t="shared" si="5"/>
        <v>R2-2-5-L|Mix002|97-223-00090-00||Repair_Good / 维修良品</v>
      </c>
      <c r="U52" s="34" t="s">
        <v>406</v>
      </c>
      <c r="V52" s="41"/>
      <c r="W52" s="42" t="str">
        <f t="shared" si="6"/>
        <v>OK</v>
      </c>
      <c r="X52" s="42">
        <f t="shared" si="7"/>
        <v>0</v>
      </c>
      <c r="Y52" s="42">
        <f t="shared" si="8"/>
        <v>0</v>
      </c>
      <c r="Z52" s="42" t="str">
        <f>IF(G52="","",IFERROR(VLOOKUP(G52,'Product_Stock_Master产品维护'!$A$2:$L992,11,FALSE),"No"))</f>
        <v>Yes</v>
      </c>
      <c r="AA52" s="42" t="str">
        <f>IF(G52="","",IFERROR(VLOOKUP(G52,'Product_Stock_Master产品维护'!$A$2:$L992,12,FALSE),""))</f>
        <v>Battery / 电池</v>
      </c>
      <c r="AB52" s="42"/>
      <c r="AC52" s="42"/>
    </row>
    <row r="53" ht="15.75" customHeight="1">
      <c r="A53" s="59" t="s">
        <v>354</v>
      </c>
      <c r="B53" s="60"/>
      <c r="C53" s="61" t="s">
        <v>67</v>
      </c>
      <c r="D53" s="32"/>
      <c r="E53" s="32"/>
      <c r="F53" s="61" t="s">
        <v>407</v>
      </c>
      <c r="G53" s="61" t="s">
        <v>408</v>
      </c>
      <c r="H53" s="34" t="str">
        <f>IF(G53="","",IFERROR(VLOOKUP(G53,'Product_Stock_Master产品维护'!$A$2:$E992,2,FALSE()),"SKU not found"))</f>
        <v>CQ6-M</v>
      </c>
      <c r="I53" s="34" t="str">
        <f>IF(G53="","",IFERROR(VLOOKUP(G53,'Product_Stock_Master产品维护'!$A$2:$E992,3,FALSE()),"Item type not found"))</f>
        <v>Product</v>
      </c>
      <c r="J53" s="32"/>
      <c r="K53" s="61">
        <v>5.0</v>
      </c>
      <c r="L53" s="32"/>
      <c r="M53" s="61" t="s">
        <v>409</v>
      </c>
      <c r="N53" s="32"/>
      <c r="O53" s="34" t="str">
        <f t="shared" si="1"/>
        <v>OK</v>
      </c>
      <c r="P53" s="62" t="s">
        <v>366</v>
      </c>
      <c r="Q53" s="34" t="str">
        <f t="shared" si="2"/>
        <v>R2-3-5-L</v>
      </c>
      <c r="R53" s="34" t="str">
        <f t="shared" si="3"/>
        <v/>
      </c>
      <c r="S53" s="34">
        <f t="shared" si="4"/>
        <v>5</v>
      </c>
      <c r="T53" s="34" t="str">
        <f t="shared" si="5"/>
        <v>R2-3-5-L|Mix003|97-229-00012-00||Repair_Good / 维修良品</v>
      </c>
      <c r="U53" s="34" t="s">
        <v>410</v>
      </c>
      <c r="V53" s="41"/>
      <c r="W53" s="42" t="str">
        <f t="shared" si="6"/>
        <v>OK</v>
      </c>
      <c r="X53" s="42">
        <f t="shared" si="7"/>
        <v>0</v>
      </c>
      <c r="Y53" s="42">
        <f t="shared" si="8"/>
        <v>0</v>
      </c>
      <c r="Z53" s="42" t="str">
        <f>IF(G53="","",IFERROR(VLOOKUP(G53,'Product_Stock_Master产品维护'!$A$2:$L992,11,FALSE),"No"))</f>
        <v>Yes</v>
      </c>
      <c r="AA53" s="42" t="str">
        <f>IF(G53="","",IFERROR(VLOOKUP(G53,'Product_Stock_Master产品维护'!$A$2:$L992,12,FALSE),""))</f>
        <v>Battery / 电池</v>
      </c>
      <c r="AB53" s="42"/>
      <c r="AC53" s="42"/>
    </row>
    <row r="54" ht="15.75" customHeight="1">
      <c r="A54" s="59" t="s">
        <v>354</v>
      </c>
      <c r="B54" s="60"/>
      <c r="C54" s="61" t="s">
        <v>67</v>
      </c>
      <c r="D54" s="32"/>
      <c r="E54" s="32"/>
      <c r="F54" s="61" t="s">
        <v>407</v>
      </c>
      <c r="G54" s="61" t="s">
        <v>411</v>
      </c>
      <c r="H54" s="34" t="str">
        <f>IF(G54="","",IFERROR(VLOOKUP(G54,'Product_Stock_Master产品维护'!$A$2:$E992,2,FALSE()),"SKU not found"))</f>
        <v>EQ4800-S</v>
      </c>
      <c r="I54" s="34" t="str">
        <f>IF(G54="","",IFERROR(VLOOKUP(G54,'Product_Stock_Master产品维护'!$A$2:$E992,3,FALSE()),"Item type not found"))</f>
        <v>Product</v>
      </c>
      <c r="J54" s="32"/>
      <c r="K54" s="61">
        <v>1.0</v>
      </c>
      <c r="L54" s="32"/>
      <c r="M54" s="61" t="s">
        <v>409</v>
      </c>
      <c r="N54" s="32"/>
      <c r="O54" s="34" t="str">
        <f t="shared" si="1"/>
        <v>OK</v>
      </c>
      <c r="P54" s="62" t="s">
        <v>366</v>
      </c>
      <c r="Q54" s="34" t="str">
        <f t="shared" si="2"/>
        <v>R2-3-5-L</v>
      </c>
      <c r="R54" s="34" t="str">
        <f t="shared" si="3"/>
        <v/>
      </c>
      <c r="S54" s="34">
        <f t="shared" si="4"/>
        <v>1</v>
      </c>
      <c r="T54" s="34" t="str">
        <f t="shared" si="5"/>
        <v>R2-3-5-L|Mix003|97-223-00085-00||Repair_Good / 维修良品</v>
      </c>
      <c r="U54" s="34" t="s">
        <v>412</v>
      </c>
      <c r="V54" s="41"/>
      <c r="W54" s="42" t="str">
        <f t="shared" si="6"/>
        <v>OK</v>
      </c>
      <c r="X54" s="42">
        <f t="shared" si="7"/>
        <v>0</v>
      </c>
      <c r="Y54" s="42">
        <f t="shared" si="8"/>
        <v>0</v>
      </c>
      <c r="Z54" s="42" t="str">
        <f>IF(G54="","",IFERROR(VLOOKUP(G54,'Product_Stock_Master产品维护'!$A$2:$L992,11,FALSE),"No"))</f>
        <v>Yes</v>
      </c>
      <c r="AA54" s="42" t="str">
        <f>IF(G54="","",IFERROR(VLOOKUP(G54,'Product_Stock_Master产品维护'!$A$2:$L992,12,FALSE),""))</f>
        <v>Battery / 电池</v>
      </c>
      <c r="AB54" s="42"/>
      <c r="AC54" s="42"/>
    </row>
    <row r="55" ht="15.75" customHeight="1">
      <c r="A55" s="59" t="s">
        <v>354</v>
      </c>
      <c r="B55" s="60"/>
      <c r="C55" s="61" t="s">
        <v>67</v>
      </c>
      <c r="D55" s="32"/>
      <c r="E55" s="32"/>
      <c r="F55" s="61" t="s">
        <v>413</v>
      </c>
      <c r="G55" s="61" t="s">
        <v>364</v>
      </c>
      <c r="H55" s="34" t="str">
        <f>IF(G55="","",IFERROR(VLOOKUP(G55,'Product_Stock_Master产品维护'!$A$2:$E992,2,FALSE()),"SKU not found"))</f>
        <v>CQ6-S</v>
      </c>
      <c r="I55" s="34" t="str">
        <f>IF(G55="","",IFERROR(VLOOKUP(G55,'Product_Stock_Master产品维护'!$A$2:$E992,3,FALSE()),"Item type not found"))</f>
        <v>Product</v>
      </c>
      <c r="J55" s="32"/>
      <c r="K55" s="61">
        <v>4.0</v>
      </c>
      <c r="L55" s="32"/>
      <c r="M55" s="61" t="s">
        <v>414</v>
      </c>
      <c r="N55" s="32"/>
      <c r="O55" s="34" t="str">
        <f t="shared" si="1"/>
        <v>OK</v>
      </c>
      <c r="P55" s="62" t="s">
        <v>366</v>
      </c>
      <c r="Q55" s="34" t="str">
        <f t="shared" si="2"/>
        <v>R2-3-5-R</v>
      </c>
      <c r="R55" s="34" t="str">
        <f t="shared" si="3"/>
        <v/>
      </c>
      <c r="S55" s="34">
        <f t="shared" si="4"/>
        <v>4</v>
      </c>
      <c r="T55" s="34" t="str">
        <f t="shared" si="5"/>
        <v>R2-3-5-R|Mix004|97-229-00018-00||Repair_Good / 维修良品</v>
      </c>
      <c r="U55" s="34" t="s">
        <v>415</v>
      </c>
      <c r="V55" s="41"/>
      <c r="W55" s="42" t="str">
        <f t="shared" si="6"/>
        <v>OK</v>
      </c>
      <c r="X55" s="42">
        <f t="shared" si="7"/>
        <v>0</v>
      </c>
      <c r="Y55" s="42">
        <f t="shared" si="8"/>
        <v>0</v>
      </c>
      <c r="Z55" s="42" t="str">
        <f>IF(G55="","",IFERROR(VLOOKUP(G55,'Product_Stock_Master产品维护'!$A$2:$L992,11,FALSE),"No"))</f>
        <v>Yes</v>
      </c>
      <c r="AA55" s="42" t="str">
        <f>IF(G55="","",IFERROR(VLOOKUP(G55,'Product_Stock_Master产品维护'!$A$2:$L992,12,FALSE),""))</f>
        <v>Battery / 电池</v>
      </c>
      <c r="AB55" s="42"/>
      <c r="AC55" s="42"/>
    </row>
    <row r="56" ht="15.75" customHeight="1">
      <c r="A56" s="59" t="s">
        <v>354</v>
      </c>
      <c r="B56" s="60"/>
      <c r="C56" s="61" t="s">
        <v>67</v>
      </c>
      <c r="D56" s="32"/>
      <c r="E56" s="32"/>
      <c r="F56" s="61" t="s">
        <v>413</v>
      </c>
      <c r="G56" s="61" t="s">
        <v>371</v>
      </c>
      <c r="H56" s="34" t="str">
        <f>IF(G56="","",IFERROR(VLOOKUP(G56,'Product_Stock_Master产品维护'!$A$2:$E992,2,FALSE()),"SKU not found"))</f>
        <v>CQ6-S</v>
      </c>
      <c r="I56" s="34" t="str">
        <f>IF(G56="","",IFERROR(VLOOKUP(G56,'Product_Stock_Master产品维护'!$A$2:$E992,3,FALSE()),"Item type not found"))</f>
        <v>Product</v>
      </c>
      <c r="J56" s="32"/>
      <c r="K56" s="61">
        <v>1.0</v>
      </c>
      <c r="L56" s="32"/>
      <c r="M56" s="61" t="s">
        <v>414</v>
      </c>
      <c r="N56" s="32"/>
      <c r="O56" s="34" t="str">
        <f t="shared" si="1"/>
        <v>OK</v>
      </c>
      <c r="P56" s="62" t="s">
        <v>366</v>
      </c>
      <c r="Q56" s="34" t="str">
        <f t="shared" si="2"/>
        <v>R2-3-5-R</v>
      </c>
      <c r="R56" s="34" t="str">
        <f t="shared" si="3"/>
        <v/>
      </c>
      <c r="S56" s="34">
        <f t="shared" si="4"/>
        <v>1</v>
      </c>
      <c r="T56" s="34" t="str">
        <f t="shared" si="5"/>
        <v>R2-3-5-R|Mix004|97-229-00015-00||Repair_Good / 维修良品</v>
      </c>
      <c r="U56" s="34" t="s">
        <v>416</v>
      </c>
      <c r="V56" s="41"/>
      <c r="W56" s="42" t="str">
        <f t="shared" si="6"/>
        <v>OK</v>
      </c>
      <c r="X56" s="42">
        <f t="shared" si="7"/>
        <v>0</v>
      </c>
      <c r="Y56" s="42">
        <f t="shared" si="8"/>
        <v>0</v>
      </c>
      <c r="Z56" s="42" t="str">
        <f>IF(G56="","",IFERROR(VLOOKUP(G56,'Product_Stock_Master产品维护'!$A$2:$L992,11,FALSE),"No"))</f>
        <v>Yes</v>
      </c>
      <c r="AA56" s="42" t="str">
        <f>IF(G56="","",IFERROR(VLOOKUP(G56,'Product_Stock_Master产品维护'!$A$2:$L992,12,FALSE),""))</f>
        <v>Battery / 电池</v>
      </c>
      <c r="AB56" s="42"/>
      <c r="AC56" s="42"/>
    </row>
    <row r="57" ht="15.75" customHeight="1">
      <c r="A57" s="59" t="s">
        <v>354</v>
      </c>
      <c r="B57" s="60"/>
      <c r="C57" s="61" t="s">
        <v>67</v>
      </c>
      <c r="D57" s="32"/>
      <c r="E57" s="32"/>
      <c r="F57" s="61" t="s">
        <v>413</v>
      </c>
      <c r="G57" s="61" t="s">
        <v>417</v>
      </c>
      <c r="H57" s="34" t="str">
        <f>IF(G57="","",IFERROR(VLOOKUP(G57,'Product_Stock_Master产品维护'!$A$2:$E992,2,FALSE()),"SKU not found"))</f>
        <v>CQ6-S</v>
      </c>
      <c r="I57" s="34" t="str">
        <f>IF(G57="","",IFERROR(VLOOKUP(G57,'Product_Stock_Master产品维护'!$A$2:$E992,3,FALSE()),"Item type not found"))</f>
        <v>Product</v>
      </c>
      <c r="J57" s="32"/>
      <c r="K57" s="61">
        <v>1.0</v>
      </c>
      <c r="L57" s="32"/>
      <c r="M57" s="61" t="s">
        <v>414</v>
      </c>
      <c r="N57" s="32"/>
      <c r="O57" s="34" t="str">
        <f t="shared" si="1"/>
        <v>OK</v>
      </c>
      <c r="P57" s="62" t="s">
        <v>366</v>
      </c>
      <c r="Q57" s="34" t="str">
        <f t="shared" si="2"/>
        <v>R2-3-5-R</v>
      </c>
      <c r="R57" s="34" t="str">
        <f t="shared" si="3"/>
        <v/>
      </c>
      <c r="S57" s="34">
        <f t="shared" si="4"/>
        <v>1</v>
      </c>
      <c r="T57" s="34" t="str">
        <f t="shared" si="5"/>
        <v>R2-3-5-R|Mix004|97-229-00003-00||Repair_Good / 维修良品</v>
      </c>
      <c r="U57" s="34" t="s">
        <v>418</v>
      </c>
      <c r="V57" s="41"/>
      <c r="W57" s="42" t="str">
        <f t="shared" si="6"/>
        <v>OK</v>
      </c>
      <c r="X57" s="42">
        <f t="shared" si="7"/>
        <v>0</v>
      </c>
      <c r="Y57" s="42">
        <f t="shared" si="8"/>
        <v>0</v>
      </c>
      <c r="Z57" s="42" t="str">
        <f>IF(G57="","",IFERROR(VLOOKUP(G57,'Product_Stock_Master产品维护'!$A$2:$L992,11,FALSE),"No"))</f>
        <v/>
      </c>
      <c r="AA57" s="42" t="str">
        <f>IF(G57="","",IFERROR(VLOOKUP(G57,'Product_Stock_Master产品维护'!$A$2:$L992,12,FALSE),""))</f>
        <v/>
      </c>
      <c r="AB57" s="42"/>
      <c r="AC57" s="42"/>
    </row>
    <row r="58" ht="15.75" customHeight="1">
      <c r="A58" s="59" t="s">
        <v>354</v>
      </c>
      <c r="B58" s="60"/>
      <c r="C58" s="61" t="s">
        <v>67</v>
      </c>
      <c r="D58" s="32"/>
      <c r="E58" s="32"/>
      <c r="F58" s="61" t="s">
        <v>420</v>
      </c>
      <c r="G58" s="61" t="s">
        <v>421</v>
      </c>
      <c r="H58" s="34" t="str">
        <f>IF(G58="","",IFERROR(VLOOKUP(G58,'Product_Stock_Master产品维护'!$A$2:$E992,2,FALSE()),"SKU not found"))</f>
        <v>EQ4800-S</v>
      </c>
      <c r="I58" s="34" t="str">
        <f>IF(G58="","",IFERROR(VLOOKUP(G58,'Product_Stock_Master产品维护'!$A$2:$E992,3,FALSE()),"Item type not found"))</f>
        <v>Product</v>
      </c>
      <c r="J58" s="32"/>
      <c r="K58" s="61">
        <v>15.0</v>
      </c>
      <c r="L58" s="32"/>
      <c r="M58" s="61" t="s">
        <v>422</v>
      </c>
      <c r="N58" s="32"/>
      <c r="O58" s="34" t="str">
        <f t="shared" si="1"/>
        <v>OK</v>
      </c>
      <c r="P58" s="62" t="s">
        <v>366</v>
      </c>
      <c r="Q58" s="34" t="str">
        <f t="shared" si="2"/>
        <v>R2-1-4-L</v>
      </c>
      <c r="R58" s="34" t="str">
        <f t="shared" si="3"/>
        <v/>
      </c>
      <c r="S58" s="34">
        <f t="shared" si="4"/>
        <v>15</v>
      </c>
      <c r="T58" s="34" t="str">
        <f t="shared" si="5"/>
        <v>R2-1-4-L|Mix005|97-223-00105-00||Repair_Good / 维修良品</v>
      </c>
      <c r="U58" s="34" t="s">
        <v>423</v>
      </c>
      <c r="V58" s="41"/>
      <c r="W58" s="42" t="str">
        <f t="shared" si="6"/>
        <v>OK</v>
      </c>
      <c r="X58" s="42">
        <f t="shared" si="7"/>
        <v>0</v>
      </c>
      <c r="Y58" s="42">
        <f t="shared" si="8"/>
        <v>0</v>
      </c>
      <c r="Z58" s="42" t="str">
        <f>IF(G58="","",IFERROR(VLOOKUP(G58,'Product_Stock_Master产品维护'!$A$2:$L992,11,FALSE),"No"))</f>
        <v>Yes</v>
      </c>
      <c r="AA58" s="42" t="str">
        <f>IF(G58="","",IFERROR(VLOOKUP(G58,'Product_Stock_Master产品维护'!$A$2:$L992,12,FALSE),""))</f>
        <v>Battery / 电池</v>
      </c>
      <c r="AB58" s="42"/>
      <c r="AC58" s="42"/>
    </row>
    <row r="59" ht="15.75" customHeight="1">
      <c r="A59" s="59" t="s">
        <v>354</v>
      </c>
      <c r="B59" s="60"/>
      <c r="C59" s="61" t="s">
        <v>67</v>
      </c>
      <c r="D59" s="32"/>
      <c r="E59" s="32"/>
      <c r="F59" s="61" t="s">
        <v>420</v>
      </c>
      <c r="G59" s="61" t="s">
        <v>411</v>
      </c>
      <c r="H59" s="34" t="str">
        <f>IF(G59="","",IFERROR(VLOOKUP(G59,'Product_Stock_Master产品维护'!$A$2:$E992,2,FALSE()),"SKU not found"))</f>
        <v>EQ4800-S</v>
      </c>
      <c r="I59" s="34" t="str">
        <f>IF(G59="","",IFERROR(VLOOKUP(G59,'Product_Stock_Master产品维护'!$A$2:$E992,3,FALSE()),"Item type not found"))</f>
        <v>Product</v>
      </c>
      <c r="J59" s="32"/>
      <c r="K59" s="61">
        <v>1.0</v>
      </c>
      <c r="L59" s="32"/>
      <c r="M59" s="61" t="s">
        <v>422</v>
      </c>
      <c r="N59" s="32"/>
      <c r="O59" s="34" t="str">
        <f t="shared" si="1"/>
        <v>OK</v>
      </c>
      <c r="P59" s="62" t="s">
        <v>366</v>
      </c>
      <c r="Q59" s="34" t="str">
        <f t="shared" si="2"/>
        <v>R2-1-4-L</v>
      </c>
      <c r="R59" s="34" t="str">
        <f t="shared" si="3"/>
        <v/>
      </c>
      <c r="S59" s="34">
        <f t="shared" si="4"/>
        <v>1</v>
      </c>
      <c r="T59" s="34" t="str">
        <f t="shared" si="5"/>
        <v>R2-1-4-L|Mix005|97-223-00085-00||Repair_Good / 维修良品</v>
      </c>
      <c r="U59" s="34" t="s">
        <v>424</v>
      </c>
      <c r="V59" s="41"/>
      <c r="W59" s="42" t="str">
        <f t="shared" si="6"/>
        <v>OK</v>
      </c>
      <c r="X59" s="42">
        <f t="shared" si="7"/>
        <v>0</v>
      </c>
      <c r="Y59" s="42">
        <f t="shared" si="8"/>
        <v>0</v>
      </c>
      <c r="Z59" s="42" t="str">
        <f>IF(G59="","",IFERROR(VLOOKUP(G59,'Product_Stock_Master产品维护'!$A$2:$L992,11,FALSE),"No"))</f>
        <v>Yes</v>
      </c>
      <c r="AA59" s="42" t="str">
        <f>IF(G59="","",IFERROR(VLOOKUP(G59,'Product_Stock_Master产品维护'!$A$2:$L992,12,FALSE),""))</f>
        <v>Battery / 电池</v>
      </c>
      <c r="AB59" s="42"/>
      <c r="AC59" s="42"/>
    </row>
    <row r="60" ht="15.75" customHeight="1">
      <c r="A60" s="59" t="s">
        <v>354</v>
      </c>
      <c r="B60" s="60"/>
      <c r="C60" s="61" t="s">
        <v>67</v>
      </c>
      <c r="D60" s="32"/>
      <c r="E60" s="32"/>
      <c r="F60" s="32"/>
      <c r="G60" s="61" t="s">
        <v>378</v>
      </c>
      <c r="H60" s="34" t="str">
        <f>IF(G60="","",IFERROR(VLOOKUP(G60,'Product_Stock_Master产品维护'!$A$2:$E992,2,FALSE()),"SKU not found"))</f>
        <v>EQ4800-S</v>
      </c>
      <c r="I60" s="34" t="str">
        <f>IF(G60="","",IFERROR(VLOOKUP(G60,'Product_Stock_Master产品维护'!$A$2:$E992,3,FALSE()),"Item type not found"))</f>
        <v>Product</v>
      </c>
      <c r="J60" s="32"/>
      <c r="K60" s="61">
        <v>12.0</v>
      </c>
      <c r="L60" s="32"/>
      <c r="M60" s="61" t="s">
        <v>425</v>
      </c>
      <c r="N60" s="32"/>
      <c r="O60" s="34" t="str">
        <f t="shared" si="1"/>
        <v>OK</v>
      </c>
      <c r="P60" s="62" t="s">
        <v>383</v>
      </c>
      <c r="Q60" s="34" t="str">
        <f t="shared" si="2"/>
        <v>R2-2-5-R</v>
      </c>
      <c r="R60" s="34" t="str">
        <f t="shared" si="3"/>
        <v/>
      </c>
      <c r="S60" s="34">
        <f t="shared" si="4"/>
        <v>12</v>
      </c>
      <c r="T60" s="34" t="str">
        <f t="shared" si="5"/>
        <v>R2-2-5-R||97-223-00107-00||New / 新机</v>
      </c>
      <c r="U60" s="34" t="s">
        <v>426</v>
      </c>
      <c r="V60" s="41"/>
      <c r="W60" s="42" t="str">
        <f t="shared" si="6"/>
        <v>OK</v>
      </c>
      <c r="X60" s="42">
        <f t="shared" si="7"/>
        <v>0</v>
      </c>
      <c r="Y60" s="42">
        <f t="shared" si="8"/>
        <v>0</v>
      </c>
      <c r="Z60" s="42" t="str">
        <f>IF(G60="","",IFERROR(VLOOKUP(G60,'Product_Stock_Master产品维护'!$A$2:$L992,11,FALSE),"No"))</f>
        <v>Yes</v>
      </c>
      <c r="AA60" s="42" t="str">
        <f>IF(G60="","",IFERROR(VLOOKUP(G60,'Product_Stock_Master产品维护'!$A$2:$L992,12,FALSE),""))</f>
        <v>Battery / 电池</v>
      </c>
      <c r="AB60" s="42"/>
      <c r="AC60" s="42"/>
    </row>
    <row r="61" ht="15.75" customHeight="1">
      <c r="A61" s="59" t="s">
        <v>427</v>
      </c>
      <c r="B61" s="60"/>
      <c r="C61" s="61" t="s">
        <v>357</v>
      </c>
      <c r="D61" s="32"/>
      <c r="E61" s="32"/>
      <c r="F61" s="32"/>
      <c r="G61" s="61" t="s">
        <v>140</v>
      </c>
      <c r="H61" s="34" t="str">
        <f>IF(G61="","",IFERROR(VLOOKUP(G61,'Product_Stock_Master产品维护'!$A$2:$E992,2,FALSE()),"SKU not found"))</f>
        <v>KH遮线罩</v>
      </c>
      <c r="I61" s="34" t="str">
        <f>IF(G61="","",IFERROR(VLOOKUP(G61,'Product_Stock_Master产品维护'!$A$2:$E992,3,FALSE()),"Item type not found"))</f>
        <v>Material</v>
      </c>
      <c r="J61" s="32"/>
      <c r="K61" s="61">
        <v>34.0</v>
      </c>
      <c r="L61" s="32"/>
      <c r="M61" s="61" t="s">
        <v>428</v>
      </c>
      <c r="N61" s="32"/>
      <c r="O61" s="34" t="str">
        <f t="shared" si="1"/>
        <v>OK</v>
      </c>
      <c r="P61" s="61" t="s">
        <v>79</v>
      </c>
      <c r="Q61" s="34" t="str">
        <f t="shared" si="2"/>
        <v>R2-4-5-L</v>
      </c>
      <c r="R61" s="34" t="str">
        <f t="shared" si="3"/>
        <v/>
      </c>
      <c r="S61" s="34">
        <f t="shared" si="4"/>
        <v>34</v>
      </c>
      <c r="T61" s="34" t="str">
        <f t="shared" si="5"/>
        <v>R2-4-5-L||97-406-00017-00||Material / 物料</v>
      </c>
      <c r="U61" s="34" t="s">
        <v>429</v>
      </c>
      <c r="V61" s="41"/>
      <c r="W61" s="42" t="str">
        <f t="shared" si="6"/>
        <v>OK</v>
      </c>
      <c r="X61" s="42">
        <f t="shared" si="7"/>
        <v>0</v>
      </c>
      <c r="Y61" s="42">
        <f t="shared" si="8"/>
        <v>0</v>
      </c>
      <c r="Z61" s="42" t="str">
        <f>IF(G61="","",IFERROR(VLOOKUP(G61,'Product_Stock_Master产品维护'!$A$2:$L992,11,FALSE),"No"))</f>
        <v>No</v>
      </c>
      <c r="AA61" s="42" t="str">
        <f>IF(G61="","",IFERROR(VLOOKUP(G61,'Product_Stock_Master产品维护'!$A$2:$L992,12,FALSE),""))</f>
        <v/>
      </c>
      <c r="AB61" s="42"/>
      <c r="AC61" s="42"/>
    </row>
    <row r="62" ht="15.75" customHeight="1">
      <c r="A62" s="59" t="s">
        <v>427</v>
      </c>
      <c r="B62" s="60"/>
      <c r="C62" s="61" t="s">
        <v>357</v>
      </c>
      <c r="D62" s="32"/>
      <c r="E62" s="32"/>
      <c r="F62" s="32"/>
      <c r="G62" s="61" t="s">
        <v>140</v>
      </c>
      <c r="H62" s="34" t="str">
        <f>IF(G62="","",IFERROR(VLOOKUP(G62,'Product_Stock_Master产品维护'!$A$2:$E992,2,FALSE()),"SKU not found"))</f>
        <v>KH遮线罩</v>
      </c>
      <c r="I62" s="34" t="str">
        <f>IF(G62="","",IFERROR(VLOOKUP(G62,'Product_Stock_Master产品维护'!$A$2:$E992,3,FALSE()),"Item type not found"))</f>
        <v>Material</v>
      </c>
      <c r="J62" s="32"/>
      <c r="K62" s="61">
        <v>35.0</v>
      </c>
      <c r="L62" s="32"/>
      <c r="M62" s="61" t="s">
        <v>430</v>
      </c>
      <c r="N62" s="32"/>
      <c r="O62" s="34" t="str">
        <f t="shared" si="1"/>
        <v>OK</v>
      </c>
      <c r="P62" s="61" t="s">
        <v>79</v>
      </c>
      <c r="Q62" s="34" t="str">
        <f t="shared" si="2"/>
        <v>R2-4-5-R</v>
      </c>
      <c r="R62" s="34" t="str">
        <f t="shared" si="3"/>
        <v/>
      </c>
      <c r="S62" s="34">
        <f t="shared" si="4"/>
        <v>35</v>
      </c>
      <c r="T62" s="34" t="str">
        <f t="shared" si="5"/>
        <v>R2-4-5-R||97-406-00017-00||Material / 物料</v>
      </c>
      <c r="U62" s="34" t="s">
        <v>431</v>
      </c>
      <c r="V62" s="41"/>
      <c r="W62" s="42" t="str">
        <f t="shared" si="6"/>
        <v>OK</v>
      </c>
      <c r="X62" s="42">
        <f t="shared" si="7"/>
        <v>0</v>
      </c>
      <c r="Y62" s="42">
        <f t="shared" si="8"/>
        <v>0</v>
      </c>
      <c r="Z62" s="42" t="str">
        <f>IF(G62="","",IFERROR(VLOOKUP(G62,'Product_Stock_Master产品维护'!$A$2:$L992,11,FALSE),"No"))</f>
        <v>No</v>
      </c>
      <c r="AA62" s="42" t="str">
        <f>IF(G62="","",IFERROR(VLOOKUP(G62,'Product_Stock_Master产品维护'!$A$2:$L992,12,FALSE),""))</f>
        <v/>
      </c>
      <c r="AB62" s="42"/>
      <c r="AC62" s="42"/>
    </row>
    <row r="63" ht="15.75" customHeight="1">
      <c r="A63" s="59" t="s">
        <v>427</v>
      </c>
      <c r="B63" s="60"/>
      <c r="C63" s="61" t="s">
        <v>67</v>
      </c>
      <c r="D63" s="32"/>
      <c r="E63" s="32"/>
      <c r="F63" s="32"/>
      <c r="G63" s="61" t="s">
        <v>378</v>
      </c>
      <c r="H63" s="34" t="str">
        <f>IF(G63="","",IFERROR(VLOOKUP(G63,'Product_Stock_Master产品维护'!$A$2:$E992,2,FALSE()),"SKU not found"))</f>
        <v>EQ4800-S</v>
      </c>
      <c r="I63" s="34" t="str">
        <f>IF(G63="","",IFERROR(VLOOKUP(G63,'Product_Stock_Master产品维护'!$A$2:$E992,3,FALSE()),"Item type not found"))</f>
        <v>Product</v>
      </c>
      <c r="J63" s="32"/>
      <c r="K63" s="61">
        <v>16.0</v>
      </c>
      <c r="L63" s="32"/>
      <c r="M63" s="61" t="s">
        <v>433</v>
      </c>
      <c r="N63" s="32"/>
      <c r="O63" s="34" t="str">
        <f t="shared" si="1"/>
        <v>OK</v>
      </c>
      <c r="P63" s="61" t="s">
        <v>383</v>
      </c>
      <c r="Q63" s="34" t="str">
        <f t="shared" si="2"/>
        <v>R2-4-4-R</v>
      </c>
      <c r="R63" s="34" t="str">
        <f t="shared" si="3"/>
        <v/>
      </c>
      <c r="S63" s="34">
        <f t="shared" si="4"/>
        <v>16</v>
      </c>
      <c r="T63" s="34" t="str">
        <f t="shared" si="5"/>
        <v>R2-4-4-R||97-223-00107-00||New / 新机</v>
      </c>
      <c r="U63" s="34" t="s">
        <v>434</v>
      </c>
      <c r="V63" s="41"/>
      <c r="W63" s="42" t="str">
        <f t="shared" si="6"/>
        <v>OK</v>
      </c>
      <c r="X63" s="42">
        <f t="shared" si="7"/>
        <v>0</v>
      </c>
      <c r="Y63" s="42">
        <f t="shared" si="8"/>
        <v>0</v>
      </c>
      <c r="Z63" s="42" t="str">
        <f>IF(G63="","",IFERROR(VLOOKUP(G63,'Product_Stock_Master产品维护'!$A$2:$L992,11,FALSE),"No"))</f>
        <v>Yes</v>
      </c>
      <c r="AA63" s="42" t="str">
        <f>IF(G63="","",IFERROR(VLOOKUP(G63,'Product_Stock_Master产品维护'!$A$2:$L992,12,FALSE),""))</f>
        <v>Battery / 电池</v>
      </c>
      <c r="AB63" s="42"/>
      <c r="AC63" s="42"/>
    </row>
    <row r="64" ht="15.75" customHeight="1">
      <c r="A64" s="59" t="s">
        <v>427</v>
      </c>
      <c r="B64" s="60"/>
      <c r="C64" s="61" t="s">
        <v>67</v>
      </c>
      <c r="D64" s="32"/>
      <c r="E64" s="32"/>
      <c r="F64" s="32"/>
      <c r="G64" s="61" t="s">
        <v>378</v>
      </c>
      <c r="H64" s="34" t="str">
        <f>IF(G64="","",IFERROR(VLOOKUP(G64,'Product_Stock_Master产品维护'!$A$2:$E992,2,FALSE()),"SKU not found"))</f>
        <v>EQ4800-S</v>
      </c>
      <c r="I64" s="34" t="str">
        <f>IF(G64="","",IFERROR(VLOOKUP(G64,'Product_Stock_Master产品维护'!$A$2:$E992,3,FALSE()),"Item type not found"))</f>
        <v>Product</v>
      </c>
      <c r="J64" s="32"/>
      <c r="K64" s="61">
        <v>16.0</v>
      </c>
      <c r="L64" s="32"/>
      <c r="M64" s="61" t="s">
        <v>435</v>
      </c>
      <c r="N64" s="32"/>
      <c r="O64" s="34" t="str">
        <f t="shared" si="1"/>
        <v>OK</v>
      </c>
      <c r="P64" s="61" t="s">
        <v>383</v>
      </c>
      <c r="Q64" s="34" t="str">
        <f t="shared" si="2"/>
        <v>R2-4-4-L</v>
      </c>
      <c r="R64" s="34" t="str">
        <f t="shared" si="3"/>
        <v/>
      </c>
      <c r="S64" s="34">
        <f t="shared" si="4"/>
        <v>16</v>
      </c>
      <c r="T64" s="34" t="str">
        <f t="shared" si="5"/>
        <v>R2-4-4-L||97-223-00107-00||New / 新机</v>
      </c>
      <c r="U64" s="34" t="s">
        <v>436</v>
      </c>
      <c r="V64" s="41"/>
      <c r="W64" s="42" t="str">
        <f t="shared" si="6"/>
        <v>OK</v>
      </c>
      <c r="X64" s="42">
        <f t="shared" si="7"/>
        <v>0</v>
      </c>
      <c r="Y64" s="42">
        <f t="shared" si="8"/>
        <v>0</v>
      </c>
      <c r="Z64" s="42" t="str">
        <f>IF(G64="","",IFERROR(VLOOKUP(G64,'Product_Stock_Master产品维护'!$A$2:$L992,11,FALSE),"No"))</f>
        <v>Yes</v>
      </c>
      <c r="AA64" s="42" t="str">
        <f>IF(G64="","",IFERROR(VLOOKUP(G64,'Product_Stock_Master产品维护'!$A$2:$L992,12,FALSE),""))</f>
        <v>Battery / 电池</v>
      </c>
      <c r="AB64" s="42"/>
      <c r="AC64" s="42"/>
    </row>
    <row r="65" ht="15.75" customHeight="1">
      <c r="A65" s="59" t="s">
        <v>427</v>
      </c>
      <c r="B65" s="60"/>
      <c r="C65" s="61" t="s">
        <v>67</v>
      </c>
      <c r="D65" s="32"/>
      <c r="E65" s="32"/>
      <c r="F65" s="32"/>
      <c r="G65" s="61" t="s">
        <v>437</v>
      </c>
      <c r="H65" s="34" t="str">
        <f>IF(G65="","",IFERROR(VLOOKUP(G65,'Product_Stock_Master产品维护'!$A$2:$E992,2,FALSE()),"SKU not found"))</f>
        <v>CQ6-S</v>
      </c>
      <c r="I65" s="34" t="str">
        <f>IF(G65="","",IFERROR(VLOOKUP(G65,'Product_Stock_Master产品维护'!$A$2:$E992,3,FALSE()),"Item type not found"))</f>
        <v>Product</v>
      </c>
      <c r="J65" s="32"/>
      <c r="K65" s="61">
        <v>6.0</v>
      </c>
      <c r="L65" s="32"/>
      <c r="M65" s="61" t="s">
        <v>438</v>
      </c>
      <c r="N65" s="32"/>
      <c r="O65" s="34" t="str">
        <f t="shared" si="1"/>
        <v>OK</v>
      </c>
      <c r="P65" s="61" t="s">
        <v>383</v>
      </c>
      <c r="Q65" s="34" t="str">
        <f t="shared" si="2"/>
        <v>R2-2-4-R</v>
      </c>
      <c r="R65" s="34" t="str">
        <f t="shared" si="3"/>
        <v/>
      </c>
      <c r="S65" s="34">
        <f t="shared" si="4"/>
        <v>6</v>
      </c>
      <c r="T65" s="34" t="str">
        <f t="shared" si="5"/>
        <v>R2-2-4-R||97-229-00021-00||New / 新机</v>
      </c>
      <c r="U65" s="34" t="s">
        <v>439</v>
      </c>
      <c r="V65" s="41"/>
      <c r="W65" s="42" t="str">
        <f t="shared" si="6"/>
        <v>OK</v>
      </c>
      <c r="X65" s="42">
        <f t="shared" si="7"/>
        <v>0</v>
      </c>
      <c r="Y65" s="42">
        <f t="shared" si="8"/>
        <v>0</v>
      </c>
      <c r="Z65" s="42" t="str">
        <f>IF(G65="","",IFERROR(VLOOKUP(G65,'Product_Stock_Master产品维护'!$A$2:$L992,11,FALSE),"No"))</f>
        <v>Yes</v>
      </c>
      <c r="AA65" s="42" t="str">
        <f>IF(G65="","",IFERROR(VLOOKUP(G65,'Product_Stock_Master产品维护'!$A$2:$L992,12,FALSE),""))</f>
        <v>Battery / 电池</v>
      </c>
      <c r="AB65" s="42"/>
      <c r="AC65" s="42"/>
    </row>
    <row r="66" ht="15.75" customHeight="1">
      <c r="A66" s="59" t="s">
        <v>427</v>
      </c>
      <c r="B66" s="60"/>
      <c r="C66" s="61" t="s">
        <v>67</v>
      </c>
      <c r="D66" s="32"/>
      <c r="E66" s="32"/>
      <c r="F66" s="32"/>
      <c r="G66" s="61" t="s">
        <v>437</v>
      </c>
      <c r="H66" s="34" t="str">
        <f>IF(G66="","",IFERROR(VLOOKUP(G66,'Product_Stock_Master产品维护'!$A$2:$E992,2,FALSE()),"SKU not found"))</f>
        <v>CQ6-S</v>
      </c>
      <c r="I66" s="34" t="str">
        <f>IF(G66="","",IFERROR(VLOOKUP(G66,'Product_Stock_Master产品维护'!$A$2:$E992,3,FALSE()),"Item type not found"))</f>
        <v>Product</v>
      </c>
      <c r="J66" s="32"/>
      <c r="K66" s="61">
        <v>6.0</v>
      </c>
      <c r="L66" s="32"/>
      <c r="M66" s="61" t="s">
        <v>440</v>
      </c>
      <c r="N66" s="32"/>
      <c r="O66" s="34" t="str">
        <f t="shared" si="1"/>
        <v>OK</v>
      </c>
      <c r="P66" s="61" t="s">
        <v>383</v>
      </c>
      <c r="Q66" s="34" t="str">
        <f t="shared" si="2"/>
        <v>R2-2-4-L</v>
      </c>
      <c r="R66" s="34" t="str">
        <f t="shared" si="3"/>
        <v/>
      </c>
      <c r="S66" s="34">
        <f t="shared" si="4"/>
        <v>6</v>
      </c>
      <c r="T66" s="34" t="str">
        <f t="shared" si="5"/>
        <v>R2-2-4-L||97-229-00021-00||New / 新机</v>
      </c>
      <c r="U66" s="34" t="s">
        <v>441</v>
      </c>
      <c r="V66" s="41"/>
      <c r="W66" s="42" t="str">
        <f t="shared" si="6"/>
        <v>OK</v>
      </c>
      <c r="X66" s="42">
        <f t="shared" si="7"/>
        <v>0</v>
      </c>
      <c r="Y66" s="42">
        <f t="shared" si="8"/>
        <v>0</v>
      </c>
      <c r="Z66" s="42" t="str">
        <f>IF(G66="","",IFERROR(VLOOKUP(G66,'Product_Stock_Master产品维护'!$A$2:$L992,11,FALSE),"No"))</f>
        <v>Yes</v>
      </c>
      <c r="AA66" s="42" t="str">
        <f>IF(G66="","",IFERROR(VLOOKUP(G66,'Product_Stock_Master产品维护'!$A$2:$L992,12,FALSE),""))</f>
        <v>Battery / 电池</v>
      </c>
      <c r="AB66" s="42"/>
      <c r="AC66" s="42"/>
    </row>
    <row r="67" ht="15.75" customHeight="1">
      <c r="A67" s="59" t="s">
        <v>427</v>
      </c>
      <c r="B67" s="60"/>
      <c r="C67" s="61" t="s">
        <v>67</v>
      </c>
      <c r="D67" s="32"/>
      <c r="E67" s="32"/>
      <c r="F67" s="32"/>
      <c r="G67" s="61" t="s">
        <v>437</v>
      </c>
      <c r="H67" s="34" t="str">
        <f>IF(G67="","",IFERROR(VLOOKUP(G67,'Product_Stock_Master产品维护'!$A$2:$E992,2,FALSE()),"SKU not found"))</f>
        <v>CQ6-S</v>
      </c>
      <c r="I67" s="34" t="str">
        <f>IF(G67="","",IFERROR(VLOOKUP(G67,'Product_Stock_Master产品维护'!$A$2:$E992,3,FALSE()),"Item type not found"))</f>
        <v>Product</v>
      </c>
      <c r="J67" s="32"/>
      <c r="K67" s="61">
        <v>6.0</v>
      </c>
      <c r="L67" s="32"/>
      <c r="M67" s="61" t="s">
        <v>443</v>
      </c>
      <c r="N67" s="32"/>
      <c r="O67" s="34" t="str">
        <f t="shared" si="1"/>
        <v>OK</v>
      </c>
      <c r="P67" s="61" t="s">
        <v>383</v>
      </c>
      <c r="Q67" s="34" t="str">
        <f t="shared" si="2"/>
        <v>R2-3-4-L</v>
      </c>
      <c r="R67" s="34" t="str">
        <f t="shared" si="3"/>
        <v/>
      </c>
      <c r="S67" s="34">
        <f t="shared" si="4"/>
        <v>6</v>
      </c>
      <c r="T67" s="34" t="str">
        <f t="shared" si="5"/>
        <v>R2-3-4-L||97-229-00021-00||New / 新机</v>
      </c>
      <c r="U67" s="34" t="s">
        <v>444</v>
      </c>
      <c r="V67" s="41"/>
      <c r="W67" s="42" t="str">
        <f t="shared" si="6"/>
        <v>OK</v>
      </c>
      <c r="X67" s="42">
        <f t="shared" si="7"/>
        <v>0</v>
      </c>
      <c r="Y67" s="42">
        <f t="shared" si="8"/>
        <v>0</v>
      </c>
      <c r="Z67" s="42" t="str">
        <f>IF(G67="","",IFERROR(VLOOKUP(G67,'Product_Stock_Master产品维护'!$A$2:$L992,11,FALSE),"No"))</f>
        <v>Yes</v>
      </c>
      <c r="AA67" s="42" t="str">
        <f>IF(G67="","",IFERROR(VLOOKUP(G67,'Product_Stock_Master产品维护'!$A$2:$L992,12,FALSE),""))</f>
        <v>Battery / 电池</v>
      </c>
      <c r="AB67" s="42"/>
      <c r="AC67" s="42"/>
    </row>
    <row r="68" ht="15.75" customHeight="1">
      <c r="A68" s="59" t="s">
        <v>427</v>
      </c>
      <c r="B68" s="60"/>
      <c r="C68" s="61" t="s">
        <v>67</v>
      </c>
      <c r="D68" s="32"/>
      <c r="E68" s="32"/>
      <c r="F68" s="32"/>
      <c r="G68" s="61" t="s">
        <v>437</v>
      </c>
      <c r="H68" s="34" t="str">
        <f>IF(G68="","",IFERROR(VLOOKUP(G68,'Product_Stock_Master产品维护'!$A$2:$E992,2,FALSE()),"SKU not found"))</f>
        <v>CQ6-S</v>
      </c>
      <c r="I68" s="34" t="str">
        <f>IF(G68="","",IFERROR(VLOOKUP(G68,'Product_Stock_Master产品维护'!$A$2:$E992,3,FALSE()),"Item type not found"))</f>
        <v>Product</v>
      </c>
      <c r="J68" s="32"/>
      <c r="K68" s="61">
        <v>6.0</v>
      </c>
      <c r="L68" s="32"/>
      <c r="M68" s="61" t="s">
        <v>445</v>
      </c>
      <c r="N68" s="32"/>
      <c r="O68" s="34" t="str">
        <f t="shared" si="1"/>
        <v>OK</v>
      </c>
      <c r="P68" s="61" t="s">
        <v>383</v>
      </c>
      <c r="Q68" s="34" t="str">
        <f t="shared" si="2"/>
        <v>R2-3-4-R</v>
      </c>
      <c r="R68" s="34" t="str">
        <f t="shared" si="3"/>
        <v/>
      </c>
      <c r="S68" s="34">
        <f t="shared" si="4"/>
        <v>6</v>
      </c>
      <c r="T68" s="34" t="str">
        <f t="shared" si="5"/>
        <v>R2-3-4-R||97-229-00021-00||New / 新机</v>
      </c>
      <c r="U68" s="34" t="s">
        <v>446</v>
      </c>
      <c r="V68" s="41"/>
      <c r="W68" s="42" t="str">
        <f t="shared" si="6"/>
        <v>OK</v>
      </c>
      <c r="X68" s="42">
        <f t="shared" si="7"/>
        <v>0</v>
      </c>
      <c r="Y68" s="42">
        <f t="shared" si="8"/>
        <v>0</v>
      </c>
      <c r="Z68" s="42" t="str">
        <f>IF(G68="","",IFERROR(VLOOKUP(G68,'Product_Stock_Master产品维护'!$A$2:$L992,11,FALSE),"No"))</f>
        <v>Yes</v>
      </c>
      <c r="AA68" s="42" t="str">
        <f>IF(G68="","",IFERROR(VLOOKUP(G68,'Product_Stock_Master产品维护'!$A$2:$L992,12,FALSE),""))</f>
        <v>Battery / 电池</v>
      </c>
      <c r="AB68" s="42"/>
      <c r="AC68" s="42"/>
    </row>
    <row r="69" ht="15.75" customHeight="1">
      <c r="A69" s="59" t="s">
        <v>427</v>
      </c>
      <c r="B69" s="60"/>
      <c r="C69" s="61" t="s">
        <v>67</v>
      </c>
      <c r="D69" s="32"/>
      <c r="E69" s="32"/>
      <c r="F69" s="32"/>
      <c r="G69" s="61" t="s">
        <v>447</v>
      </c>
      <c r="H69" s="34" t="str">
        <f>IF(G69="","",IFERROR(VLOOKUP(G69,'Product_Stock_Master产品维护'!$A$2:$E992,2,FALSE()),"SKU not found"))</f>
        <v>SKU not found</v>
      </c>
      <c r="I69" s="34" t="str">
        <f>IF(G69="","",IFERROR(VLOOKUP(G69,'Product_Stock_Master产品维护'!$A$2:$E992,3,FALSE()),"Item type not found"))</f>
        <v>Item type not found</v>
      </c>
      <c r="J69" s="32"/>
      <c r="K69" s="62">
        <v>10.0</v>
      </c>
      <c r="L69" s="32"/>
      <c r="M69" s="61" t="s">
        <v>448</v>
      </c>
      <c r="N69" s="32"/>
      <c r="O69" s="34" t="str">
        <f t="shared" si="1"/>
        <v>OK</v>
      </c>
      <c r="P69" s="61" t="s">
        <v>449</v>
      </c>
      <c r="Q69" s="34" t="str">
        <f t="shared" si="2"/>
        <v>R2-1-3-R</v>
      </c>
      <c r="R69" s="34" t="str">
        <f t="shared" si="3"/>
        <v/>
      </c>
      <c r="S69" s="34">
        <f t="shared" si="4"/>
        <v>10</v>
      </c>
      <c r="T69" s="34" t="str">
        <f t="shared" si="5"/>
        <v>R2-1-3-R||坏机||Repair / 待修</v>
      </c>
      <c r="U69" s="34" t="s">
        <v>450</v>
      </c>
      <c r="V69" s="41"/>
      <c r="W69" s="42" t="str">
        <f t="shared" si="6"/>
        <v>OK</v>
      </c>
      <c r="X69" s="42">
        <f t="shared" si="7"/>
        <v>0</v>
      </c>
      <c r="Y69" s="42">
        <f t="shared" si="8"/>
        <v>0</v>
      </c>
      <c r="Z69" s="42" t="str">
        <f>IF(G69="","",IFERROR(VLOOKUP(G69,'Product_Stock_Master产品维护'!$A$2:$L992,11,FALSE),"No"))</f>
        <v>No</v>
      </c>
      <c r="AA69" s="42" t="str">
        <f>IF(G69="","",IFERROR(VLOOKUP(G69,'Product_Stock_Master产品维护'!$A$2:$L992,12,FALSE),""))</f>
        <v/>
      </c>
      <c r="AB69" s="42"/>
      <c r="AC69" s="42"/>
    </row>
    <row r="70" ht="15.75" customHeight="1">
      <c r="A70" s="59" t="s">
        <v>427</v>
      </c>
      <c r="B70" s="60"/>
      <c r="C70" s="61" t="s">
        <v>67</v>
      </c>
      <c r="D70" s="32"/>
      <c r="E70" s="32"/>
      <c r="F70" s="32"/>
      <c r="G70" s="61" t="s">
        <v>447</v>
      </c>
      <c r="H70" s="34" t="str">
        <f>IF(G70="","",IFERROR(VLOOKUP(G70,'Product_Stock_Master产品维护'!$A$2:$E992,2,FALSE()),"SKU not found"))</f>
        <v>SKU not found</v>
      </c>
      <c r="I70" s="34" t="str">
        <f>IF(G70="","",IFERROR(VLOOKUP(G70,'Product_Stock_Master产品维护'!$A$2:$E992,3,FALSE()),"Item type not found"))</f>
        <v>Item type not found</v>
      </c>
      <c r="J70" s="32"/>
      <c r="K70" s="61">
        <v>7.0</v>
      </c>
      <c r="L70" s="32"/>
      <c r="M70" s="61" t="s">
        <v>451</v>
      </c>
      <c r="N70" s="32"/>
      <c r="O70" s="34" t="str">
        <f t="shared" si="1"/>
        <v>OK</v>
      </c>
      <c r="P70" s="61" t="s">
        <v>449</v>
      </c>
      <c r="Q70" s="34" t="str">
        <f t="shared" si="2"/>
        <v>R2-4-3-R</v>
      </c>
      <c r="R70" s="34" t="str">
        <f t="shared" si="3"/>
        <v/>
      </c>
      <c r="S70" s="34">
        <f t="shared" si="4"/>
        <v>7</v>
      </c>
      <c r="T70" s="34" t="str">
        <f t="shared" si="5"/>
        <v>R2-4-3-R||坏机||Repair / 待修</v>
      </c>
      <c r="U70" s="34" t="s">
        <v>452</v>
      </c>
      <c r="V70" s="41"/>
      <c r="W70" s="42" t="str">
        <f t="shared" si="6"/>
        <v>OK</v>
      </c>
      <c r="X70" s="42">
        <f t="shared" si="7"/>
        <v>0</v>
      </c>
      <c r="Y70" s="42">
        <f t="shared" si="8"/>
        <v>0</v>
      </c>
      <c r="Z70" s="42" t="str">
        <f>IF(G70="","",IFERROR(VLOOKUP(G70,'Product_Stock_Master产品维护'!$A$2:$L992,11,FALSE),"No"))</f>
        <v>No</v>
      </c>
      <c r="AA70" s="42" t="str">
        <f>IF(G70="","",IFERROR(VLOOKUP(G70,'Product_Stock_Master产品维护'!$A$2:$L992,12,FALSE),""))</f>
        <v/>
      </c>
      <c r="AB70" s="42"/>
      <c r="AC70" s="42"/>
    </row>
    <row r="71" ht="15.75" customHeight="1">
      <c r="A71" s="59" t="s">
        <v>427</v>
      </c>
      <c r="B71" s="60"/>
      <c r="C71" s="61" t="s">
        <v>67</v>
      </c>
      <c r="D71" s="32"/>
      <c r="E71" s="32"/>
      <c r="F71" s="32"/>
      <c r="G71" s="61" t="s">
        <v>447</v>
      </c>
      <c r="H71" s="34" t="str">
        <f>IF(G71="","",IFERROR(VLOOKUP(G71,'Product_Stock_Master产品维护'!$A$2:$E992,2,FALSE()),"SKU not found"))</f>
        <v>SKU not found</v>
      </c>
      <c r="I71" s="34" t="str">
        <f>IF(G71="","",IFERROR(VLOOKUP(G71,'Product_Stock_Master产品维护'!$A$2:$E992,3,FALSE()),"Item type not found"))</f>
        <v>Item type not found</v>
      </c>
      <c r="J71" s="32"/>
      <c r="K71" s="61">
        <v>8.0</v>
      </c>
      <c r="L71" s="32"/>
      <c r="M71" s="61" t="s">
        <v>454</v>
      </c>
      <c r="N71" s="32"/>
      <c r="O71" s="34" t="str">
        <f t="shared" si="1"/>
        <v>OK</v>
      </c>
      <c r="P71" s="61" t="s">
        <v>449</v>
      </c>
      <c r="Q71" s="34" t="str">
        <f t="shared" si="2"/>
        <v>R2-4-3-L</v>
      </c>
      <c r="R71" s="34" t="str">
        <f t="shared" si="3"/>
        <v/>
      </c>
      <c r="S71" s="34">
        <f t="shared" si="4"/>
        <v>8</v>
      </c>
      <c r="T71" s="34" t="str">
        <f t="shared" si="5"/>
        <v>R2-4-3-L||坏机||Repair / 待修</v>
      </c>
      <c r="U71" s="34" t="s">
        <v>455</v>
      </c>
      <c r="V71" s="41"/>
      <c r="W71" s="42" t="str">
        <f t="shared" si="6"/>
        <v>OK</v>
      </c>
      <c r="X71" s="42">
        <f t="shared" si="7"/>
        <v>0</v>
      </c>
      <c r="Y71" s="42">
        <f t="shared" si="8"/>
        <v>0</v>
      </c>
      <c r="Z71" s="42" t="str">
        <f>IF(G71="","",IFERROR(VLOOKUP(G71,'Product_Stock_Master产品维护'!$A$2:$L992,11,FALSE),"No"))</f>
        <v>No</v>
      </c>
      <c r="AA71" s="42" t="str">
        <f>IF(G71="","",IFERROR(VLOOKUP(G71,'Product_Stock_Master产品维护'!$A$2:$L992,12,FALSE),""))</f>
        <v/>
      </c>
      <c r="AB71" s="42"/>
      <c r="AC71" s="42"/>
    </row>
    <row r="72" ht="15.75" customHeight="1">
      <c r="A72" s="59" t="s">
        <v>427</v>
      </c>
      <c r="B72" s="60"/>
      <c r="C72" s="61" t="s">
        <v>67</v>
      </c>
      <c r="D72" s="32"/>
      <c r="E72" s="32"/>
      <c r="F72" s="32"/>
      <c r="G72" s="61" t="s">
        <v>447</v>
      </c>
      <c r="H72" s="34" t="str">
        <f>IF(G72="","",IFERROR(VLOOKUP(G72,'Product_Stock_Master产品维护'!$A$2:$E992,2,FALSE()),"SKU not found"))</f>
        <v>SKU not found</v>
      </c>
      <c r="I72" s="34" t="str">
        <f>IF(G72="","",IFERROR(VLOOKUP(G72,'Product_Stock_Master产品维护'!$A$2:$E992,3,FALSE()),"Item type not found"))</f>
        <v>Item type not found</v>
      </c>
      <c r="J72" s="32"/>
      <c r="K72" s="61">
        <v>6.0</v>
      </c>
      <c r="L72" s="32"/>
      <c r="M72" s="61" t="s">
        <v>456</v>
      </c>
      <c r="N72" s="32"/>
      <c r="O72" s="34" t="str">
        <f t="shared" si="1"/>
        <v>OK</v>
      </c>
      <c r="P72" s="61" t="s">
        <v>449</v>
      </c>
      <c r="Q72" s="34" t="str">
        <f t="shared" si="2"/>
        <v>R2-3-3-R</v>
      </c>
      <c r="R72" s="34" t="str">
        <f t="shared" si="3"/>
        <v/>
      </c>
      <c r="S72" s="34">
        <f t="shared" si="4"/>
        <v>6</v>
      </c>
      <c r="T72" s="34" t="str">
        <f t="shared" si="5"/>
        <v>R2-3-3-R||坏机||Repair / 待修</v>
      </c>
      <c r="U72" s="34" t="s">
        <v>457</v>
      </c>
      <c r="V72" s="41"/>
      <c r="W72" s="42" t="str">
        <f t="shared" si="6"/>
        <v>OK</v>
      </c>
      <c r="X72" s="42">
        <f t="shared" si="7"/>
        <v>0</v>
      </c>
      <c r="Y72" s="42">
        <f t="shared" si="8"/>
        <v>0</v>
      </c>
      <c r="Z72" s="42" t="str">
        <f>IF(G72="","",IFERROR(VLOOKUP(G72,'Product_Stock_Master产品维护'!$A$2:$L992,11,FALSE),"No"))</f>
        <v>No</v>
      </c>
      <c r="AA72" s="42" t="str">
        <f>IF(G72="","",IFERROR(VLOOKUP(G72,'Product_Stock_Master产品维护'!$A$2:$L992,12,FALSE),""))</f>
        <v/>
      </c>
      <c r="AB72" s="42"/>
      <c r="AC72" s="42"/>
    </row>
    <row r="73" ht="15.75" customHeight="1">
      <c r="A73" s="59" t="s">
        <v>427</v>
      </c>
      <c r="B73" s="60"/>
      <c r="C73" s="61" t="s">
        <v>67</v>
      </c>
      <c r="D73" s="32"/>
      <c r="E73" s="32"/>
      <c r="F73" s="32"/>
      <c r="G73" s="61" t="s">
        <v>447</v>
      </c>
      <c r="H73" s="34" t="str">
        <f>IF(G73="","",IFERROR(VLOOKUP(G73,'Product_Stock_Master产品维护'!$A$2:$E992,2,FALSE()),"SKU not found"))</f>
        <v>SKU not found</v>
      </c>
      <c r="I73" s="34" t="str">
        <f>IF(G73="","",IFERROR(VLOOKUP(G73,'Product_Stock_Master产品维护'!$A$2:$E992,3,FALSE()),"Item type not found"))</f>
        <v>Item type not found</v>
      </c>
      <c r="J73" s="32"/>
      <c r="K73" s="61">
        <v>3.0</v>
      </c>
      <c r="L73" s="32"/>
      <c r="M73" s="61" t="s">
        <v>459</v>
      </c>
      <c r="N73" s="32"/>
      <c r="O73" s="34" t="str">
        <f t="shared" si="1"/>
        <v>OK</v>
      </c>
      <c r="P73" s="61" t="s">
        <v>449</v>
      </c>
      <c r="Q73" s="34" t="str">
        <f t="shared" si="2"/>
        <v>R2-1-3-L</v>
      </c>
      <c r="R73" s="34" t="str">
        <f t="shared" si="3"/>
        <v/>
      </c>
      <c r="S73" s="34">
        <f t="shared" si="4"/>
        <v>3</v>
      </c>
      <c r="T73" s="34" t="str">
        <f t="shared" si="5"/>
        <v>R2-1-3-L||坏机||Repair / 待修</v>
      </c>
      <c r="U73" s="34" t="s">
        <v>461</v>
      </c>
      <c r="V73" s="41"/>
      <c r="W73" s="42" t="str">
        <f t="shared" si="6"/>
        <v>OK</v>
      </c>
      <c r="X73" s="42">
        <f t="shared" si="7"/>
        <v>0</v>
      </c>
      <c r="Y73" s="42">
        <f t="shared" si="8"/>
        <v>0</v>
      </c>
      <c r="Z73" s="42" t="str">
        <f>IF(G73="","",IFERROR(VLOOKUP(G73,'Product_Stock_Master产品维护'!$A$2:$L992,11,FALSE),"No"))</f>
        <v>No</v>
      </c>
      <c r="AA73" s="42" t="str">
        <f>IF(G73="","",IFERROR(VLOOKUP(G73,'Product_Stock_Master产品维护'!$A$2:$L992,12,FALSE),""))</f>
        <v/>
      </c>
      <c r="AB73" s="42"/>
      <c r="AC73" s="42"/>
    </row>
    <row r="74" ht="15.75" customHeight="1">
      <c r="A74" s="59" t="s">
        <v>427</v>
      </c>
      <c r="B74" s="60"/>
      <c r="C74" s="61" t="s">
        <v>67</v>
      </c>
      <c r="D74" s="32"/>
      <c r="E74" s="32"/>
      <c r="F74" s="32"/>
      <c r="G74" s="61" t="s">
        <v>447</v>
      </c>
      <c r="H74" s="34" t="str">
        <f>IF(G74="","",IFERROR(VLOOKUP(G74,'Product_Stock_Master产品维护'!$A$2:$E992,2,FALSE()),"SKU not found"))</f>
        <v>SKU not found</v>
      </c>
      <c r="I74" s="34" t="str">
        <f>IF(G74="","",IFERROR(VLOOKUP(G74,'Product_Stock_Master产品维护'!$A$2:$E992,3,FALSE()),"Item type not found"))</f>
        <v>Item type not found</v>
      </c>
      <c r="J74" s="32"/>
      <c r="K74" s="61">
        <v>5.0</v>
      </c>
      <c r="L74" s="32"/>
      <c r="M74" s="61" t="s">
        <v>464</v>
      </c>
      <c r="N74" s="32"/>
      <c r="O74" s="34" t="str">
        <f t="shared" si="1"/>
        <v>OK</v>
      </c>
      <c r="P74" s="61" t="s">
        <v>449</v>
      </c>
      <c r="Q74" s="34" t="str">
        <f t="shared" si="2"/>
        <v>R2-2-3-R</v>
      </c>
      <c r="R74" s="34" t="str">
        <f t="shared" si="3"/>
        <v/>
      </c>
      <c r="S74" s="34">
        <f t="shared" si="4"/>
        <v>5</v>
      </c>
      <c r="T74" s="34" t="str">
        <f t="shared" si="5"/>
        <v>R2-2-3-R||坏机||Repair / 待修</v>
      </c>
      <c r="U74" s="34" t="s">
        <v>465</v>
      </c>
      <c r="V74" s="41"/>
      <c r="W74" s="42" t="str">
        <f t="shared" si="6"/>
        <v>OK</v>
      </c>
      <c r="X74" s="42">
        <f t="shared" si="7"/>
        <v>0</v>
      </c>
      <c r="Y74" s="42">
        <f t="shared" si="8"/>
        <v>0</v>
      </c>
      <c r="Z74" s="42" t="str">
        <f>IF(G74="","",IFERROR(VLOOKUP(G74,'Product_Stock_Master产品维护'!$A$2:$L992,11,FALSE),"No"))</f>
        <v>No</v>
      </c>
      <c r="AA74" s="42" t="str">
        <f>IF(G74="","",IFERROR(VLOOKUP(G74,'Product_Stock_Master产品维护'!$A$2:$L992,12,FALSE),""))</f>
        <v/>
      </c>
      <c r="AB74" s="42"/>
      <c r="AC74" s="42"/>
    </row>
    <row r="75" ht="15.75" customHeight="1">
      <c r="A75" s="59" t="s">
        <v>427</v>
      </c>
      <c r="B75" s="60"/>
      <c r="C75" s="61" t="s">
        <v>67</v>
      </c>
      <c r="D75" s="32"/>
      <c r="E75" s="32"/>
      <c r="F75" s="61" t="s">
        <v>470</v>
      </c>
      <c r="G75" s="61" t="s">
        <v>471</v>
      </c>
      <c r="H75" s="34" t="str">
        <f>IF(G75="","",IFERROR(VLOOKUP(G75,'Product_Stock_Master产品维护'!$A$2:$E992,2,FALSE()),"SKU not found"))</f>
        <v>线束半成品 功率线 62930 IEC 131 1×25.0 mm² 红色 DC1500V 90℃ VW-1 CQ6-安费诺-正极外部动力线-光伏线5米甩空</v>
      </c>
      <c r="I75" s="34" t="str">
        <f>IF(G75="","",IFERROR(VLOOKUP(G75,'Product_Stock_Master产品维护'!$A$2:$E992,3,FALSE()),"Item type not found"))</f>
        <v>Material</v>
      </c>
      <c r="J75" s="32"/>
      <c r="K75" s="61">
        <v>72.0</v>
      </c>
      <c r="L75" s="32"/>
      <c r="M75" s="61" t="s">
        <v>474</v>
      </c>
      <c r="N75" s="32"/>
      <c r="O75" s="34" t="str">
        <f t="shared" si="1"/>
        <v>OK</v>
      </c>
      <c r="P75" s="61" t="s">
        <v>79</v>
      </c>
      <c r="Q75" s="34" t="str">
        <f t="shared" si="2"/>
        <v>R1-2-5-L</v>
      </c>
      <c r="R75" s="34" t="str">
        <f t="shared" si="3"/>
        <v/>
      </c>
      <c r="S75" s="34">
        <f t="shared" si="4"/>
        <v>72</v>
      </c>
      <c r="T75" s="34" t="str">
        <f t="shared" si="5"/>
        <v>R1-2-5-L|Mix06|98-051-00105-00||Material / 物料</v>
      </c>
      <c r="U75" s="34" t="s">
        <v>477</v>
      </c>
      <c r="V75" s="41"/>
      <c r="W75" s="42" t="str">
        <f t="shared" si="6"/>
        <v>OK</v>
      </c>
      <c r="X75" s="42">
        <f t="shared" si="7"/>
        <v>0</v>
      </c>
      <c r="Y75" s="42">
        <f t="shared" si="8"/>
        <v>0</v>
      </c>
      <c r="Z75" s="42" t="str">
        <f>IF(G75="","",IFERROR(VLOOKUP(G75,'Product_Stock_Master产品维护'!$A$2:$L992,11,FALSE),"No"))</f>
        <v>No</v>
      </c>
      <c r="AA75" s="42" t="str">
        <f>IF(G75="","",IFERROR(VLOOKUP(G75,'Product_Stock_Master产品维护'!$A$2:$L992,12,FALSE),""))</f>
        <v/>
      </c>
      <c r="AB75" s="42"/>
      <c r="AC75" s="42"/>
    </row>
    <row r="76" ht="15.75" customHeight="1">
      <c r="A76" s="59" t="s">
        <v>427</v>
      </c>
      <c r="B76" s="60"/>
      <c r="C76" s="61" t="s">
        <v>67</v>
      </c>
      <c r="D76" s="32"/>
      <c r="E76" s="32"/>
      <c r="F76" s="61" t="s">
        <v>470</v>
      </c>
      <c r="G76" s="61" t="s">
        <v>484</v>
      </c>
      <c r="H76" s="34" t="str">
        <f>IF(G76="","",IFERROR(VLOOKUP(G76,'Product_Stock_Master产品维护'!$A$2:$E992,2,FALSE()),"SKU not found"))</f>
        <v>线束半成品 功率线 62930 IEC 131 1×25.0 mm² 黑色 DC1500V 90℃ VW-1 CQ6-安费诺-负极外部动力线-光伏线5米甩空</v>
      </c>
      <c r="I76" s="34" t="str">
        <f>IF(G76="","",IFERROR(VLOOKUP(G76,'Product_Stock_Master产品维护'!$A$2:$E992,3,FALSE()),"Item type not found"))</f>
        <v>Material</v>
      </c>
      <c r="J76" s="32"/>
      <c r="K76" s="61">
        <v>94.0</v>
      </c>
      <c r="L76" s="32"/>
      <c r="M76" s="61" t="s">
        <v>474</v>
      </c>
      <c r="N76" s="32"/>
      <c r="O76" s="34" t="str">
        <f t="shared" si="1"/>
        <v>OK</v>
      </c>
      <c r="P76" s="61" t="s">
        <v>79</v>
      </c>
      <c r="Q76" s="34" t="str">
        <f t="shared" si="2"/>
        <v>R1-2-5-L</v>
      </c>
      <c r="R76" s="34" t="str">
        <f t="shared" si="3"/>
        <v/>
      </c>
      <c r="S76" s="34">
        <f t="shared" si="4"/>
        <v>94</v>
      </c>
      <c r="T76" s="34" t="str">
        <f t="shared" si="5"/>
        <v>R1-2-5-L|Mix06|98-051-00106-00||Material / 物料</v>
      </c>
      <c r="U76" s="34" t="s">
        <v>498</v>
      </c>
      <c r="V76" s="41"/>
      <c r="W76" s="42" t="str">
        <f t="shared" si="6"/>
        <v>OK</v>
      </c>
      <c r="X76" s="42">
        <f t="shared" si="7"/>
        <v>0</v>
      </c>
      <c r="Y76" s="42">
        <f t="shared" si="8"/>
        <v>0</v>
      </c>
      <c r="Z76" s="42" t="str">
        <f>IF(G76="","",IFERROR(VLOOKUP(G76,'Product_Stock_Master产品维护'!$A$2:$L992,11,FALSE),"No"))</f>
        <v>No</v>
      </c>
      <c r="AA76" s="42" t="str">
        <f>IF(G76="","",IFERROR(VLOOKUP(G76,'Product_Stock_Master产品维护'!$A$2:$L992,12,FALSE),""))</f>
        <v/>
      </c>
      <c r="AB76" s="42"/>
      <c r="AC76" s="42"/>
    </row>
    <row r="77" ht="15.75" customHeight="1">
      <c r="A77" s="59" t="s">
        <v>427</v>
      </c>
      <c r="B77" s="60"/>
      <c r="C77" s="61" t="s">
        <v>67</v>
      </c>
      <c r="D77" s="32"/>
      <c r="E77" s="32"/>
      <c r="F77" s="32"/>
      <c r="G77" s="61" t="s">
        <v>113</v>
      </c>
      <c r="H77" s="34" t="str">
        <f>IF(G77="","",IFERROR(VLOOKUP(G77,'Product_Stock_Master产品维护'!$A$2:$E992,2,FALSE()),"SKU not found"))</f>
        <v>线束半成品 功率线 62930 IEC 131 1x16.0 mm² 红/黑 DC1500V 90℃ VW-1 CQ6-安费诺-正负极外部动力线-光伏线5米PV</v>
      </c>
      <c r="I77" s="34" t="str">
        <f>IF(G77="","",IFERROR(VLOOKUP(G77,'Product_Stock_Master产品维护'!$A$2:$E992,3,FALSE()),"Item type not found"))</f>
        <v>Material</v>
      </c>
      <c r="J77" s="32"/>
      <c r="K77" s="61">
        <v>93.0</v>
      </c>
      <c r="L77" s="32"/>
      <c r="M77" s="61" t="s">
        <v>499</v>
      </c>
      <c r="N77" s="32"/>
      <c r="O77" s="34" t="str">
        <f t="shared" si="1"/>
        <v>OK</v>
      </c>
      <c r="P77" s="61" t="s">
        <v>79</v>
      </c>
      <c r="Q77" s="34" t="str">
        <f t="shared" si="2"/>
        <v>R1-2-5-R</v>
      </c>
      <c r="R77" s="34" t="str">
        <f t="shared" si="3"/>
        <v/>
      </c>
      <c r="S77" s="34">
        <f t="shared" si="4"/>
        <v>93</v>
      </c>
      <c r="T77" s="34" t="str">
        <f t="shared" si="5"/>
        <v>R1-2-5-R||20-051-00080-00||Material / 物料</v>
      </c>
      <c r="U77" s="34" t="s">
        <v>500</v>
      </c>
      <c r="V77" s="41"/>
      <c r="W77" s="42" t="str">
        <f t="shared" si="6"/>
        <v>OK</v>
      </c>
      <c r="X77" s="42">
        <f t="shared" si="7"/>
        <v>0</v>
      </c>
      <c r="Y77" s="42">
        <f t="shared" si="8"/>
        <v>0</v>
      </c>
      <c r="Z77" s="42" t="str">
        <f>IF(G77="","",IFERROR(VLOOKUP(G77,'Product_Stock_Master产品维护'!$A$2:$L992,11,FALSE),"No"))</f>
        <v>No</v>
      </c>
      <c r="AA77" s="42" t="str">
        <f>IF(G77="","",IFERROR(VLOOKUP(G77,'Product_Stock_Master产品维护'!$A$2:$L992,12,FALSE),""))</f>
        <v/>
      </c>
      <c r="AB77" s="42"/>
      <c r="AC77" s="42"/>
    </row>
    <row r="78" ht="15.75" customHeight="1">
      <c r="A78" s="59" t="s">
        <v>427</v>
      </c>
      <c r="B78" s="60"/>
      <c r="C78" s="61" t="s">
        <v>67</v>
      </c>
      <c r="D78" s="32"/>
      <c r="E78" s="32"/>
      <c r="F78" s="32"/>
      <c r="G78" s="61" t="s">
        <v>501</v>
      </c>
      <c r="H78" s="34" t="str">
        <f>IF(G78="","",IFERROR(VLOOKUP(G78,'Product_Stock_Master产品维护'!$A$2:$E992,2,FALSE()),"SKU not found"))</f>
        <v>SKU not found</v>
      </c>
      <c r="I78" s="34" t="str">
        <f>IF(G78="","",IFERROR(VLOOKUP(G78,'Product_Stock_Master产品维护'!$A$2:$E992,3,FALSE()),"Item type not found"))</f>
        <v>Item type not found</v>
      </c>
      <c r="J78" s="32"/>
      <c r="K78" s="61">
        <v>99.0</v>
      </c>
      <c r="L78" s="32"/>
      <c r="M78" s="61" t="s">
        <v>502</v>
      </c>
      <c r="N78" s="32"/>
      <c r="O78" s="34" t="str">
        <f t="shared" si="1"/>
        <v>OK</v>
      </c>
      <c r="P78" s="61" t="s">
        <v>79</v>
      </c>
      <c r="Q78" s="34" t="str">
        <f t="shared" si="2"/>
        <v>R2-4-2-L</v>
      </c>
      <c r="R78" s="34" t="str">
        <f t="shared" si="3"/>
        <v/>
      </c>
      <c r="S78" s="34">
        <f t="shared" si="4"/>
        <v>99</v>
      </c>
      <c r="T78" s="34" t="str">
        <f t="shared" si="5"/>
        <v>R2-4-2-L||物料||Material / 物料</v>
      </c>
      <c r="U78" s="34" t="s">
        <v>503</v>
      </c>
      <c r="V78" s="41"/>
      <c r="W78" s="42" t="str">
        <f t="shared" si="6"/>
        <v>OK</v>
      </c>
      <c r="X78" s="42">
        <f t="shared" si="7"/>
        <v>0</v>
      </c>
      <c r="Y78" s="42">
        <f t="shared" si="8"/>
        <v>0</v>
      </c>
      <c r="Z78" s="42" t="str">
        <f>IF(G78="","",IFERROR(VLOOKUP(G78,'Product_Stock_Master产品维护'!$A$2:$L992,11,FALSE),"No"))</f>
        <v>No</v>
      </c>
      <c r="AA78" s="42" t="str">
        <f>IF(G78="","",IFERROR(VLOOKUP(G78,'Product_Stock_Master产品维护'!$A$2:$L992,12,FALSE),""))</f>
        <v/>
      </c>
      <c r="AB78" s="42"/>
      <c r="AC78" s="42"/>
    </row>
    <row r="79" ht="15.75" customHeight="1">
      <c r="A79" s="59" t="s">
        <v>427</v>
      </c>
      <c r="B79" s="60"/>
      <c r="C79" s="61" t="s">
        <v>67</v>
      </c>
      <c r="D79" s="32"/>
      <c r="E79" s="32"/>
      <c r="F79" s="32"/>
      <c r="G79" s="61" t="s">
        <v>501</v>
      </c>
      <c r="H79" s="34" t="str">
        <f>IF(G79="","",IFERROR(VLOOKUP(G79,'Product_Stock_Master产品维护'!$A$2:$E992,2,FALSE()),"SKU not found"))</f>
        <v>SKU not found</v>
      </c>
      <c r="I79" s="34" t="str">
        <f>IF(G79="","",IFERROR(VLOOKUP(G79,'Product_Stock_Master产品维护'!$A$2:$E992,3,FALSE()),"Item type not found"))</f>
        <v>Item type not found</v>
      </c>
      <c r="J79" s="32"/>
      <c r="K79" s="61">
        <v>99.0</v>
      </c>
      <c r="L79" s="32"/>
      <c r="M79" s="61" t="s">
        <v>505</v>
      </c>
      <c r="N79" s="32"/>
      <c r="O79" s="34" t="str">
        <f t="shared" si="1"/>
        <v>OK</v>
      </c>
      <c r="P79" s="61" t="s">
        <v>79</v>
      </c>
      <c r="Q79" s="34" t="str">
        <f t="shared" si="2"/>
        <v>R2-4-2-R</v>
      </c>
      <c r="R79" s="34" t="str">
        <f t="shared" si="3"/>
        <v/>
      </c>
      <c r="S79" s="34">
        <f t="shared" si="4"/>
        <v>99</v>
      </c>
      <c r="T79" s="34" t="str">
        <f t="shared" si="5"/>
        <v>R2-4-2-R||物料||Material / 物料</v>
      </c>
      <c r="U79" s="34" t="s">
        <v>506</v>
      </c>
      <c r="V79" s="41"/>
      <c r="W79" s="42" t="str">
        <f t="shared" si="6"/>
        <v>OK</v>
      </c>
      <c r="X79" s="42">
        <f t="shared" si="7"/>
        <v>0</v>
      </c>
      <c r="Y79" s="42">
        <f t="shared" si="8"/>
        <v>0</v>
      </c>
      <c r="Z79" s="42" t="str">
        <f>IF(G79="","",IFERROR(VLOOKUP(G79,'Product_Stock_Master产品维护'!$A$2:$L992,11,FALSE),"No"))</f>
        <v>No</v>
      </c>
      <c r="AA79" s="42" t="str">
        <f>IF(G79="","",IFERROR(VLOOKUP(G79,'Product_Stock_Master产品维护'!$A$2:$L992,12,FALSE),""))</f>
        <v/>
      </c>
      <c r="AB79" s="42"/>
      <c r="AC79" s="42"/>
    </row>
    <row r="80" ht="15.75" customHeight="1">
      <c r="A80" s="59" t="s">
        <v>427</v>
      </c>
      <c r="B80" s="60"/>
      <c r="C80" s="61" t="s">
        <v>67</v>
      </c>
      <c r="D80" s="32"/>
      <c r="E80" s="32"/>
      <c r="F80" s="32"/>
      <c r="G80" s="61" t="s">
        <v>447</v>
      </c>
      <c r="H80" s="34" t="str">
        <f>IF(G80="","",IFERROR(VLOOKUP(G80,'Product_Stock_Master产品维护'!$A$2:$E992,2,FALSE()),"SKU not found"))</f>
        <v>SKU not found</v>
      </c>
      <c r="I80" s="34" t="str">
        <f>IF(G80="","",IFERROR(VLOOKUP(G80,'Product_Stock_Master产品维护'!$A$2:$E992,3,FALSE()),"Item type not found"))</f>
        <v>Item type not found</v>
      </c>
      <c r="J80" s="32"/>
      <c r="K80" s="61">
        <v>6.0</v>
      </c>
      <c r="L80" s="32"/>
      <c r="M80" s="61" t="s">
        <v>448</v>
      </c>
      <c r="N80" s="32"/>
      <c r="O80" s="34" t="str">
        <f t="shared" si="1"/>
        <v>OK</v>
      </c>
      <c r="P80" s="61" t="s">
        <v>79</v>
      </c>
      <c r="Q80" s="34" t="str">
        <f t="shared" si="2"/>
        <v>R2-1-3-R</v>
      </c>
      <c r="R80" s="34" t="str">
        <f t="shared" si="3"/>
        <v/>
      </c>
      <c r="S80" s="34">
        <f t="shared" si="4"/>
        <v>6</v>
      </c>
      <c r="T80" s="34" t="str">
        <f t="shared" si="5"/>
        <v>R2-1-3-R||坏机||Material / 物料</v>
      </c>
      <c r="U80" s="34" t="s">
        <v>507</v>
      </c>
      <c r="V80" s="41"/>
      <c r="W80" s="42" t="str">
        <f t="shared" si="6"/>
        <v>OK</v>
      </c>
      <c r="X80" s="42">
        <f t="shared" si="7"/>
        <v>0</v>
      </c>
      <c r="Y80" s="42">
        <f t="shared" si="8"/>
        <v>0</v>
      </c>
      <c r="Z80" s="42" t="str">
        <f>IF(G80="","",IFERROR(VLOOKUP(G80,'Product_Stock_Master产品维护'!$A$2:$L992,11,FALSE),"No"))</f>
        <v>No</v>
      </c>
      <c r="AA80" s="42" t="str">
        <f>IF(G80="","",IFERROR(VLOOKUP(G80,'Product_Stock_Master产品维护'!$A$2:$L992,12,FALSE),""))</f>
        <v/>
      </c>
      <c r="AB80" s="42"/>
      <c r="AC80" s="42"/>
    </row>
    <row r="81" ht="15.75" customHeight="1">
      <c r="A81" s="59" t="s">
        <v>427</v>
      </c>
      <c r="B81" s="60"/>
      <c r="C81" s="61" t="s">
        <v>67</v>
      </c>
      <c r="D81" s="32"/>
      <c r="E81" s="32"/>
      <c r="F81" s="32"/>
      <c r="G81" s="61" t="s">
        <v>447</v>
      </c>
      <c r="H81" s="34" t="str">
        <f>IF(G81="","",IFERROR(VLOOKUP(G81,'Product_Stock_Master产品维护'!$A$2:$E992,2,FALSE()),"SKU not found"))</f>
        <v>SKU not found</v>
      </c>
      <c r="I81" s="34" t="str">
        <f>IF(G81="","",IFERROR(VLOOKUP(G81,'Product_Stock_Master产品维护'!$A$2:$E992,3,FALSE()),"Item type not found"))</f>
        <v>Item type not found</v>
      </c>
      <c r="J81" s="32"/>
      <c r="K81" s="61">
        <v>6.0</v>
      </c>
      <c r="L81" s="32"/>
      <c r="M81" s="61" t="s">
        <v>509</v>
      </c>
      <c r="N81" s="32"/>
      <c r="O81" s="34" t="str">
        <f t="shared" si="1"/>
        <v>OK</v>
      </c>
      <c r="P81" s="61" t="s">
        <v>79</v>
      </c>
      <c r="Q81" s="34" t="str">
        <f t="shared" si="2"/>
        <v>R2-1-2-R</v>
      </c>
      <c r="R81" s="34" t="str">
        <f t="shared" si="3"/>
        <v/>
      </c>
      <c r="S81" s="34">
        <f t="shared" si="4"/>
        <v>6</v>
      </c>
      <c r="T81" s="34" t="str">
        <f t="shared" si="5"/>
        <v>R2-1-2-R||坏机||Material / 物料</v>
      </c>
      <c r="U81" s="34" t="s">
        <v>511</v>
      </c>
      <c r="V81" s="41"/>
      <c r="W81" s="42" t="str">
        <f t="shared" si="6"/>
        <v>OK</v>
      </c>
      <c r="X81" s="42">
        <f t="shared" si="7"/>
        <v>0</v>
      </c>
      <c r="Y81" s="42">
        <f t="shared" si="8"/>
        <v>0</v>
      </c>
      <c r="Z81" s="42" t="str">
        <f>IF(G81="","",IFERROR(VLOOKUP(G81,'Product_Stock_Master产品维护'!$A$2:$L992,11,FALSE),"No"))</f>
        <v>No</v>
      </c>
      <c r="AA81" s="42" t="str">
        <f>IF(G81="","",IFERROR(VLOOKUP(G81,'Product_Stock_Master产品维护'!$A$2:$L992,12,FALSE),""))</f>
        <v/>
      </c>
      <c r="AB81" s="42"/>
      <c r="AC81" s="42"/>
    </row>
    <row r="82" ht="15.75" customHeight="1">
      <c r="A82" s="59" t="s">
        <v>427</v>
      </c>
      <c r="B82" s="60"/>
      <c r="C82" s="61" t="s">
        <v>67</v>
      </c>
      <c r="D82" s="32"/>
      <c r="E82" s="32"/>
      <c r="F82" s="32"/>
      <c r="G82" s="61" t="s">
        <v>512</v>
      </c>
      <c r="H82" s="34" t="str">
        <f>IF(G82="","",IFERROR(VLOOKUP(G82,'Product_Stock_Master产品维护'!$A$2:$E992,2,FALSE()),"SKU not found"))</f>
        <v>PCBA-逆变器 H3-PRO 30kW 功率板</v>
      </c>
      <c r="I82" s="34" t="str">
        <f>IF(G82="","",IFERROR(VLOOKUP(G82,'Product_Stock_Master产品维护'!$A$2:$E992,3,FALSE()),"Item type not found"))</f>
        <v>Material</v>
      </c>
      <c r="J82" s="32"/>
      <c r="K82" s="61">
        <v>40.0</v>
      </c>
      <c r="L82" s="32"/>
      <c r="M82" s="61" t="s">
        <v>513</v>
      </c>
      <c r="N82" s="32"/>
      <c r="O82" s="34" t="str">
        <f t="shared" si="1"/>
        <v>OK</v>
      </c>
      <c r="P82" s="61" t="s">
        <v>79</v>
      </c>
      <c r="Q82" s="34" t="str">
        <f t="shared" si="2"/>
        <v>R2-4-1-L</v>
      </c>
      <c r="R82" s="34" t="str">
        <f t="shared" si="3"/>
        <v/>
      </c>
      <c r="S82" s="34">
        <f t="shared" si="4"/>
        <v>40</v>
      </c>
      <c r="T82" s="34" t="str">
        <f t="shared" si="5"/>
        <v>R2-4-1-L||20-012-10270-04||Material / 物料</v>
      </c>
      <c r="U82" s="34" t="s">
        <v>515</v>
      </c>
      <c r="V82" s="41"/>
      <c r="W82" s="42" t="str">
        <f t="shared" si="6"/>
        <v>OK</v>
      </c>
      <c r="X82" s="42">
        <f t="shared" si="7"/>
        <v>0</v>
      </c>
      <c r="Y82" s="42">
        <f t="shared" si="8"/>
        <v>0</v>
      </c>
      <c r="Z82" s="42" t="str">
        <f>IF(G82="","",IFERROR(VLOOKUP(G82,'Product_Stock_Master产品维护'!$A$2:$L992,11,FALSE),"No"))</f>
        <v>No</v>
      </c>
      <c r="AA82" s="42" t="str">
        <f>IF(G82="","",IFERROR(VLOOKUP(G82,'Product_Stock_Master产品维护'!$A$2:$L992,12,FALSE),""))</f>
        <v/>
      </c>
      <c r="AB82" s="42"/>
      <c r="AC82" s="42"/>
    </row>
    <row r="83" ht="15.75" customHeight="1">
      <c r="A83" s="59" t="s">
        <v>427</v>
      </c>
      <c r="B83" s="60"/>
      <c r="C83" s="61" t="s">
        <v>67</v>
      </c>
      <c r="D83" s="32"/>
      <c r="E83" s="32"/>
      <c r="F83" s="32"/>
      <c r="G83" s="61" t="s">
        <v>512</v>
      </c>
      <c r="H83" s="34" t="str">
        <f>IF(G83="","",IFERROR(VLOOKUP(G83,'Product_Stock_Master产品维护'!$A$2:$E992,2,FALSE()),"SKU not found"))</f>
        <v>PCBA-逆变器 H3-PRO 30kW 功率板</v>
      </c>
      <c r="I83" s="34" t="str">
        <f>IF(G83="","",IFERROR(VLOOKUP(G83,'Product_Stock_Master产品维护'!$A$2:$E992,3,FALSE()),"Item type not found"))</f>
        <v>Material</v>
      </c>
      <c r="J83" s="32"/>
      <c r="K83" s="61">
        <v>40.0</v>
      </c>
      <c r="L83" s="32"/>
      <c r="M83" s="61" t="s">
        <v>516</v>
      </c>
      <c r="N83" s="32"/>
      <c r="O83" s="34" t="str">
        <f t="shared" si="1"/>
        <v>OK</v>
      </c>
      <c r="P83" s="61" t="s">
        <v>79</v>
      </c>
      <c r="Q83" s="34" t="str">
        <f t="shared" si="2"/>
        <v>R2-4-1-R</v>
      </c>
      <c r="R83" s="34" t="str">
        <f t="shared" si="3"/>
        <v/>
      </c>
      <c r="S83" s="34">
        <f t="shared" si="4"/>
        <v>40</v>
      </c>
      <c r="T83" s="34" t="str">
        <f t="shared" si="5"/>
        <v>R2-4-1-R||20-012-10270-04||Material / 物料</v>
      </c>
      <c r="U83" s="34" t="s">
        <v>517</v>
      </c>
      <c r="V83" s="41"/>
      <c r="W83" s="42" t="str">
        <f t="shared" si="6"/>
        <v>OK</v>
      </c>
      <c r="X83" s="42">
        <f t="shared" si="7"/>
        <v>0</v>
      </c>
      <c r="Y83" s="42">
        <f t="shared" si="8"/>
        <v>0</v>
      </c>
      <c r="Z83" s="42" t="str">
        <f>IF(G83="","",IFERROR(VLOOKUP(G83,'Product_Stock_Master产品维护'!$A$2:$L992,11,FALSE),"No"))</f>
        <v>No</v>
      </c>
      <c r="AA83" s="42" t="str">
        <f>IF(G83="","",IFERROR(VLOOKUP(G83,'Product_Stock_Master产品维护'!$A$2:$L992,12,FALSE),""))</f>
        <v/>
      </c>
      <c r="AB83" s="42"/>
      <c r="AC83" s="42"/>
    </row>
    <row r="84" ht="15.75" customHeight="1">
      <c r="A84" s="59" t="s">
        <v>427</v>
      </c>
      <c r="B84" s="60"/>
      <c r="C84" s="61" t="s">
        <v>67</v>
      </c>
      <c r="D84" s="32"/>
      <c r="E84" s="32"/>
      <c r="F84" s="32"/>
      <c r="G84" s="61" t="s">
        <v>501</v>
      </c>
      <c r="H84" s="34" t="str">
        <f>IF(G84="","",IFERROR(VLOOKUP(G84,'Product_Stock_Master产品维护'!$A$2:$E992,2,FALSE()),"SKU not found"))</f>
        <v>SKU not found</v>
      </c>
      <c r="I84" s="34" t="str">
        <f>IF(G84="","",IFERROR(VLOOKUP(G84,'Product_Stock_Master产品维护'!$A$2:$E992,3,FALSE()),"Item type not found"))</f>
        <v>Item type not found</v>
      </c>
      <c r="J84" s="32"/>
      <c r="K84" s="61">
        <v>99.0</v>
      </c>
      <c r="L84" s="32"/>
      <c r="M84" s="61" t="s">
        <v>518</v>
      </c>
      <c r="N84" s="32"/>
      <c r="O84" s="34" t="str">
        <f t="shared" si="1"/>
        <v>OK</v>
      </c>
      <c r="P84" s="61" t="s">
        <v>79</v>
      </c>
      <c r="Q84" s="34" t="str">
        <f t="shared" si="2"/>
        <v>R1-1-6-L</v>
      </c>
      <c r="R84" s="34" t="str">
        <f t="shared" si="3"/>
        <v/>
      </c>
      <c r="S84" s="34">
        <f t="shared" si="4"/>
        <v>99</v>
      </c>
      <c r="T84" s="34" t="str">
        <f t="shared" si="5"/>
        <v>R1-1-6-L||物料||Material / 物料</v>
      </c>
      <c r="U84" s="34" t="s">
        <v>519</v>
      </c>
      <c r="V84" s="41"/>
      <c r="W84" s="42" t="str">
        <f t="shared" si="6"/>
        <v>OK</v>
      </c>
      <c r="X84" s="42">
        <f t="shared" si="7"/>
        <v>0</v>
      </c>
      <c r="Y84" s="42">
        <f t="shared" si="8"/>
        <v>0</v>
      </c>
      <c r="Z84" s="42" t="str">
        <f>IF(G84="","",IFERROR(VLOOKUP(G84,'Product_Stock_Master产品维护'!$A$2:$L992,11,FALSE),"No"))</f>
        <v>No</v>
      </c>
      <c r="AA84" s="42" t="str">
        <f>IF(G84="","",IFERROR(VLOOKUP(G84,'Product_Stock_Master产品维护'!$A$2:$L992,12,FALSE),""))</f>
        <v/>
      </c>
      <c r="AB84" s="42"/>
      <c r="AC84" s="42"/>
    </row>
    <row r="85" ht="15.75" customHeight="1">
      <c r="A85" s="59" t="s">
        <v>427</v>
      </c>
      <c r="B85" s="60"/>
      <c r="C85" s="61" t="s">
        <v>67</v>
      </c>
      <c r="D85" s="32"/>
      <c r="E85" s="32"/>
      <c r="F85" s="61" t="s">
        <v>520</v>
      </c>
      <c r="G85" s="61" t="s">
        <v>521</v>
      </c>
      <c r="H85" s="34" t="str">
        <f>IF(G85="","",IFERROR(VLOOKUP(G85,'Product_Stock_Master产品维护'!$A$2:$E992,2,FALSE()),"SKU not found"))</f>
        <v>SKU not found</v>
      </c>
      <c r="I85" s="34" t="str">
        <f>IF(G85="","",IFERROR(VLOOKUP(G85,'Product_Stock_Master产品维护'!$A$2:$E992,3,FALSE()),"Item type not found"))</f>
        <v>Item type not found</v>
      </c>
      <c r="J85" s="32"/>
      <c r="K85" s="61">
        <v>16.0</v>
      </c>
      <c r="L85" s="32"/>
      <c r="M85" s="61" t="s">
        <v>522</v>
      </c>
      <c r="N85" s="32"/>
      <c r="O85" s="34" t="str">
        <f t="shared" si="1"/>
        <v>OK</v>
      </c>
      <c r="P85" s="61" t="s">
        <v>79</v>
      </c>
      <c r="Q85" s="34" t="str">
        <f t="shared" si="2"/>
        <v>R1-4-4-R</v>
      </c>
      <c r="R85" s="34" t="str">
        <f t="shared" si="3"/>
        <v/>
      </c>
      <c r="S85" s="34">
        <f t="shared" si="4"/>
        <v>16</v>
      </c>
      <c r="T85" s="34" t="str">
        <f t="shared" si="5"/>
        <v>R1-4-4-R|Mix07|98-012-10639-03||Material / 物料</v>
      </c>
      <c r="U85" s="34" t="s">
        <v>523</v>
      </c>
      <c r="V85" s="41"/>
      <c r="W85" s="42" t="str">
        <f t="shared" si="6"/>
        <v>OK</v>
      </c>
      <c r="X85" s="42">
        <f t="shared" si="7"/>
        <v>0</v>
      </c>
      <c r="Y85" s="42">
        <f t="shared" si="8"/>
        <v>0</v>
      </c>
      <c r="Z85" s="42" t="str">
        <f>IF(G85="","",IFERROR(VLOOKUP(G85,'Product_Stock_Master产品维护'!$A$2:$L992,11,FALSE),"No"))</f>
        <v>No</v>
      </c>
      <c r="AA85" s="42" t="str">
        <f>IF(G85="","",IFERROR(VLOOKUP(G85,'Product_Stock_Master产品维护'!$A$2:$L992,12,FALSE),""))</f>
        <v/>
      </c>
      <c r="AB85" s="42"/>
      <c r="AC85" s="42"/>
    </row>
    <row r="86" ht="15.75" customHeight="1">
      <c r="A86" s="59" t="s">
        <v>427</v>
      </c>
      <c r="B86" s="60"/>
      <c r="C86" s="61" t="s">
        <v>67</v>
      </c>
      <c r="D86" s="32"/>
      <c r="E86" s="32"/>
      <c r="F86" s="61" t="s">
        <v>520</v>
      </c>
      <c r="G86" s="61" t="s">
        <v>525</v>
      </c>
      <c r="H86" s="34" t="str">
        <f>IF(G86="","",IFERROR(VLOOKUP(G86,'Product_Stock_Master产品维护'!$A$2:$E992,2,FALSE()),"SKU not found"))</f>
        <v>PCBA-逆变器 KH 9-10.5kW 功率板</v>
      </c>
      <c r="I86" s="34" t="str">
        <f>IF(G86="","",IFERROR(VLOOKUP(G86,'Product_Stock_Master产品维护'!$A$2:$E992,3,FALSE()),"Item type not found"))</f>
        <v>Material</v>
      </c>
      <c r="J86" s="32"/>
      <c r="K86" s="61">
        <v>10.0</v>
      </c>
      <c r="L86" s="32"/>
      <c r="M86" s="61" t="s">
        <v>522</v>
      </c>
      <c r="N86" s="32"/>
      <c r="O86" s="34" t="str">
        <f t="shared" si="1"/>
        <v>OK</v>
      </c>
      <c r="P86" s="61" t="s">
        <v>79</v>
      </c>
      <c r="Q86" s="34" t="str">
        <f t="shared" si="2"/>
        <v>R1-4-4-R</v>
      </c>
      <c r="R86" s="34" t="str">
        <f t="shared" si="3"/>
        <v/>
      </c>
      <c r="S86" s="34">
        <f t="shared" si="4"/>
        <v>10</v>
      </c>
      <c r="T86" s="34" t="str">
        <f t="shared" si="5"/>
        <v>R1-4-4-R|Mix07|20-012-10342-02||Material / 物料</v>
      </c>
      <c r="U86" s="34" t="s">
        <v>526</v>
      </c>
      <c r="V86" s="41"/>
      <c r="W86" s="42" t="str">
        <f t="shared" si="6"/>
        <v>OK</v>
      </c>
      <c r="X86" s="42">
        <f t="shared" si="7"/>
        <v>0</v>
      </c>
      <c r="Y86" s="42">
        <f t="shared" si="8"/>
        <v>0</v>
      </c>
      <c r="Z86" s="42" t="str">
        <f>IF(G86="","",IFERROR(VLOOKUP(G86,'Product_Stock_Master产品维护'!$A$2:$L992,11,FALSE),"No"))</f>
        <v>No</v>
      </c>
      <c r="AA86" s="42" t="str">
        <f>IF(G86="","",IFERROR(VLOOKUP(G86,'Product_Stock_Master产品维护'!$A$2:$L992,12,FALSE),""))</f>
        <v/>
      </c>
      <c r="AB86" s="42"/>
      <c r="AC86" s="42"/>
    </row>
    <row r="87" ht="15.75" customHeight="1">
      <c r="A87" s="59" t="s">
        <v>427</v>
      </c>
      <c r="B87" s="60"/>
      <c r="C87" s="61" t="s">
        <v>67</v>
      </c>
      <c r="D87" s="32"/>
      <c r="E87" s="32"/>
      <c r="F87" s="32"/>
      <c r="G87" s="61" t="s">
        <v>501</v>
      </c>
      <c r="H87" s="34" t="str">
        <f>IF(G87="","",IFERROR(VLOOKUP(G87,'Product_Stock_Master产品维护'!$A$2:$E992,2,FALSE()),"SKU not found"))</f>
        <v>SKU not found</v>
      </c>
      <c r="I87" s="34" t="str">
        <f>IF(G87="","",IFERROR(VLOOKUP(G87,'Product_Stock_Master产品维护'!$A$2:$E992,3,FALSE()),"Item type not found"))</f>
        <v>Item type not found</v>
      </c>
      <c r="J87" s="32"/>
      <c r="K87" s="61">
        <v>99.0</v>
      </c>
      <c r="L87" s="32"/>
      <c r="M87" s="61" t="s">
        <v>527</v>
      </c>
      <c r="N87" s="32"/>
      <c r="O87" s="34" t="str">
        <f t="shared" si="1"/>
        <v>OK</v>
      </c>
      <c r="P87" s="61" t="s">
        <v>79</v>
      </c>
      <c r="Q87" s="34" t="str">
        <f t="shared" si="2"/>
        <v>R1-4-5-R</v>
      </c>
      <c r="R87" s="34" t="str">
        <f t="shared" si="3"/>
        <v/>
      </c>
      <c r="S87" s="34">
        <f t="shared" si="4"/>
        <v>99</v>
      </c>
      <c r="T87" s="34" t="str">
        <f t="shared" si="5"/>
        <v>R1-4-5-R||物料||Material / 物料</v>
      </c>
      <c r="U87" s="34" t="s">
        <v>528</v>
      </c>
      <c r="V87" s="41"/>
      <c r="W87" s="42" t="str">
        <f t="shared" si="6"/>
        <v>OK</v>
      </c>
      <c r="X87" s="42">
        <f t="shared" si="7"/>
        <v>0</v>
      </c>
      <c r="Y87" s="42">
        <f t="shared" si="8"/>
        <v>0</v>
      </c>
      <c r="Z87" s="42" t="str">
        <f>IF(G87="","",IFERROR(VLOOKUP(G87,'Product_Stock_Master产品维护'!$A$2:$L992,11,FALSE),"No"))</f>
        <v>No</v>
      </c>
      <c r="AA87" s="42" t="str">
        <f>IF(G87="","",IFERROR(VLOOKUP(G87,'Product_Stock_Master产品维护'!$A$2:$L992,12,FALSE),""))</f>
        <v/>
      </c>
      <c r="AB87" s="42"/>
      <c r="AC87" s="42"/>
    </row>
    <row r="88" ht="15.75" customHeight="1">
      <c r="A88" s="59" t="s">
        <v>427</v>
      </c>
      <c r="B88" s="60"/>
      <c r="C88" s="61" t="s">
        <v>67</v>
      </c>
      <c r="D88" s="32"/>
      <c r="E88" s="32"/>
      <c r="F88" s="32"/>
      <c r="G88" s="61" t="s">
        <v>501</v>
      </c>
      <c r="H88" s="34" t="str">
        <f>IF(G88="","",IFERROR(VLOOKUP(G88,'Product_Stock_Master产品维护'!$A$2:$E992,2,FALSE()),"SKU not found"))</f>
        <v>SKU not found</v>
      </c>
      <c r="I88" s="34" t="str">
        <f>IF(G88="","",IFERROR(VLOOKUP(G88,'Product_Stock_Master产品维护'!$A$2:$E992,3,FALSE()),"Item type not found"))</f>
        <v>Item type not found</v>
      </c>
      <c r="J88" s="32"/>
      <c r="K88" s="61">
        <v>99.0</v>
      </c>
      <c r="L88" s="32"/>
      <c r="M88" s="61" t="s">
        <v>529</v>
      </c>
      <c r="N88" s="32"/>
      <c r="O88" s="34" t="str">
        <f t="shared" si="1"/>
        <v>OK</v>
      </c>
      <c r="P88" s="61" t="s">
        <v>79</v>
      </c>
      <c r="Q88" s="34" t="str">
        <f t="shared" si="2"/>
        <v>R1-1-6-M</v>
      </c>
      <c r="R88" s="34" t="str">
        <f t="shared" si="3"/>
        <v/>
      </c>
      <c r="S88" s="34">
        <f t="shared" si="4"/>
        <v>99</v>
      </c>
      <c r="T88" s="34" t="str">
        <f t="shared" si="5"/>
        <v>R1-1-6-M||物料||Material / 物料</v>
      </c>
      <c r="U88" s="34" t="s">
        <v>530</v>
      </c>
      <c r="V88" s="41"/>
      <c r="W88" s="42" t="str">
        <f t="shared" si="6"/>
        <v>OK</v>
      </c>
      <c r="X88" s="42">
        <f t="shared" si="7"/>
        <v>0</v>
      </c>
      <c r="Y88" s="42">
        <f t="shared" si="8"/>
        <v>0</v>
      </c>
      <c r="Z88" s="42" t="str">
        <f>IF(G88="","",IFERROR(VLOOKUP(G88,'Product_Stock_Master产品维护'!$A$2:$L992,11,FALSE),"No"))</f>
        <v>No</v>
      </c>
      <c r="AA88" s="42" t="str">
        <f>IF(G88="","",IFERROR(VLOOKUP(G88,'Product_Stock_Master产品维护'!$A$2:$L992,12,FALSE),""))</f>
        <v/>
      </c>
      <c r="AB88" s="42"/>
      <c r="AC88" s="42"/>
    </row>
    <row r="89" ht="15.75" customHeight="1">
      <c r="A89" s="59" t="s">
        <v>427</v>
      </c>
      <c r="B89" s="60"/>
      <c r="C89" s="61" t="s">
        <v>67</v>
      </c>
      <c r="D89" s="32"/>
      <c r="E89" s="32"/>
      <c r="F89" s="32"/>
      <c r="G89" s="61" t="s">
        <v>501</v>
      </c>
      <c r="H89" s="34" t="str">
        <f>IF(G89="","",IFERROR(VLOOKUP(G89,'Product_Stock_Master产品维护'!$A$2:$E992,2,FALSE()),"SKU not found"))</f>
        <v>SKU not found</v>
      </c>
      <c r="I89" s="34" t="str">
        <f>IF(G89="","",IFERROR(VLOOKUP(G89,'Product_Stock_Master产品维护'!$A$2:$E992,3,FALSE()),"Item type not found"))</f>
        <v>Item type not found</v>
      </c>
      <c r="J89" s="32"/>
      <c r="K89" s="61">
        <v>99.0</v>
      </c>
      <c r="L89" s="32"/>
      <c r="M89" s="61" t="s">
        <v>531</v>
      </c>
      <c r="N89" s="32"/>
      <c r="O89" s="34" t="str">
        <f t="shared" si="1"/>
        <v>OK</v>
      </c>
      <c r="P89" s="61" t="s">
        <v>79</v>
      </c>
      <c r="Q89" s="34" t="str">
        <f t="shared" si="2"/>
        <v>R1-1-6-R</v>
      </c>
      <c r="R89" s="34" t="str">
        <f t="shared" si="3"/>
        <v/>
      </c>
      <c r="S89" s="34">
        <f t="shared" si="4"/>
        <v>99</v>
      </c>
      <c r="T89" s="34" t="str">
        <f t="shared" si="5"/>
        <v>R1-1-6-R||物料||Material / 物料</v>
      </c>
      <c r="U89" s="34" t="s">
        <v>533</v>
      </c>
      <c r="V89" s="41"/>
      <c r="W89" s="42" t="str">
        <f t="shared" si="6"/>
        <v>OK</v>
      </c>
      <c r="X89" s="42">
        <f t="shared" si="7"/>
        <v>0</v>
      </c>
      <c r="Y89" s="42">
        <f t="shared" si="8"/>
        <v>0</v>
      </c>
      <c r="Z89" s="42" t="str">
        <f>IF(G89="","",IFERROR(VLOOKUP(G89,'Product_Stock_Master产品维护'!$A$2:$L992,11,FALSE),"No"))</f>
        <v>No</v>
      </c>
      <c r="AA89" s="42" t="str">
        <f>IF(G89="","",IFERROR(VLOOKUP(G89,'Product_Stock_Master产品维护'!$A$2:$L992,12,FALSE),""))</f>
        <v/>
      </c>
      <c r="AB89" s="42"/>
      <c r="AC89" s="42"/>
    </row>
    <row r="90" ht="15.75" customHeight="1">
      <c r="A90" s="59" t="s">
        <v>427</v>
      </c>
      <c r="B90" s="60"/>
      <c r="C90" s="61" t="s">
        <v>67</v>
      </c>
      <c r="D90" s="32"/>
      <c r="E90" s="32"/>
      <c r="F90" s="32"/>
      <c r="G90" s="61" t="s">
        <v>501</v>
      </c>
      <c r="H90" s="34" t="str">
        <f>IF(G90="","",IFERROR(VLOOKUP(G90,'Product_Stock_Master产品维护'!$A$2:$E992,2,FALSE()),"SKU not found"))</f>
        <v>SKU not found</v>
      </c>
      <c r="I90" s="34" t="str">
        <f>IF(G90="","",IFERROR(VLOOKUP(G90,'Product_Stock_Master产品维护'!$A$2:$E992,3,FALSE()),"Item type not found"))</f>
        <v>Item type not found</v>
      </c>
      <c r="J90" s="32"/>
      <c r="K90" s="61">
        <v>99.0</v>
      </c>
      <c r="L90" s="32"/>
      <c r="M90" s="61" t="s">
        <v>534</v>
      </c>
      <c r="N90" s="32"/>
      <c r="O90" s="34" t="str">
        <f t="shared" si="1"/>
        <v>OK</v>
      </c>
      <c r="P90" s="61" t="s">
        <v>79</v>
      </c>
      <c r="Q90" s="34" t="str">
        <f t="shared" si="2"/>
        <v>R1-2-6-L</v>
      </c>
      <c r="R90" s="34" t="str">
        <f t="shared" si="3"/>
        <v/>
      </c>
      <c r="S90" s="34">
        <f t="shared" si="4"/>
        <v>99</v>
      </c>
      <c r="T90" s="34" t="str">
        <f t="shared" si="5"/>
        <v>R1-2-6-L||物料||Material / 物料</v>
      </c>
      <c r="U90" s="34" t="s">
        <v>535</v>
      </c>
      <c r="V90" s="41"/>
      <c r="W90" s="42" t="str">
        <f t="shared" si="6"/>
        <v>OK</v>
      </c>
      <c r="X90" s="42">
        <f t="shared" si="7"/>
        <v>0</v>
      </c>
      <c r="Y90" s="42">
        <f t="shared" si="8"/>
        <v>0</v>
      </c>
      <c r="Z90" s="42" t="str">
        <f>IF(G90="","",IFERROR(VLOOKUP(G90,'Product_Stock_Master产品维护'!$A$2:$L992,11,FALSE),"No"))</f>
        <v>No</v>
      </c>
      <c r="AA90" s="42" t="str">
        <f>IF(G90="","",IFERROR(VLOOKUP(G90,'Product_Stock_Master产品维护'!$A$2:$L992,12,FALSE),""))</f>
        <v/>
      </c>
      <c r="AB90" s="42"/>
      <c r="AC90" s="42"/>
    </row>
    <row r="91" ht="15.75" customHeight="1">
      <c r="A91" s="59" t="s">
        <v>427</v>
      </c>
      <c r="B91" s="60"/>
      <c r="C91" s="61" t="s">
        <v>67</v>
      </c>
      <c r="D91" s="32"/>
      <c r="E91" s="32"/>
      <c r="F91" s="32"/>
      <c r="G91" s="61" t="s">
        <v>501</v>
      </c>
      <c r="H91" s="34" t="str">
        <f>IF(G91="","",IFERROR(VLOOKUP(G91,'Product_Stock_Master产品维护'!$A$2:$E992,2,FALSE()),"SKU not found"))</f>
        <v>SKU not found</v>
      </c>
      <c r="I91" s="34" t="str">
        <f>IF(G91="","",IFERROR(VLOOKUP(G91,'Product_Stock_Master产品维护'!$A$2:$E992,3,FALSE()),"Item type not found"))</f>
        <v>Item type not found</v>
      </c>
      <c r="J91" s="32"/>
      <c r="K91" s="61">
        <v>99.0</v>
      </c>
      <c r="L91" s="32"/>
      <c r="M91" s="61" t="s">
        <v>536</v>
      </c>
      <c r="N91" s="32"/>
      <c r="O91" s="34" t="str">
        <f t="shared" si="1"/>
        <v>OK</v>
      </c>
      <c r="P91" s="61" t="s">
        <v>79</v>
      </c>
      <c r="Q91" s="34" t="str">
        <f t="shared" si="2"/>
        <v>R1-2-6-M</v>
      </c>
      <c r="R91" s="34" t="str">
        <f t="shared" si="3"/>
        <v/>
      </c>
      <c r="S91" s="34">
        <f t="shared" si="4"/>
        <v>99</v>
      </c>
      <c r="T91" s="34" t="str">
        <f t="shared" si="5"/>
        <v>R1-2-6-M||物料||Material / 物料</v>
      </c>
      <c r="U91" s="34" t="s">
        <v>537</v>
      </c>
      <c r="V91" s="41"/>
      <c r="W91" s="42" t="str">
        <f t="shared" si="6"/>
        <v>OK</v>
      </c>
      <c r="X91" s="42">
        <f t="shared" si="7"/>
        <v>0</v>
      </c>
      <c r="Y91" s="42">
        <f t="shared" si="8"/>
        <v>0</v>
      </c>
      <c r="Z91" s="42" t="str">
        <f>IF(G91="","",IFERROR(VLOOKUP(G91,'Product_Stock_Master产品维护'!$A$2:$L992,11,FALSE),"No"))</f>
        <v>No</v>
      </c>
      <c r="AA91" s="42" t="str">
        <f>IF(G91="","",IFERROR(VLOOKUP(G91,'Product_Stock_Master产品维护'!$A$2:$L992,12,FALSE),""))</f>
        <v/>
      </c>
      <c r="AB91" s="42"/>
      <c r="AC91" s="42"/>
    </row>
    <row r="92" ht="15.75" customHeight="1">
      <c r="A92" s="59" t="s">
        <v>427</v>
      </c>
      <c r="B92" s="60"/>
      <c r="C92" s="61" t="s">
        <v>67</v>
      </c>
      <c r="D92" s="32"/>
      <c r="E92" s="32"/>
      <c r="F92" s="32"/>
      <c r="G92" s="61" t="s">
        <v>501</v>
      </c>
      <c r="H92" s="34" t="str">
        <f>IF(G92="","",IFERROR(VLOOKUP(G92,'Product_Stock_Master产品维护'!$A$2:$E992,2,FALSE()),"SKU not found"))</f>
        <v>SKU not found</v>
      </c>
      <c r="I92" s="34" t="str">
        <f>IF(G92="","",IFERROR(VLOOKUP(G92,'Product_Stock_Master产品维护'!$A$2:$E992,3,FALSE()),"Item type not found"))</f>
        <v>Item type not found</v>
      </c>
      <c r="J92" s="32"/>
      <c r="K92" s="61">
        <v>99.0</v>
      </c>
      <c r="L92" s="32"/>
      <c r="M92" s="61" t="s">
        <v>538</v>
      </c>
      <c r="N92" s="32"/>
      <c r="O92" s="34" t="str">
        <f t="shared" si="1"/>
        <v>OK</v>
      </c>
      <c r="P92" s="61" t="s">
        <v>79</v>
      </c>
      <c r="Q92" s="34" t="str">
        <f t="shared" si="2"/>
        <v>R1-2-6-R</v>
      </c>
      <c r="R92" s="34" t="str">
        <f t="shared" si="3"/>
        <v/>
      </c>
      <c r="S92" s="34">
        <f t="shared" si="4"/>
        <v>99</v>
      </c>
      <c r="T92" s="34" t="str">
        <f t="shared" si="5"/>
        <v>R1-2-6-R||物料||Material / 物料</v>
      </c>
      <c r="U92" s="34" t="s">
        <v>539</v>
      </c>
      <c r="V92" s="41"/>
      <c r="W92" s="42" t="str">
        <f t="shared" si="6"/>
        <v>OK</v>
      </c>
      <c r="X92" s="42">
        <f t="shared" si="7"/>
        <v>0</v>
      </c>
      <c r="Y92" s="42">
        <f t="shared" si="8"/>
        <v>0</v>
      </c>
      <c r="Z92" s="42" t="str">
        <f>IF(G92="","",IFERROR(VLOOKUP(G92,'Product_Stock_Master产品维护'!$A$2:$L992,11,FALSE),"No"))</f>
        <v>No</v>
      </c>
      <c r="AA92" s="42" t="str">
        <f>IF(G92="","",IFERROR(VLOOKUP(G92,'Product_Stock_Master产品维护'!$A$2:$L992,12,FALSE),""))</f>
        <v/>
      </c>
      <c r="AB92" s="42"/>
      <c r="AC92" s="42"/>
    </row>
    <row r="93" ht="15.75" customHeight="1">
      <c r="A93" s="59" t="s">
        <v>427</v>
      </c>
      <c r="B93" s="60"/>
      <c r="C93" s="61" t="s">
        <v>67</v>
      </c>
      <c r="D93" s="32"/>
      <c r="E93" s="32"/>
      <c r="F93" s="32"/>
      <c r="G93" s="61" t="s">
        <v>501</v>
      </c>
      <c r="H93" s="34" t="str">
        <f>IF(G93="","",IFERROR(VLOOKUP(G93,'Product_Stock_Master产品维护'!$A$2:$E992,2,FALSE()),"SKU not found"))</f>
        <v>SKU not found</v>
      </c>
      <c r="I93" s="34" t="str">
        <f>IF(G93="","",IFERROR(VLOOKUP(G93,'Product_Stock_Master产品维护'!$A$2:$E992,3,FALSE()),"Item type not found"))</f>
        <v>Item type not found</v>
      </c>
      <c r="J93" s="32"/>
      <c r="K93" s="61">
        <v>99.0</v>
      </c>
      <c r="L93" s="32"/>
      <c r="M93" s="61" t="s">
        <v>540</v>
      </c>
      <c r="N93" s="32"/>
      <c r="O93" s="34" t="str">
        <f t="shared" si="1"/>
        <v>OK</v>
      </c>
      <c r="P93" s="61" t="s">
        <v>79</v>
      </c>
      <c r="Q93" s="34" t="str">
        <f t="shared" si="2"/>
        <v>R1-3-6-L</v>
      </c>
      <c r="R93" s="34" t="str">
        <f t="shared" si="3"/>
        <v/>
      </c>
      <c r="S93" s="34">
        <f t="shared" si="4"/>
        <v>99</v>
      </c>
      <c r="T93" s="34" t="str">
        <f t="shared" si="5"/>
        <v>R1-3-6-L||物料||Material / 物料</v>
      </c>
      <c r="U93" s="34" t="s">
        <v>541</v>
      </c>
      <c r="V93" s="41"/>
      <c r="W93" s="42" t="str">
        <f t="shared" si="6"/>
        <v>OK</v>
      </c>
      <c r="X93" s="42">
        <f t="shared" si="7"/>
        <v>0</v>
      </c>
      <c r="Y93" s="42">
        <f t="shared" si="8"/>
        <v>0</v>
      </c>
      <c r="Z93" s="42" t="str">
        <f>IF(G93="","",IFERROR(VLOOKUP(G93,'Product_Stock_Master产品维护'!$A$2:$L992,11,FALSE),"No"))</f>
        <v>No</v>
      </c>
      <c r="AA93" s="42" t="str">
        <f>IF(G93="","",IFERROR(VLOOKUP(G93,'Product_Stock_Master产品维护'!$A$2:$L992,12,FALSE),""))</f>
        <v/>
      </c>
      <c r="AB93" s="42"/>
      <c r="AC93" s="42"/>
    </row>
    <row r="94" ht="15.75" customHeight="1">
      <c r="A94" s="59" t="s">
        <v>427</v>
      </c>
      <c r="B94" s="60"/>
      <c r="C94" s="61" t="s">
        <v>67</v>
      </c>
      <c r="D94" s="32"/>
      <c r="E94" s="32"/>
      <c r="F94" s="32"/>
      <c r="G94" s="61" t="s">
        <v>501</v>
      </c>
      <c r="H94" s="34" t="str">
        <f>IF(G94="","",IFERROR(VLOOKUP(G94,'Product_Stock_Master产品维护'!$A$2:$E992,2,FALSE()),"SKU not found"))</f>
        <v>SKU not found</v>
      </c>
      <c r="I94" s="34" t="str">
        <f>IF(G94="","",IFERROR(VLOOKUP(G94,'Product_Stock_Master产品维护'!$A$2:$E992,3,FALSE()),"Item type not found"))</f>
        <v>Item type not found</v>
      </c>
      <c r="J94" s="32"/>
      <c r="K94" s="61">
        <v>99.0</v>
      </c>
      <c r="L94" s="32"/>
      <c r="M94" s="61" t="s">
        <v>542</v>
      </c>
      <c r="N94" s="32"/>
      <c r="O94" s="34" t="str">
        <f t="shared" si="1"/>
        <v>OK</v>
      </c>
      <c r="P94" s="61" t="s">
        <v>79</v>
      </c>
      <c r="Q94" s="34" t="str">
        <f t="shared" si="2"/>
        <v>R1-3-6-M</v>
      </c>
      <c r="R94" s="34" t="str">
        <f t="shared" si="3"/>
        <v/>
      </c>
      <c r="S94" s="34">
        <f t="shared" si="4"/>
        <v>99</v>
      </c>
      <c r="T94" s="34" t="str">
        <f t="shared" si="5"/>
        <v>R1-3-6-M||物料||Material / 物料</v>
      </c>
      <c r="U94" s="34" t="s">
        <v>543</v>
      </c>
      <c r="V94" s="41"/>
      <c r="W94" s="42" t="str">
        <f t="shared" si="6"/>
        <v>OK</v>
      </c>
      <c r="X94" s="42">
        <f t="shared" si="7"/>
        <v>0</v>
      </c>
      <c r="Y94" s="42">
        <f t="shared" si="8"/>
        <v>0</v>
      </c>
      <c r="Z94" s="42" t="str">
        <f>IF(G94="","",IFERROR(VLOOKUP(G94,'Product_Stock_Master产品维护'!$A$2:$L992,11,FALSE),"No"))</f>
        <v>No</v>
      </c>
      <c r="AA94" s="42" t="str">
        <f>IF(G94="","",IFERROR(VLOOKUP(G94,'Product_Stock_Master产品维护'!$A$2:$L992,12,FALSE),""))</f>
        <v/>
      </c>
      <c r="AB94" s="42"/>
      <c r="AC94" s="42"/>
    </row>
    <row r="95" ht="15.75" customHeight="1">
      <c r="A95" s="59" t="s">
        <v>427</v>
      </c>
      <c r="B95" s="60"/>
      <c r="C95" s="61" t="s">
        <v>67</v>
      </c>
      <c r="D95" s="32"/>
      <c r="E95" s="32"/>
      <c r="F95" s="32"/>
      <c r="G95" s="61" t="s">
        <v>501</v>
      </c>
      <c r="H95" s="34" t="str">
        <f>IF(G95="","",IFERROR(VLOOKUP(G95,'Product_Stock_Master产品维护'!$A$2:$E992,2,FALSE()),"SKU not found"))</f>
        <v>SKU not found</v>
      </c>
      <c r="I95" s="34" t="str">
        <f>IF(G95="","",IFERROR(VLOOKUP(G95,'Product_Stock_Master产品维护'!$A$2:$E992,3,FALSE()),"Item type not found"))</f>
        <v>Item type not found</v>
      </c>
      <c r="J95" s="32"/>
      <c r="K95" s="61">
        <v>99.0</v>
      </c>
      <c r="L95" s="32"/>
      <c r="M95" s="61" t="s">
        <v>544</v>
      </c>
      <c r="N95" s="32"/>
      <c r="O95" s="34" t="str">
        <f t="shared" si="1"/>
        <v>OK</v>
      </c>
      <c r="P95" s="61" t="s">
        <v>79</v>
      </c>
      <c r="Q95" s="34" t="str">
        <f t="shared" si="2"/>
        <v>R1-3-6-R</v>
      </c>
      <c r="R95" s="34" t="str">
        <f t="shared" si="3"/>
        <v/>
      </c>
      <c r="S95" s="34">
        <f t="shared" si="4"/>
        <v>99</v>
      </c>
      <c r="T95" s="34" t="str">
        <f t="shared" si="5"/>
        <v>R1-3-6-R||物料||Material / 物料</v>
      </c>
      <c r="U95" s="34" t="s">
        <v>545</v>
      </c>
      <c r="V95" s="41"/>
      <c r="W95" s="42" t="str">
        <f t="shared" si="6"/>
        <v>OK</v>
      </c>
      <c r="X95" s="42">
        <f t="shared" si="7"/>
        <v>0</v>
      </c>
      <c r="Y95" s="42">
        <f t="shared" si="8"/>
        <v>0</v>
      </c>
      <c r="Z95" s="42" t="str">
        <f>IF(G95="","",IFERROR(VLOOKUP(G95,'Product_Stock_Master产品维护'!$A$2:$L992,11,FALSE),"No"))</f>
        <v>No</v>
      </c>
      <c r="AA95" s="42" t="str">
        <f>IF(G95="","",IFERROR(VLOOKUP(G95,'Product_Stock_Master产品维护'!$A$2:$L992,12,FALSE),""))</f>
        <v/>
      </c>
      <c r="AB95" s="42"/>
      <c r="AC95" s="42"/>
    </row>
    <row r="96" ht="15.75" customHeight="1">
      <c r="A96" s="59" t="s">
        <v>427</v>
      </c>
      <c r="B96" s="60"/>
      <c r="C96" s="61" t="s">
        <v>67</v>
      </c>
      <c r="D96" s="32"/>
      <c r="E96" s="32"/>
      <c r="F96" s="32"/>
      <c r="G96" s="61" t="s">
        <v>501</v>
      </c>
      <c r="H96" s="34" t="str">
        <f>IF(G96="","",IFERROR(VLOOKUP(G96,'Product_Stock_Master产品维护'!$A$2:$E992,2,FALSE()),"SKU not found"))</f>
        <v>SKU not found</v>
      </c>
      <c r="I96" s="34" t="str">
        <f>IF(G96="","",IFERROR(VLOOKUP(G96,'Product_Stock_Master产品维护'!$A$2:$E992,3,FALSE()),"Item type not found"))</f>
        <v>Item type not found</v>
      </c>
      <c r="J96" s="32"/>
      <c r="K96" s="61">
        <v>99.0</v>
      </c>
      <c r="L96" s="32"/>
      <c r="M96" s="61" t="s">
        <v>546</v>
      </c>
      <c r="N96" s="32"/>
      <c r="O96" s="34" t="str">
        <f t="shared" si="1"/>
        <v>OK</v>
      </c>
      <c r="P96" s="61" t="s">
        <v>79</v>
      </c>
      <c r="Q96" s="34" t="str">
        <f t="shared" si="2"/>
        <v>R1-4-6-L</v>
      </c>
      <c r="R96" s="34" t="str">
        <f t="shared" si="3"/>
        <v/>
      </c>
      <c r="S96" s="34">
        <f t="shared" si="4"/>
        <v>99</v>
      </c>
      <c r="T96" s="34" t="str">
        <f t="shared" si="5"/>
        <v>R1-4-6-L||物料||Material / 物料</v>
      </c>
      <c r="U96" s="34" t="s">
        <v>547</v>
      </c>
      <c r="V96" s="41"/>
      <c r="W96" s="42" t="str">
        <f t="shared" si="6"/>
        <v>OK</v>
      </c>
      <c r="X96" s="42">
        <f t="shared" si="7"/>
        <v>0</v>
      </c>
      <c r="Y96" s="42">
        <f t="shared" si="8"/>
        <v>0</v>
      </c>
      <c r="Z96" s="42" t="str">
        <f>IF(G96="","",IFERROR(VLOOKUP(G96,'Product_Stock_Master产品维护'!$A$2:$L992,11,FALSE),"No"))</f>
        <v>No</v>
      </c>
      <c r="AA96" s="42" t="str">
        <f>IF(G96="","",IFERROR(VLOOKUP(G96,'Product_Stock_Master产品维护'!$A$2:$L992,12,FALSE),""))</f>
        <v/>
      </c>
      <c r="AB96" s="42"/>
      <c r="AC96" s="42"/>
    </row>
    <row r="97" ht="15.75" customHeight="1">
      <c r="A97" s="59" t="s">
        <v>427</v>
      </c>
      <c r="B97" s="60"/>
      <c r="C97" s="61" t="s">
        <v>67</v>
      </c>
      <c r="D97" s="32"/>
      <c r="E97" s="32"/>
      <c r="F97" s="32"/>
      <c r="G97" s="61" t="s">
        <v>501</v>
      </c>
      <c r="H97" s="34" t="str">
        <f>IF(G97="","",IFERROR(VLOOKUP(G97,'Product_Stock_Master产品维护'!$A$2:$E992,2,FALSE()),"SKU not found"))</f>
        <v>SKU not found</v>
      </c>
      <c r="I97" s="34" t="str">
        <f>IF(G97="","",IFERROR(VLOOKUP(G97,'Product_Stock_Master产品维护'!$A$2:$E992,3,FALSE()),"Item type not found"))</f>
        <v>Item type not found</v>
      </c>
      <c r="J97" s="32"/>
      <c r="K97" s="61">
        <v>99.0</v>
      </c>
      <c r="L97" s="32"/>
      <c r="M97" s="61" t="s">
        <v>548</v>
      </c>
      <c r="N97" s="32"/>
      <c r="O97" s="34" t="str">
        <f t="shared" si="1"/>
        <v>OK</v>
      </c>
      <c r="P97" s="61" t="s">
        <v>79</v>
      </c>
      <c r="Q97" s="34" t="str">
        <f t="shared" si="2"/>
        <v>R1-4-6-M</v>
      </c>
      <c r="R97" s="34" t="str">
        <f t="shared" si="3"/>
        <v/>
      </c>
      <c r="S97" s="34">
        <f t="shared" si="4"/>
        <v>99</v>
      </c>
      <c r="T97" s="34" t="str">
        <f t="shared" si="5"/>
        <v>R1-4-6-M||物料||Material / 物料</v>
      </c>
      <c r="U97" s="34" t="s">
        <v>549</v>
      </c>
      <c r="V97" s="41"/>
      <c r="W97" s="42" t="str">
        <f t="shared" si="6"/>
        <v>OK</v>
      </c>
      <c r="X97" s="42">
        <f t="shared" si="7"/>
        <v>0</v>
      </c>
      <c r="Y97" s="42">
        <f t="shared" si="8"/>
        <v>0</v>
      </c>
      <c r="Z97" s="42" t="str">
        <f>IF(G97="","",IFERROR(VLOOKUP(G97,'Product_Stock_Master产品维护'!$A$2:$L992,11,FALSE),"No"))</f>
        <v>No</v>
      </c>
      <c r="AA97" s="42" t="str">
        <f>IF(G97="","",IFERROR(VLOOKUP(G97,'Product_Stock_Master产品维护'!$A$2:$L992,12,FALSE),""))</f>
        <v/>
      </c>
      <c r="AB97" s="42"/>
      <c r="AC97" s="42"/>
    </row>
    <row r="98" ht="15.75" customHeight="1">
      <c r="A98" s="59" t="s">
        <v>427</v>
      </c>
      <c r="B98" s="60"/>
      <c r="C98" s="61" t="s">
        <v>67</v>
      </c>
      <c r="D98" s="32"/>
      <c r="E98" s="32"/>
      <c r="F98" s="32"/>
      <c r="G98" s="61" t="s">
        <v>501</v>
      </c>
      <c r="H98" s="34" t="str">
        <f>IF(G98="","",IFERROR(VLOOKUP(G98,'Product_Stock_Master产品维护'!$A$2:$E992,2,FALSE()),"SKU not found"))</f>
        <v>SKU not found</v>
      </c>
      <c r="I98" s="34" t="str">
        <f>IF(G98="","",IFERROR(VLOOKUP(G98,'Product_Stock_Master产品维护'!$A$2:$E992,3,FALSE()),"Item type not found"))</f>
        <v>Item type not found</v>
      </c>
      <c r="J98" s="32"/>
      <c r="K98" s="61">
        <v>99.0</v>
      </c>
      <c r="L98" s="32"/>
      <c r="M98" s="61" t="s">
        <v>550</v>
      </c>
      <c r="N98" s="32"/>
      <c r="O98" s="34" t="str">
        <f t="shared" si="1"/>
        <v>OK</v>
      </c>
      <c r="P98" s="61" t="s">
        <v>79</v>
      </c>
      <c r="Q98" s="34" t="str">
        <f t="shared" si="2"/>
        <v>R1-4-6-R</v>
      </c>
      <c r="R98" s="34" t="str">
        <f t="shared" si="3"/>
        <v/>
      </c>
      <c r="S98" s="34">
        <f t="shared" si="4"/>
        <v>99</v>
      </c>
      <c r="T98" s="34" t="str">
        <f t="shared" si="5"/>
        <v>R1-4-6-R||物料||Material / 物料</v>
      </c>
      <c r="U98" s="34" t="s">
        <v>551</v>
      </c>
      <c r="V98" s="41"/>
      <c r="W98" s="42" t="str">
        <f t="shared" si="6"/>
        <v>OK</v>
      </c>
      <c r="X98" s="42">
        <f t="shared" si="7"/>
        <v>0</v>
      </c>
      <c r="Y98" s="42">
        <f t="shared" si="8"/>
        <v>0</v>
      </c>
      <c r="Z98" s="42" t="str">
        <f>IF(G98="","",IFERROR(VLOOKUP(G98,'Product_Stock_Master产品维护'!$A$2:$L992,11,FALSE),"No"))</f>
        <v>No</v>
      </c>
      <c r="AA98" s="42" t="str">
        <f>IF(G98="","",IFERROR(VLOOKUP(G98,'Product_Stock_Master产品维护'!$A$2:$L992,12,FALSE),""))</f>
        <v/>
      </c>
      <c r="AB98" s="42"/>
      <c r="AC98" s="42"/>
    </row>
    <row r="99" ht="15.75" customHeight="1">
      <c r="A99" s="59" t="s">
        <v>552</v>
      </c>
      <c r="B99" s="60"/>
      <c r="C99" s="61" t="s">
        <v>67</v>
      </c>
      <c r="D99" s="32"/>
      <c r="E99" s="32"/>
      <c r="F99" s="32"/>
      <c r="G99" s="61" t="s">
        <v>501</v>
      </c>
      <c r="H99" s="34" t="str">
        <f>IF(G99="","",IFERROR(VLOOKUP(G99,'Product_Stock_Master产品维护'!$A$2:$E992,2,FALSE()),"SKU not found"))</f>
        <v>SKU not found</v>
      </c>
      <c r="I99" s="34" t="str">
        <f>IF(G99="","",IFERROR(VLOOKUP(G99,'Product_Stock_Master产品维护'!$A$2:$E992,3,FALSE()),"Item type not found"))</f>
        <v>Item type not found</v>
      </c>
      <c r="J99" s="32"/>
      <c r="K99" s="61">
        <v>99.0</v>
      </c>
      <c r="L99" s="32"/>
      <c r="M99" s="61" t="s">
        <v>514</v>
      </c>
      <c r="N99" s="32"/>
      <c r="O99" s="34" t="str">
        <f t="shared" si="1"/>
        <v>OK</v>
      </c>
      <c r="P99" s="61" t="s">
        <v>79</v>
      </c>
      <c r="Q99" s="34" t="str">
        <f t="shared" si="2"/>
        <v>R1-1-5-L</v>
      </c>
      <c r="R99" s="34" t="str">
        <f t="shared" si="3"/>
        <v/>
      </c>
      <c r="S99" s="34">
        <f t="shared" si="4"/>
        <v>99</v>
      </c>
      <c r="T99" s="34" t="str">
        <f t="shared" si="5"/>
        <v>R1-1-5-L||物料||Material / 物料</v>
      </c>
      <c r="U99" s="34" t="s">
        <v>553</v>
      </c>
      <c r="V99" s="41"/>
      <c r="W99" s="42" t="str">
        <f t="shared" si="6"/>
        <v>OK</v>
      </c>
      <c r="X99" s="42">
        <f t="shared" si="7"/>
        <v>0</v>
      </c>
      <c r="Y99" s="42">
        <f t="shared" si="8"/>
        <v>0</v>
      </c>
      <c r="Z99" s="42" t="str">
        <f>IF(G99="","",IFERROR(VLOOKUP(G99,'Product_Stock_Master产品维护'!$A$2:$L992,11,FALSE),"No"))</f>
        <v>No</v>
      </c>
      <c r="AA99" s="42" t="str">
        <f>IF(G99="","",IFERROR(VLOOKUP(G99,'Product_Stock_Master产品维护'!$A$2:$L992,12,FALSE),""))</f>
        <v/>
      </c>
      <c r="AB99" s="42"/>
      <c r="AC99" s="42"/>
    </row>
    <row r="100" ht="15.75" customHeight="1">
      <c r="A100" s="59" t="s">
        <v>552</v>
      </c>
      <c r="B100" s="60"/>
      <c r="C100" s="61" t="s">
        <v>67</v>
      </c>
      <c r="D100" s="32"/>
      <c r="E100" s="32"/>
      <c r="F100" s="32"/>
      <c r="G100" s="61" t="s">
        <v>501</v>
      </c>
      <c r="H100" s="34" t="str">
        <f>IF(G100="","",IFERROR(VLOOKUP(G100,'Product_Stock_Master产品维护'!$A$2:$E992,2,FALSE()),"SKU not found"))</f>
        <v>SKU not found</v>
      </c>
      <c r="I100" s="34" t="str">
        <f>IF(G100="","",IFERROR(VLOOKUP(G100,'Product_Stock_Master产品维护'!$A$2:$E992,3,FALSE()),"Item type not found"))</f>
        <v>Item type not found</v>
      </c>
      <c r="J100" s="32"/>
      <c r="K100" s="61">
        <v>99.0</v>
      </c>
      <c r="L100" s="32"/>
      <c r="M100" s="61" t="s">
        <v>532</v>
      </c>
      <c r="N100" s="32"/>
      <c r="O100" s="34" t="str">
        <f t="shared" si="1"/>
        <v>OK</v>
      </c>
      <c r="P100" s="61" t="s">
        <v>79</v>
      </c>
      <c r="Q100" s="34" t="str">
        <f t="shared" si="2"/>
        <v>R1-1-5-R</v>
      </c>
      <c r="R100" s="34" t="str">
        <f t="shared" si="3"/>
        <v/>
      </c>
      <c r="S100" s="34">
        <f t="shared" si="4"/>
        <v>99</v>
      </c>
      <c r="T100" s="34" t="str">
        <f t="shared" si="5"/>
        <v>R1-1-5-R||物料||Material / 物料</v>
      </c>
      <c r="U100" s="34" t="s">
        <v>554</v>
      </c>
      <c r="V100" s="41"/>
      <c r="W100" s="42" t="str">
        <f t="shared" si="6"/>
        <v>OK</v>
      </c>
      <c r="X100" s="42">
        <f t="shared" si="7"/>
        <v>0</v>
      </c>
      <c r="Y100" s="42">
        <f t="shared" si="8"/>
        <v>0</v>
      </c>
      <c r="Z100" s="42" t="str">
        <f>IF(G100="","",IFERROR(VLOOKUP(G100,'Product_Stock_Master产品维护'!$A$2:$L992,11,FALSE),"No"))</f>
        <v>No</v>
      </c>
      <c r="AA100" s="42" t="str">
        <f>IF(G100="","",IFERROR(VLOOKUP(G100,'Product_Stock_Master产品维护'!$A$2:$L992,12,FALSE),""))</f>
        <v/>
      </c>
      <c r="AB100" s="42"/>
      <c r="AC100" s="42"/>
    </row>
    <row r="101" ht="15.75" customHeight="1">
      <c r="A101" s="59" t="s">
        <v>552</v>
      </c>
      <c r="B101" s="60"/>
      <c r="C101" s="61" t="s">
        <v>67</v>
      </c>
      <c r="D101" s="32"/>
      <c r="E101" s="32"/>
      <c r="F101" s="61" t="s">
        <v>557</v>
      </c>
      <c r="G101" s="61" t="s">
        <v>558</v>
      </c>
      <c r="H101" s="34" t="str">
        <f>IF(G101="","",IFERROR(VLOOKUP(G101,'Product_Stock_Master产品维护'!$A$2:$E992,2,FALSE()),"SKU not found"))</f>
        <v>CQ6-M</v>
      </c>
      <c r="I101" s="34" t="str">
        <f>IF(G101="","",IFERROR(VLOOKUP(G101,'Product_Stock_Master产品维护'!$A$2:$E992,3,FALSE()),"Item type not found"))</f>
        <v>Product</v>
      </c>
      <c r="J101" s="32"/>
      <c r="K101" s="61">
        <v>1.0</v>
      </c>
      <c r="L101" s="32"/>
      <c r="M101" s="62" t="s">
        <v>559</v>
      </c>
      <c r="N101" s="32"/>
      <c r="O101" s="34" t="str">
        <f t="shared" si="1"/>
        <v>OK</v>
      </c>
      <c r="P101" s="62" t="s">
        <v>383</v>
      </c>
      <c r="Q101" s="34" t="str">
        <f t="shared" si="2"/>
        <v>FLEX-01</v>
      </c>
      <c r="R101" s="34" t="str">
        <f t="shared" si="3"/>
        <v/>
      </c>
      <c r="S101" s="34">
        <f t="shared" si="4"/>
        <v>1</v>
      </c>
      <c r="T101" s="34" t="str">
        <f t="shared" si="5"/>
        <v>FLEX-01|mix08|97-229-00020-00||New / 新机</v>
      </c>
      <c r="U101" s="34" t="s">
        <v>560</v>
      </c>
      <c r="V101" s="41"/>
      <c r="W101" s="42" t="str">
        <f t="shared" si="6"/>
        <v>OK</v>
      </c>
      <c r="X101" s="42">
        <f t="shared" si="7"/>
        <v>0</v>
      </c>
      <c r="Y101" s="42">
        <f t="shared" si="8"/>
        <v>0</v>
      </c>
      <c r="Z101" s="42" t="str">
        <f>IF(G101="","",IFERROR(VLOOKUP(G101,'Product_Stock_Master产品维护'!$A$2:$L992,11,FALSE),"No"))</f>
        <v>Yes</v>
      </c>
      <c r="AA101" s="42" t="str">
        <f>IF(G101="","",IFERROR(VLOOKUP(G101,'Product_Stock_Master产品维护'!$A$2:$L992,12,FALSE),""))</f>
        <v>Battery / 电池</v>
      </c>
      <c r="AB101" s="42"/>
      <c r="AC101" s="42"/>
    </row>
    <row r="102" ht="15.75" customHeight="1">
      <c r="A102" s="59" t="s">
        <v>552</v>
      </c>
      <c r="B102" s="60"/>
      <c r="C102" s="61" t="s">
        <v>67</v>
      </c>
      <c r="D102" s="32"/>
      <c r="E102" s="32"/>
      <c r="F102" s="61" t="s">
        <v>557</v>
      </c>
      <c r="G102" s="61" t="s">
        <v>561</v>
      </c>
      <c r="H102" s="34" t="str">
        <f>IF(G102="","",IFERROR(VLOOKUP(G102,'Product_Stock_Master产品维护'!$A$2:$E992,2,FALSE()),"SKU not found"))</f>
        <v>EQ4800-M</v>
      </c>
      <c r="I102" s="34" t="str">
        <f>IF(G102="","",IFERROR(VLOOKUP(G102,'Product_Stock_Master产品维护'!$A$2:$E992,3,FALSE()),"Item type not found"))</f>
        <v>Product</v>
      </c>
      <c r="J102" s="32"/>
      <c r="K102" s="61">
        <v>2.0</v>
      </c>
      <c r="L102" s="32"/>
      <c r="M102" s="62" t="s">
        <v>559</v>
      </c>
      <c r="N102" s="32"/>
      <c r="O102" s="34" t="str">
        <f t="shared" si="1"/>
        <v>OK</v>
      </c>
      <c r="P102" s="62" t="s">
        <v>383</v>
      </c>
      <c r="Q102" s="34" t="str">
        <f t="shared" si="2"/>
        <v>FLEX-01</v>
      </c>
      <c r="R102" s="34" t="str">
        <f t="shared" si="3"/>
        <v/>
      </c>
      <c r="S102" s="34">
        <f t="shared" si="4"/>
        <v>2</v>
      </c>
      <c r="T102" s="34" t="str">
        <f t="shared" si="5"/>
        <v>FLEX-01|mix08|97-223-00088-00||New / 新机</v>
      </c>
      <c r="U102" s="34" t="s">
        <v>562</v>
      </c>
      <c r="V102" s="103" t="s">
        <v>563</v>
      </c>
      <c r="W102" s="42" t="str">
        <f t="shared" si="6"/>
        <v>OK</v>
      </c>
      <c r="X102" s="42">
        <f t="shared" si="7"/>
        <v>0</v>
      </c>
      <c r="Y102" s="42">
        <f t="shared" si="8"/>
        <v>0</v>
      </c>
      <c r="Z102" s="42" t="str">
        <f>IF(G102="","",IFERROR(VLOOKUP(G102,'Product_Stock_Master产品维护'!$A$2:$L992,11,FALSE),"No"))</f>
        <v>Yes</v>
      </c>
      <c r="AA102" s="42" t="str">
        <f>IF(G102="","",IFERROR(VLOOKUP(G102,'Product_Stock_Master产品维护'!$A$2:$L992,12,FALSE),""))</f>
        <v>Battery / 电池</v>
      </c>
      <c r="AB102" s="42"/>
      <c r="AC102" s="42"/>
    </row>
    <row r="103" ht="15.75" customHeight="1">
      <c r="A103" s="59" t="s">
        <v>552</v>
      </c>
      <c r="B103" s="60"/>
      <c r="C103" s="61" t="s">
        <v>564</v>
      </c>
      <c r="D103" s="104" t="s">
        <v>565</v>
      </c>
      <c r="E103" s="62" t="s">
        <v>566</v>
      </c>
      <c r="F103" s="61" t="s">
        <v>395</v>
      </c>
      <c r="G103" s="61" t="s">
        <v>399</v>
      </c>
      <c r="H103" s="34" t="str">
        <f>IF(G103="","",IFERROR(VLOOKUP(G103,'Product_Stock_Master产品维护'!$A$2:$E992,2,FALSE()),"SKU not found"))</f>
        <v>EQ4800-M</v>
      </c>
      <c r="I103" s="34" t="str">
        <f>IF(G103="","",IFERROR(VLOOKUP(G103,'Product_Stock_Master产品维护'!$A$2:$E992,3,FALSE()),"Item type not found"))</f>
        <v>Product</v>
      </c>
      <c r="J103" s="61" t="s">
        <v>567</v>
      </c>
      <c r="K103" s="61">
        <v>1.0</v>
      </c>
      <c r="L103" s="61" t="s">
        <v>397</v>
      </c>
      <c r="M103" s="32"/>
      <c r="N103" s="32"/>
      <c r="O103" s="34" t="str">
        <f t="shared" si="1"/>
        <v>OK</v>
      </c>
      <c r="P103" s="61" t="s">
        <v>366</v>
      </c>
      <c r="Q103" s="34" t="str">
        <f t="shared" si="2"/>
        <v>R2-2-5-L</v>
      </c>
      <c r="R103" s="34" t="str">
        <f t="shared" si="3"/>
        <v/>
      </c>
      <c r="S103" s="34">
        <f t="shared" si="4"/>
        <v>0</v>
      </c>
      <c r="T103" s="34" t="str">
        <f t="shared" si="5"/>
        <v>R2-2-5-L|Mix002|97-223-00090-00||Repair_Good / 维修良品</v>
      </c>
      <c r="U103" s="34" t="s">
        <v>568</v>
      </c>
      <c r="V103" s="41"/>
      <c r="W103" s="42" t="str">
        <f t="shared" si="6"/>
        <v>OK</v>
      </c>
      <c r="X103" s="42">
        <f t="shared" si="7"/>
        <v>1</v>
      </c>
      <c r="Y103" s="42">
        <f t="shared" si="8"/>
        <v>0</v>
      </c>
      <c r="Z103" s="42" t="str">
        <f>IF(G103="","",IFERROR(VLOOKUP(G103,'Product_Stock_Master产品维护'!$A$2:$L992,11,FALSE),"No"))</f>
        <v>Yes</v>
      </c>
      <c r="AA103" s="42" t="str">
        <f>IF(G103="","",IFERROR(VLOOKUP(G103,'Product_Stock_Master产品维护'!$A$2:$L992,12,FALSE),""))</f>
        <v>Battery / 电池</v>
      </c>
      <c r="AB103" s="42"/>
      <c r="AC103" s="42"/>
    </row>
    <row r="104" ht="15.75" customHeight="1">
      <c r="A104" s="59" t="s">
        <v>552</v>
      </c>
      <c r="B104" s="60"/>
      <c r="C104" s="61" t="s">
        <v>564</v>
      </c>
      <c r="D104" s="104" t="s">
        <v>569</v>
      </c>
      <c r="E104" s="62" t="s">
        <v>570</v>
      </c>
      <c r="F104" s="61" t="s">
        <v>395</v>
      </c>
      <c r="G104" s="61" t="s">
        <v>402</v>
      </c>
      <c r="H104" s="34" t="str">
        <f>IF(G104="","",IFERROR(VLOOKUP(G104,'Product_Stock_Master产品维护'!$A$2:$E992,2,FALSE()),"SKU not found"))</f>
        <v>EQ4800-M</v>
      </c>
      <c r="I104" s="34" t="str">
        <f>IF(G104="","",IFERROR(VLOOKUP(G104,'Product_Stock_Master产品维护'!$A$2:$E992,3,FALSE()),"Item type not found"))</f>
        <v>Product</v>
      </c>
      <c r="J104" s="61" t="s">
        <v>572</v>
      </c>
      <c r="K104" s="61">
        <v>1.0</v>
      </c>
      <c r="L104" s="61" t="s">
        <v>397</v>
      </c>
      <c r="M104" s="32"/>
      <c r="N104" s="32"/>
      <c r="O104" s="34" t="str">
        <f t="shared" si="1"/>
        <v>OK</v>
      </c>
      <c r="P104" s="61" t="s">
        <v>366</v>
      </c>
      <c r="Q104" s="34" t="str">
        <f t="shared" si="2"/>
        <v>R2-2-5-L</v>
      </c>
      <c r="R104" s="34" t="str">
        <f t="shared" si="3"/>
        <v/>
      </c>
      <c r="S104" s="34">
        <f t="shared" si="4"/>
        <v>0</v>
      </c>
      <c r="T104" s="34" t="str">
        <f t="shared" si="5"/>
        <v>R2-2-5-L|Mix002|97-223-00064-00||Repair_Good / 维修良品</v>
      </c>
      <c r="U104" s="34" t="s">
        <v>574</v>
      </c>
      <c r="V104" s="41"/>
      <c r="W104" s="42" t="str">
        <f t="shared" si="6"/>
        <v>OK</v>
      </c>
      <c r="X104" s="42">
        <f t="shared" si="7"/>
        <v>1</v>
      </c>
      <c r="Y104" s="42">
        <f t="shared" si="8"/>
        <v>0</v>
      </c>
      <c r="Z104" s="42" t="str">
        <f>IF(G104="","",IFERROR(VLOOKUP(G104,'Product_Stock_Master产品维护'!$A$2:$L992,11,FALSE),"No"))</f>
        <v>Yes</v>
      </c>
      <c r="AA104" s="42" t="str">
        <f>IF(G104="","",IFERROR(VLOOKUP(G104,'Product_Stock_Master产品维护'!$A$2:$L992,12,FALSE),""))</f>
        <v>Battery / 电池</v>
      </c>
      <c r="AB104" s="42"/>
      <c r="AC104" s="42"/>
    </row>
    <row r="105" ht="15.75" customHeight="1">
      <c r="A105" s="59" t="s">
        <v>552</v>
      </c>
      <c r="B105" s="60"/>
      <c r="C105" s="61" t="s">
        <v>67</v>
      </c>
      <c r="D105" s="32"/>
      <c r="E105" s="32"/>
      <c r="F105" s="32"/>
      <c r="G105" s="61" t="s">
        <v>437</v>
      </c>
      <c r="H105" s="34" t="str">
        <f>IF(G105="","",IFERROR(VLOOKUP(G105,'Product_Stock_Master产品维护'!$A$2:$E992,2,FALSE()),"SKU not found"))</f>
        <v>CQ6-S</v>
      </c>
      <c r="I105" s="34" t="str">
        <f>IF(G105="","",IFERROR(VLOOKUP(G105,'Product_Stock_Master产品维护'!$A$2:$E992,3,FALSE()),"Item type not found"))</f>
        <v>Product</v>
      </c>
      <c r="J105" s="32"/>
      <c r="K105" s="61">
        <v>2.0</v>
      </c>
      <c r="L105" s="32"/>
      <c r="M105" s="61" t="s">
        <v>559</v>
      </c>
      <c r="N105" s="32"/>
      <c r="O105" s="34" t="str">
        <f t="shared" si="1"/>
        <v>OK</v>
      </c>
      <c r="P105" s="61" t="s">
        <v>383</v>
      </c>
      <c r="Q105" s="34" t="str">
        <f t="shared" si="2"/>
        <v>FLEX-01</v>
      </c>
      <c r="R105" s="34" t="str">
        <f t="shared" si="3"/>
        <v/>
      </c>
      <c r="S105" s="34">
        <f t="shared" si="4"/>
        <v>2</v>
      </c>
      <c r="T105" s="34" t="str">
        <f t="shared" si="5"/>
        <v>FLEX-01||97-229-00021-00||New / 新机</v>
      </c>
      <c r="U105" s="34" t="s">
        <v>575</v>
      </c>
      <c r="V105" s="41"/>
      <c r="W105" s="42" t="str">
        <f t="shared" si="6"/>
        <v>OK</v>
      </c>
      <c r="X105" s="42">
        <f t="shared" si="7"/>
        <v>0</v>
      </c>
      <c r="Y105" s="42">
        <f t="shared" si="8"/>
        <v>0</v>
      </c>
      <c r="Z105" s="42" t="str">
        <f>IF(G105="","",IFERROR(VLOOKUP(G105,'Product_Stock_Master产品维护'!$A$2:$L992,11,FALSE),"No"))</f>
        <v>Yes</v>
      </c>
      <c r="AA105" s="42" t="str">
        <f>IF(G105="","",IFERROR(VLOOKUP(G105,'Product_Stock_Master产品维护'!$A$2:$L992,12,FALSE),""))</f>
        <v>Battery / 电池</v>
      </c>
      <c r="AB105" s="42"/>
      <c r="AC105" s="42"/>
    </row>
    <row r="106" ht="15.75" customHeight="1">
      <c r="A106" s="59" t="s">
        <v>552</v>
      </c>
      <c r="B106" s="60"/>
      <c r="C106" s="61" t="s">
        <v>67</v>
      </c>
      <c r="D106" s="32"/>
      <c r="E106" s="32"/>
      <c r="F106" s="32"/>
      <c r="G106" s="61" t="s">
        <v>576</v>
      </c>
      <c r="H106" s="34" t="str">
        <f>IF(G106="","",IFERROR(VLOOKUP(G106,'Product_Stock_Master产品维护'!$A$2:$E992,2,FALSE()),"SKU not found"))</f>
        <v>H3-10.0-Smart</v>
      </c>
      <c r="I106" s="34" t="str">
        <f>IF(G106="","",IFERROR(VLOOKUP(G106,'Product_Stock_Master产品维护'!$A$2:$E992,3,FALSE()),"Item type not found"))</f>
        <v>Product</v>
      </c>
      <c r="J106" s="32"/>
      <c r="K106" s="61">
        <v>5.0</v>
      </c>
      <c r="L106" s="32"/>
      <c r="M106" s="61" t="s">
        <v>559</v>
      </c>
      <c r="N106" s="32"/>
      <c r="O106" s="34" t="str">
        <f t="shared" si="1"/>
        <v>OK</v>
      </c>
      <c r="P106" s="61" t="s">
        <v>383</v>
      </c>
      <c r="Q106" s="34" t="str">
        <f t="shared" si="2"/>
        <v>FLEX-01</v>
      </c>
      <c r="R106" s="34" t="str">
        <f t="shared" si="3"/>
        <v/>
      </c>
      <c r="S106" s="34">
        <f t="shared" si="4"/>
        <v>5</v>
      </c>
      <c r="T106" s="34" t="str">
        <f t="shared" si="5"/>
        <v>FLEX-01||97-141-00060-B0||New / 新机</v>
      </c>
      <c r="U106" s="34" t="s">
        <v>578</v>
      </c>
      <c r="V106" s="41"/>
      <c r="W106" s="42" t="str">
        <f t="shared" si="6"/>
        <v>OK</v>
      </c>
      <c r="X106" s="42">
        <f t="shared" si="7"/>
        <v>0</v>
      </c>
      <c r="Y106" s="42">
        <f t="shared" si="8"/>
        <v>0</v>
      </c>
      <c r="Z106" s="42" t="str">
        <f>IF(G106="","",IFERROR(VLOOKUP(G106,'Product_Stock_Master产品维护'!$A$2:$L992,11,FALSE),"No"))</f>
        <v>Yes</v>
      </c>
      <c r="AA106" s="42" t="str">
        <f>IF(G106="","",IFERROR(VLOOKUP(G106,'Product_Stock_Master产品维护'!$A$2:$L992,12,FALSE),""))</f>
        <v>Inverter / 逆变器</v>
      </c>
      <c r="AB106" s="42"/>
      <c r="AC106" s="42"/>
    </row>
    <row r="107" ht="15.75" customHeight="1">
      <c r="A107" s="59" t="s">
        <v>552</v>
      </c>
      <c r="B107" s="60"/>
      <c r="C107" s="61" t="s">
        <v>67</v>
      </c>
      <c r="D107" s="32"/>
      <c r="E107" s="32"/>
      <c r="F107" s="32"/>
      <c r="G107" s="61" t="s">
        <v>579</v>
      </c>
      <c r="H107" s="34" t="str">
        <f>IF(G107="","",IFERROR(VLOOKUP(G107,'Product_Stock_Master产品维护'!$A$2:$E992,2,FALSE()),"SKU not found"))</f>
        <v>KH8</v>
      </c>
      <c r="I107" s="34" t="str">
        <f>IF(G107="","",IFERROR(VLOOKUP(G107,'Product_Stock_Master产品维护'!$A$2:$E992,3,FALSE()),"Item type not found"))</f>
        <v>Product</v>
      </c>
      <c r="J107" s="32"/>
      <c r="K107" s="61">
        <v>1.0</v>
      </c>
      <c r="L107" s="32"/>
      <c r="M107" s="61" t="s">
        <v>559</v>
      </c>
      <c r="N107" s="32"/>
      <c r="O107" s="34" t="str">
        <f t="shared" si="1"/>
        <v>OK</v>
      </c>
      <c r="P107" s="61" t="s">
        <v>383</v>
      </c>
      <c r="Q107" s="34" t="str">
        <f t="shared" si="2"/>
        <v>FLEX-01</v>
      </c>
      <c r="R107" s="34" t="str">
        <f t="shared" si="3"/>
        <v/>
      </c>
      <c r="S107" s="34">
        <f t="shared" si="4"/>
        <v>1</v>
      </c>
      <c r="T107" s="34" t="str">
        <f t="shared" si="5"/>
        <v>FLEX-01||30-138-K1215-B0||New / 新机</v>
      </c>
      <c r="U107" s="34" t="s">
        <v>583</v>
      </c>
      <c r="V107" s="103" t="s">
        <v>584</v>
      </c>
      <c r="W107" s="42" t="str">
        <f t="shared" si="6"/>
        <v>OK</v>
      </c>
      <c r="X107" s="42">
        <f t="shared" si="7"/>
        <v>0</v>
      </c>
      <c r="Y107" s="42">
        <f t="shared" si="8"/>
        <v>0</v>
      </c>
      <c r="Z107" s="42" t="str">
        <f>IF(G107="","",IFERROR(VLOOKUP(G107,'Product_Stock_Master产品维护'!$A$2:$L992,11,FALSE),"No"))</f>
        <v>Yes</v>
      </c>
      <c r="AA107" s="42" t="str">
        <f>IF(G107="","",IFERROR(VLOOKUP(G107,'Product_Stock_Master产品维护'!$A$2:$L992,12,FALSE),""))</f>
        <v>Inverter / 逆变器</v>
      </c>
      <c r="AB107" s="42"/>
      <c r="AC107" s="42"/>
    </row>
    <row r="108" ht="15.75" customHeight="1">
      <c r="A108" s="59" t="s">
        <v>552</v>
      </c>
      <c r="B108" s="60"/>
      <c r="C108" s="61" t="s">
        <v>67</v>
      </c>
      <c r="D108" s="32"/>
      <c r="E108" s="32"/>
      <c r="F108" s="32"/>
      <c r="G108" s="61" t="s">
        <v>587</v>
      </c>
      <c r="H108" s="34" t="str">
        <f>IF(G108="","",IFERROR(VLOOKUP(G108,'Product_Stock_Master产品维护'!$A$2:$E992,2,FALSE()),"SKU not found"))</f>
        <v>CQ7-S</v>
      </c>
      <c r="I108" s="34" t="str">
        <f>IF(G108="","",IFERROR(VLOOKUP(G108,'Product_Stock_Master产品维护'!$A$2:$E992,3,FALSE()),"Item type not found"))</f>
        <v>Product</v>
      </c>
      <c r="J108" s="32"/>
      <c r="K108" s="61">
        <v>2.0</v>
      </c>
      <c r="L108" s="32"/>
      <c r="M108" s="61" t="s">
        <v>559</v>
      </c>
      <c r="N108" s="32"/>
      <c r="O108" s="34" t="str">
        <f t="shared" si="1"/>
        <v>OK</v>
      </c>
      <c r="P108" s="61" t="s">
        <v>383</v>
      </c>
      <c r="Q108" s="34" t="str">
        <f t="shared" si="2"/>
        <v>FLEX-01</v>
      </c>
      <c r="R108" s="34" t="str">
        <f t="shared" si="3"/>
        <v/>
      </c>
      <c r="S108" s="34">
        <f t="shared" si="4"/>
        <v>2</v>
      </c>
      <c r="T108" s="34" t="str">
        <f t="shared" si="5"/>
        <v>FLEX-01||30-229-00003-00||New / 新机</v>
      </c>
      <c r="U108" s="34" t="s">
        <v>591</v>
      </c>
      <c r="V108" s="41"/>
      <c r="W108" s="42" t="str">
        <f t="shared" si="6"/>
        <v>OK</v>
      </c>
      <c r="X108" s="42">
        <f t="shared" si="7"/>
        <v>0</v>
      </c>
      <c r="Y108" s="42">
        <f t="shared" si="8"/>
        <v>0</v>
      </c>
      <c r="Z108" s="42" t="str">
        <f>IF(G108="","",IFERROR(VLOOKUP(G108,'Product_Stock_Master产品维护'!$A$2:$L992,11,FALSE),"No"))</f>
        <v>Yes</v>
      </c>
      <c r="AA108" s="42" t="str">
        <f>IF(G108="","",IFERROR(VLOOKUP(G108,'Product_Stock_Master产品维护'!$A$2:$L992,12,FALSE),""))</f>
        <v>Battery / 电池</v>
      </c>
      <c r="AB108" s="42"/>
      <c r="AC108" s="42"/>
    </row>
    <row r="109" ht="15.75" customHeight="1">
      <c r="A109" s="59" t="s">
        <v>552</v>
      </c>
      <c r="B109" s="60"/>
      <c r="C109" s="61" t="s">
        <v>67</v>
      </c>
      <c r="D109" s="32"/>
      <c r="E109" s="32"/>
      <c r="F109" s="32"/>
      <c r="G109" s="61" t="s">
        <v>396</v>
      </c>
      <c r="H109" s="34" t="str">
        <f>IF(G109="","",IFERROR(VLOOKUP(G109,'Product_Stock_Master产品维护'!$A$2:$E992,2,FALSE()),"SKU not found"))</f>
        <v>EQ4800-M</v>
      </c>
      <c r="I109" s="34" t="str">
        <f>IF(G109="","",IFERROR(VLOOKUP(G109,'Product_Stock_Master产品维护'!$A$2:$E992,3,FALSE()),"Item type not found"))</f>
        <v>Product</v>
      </c>
      <c r="J109" s="32"/>
      <c r="K109" s="61">
        <v>23.0</v>
      </c>
      <c r="L109" s="32"/>
      <c r="M109" s="61" t="s">
        <v>559</v>
      </c>
      <c r="N109" s="32"/>
      <c r="O109" s="34" t="str">
        <f t="shared" si="1"/>
        <v>OK</v>
      </c>
      <c r="P109" s="61" t="s">
        <v>383</v>
      </c>
      <c r="Q109" s="34" t="str">
        <f t="shared" si="2"/>
        <v>FLEX-01</v>
      </c>
      <c r="R109" s="34" t="str">
        <f t="shared" si="3"/>
        <v/>
      </c>
      <c r="S109" s="34">
        <f t="shared" si="4"/>
        <v>23</v>
      </c>
      <c r="T109" s="34" t="str">
        <f t="shared" si="5"/>
        <v>FLEX-01||97-223-00108-00||New / 新机</v>
      </c>
      <c r="U109" s="34" t="s">
        <v>592</v>
      </c>
      <c r="V109" s="41"/>
      <c r="W109" s="42" t="str">
        <f t="shared" si="6"/>
        <v>OK</v>
      </c>
      <c r="X109" s="42">
        <f t="shared" si="7"/>
        <v>0</v>
      </c>
      <c r="Y109" s="42">
        <f t="shared" si="8"/>
        <v>0</v>
      </c>
      <c r="Z109" s="42" t="str">
        <f>IF(G109="","",IFERROR(VLOOKUP(G109,'Product_Stock_Master产品维护'!$A$2:$L992,11,FALSE),"No"))</f>
        <v>Yes</v>
      </c>
      <c r="AA109" s="42" t="str">
        <f>IF(G109="","",IFERROR(VLOOKUP(G109,'Product_Stock_Master产品维护'!$A$2:$L992,12,FALSE),""))</f>
        <v>Battery / 电池</v>
      </c>
      <c r="AB109" s="42"/>
      <c r="AC109" s="42"/>
    </row>
    <row r="110" ht="15.75" customHeight="1">
      <c r="A110" s="59" t="s">
        <v>552</v>
      </c>
      <c r="B110" s="60"/>
      <c r="C110" s="61" t="s">
        <v>67</v>
      </c>
      <c r="D110" s="32"/>
      <c r="E110" s="32"/>
      <c r="F110" s="32"/>
      <c r="G110" s="61" t="s">
        <v>378</v>
      </c>
      <c r="H110" s="34" t="str">
        <f>IF(G110="","",IFERROR(VLOOKUP(G110,'Product_Stock_Master产品维护'!$A$2:$E992,2,FALSE()),"SKU not found"))</f>
        <v>EQ4800-S</v>
      </c>
      <c r="I110" s="34" t="str">
        <f>IF(G110="","",IFERROR(VLOOKUP(G110,'Product_Stock_Master产品维护'!$A$2:$E992,3,FALSE()),"Item type not found"))</f>
        <v>Product</v>
      </c>
      <c r="J110" s="32"/>
      <c r="K110" s="61">
        <v>32.0</v>
      </c>
      <c r="L110" s="32"/>
      <c r="M110" s="61" t="s">
        <v>559</v>
      </c>
      <c r="N110" s="32"/>
      <c r="O110" s="34" t="str">
        <f t="shared" si="1"/>
        <v>OK</v>
      </c>
      <c r="P110" s="61" t="s">
        <v>383</v>
      </c>
      <c r="Q110" s="34" t="str">
        <f t="shared" si="2"/>
        <v>FLEX-01</v>
      </c>
      <c r="R110" s="34" t="str">
        <f t="shared" si="3"/>
        <v/>
      </c>
      <c r="S110" s="34">
        <f t="shared" si="4"/>
        <v>32</v>
      </c>
      <c r="T110" s="34" t="str">
        <f t="shared" si="5"/>
        <v>FLEX-01||97-223-00107-00||New / 新机</v>
      </c>
      <c r="U110" s="34" t="s">
        <v>593</v>
      </c>
      <c r="V110" s="41"/>
      <c r="W110" s="42" t="str">
        <f t="shared" si="6"/>
        <v>OK</v>
      </c>
      <c r="X110" s="42">
        <f t="shared" si="7"/>
        <v>0</v>
      </c>
      <c r="Y110" s="42">
        <f t="shared" si="8"/>
        <v>0</v>
      </c>
      <c r="Z110" s="42" t="str">
        <f>IF(G110="","",IFERROR(VLOOKUP(G110,'Product_Stock_Master产品维护'!$A$2:$L992,11,FALSE),"No"))</f>
        <v>Yes</v>
      </c>
      <c r="AA110" s="42" t="str">
        <f>IF(G110="","",IFERROR(VLOOKUP(G110,'Product_Stock_Master产品维护'!$A$2:$L992,12,FALSE),""))</f>
        <v>Battery / 电池</v>
      </c>
      <c r="AB110" s="42"/>
      <c r="AC110" s="42"/>
    </row>
    <row r="111" ht="15.75" customHeight="1">
      <c r="A111" s="59" t="s">
        <v>552</v>
      </c>
      <c r="B111" s="60"/>
      <c r="C111" s="61" t="s">
        <v>67</v>
      </c>
      <c r="D111" s="32"/>
      <c r="E111" s="32"/>
      <c r="F111" s="32"/>
      <c r="G111" s="61" t="s">
        <v>594</v>
      </c>
      <c r="H111" s="34" t="str">
        <f>IF(G111="","",IFERROR(VLOOKUP(G111,'Product_Stock_Master产品维护'!$A$2:$E992,2,FALSE()),"SKU not found"))</f>
        <v>KH10</v>
      </c>
      <c r="I111" s="34" t="str">
        <f>IF(G111="","",IFERROR(VLOOKUP(G111,'Product_Stock_Master产品维护'!$A$2:$E992,3,FALSE()),"Item type not found"))</f>
        <v>Product</v>
      </c>
      <c r="J111" s="32"/>
      <c r="K111" s="61">
        <v>2.0</v>
      </c>
      <c r="L111" s="32"/>
      <c r="M111" s="61" t="s">
        <v>559</v>
      </c>
      <c r="N111" s="32"/>
      <c r="O111" s="34" t="str">
        <f t="shared" si="1"/>
        <v>OK</v>
      </c>
      <c r="P111" s="61" t="s">
        <v>383</v>
      </c>
      <c r="Q111" s="34" t="str">
        <f t="shared" si="2"/>
        <v>FLEX-01</v>
      </c>
      <c r="R111" s="34" t="str">
        <f t="shared" si="3"/>
        <v/>
      </c>
      <c r="S111" s="34">
        <f t="shared" si="4"/>
        <v>2</v>
      </c>
      <c r="T111" s="34" t="str">
        <f t="shared" si="5"/>
        <v>FLEX-01||30-138-K1415-B0||New / 新机</v>
      </c>
      <c r="U111" s="34" t="s">
        <v>595</v>
      </c>
      <c r="V111" s="103" t="s">
        <v>596</v>
      </c>
      <c r="W111" s="42" t="str">
        <f t="shared" si="6"/>
        <v>OK</v>
      </c>
      <c r="X111" s="42">
        <f t="shared" si="7"/>
        <v>0</v>
      </c>
      <c r="Y111" s="42">
        <f t="shared" si="8"/>
        <v>0</v>
      </c>
      <c r="Z111" s="42" t="str">
        <f>IF(G111="","",IFERROR(VLOOKUP(G111,'Product_Stock_Master产品维护'!$A$2:$L992,11,FALSE),"No"))</f>
        <v>Yes</v>
      </c>
      <c r="AA111" s="42" t="str">
        <f>IF(G111="","",IFERROR(VLOOKUP(G111,'Product_Stock_Master产品维护'!$A$2:$L992,12,FALSE),""))</f>
        <v>Inverter / 逆变器</v>
      </c>
      <c r="AB111" s="42"/>
      <c r="AC111" s="42"/>
    </row>
    <row r="112" ht="15.75" customHeight="1">
      <c r="A112" s="59" t="s">
        <v>552</v>
      </c>
      <c r="B112" s="60"/>
      <c r="C112" s="61" t="s">
        <v>67</v>
      </c>
      <c r="D112" s="32"/>
      <c r="E112" s="32"/>
      <c r="F112" s="32"/>
      <c r="G112" s="61" t="s">
        <v>597</v>
      </c>
      <c r="H112" s="34" t="str">
        <f>IF(G112="","",IFERROR(VLOOKUP(G112,'Product_Stock_Master产品维护'!$A$2:$E992,2,FALSE()),"SKU not found"))</f>
        <v>H3-15.0-Smart</v>
      </c>
      <c r="I112" s="34" t="str">
        <f>IF(G112="","",IFERROR(VLOOKUP(G112,'Product_Stock_Master产品维护'!$A$2:$E992,3,FALSE()),"Item type not found"))</f>
        <v>Product</v>
      </c>
      <c r="J112" s="32"/>
      <c r="K112" s="61">
        <v>2.0</v>
      </c>
      <c r="L112" s="32"/>
      <c r="M112" s="61" t="s">
        <v>559</v>
      </c>
      <c r="N112" s="32"/>
      <c r="O112" s="34" t="str">
        <f t="shared" si="1"/>
        <v>OK</v>
      </c>
      <c r="P112" s="61" t="s">
        <v>383</v>
      </c>
      <c r="Q112" s="34" t="str">
        <f t="shared" si="2"/>
        <v>FLEX-01</v>
      </c>
      <c r="R112" s="34" t="str">
        <f t="shared" si="3"/>
        <v/>
      </c>
      <c r="S112" s="34">
        <f t="shared" si="4"/>
        <v>2</v>
      </c>
      <c r="T112" s="34" t="str">
        <f t="shared" si="5"/>
        <v>FLEX-01||97-141-00062-B0||New / 新机</v>
      </c>
      <c r="U112" s="34" t="s">
        <v>598</v>
      </c>
      <c r="V112" s="41"/>
      <c r="W112" s="42" t="str">
        <f t="shared" si="6"/>
        <v>OK</v>
      </c>
      <c r="X112" s="42">
        <f t="shared" si="7"/>
        <v>0</v>
      </c>
      <c r="Y112" s="42">
        <f t="shared" si="8"/>
        <v>0</v>
      </c>
      <c r="Z112" s="42" t="str">
        <f>IF(G112="","",IFERROR(VLOOKUP(G112,'Product_Stock_Master产品维护'!$A$2:$L992,11,FALSE),"No"))</f>
        <v>Yes</v>
      </c>
      <c r="AA112" s="42" t="str">
        <f>IF(G112="","",IFERROR(VLOOKUP(G112,'Product_Stock_Master产品维护'!$A$2:$L992,12,FALSE),""))</f>
        <v>Inverter / 逆变器</v>
      </c>
      <c r="AB112" s="42"/>
      <c r="AC112" s="42"/>
    </row>
    <row r="113" ht="15.75" customHeight="1">
      <c r="A113" s="59" t="s">
        <v>552</v>
      </c>
      <c r="B113" s="60"/>
      <c r="C113" s="61" t="s">
        <v>67</v>
      </c>
      <c r="D113" s="32"/>
      <c r="E113" s="32"/>
      <c r="F113" s="32"/>
      <c r="G113" s="61" t="s">
        <v>597</v>
      </c>
      <c r="H113" s="34" t="str">
        <f>IF(G113="","",IFERROR(VLOOKUP(G113,'Product_Stock_Master产品维护'!$A$2:$E992,2,FALSE()),"SKU not found"))</f>
        <v>H3-15.0-Smart</v>
      </c>
      <c r="I113" s="34" t="str">
        <f>IF(G113="","",IFERROR(VLOOKUP(G113,'Product_Stock_Master产品维护'!$A$2:$E992,3,FALSE()),"Item type not found"))</f>
        <v>Product</v>
      </c>
      <c r="J113" s="32"/>
      <c r="K113" s="61">
        <v>6.0</v>
      </c>
      <c r="L113" s="32"/>
      <c r="M113" s="61" t="s">
        <v>559</v>
      </c>
      <c r="N113" s="32"/>
      <c r="O113" s="34" t="str">
        <f t="shared" si="1"/>
        <v>OK</v>
      </c>
      <c r="P113" s="61" t="s">
        <v>383</v>
      </c>
      <c r="Q113" s="34" t="str">
        <f t="shared" si="2"/>
        <v>FLEX-01</v>
      </c>
      <c r="R113" s="34" t="str">
        <f t="shared" si="3"/>
        <v/>
      </c>
      <c r="S113" s="34">
        <f t="shared" si="4"/>
        <v>6</v>
      </c>
      <c r="T113" s="34" t="str">
        <f t="shared" si="5"/>
        <v>FLEX-01||97-141-00062-B0||New / 新机</v>
      </c>
      <c r="U113" s="34" t="s">
        <v>599</v>
      </c>
      <c r="V113" s="41"/>
      <c r="W113" s="42" t="str">
        <f t="shared" si="6"/>
        <v>OK</v>
      </c>
      <c r="X113" s="42">
        <f t="shared" si="7"/>
        <v>0</v>
      </c>
      <c r="Y113" s="42">
        <f t="shared" si="8"/>
        <v>0</v>
      </c>
      <c r="Z113" s="42" t="str">
        <f>IF(G113="","",IFERROR(VLOOKUP(G113,'Product_Stock_Master产品维护'!$A$2:$L992,11,FALSE),"No"))</f>
        <v>Yes</v>
      </c>
      <c r="AA113" s="42" t="str">
        <f>IF(G113="","",IFERROR(VLOOKUP(G113,'Product_Stock_Master产品维护'!$A$2:$L992,12,FALSE),""))</f>
        <v>Inverter / 逆变器</v>
      </c>
      <c r="AB113" s="42"/>
      <c r="AC113" s="42"/>
    </row>
    <row r="114" ht="15.75" customHeight="1">
      <c r="A114" s="59" t="s">
        <v>552</v>
      </c>
      <c r="B114" s="60"/>
      <c r="C114" s="61" t="s">
        <v>67</v>
      </c>
      <c r="D114" s="32"/>
      <c r="E114" s="32"/>
      <c r="F114" s="32"/>
      <c r="G114" s="61" t="s">
        <v>558</v>
      </c>
      <c r="H114" s="34" t="str">
        <f>IF(G114="","",IFERROR(VLOOKUP(G114,'Product_Stock_Master产品维护'!$A$2:$E992,2,FALSE()),"SKU not found"))</f>
        <v>CQ6-M</v>
      </c>
      <c r="I114" s="34" t="str">
        <f>IF(G114="","",IFERROR(VLOOKUP(G114,'Product_Stock_Master产品维护'!$A$2:$E992,3,FALSE()),"Item type not found"))</f>
        <v>Product</v>
      </c>
      <c r="J114" s="32"/>
      <c r="K114" s="61">
        <v>6.0</v>
      </c>
      <c r="L114" s="32"/>
      <c r="M114" s="61" t="s">
        <v>559</v>
      </c>
      <c r="N114" s="32"/>
      <c r="O114" s="34" t="str">
        <f t="shared" si="1"/>
        <v>OK</v>
      </c>
      <c r="P114" s="61" t="s">
        <v>383</v>
      </c>
      <c r="Q114" s="34" t="str">
        <f t="shared" si="2"/>
        <v>FLEX-01</v>
      </c>
      <c r="R114" s="34" t="str">
        <f t="shared" si="3"/>
        <v/>
      </c>
      <c r="S114" s="34">
        <f t="shared" si="4"/>
        <v>6</v>
      </c>
      <c r="T114" s="34" t="str">
        <f t="shared" si="5"/>
        <v>FLEX-01||97-229-00020-00||New / 新机</v>
      </c>
      <c r="U114" s="34" t="s">
        <v>600</v>
      </c>
      <c r="V114" s="41"/>
      <c r="W114" s="42" t="str">
        <f t="shared" si="6"/>
        <v>OK</v>
      </c>
      <c r="X114" s="42">
        <f t="shared" si="7"/>
        <v>0</v>
      </c>
      <c r="Y114" s="42">
        <f t="shared" si="8"/>
        <v>0</v>
      </c>
      <c r="Z114" s="42" t="str">
        <f>IF(G114="","",IFERROR(VLOOKUP(G114,'Product_Stock_Master产品维护'!$A$2:$L992,11,FALSE),"No"))</f>
        <v>Yes</v>
      </c>
      <c r="AA114" s="42" t="str">
        <f>IF(G114="","",IFERROR(VLOOKUP(G114,'Product_Stock_Master产品维护'!$A$2:$L992,12,FALSE),""))</f>
        <v>Battery / 电池</v>
      </c>
      <c r="AB114" s="42"/>
      <c r="AC114" s="42"/>
    </row>
    <row r="115" ht="15.75" customHeight="1">
      <c r="A115" s="59" t="s">
        <v>552</v>
      </c>
      <c r="B115" s="60"/>
      <c r="C115" s="61" t="s">
        <v>67</v>
      </c>
      <c r="D115" s="32"/>
      <c r="E115" s="32"/>
      <c r="F115" s="32"/>
      <c r="G115" s="61" t="s">
        <v>558</v>
      </c>
      <c r="H115" s="34" t="str">
        <f>IF(G115="","",IFERROR(VLOOKUP(G115,'Product_Stock_Master产品维护'!$A$2:$E992,2,FALSE()),"SKU not found"))</f>
        <v>CQ6-M</v>
      </c>
      <c r="I115" s="34" t="str">
        <f>IF(G115="","",IFERROR(VLOOKUP(G115,'Product_Stock_Master产品维护'!$A$2:$E992,3,FALSE()),"Item type not found"))</f>
        <v>Product</v>
      </c>
      <c r="J115" s="32"/>
      <c r="K115" s="61">
        <v>6.0</v>
      </c>
      <c r="L115" s="32"/>
      <c r="M115" s="61" t="s">
        <v>559</v>
      </c>
      <c r="N115" s="32"/>
      <c r="O115" s="34" t="str">
        <f t="shared" si="1"/>
        <v>OK</v>
      </c>
      <c r="P115" s="61" t="s">
        <v>383</v>
      </c>
      <c r="Q115" s="34" t="str">
        <f t="shared" si="2"/>
        <v>FLEX-01</v>
      </c>
      <c r="R115" s="34" t="str">
        <f t="shared" si="3"/>
        <v/>
      </c>
      <c r="S115" s="34">
        <f t="shared" si="4"/>
        <v>6</v>
      </c>
      <c r="T115" s="34" t="str">
        <f t="shared" si="5"/>
        <v>FLEX-01||97-229-00020-00||New / 新机</v>
      </c>
      <c r="U115" s="34" t="s">
        <v>602</v>
      </c>
      <c r="V115" s="41"/>
      <c r="W115" s="42" t="str">
        <f t="shared" si="6"/>
        <v>OK</v>
      </c>
      <c r="X115" s="42">
        <f t="shared" si="7"/>
        <v>0</v>
      </c>
      <c r="Y115" s="42">
        <f t="shared" si="8"/>
        <v>0</v>
      </c>
      <c r="Z115" s="42" t="str">
        <f>IF(G115="","",IFERROR(VLOOKUP(G115,'Product_Stock_Master产品维护'!$A$2:$L992,11,FALSE),"No"))</f>
        <v>Yes</v>
      </c>
      <c r="AA115" s="42" t="str">
        <f>IF(G115="","",IFERROR(VLOOKUP(G115,'Product_Stock_Master产品维护'!$A$2:$L992,12,FALSE),""))</f>
        <v>Battery / 电池</v>
      </c>
      <c r="AB115" s="42"/>
      <c r="AC115" s="42"/>
    </row>
    <row r="116" ht="15.75" customHeight="1">
      <c r="A116" s="59" t="s">
        <v>552</v>
      </c>
      <c r="B116" s="60"/>
      <c r="C116" s="61" t="s">
        <v>67</v>
      </c>
      <c r="D116" s="32"/>
      <c r="E116" s="32"/>
      <c r="F116" s="32"/>
      <c r="G116" s="61" t="s">
        <v>558</v>
      </c>
      <c r="H116" s="34" t="str">
        <f>IF(G116="","",IFERROR(VLOOKUP(G116,'Product_Stock_Master产品维护'!$A$2:$E992,2,FALSE()),"SKU not found"))</f>
        <v>CQ6-M</v>
      </c>
      <c r="I116" s="34" t="str">
        <f>IF(G116="","",IFERROR(VLOOKUP(G116,'Product_Stock_Master产品维护'!$A$2:$E992,3,FALSE()),"Item type not found"))</f>
        <v>Product</v>
      </c>
      <c r="J116" s="32"/>
      <c r="K116" s="61">
        <v>6.0</v>
      </c>
      <c r="L116" s="32"/>
      <c r="M116" s="61" t="s">
        <v>559</v>
      </c>
      <c r="N116" s="32"/>
      <c r="O116" s="34" t="str">
        <f t="shared" si="1"/>
        <v>OK</v>
      </c>
      <c r="P116" s="61" t="s">
        <v>383</v>
      </c>
      <c r="Q116" s="34" t="str">
        <f t="shared" si="2"/>
        <v>FLEX-01</v>
      </c>
      <c r="R116" s="34" t="str">
        <f t="shared" si="3"/>
        <v/>
      </c>
      <c r="S116" s="34">
        <f t="shared" si="4"/>
        <v>6</v>
      </c>
      <c r="T116" s="34" t="str">
        <f t="shared" si="5"/>
        <v>FLEX-01||97-229-00020-00||New / 新机</v>
      </c>
      <c r="U116" s="34" t="s">
        <v>605</v>
      </c>
      <c r="V116" s="41"/>
      <c r="W116" s="42" t="str">
        <f t="shared" si="6"/>
        <v>OK</v>
      </c>
      <c r="X116" s="42">
        <f t="shared" si="7"/>
        <v>0</v>
      </c>
      <c r="Y116" s="42">
        <f t="shared" si="8"/>
        <v>0</v>
      </c>
      <c r="Z116" s="42" t="str">
        <f>IF(G116="","",IFERROR(VLOOKUP(G116,'Product_Stock_Master产品维护'!$A$2:$L992,11,FALSE),"No"))</f>
        <v>Yes</v>
      </c>
      <c r="AA116" s="42" t="str">
        <f>IF(G116="","",IFERROR(VLOOKUP(G116,'Product_Stock_Master产品维护'!$A$2:$L992,12,FALSE),""))</f>
        <v>Battery / 电池</v>
      </c>
      <c r="AB116" s="42"/>
      <c r="AC116" s="42"/>
    </row>
    <row r="117" ht="15.75" customHeight="1">
      <c r="A117" s="59" t="s">
        <v>552</v>
      </c>
      <c r="B117" s="60"/>
      <c r="C117" s="61" t="s">
        <v>67</v>
      </c>
      <c r="D117" s="32"/>
      <c r="E117" s="32"/>
      <c r="F117" s="32"/>
      <c r="G117" s="61" t="s">
        <v>558</v>
      </c>
      <c r="H117" s="34" t="str">
        <f>IF(G117="","",IFERROR(VLOOKUP(G117,'Product_Stock_Master产品维护'!$A$2:$E992,2,FALSE()),"SKU not found"))</f>
        <v>CQ6-M</v>
      </c>
      <c r="I117" s="34" t="str">
        <f>IF(G117="","",IFERROR(VLOOKUP(G117,'Product_Stock_Master产品维护'!$A$2:$E992,3,FALSE()),"Item type not found"))</f>
        <v>Product</v>
      </c>
      <c r="J117" s="32"/>
      <c r="K117" s="61">
        <v>6.0</v>
      </c>
      <c r="L117" s="32"/>
      <c r="M117" s="61" t="s">
        <v>559</v>
      </c>
      <c r="N117" s="32"/>
      <c r="O117" s="34" t="str">
        <f t="shared" si="1"/>
        <v>OK</v>
      </c>
      <c r="P117" s="61" t="s">
        <v>383</v>
      </c>
      <c r="Q117" s="34" t="str">
        <f t="shared" si="2"/>
        <v>FLEX-01</v>
      </c>
      <c r="R117" s="34" t="str">
        <f t="shared" si="3"/>
        <v/>
      </c>
      <c r="S117" s="34">
        <f t="shared" si="4"/>
        <v>6</v>
      </c>
      <c r="T117" s="34" t="str">
        <f t="shared" si="5"/>
        <v>FLEX-01||97-229-00020-00||New / 新机</v>
      </c>
      <c r="U117" s="34" t="s">
        <v>606</v>
      </c>
      <c r="V117" s="41"/>
      <c r="W117" s="42" t="str">
        <f t="shared" si="6"/>
        <v>OK</v>
      </c>
      <c r="X117" s="42">
        <f t="shared" si="7"/>
        <v>0</v>
      </c>
      <c r="Y117" s="42">
        <f t="shared" si="8"/>
        <v>0</v>
      </c>
      <c r="Z117" s="42" t="str">
        <f>IF(G117="","",IFERROR(VLOOKUP(G117,'Product_Stock_Master产品维护'!$A$2:$L992,11,FALSE),"No"))</f>
        <v>Yes</v>
      </c>
      <c r="AA117" s="42" t="str">
        <f>IF(G117="","",IFERROR(VLOOKUP(G117,'Product_Stock_Master产品维护'!$A$2:$L992,12,FALSE),""))</f>
        <v>Battery / 电池</v>
      </c>
      <c r="AB117" s="42"/>
      <c r="AC117" s="42"/>
    </row>
    <row r="118" ht="15.75" customHeight="1">
      <c r="A118" s="59" t="s">
        <v>552</v>
      </c>
      <c r="B118" s="60"/>
      <c r="C118" s="61" t="s">
        <v>67</v>
      </c>
      <c r="D118" s="32"/>
      <c r="E118" s="32"/>
      <c r="F118" s="32"/>
      <c r="G118" s="61" t="s">
        <v>558</v>
      </c>
      <c r="H118" s="34" t="str">
        <f>IF(G118="","",IFERROR(VLOOKUP(G118,'Product_Stock_Master产品维护'!$A$2:$E992,2,FALSE()),"SKU not found"))</f>
        <v>CQ6-M</v>
      </c>
      <c r="I118" s="34" t="str">
        <f>IF(G118="","",IFERROR(VLOOKUP(G118,'Product_Stock_Master产品维护'!$A$2:$E992,3,FALSE()),"Item type not found"))</f>
        <v>Product</v>
      </c>
      <c r="J118" s="32"/>
      <c r="K118" s="61">
        <v>6.0</v>
      </c>
      <c r="L118" s="32"/>
      <c r="M118" s="61" t="s">
        <v>559</v>
      </c>
      <c r="N118" s="32"/>
      <c r="O118" s="34" t="str">
        <f t="shared" si="1"/>
        <v>OK</v>
      </c>
      <c r="P118" s="61" t="s">
        <v>383</v>
      </c>
      <c r="Q118" s="34" t="str">
        <f t="shared" si="2"/>
        <v>FLEX-01</v>
      </c>
      <c r="R118" s="34" t="str">
        <f t="shared" si="3"/>
        <v/>
      </c>
      <c r="S118" s="34">
        <f t="shared" si="4"/>
        <v>6</v>
      </c>
      <c r="T118" s="34" t="str">
        <f t="shared" si="5"/>
        <v>FLEX-01||97-229-00020-00||New / 新机</v>
      </c>
      <c r="U118" s="34" t="s">
        <v>607</v>
      </c>
      <c r="V118" s="41"/>
      <c r="W118" s="42" t="str">
        <f t="shared" si="6"/>
        <v>OK</v>
      </c>
      <c r="X118" s="42">
        <f t="shared" si="7"/>
        <v>0</v>
      </c>
      <c r="Y118" s="42">
        <f t="shared" si="8"/>
        <v>0</v>
      </c>
      <c r="Z118" s="42" t="str">
        <f>IF(G118="","",IFERROR(VLOOKUP(G118,'Product_Stock_Master产品维护'!$A$2:$L992,11,FALSE),"No"))</f>
        <v>Yes</v>
      </c>
      <c r="AA118" s="42" t="str">
        <f>IF(G118="","",IFERROR(VLOOKUP(G118,'Product_Stock_Master产品维护'!$A$2:$L992,12,FALSE),""))</f>
        <v>Battery / 电池</v>
      </c>
      <c r="AB118" s="42"/>
      <c r="AC118" s="42"/>
    </row>
    <row r="119" ht="15.75" customHeight="1">
      <c r="A119" s="59" t="s">
        <v>552</v>
      </c>
      <c r="B119" s="60"/>
      <c r="C119" s="61" t="s">
        <v>67</v>
      </c>
      <c r="D119" s="32"/>
      <c r="E119" s="32"/>
      <c r="F119" s="32"/>
      <c r="G119" s="61" t="s">
        <v>437</v>
      </c>
      <c r="H119" s="34" t="str">
        <f>IF(G119="","",IFERROR(VLOOKUP(G119,'Product_Stock_Master产品维护'!$A$2:$E992,2,FALSE()),"SKU not found"))</f>
        <v>CQ6-S</v>
      </c>
      <c r="I119" s="34" t="str">
        <f>IF(G119="","",IFERROR(VLOOKUP(G119,'Product_Stock_Master产品维护'!$A$2:$E992,3,FALSE()),"Item type not found"))</f>
        <v>Product</v>
      </c>
      <c r="J119" s="32"/>
      <c r="K119" s="61">
        <v>6.0</v>
      </c>
      <c r="L119" s="32"/>
      <c r="M119" s="61" t="s">
        <v>559</v>
      </c>
      <c r="N119" s="32"/>
      <c r="O119" s="34" t="str">
        <f t="shared" si="1"/>
        <v>OK</v>
      </c>
      <c r="P119" s="61" t="s">
        <v>383</v>
      </c>
      <c r="Q119" s="34" t="str">
        <f t="shared" si="2"/>
        <v>FLEX-01</v>
      </c>
      <c r="R119" s="34" t="str">
        <f t="shared" si="3"/>
        <v/>
      </c>
      <c r="S119" s="34">
        <f t="shared" si="4"/>
        <v>6</v>
      </c>
      <c r="T119" s="34" t="str">
        <f t="shared" si="5"/>
        <v>FLEX-01||97-229-00021-00||New / 新机</v>
      </c>
      <c r="U119" s="34" t="s">
        <v>608</v>
      </c>
      <c r="V119" s="41"/>
      <c r="W119" s="42" t="str">
        <f t="shared" si="6"/>
        <v>OK</v>
      </c>
      <c r="X119" s="42">
        <f t="shared" si="7"/>
        <v>0</v>
      </c>
      <c r="Y119" s="42">
        <f t="shared" si="8"/>
        <v>0</v>
      </c>
      <c r="Z119" s="42" t="str">
        <f>IF(G119="","",IFERROR(VLOOKUP(G119,'Product_Stock_Master产品维护'!$A$2:$L992,11,FALSE),"No"))</f>
        <v>Yes</v>
      </c>
      <c r="AA119" s="42" t="str">
        <f>IF(G119="","",IFERROR(VLOOKUP(G119,'Product_Stock_Master产品维护'!$A$2:$L992,12,FALSE),""))</f>
        <v>Battery / 电池</v>
      </c>
      <c r="AB119" s="42"/>
      <c r="AC119" s="42"/>
    </row>
    <row r="120" ht="15.75" customHeight="1">
      <c r="A120" s="59" t="s">
        <v>552</v>
      </c>
      <c r="B120" s="60"/>
      <c r="C120" s="61" t="s">
        <v>67</v>
      </c>
      <c r="D120" s="32"/>
      <c r="E120" s="32"/>
      <c r="F120" s="32"/>
      <c r="G120" s="61" t="s">
        <v>437</v>
      </c>
      <c r="H120" s="34" t="str">
        <f>IF(G120="","",IFERROR(VLOOKUP(G120,'Product_Stock_Master产品维护'!$A$2:$E992,2,FALSE()),"SKU not found"))</f>
        <v>CQ6-S</v>
      </c>
      <c r="I120" s="34" t="str">
        <f>IF(G120="","",IFERROR(VLOOKUP(G120,'Product_Stock_Master产品维护'!$A$2:$E992,3,FALSE()),"Item type not found"))</f>
        <v>Product</v>
      </c>
      <c r="J120" s="32"/>
      <c r="K120" s="61">
        <v>6.0</v>
      </c>
      <c r="L120" s="32"/>
      <c r="M120" s="61" t="s">
        <v>559</v>
      </c>
      <c r="N120" s="32"/>
      <c r="O120" s="34" t="str">
        <f t="shared" si="1"/>
        <v>OK</v>
      </c>
      <c r="P120" s="61" t="s">
        <v>383</v>
      </c>
      <c r="Q120" s="34" t="str">
        <f t="shared" si="2"/>
        <v>FLEX-01</v>
      </c>
      <c r="R120" s="34" t="str">
        <f t="shared" si="3"/>
        <v/>
      </c>
      <c r="S120" s="34">
        <f t="shared" si="4"/>
        <v>6</v>
      </c>
      <c r="T120" s="34" t="str">
        <f t="shared" si="5"/>
        <v>FLEX-01||97-229-00021-00||New / 新机</v>
      </c>
      <c r="U120" s="34" t="s">
        <v>609</v>
      </c>
      <c r="V120" s="41"/>
      <c r="W120" s="42" t="str">
        <f t="shared" si="6"/>
        <v>OK</v>
      </c>
      <c r="X120" s="42">
        <f t="shared" si="7"/>
        <v>0</v>
      </c>
      <c r="Y120" s="42">
        <f t="shared" si="8"/>
        <v>0</v>
      </c>
      <c r="Z120" s="42" t="str">
        <f>IF(G120="","",IFERROR(VLOOKUP(G120,'Product_Stock_Master产品维护'!$A$2:$L992,11,FALSE),"No"))</f>
        <v>Yes</v>
      </c>
      <c r="AA120" s="42" t="str">
        <f>IF(G120="","",IFERROR(VLOOKUP(G120,'Product_Stock_Master产品维护'!$A$2:$L992,12,FALSE),""))</f>
        <v>Battery / 电池</v>
      </c>
      <c r="AB120" s="42"/>
      <c r="AC120" s="42"/>
    </row>
    <row r="121" ht="15.75" customHeight="1">
      <c r="A121" s="60">
        <v>46230.0</v>
      </c>
      <c r="B121" s="60"/>
      <c r="C121" s="62" t="s">
        <v>67</v>
      </c>
      <c r="D121" s="32"/>
      <c r="E121" s="32"/>
      <c r="F121" s="32"/>
      <c r="G121" s="61" t="s">
        <v>610</v>
      </c>
      <c r="H121" s="34" t="str">
        <f>IF(G121="","",IFERROR(VLOOKUP(G121,'Product_Stock_Master产品维护'!$A$2:$E992,2,FALSE()),"SKU not found"))</f>
        <v>EQ4800-S</v>
      </c>
      <c r="I121" s="34" t="str">
        <f>IF(G121="","",IFERROR(VLOOKUP(G121,'Product_Stock_Master产品维护'!$A$2:$E992,3,FALSE()),"Item type not found"))</f>
        <v>Product</v>
      </c>
      <c r="J121" s="32"/>
      <c r="K121" s="61">
        <v>2.0</v>
      </c>
      <c r="L121" s="32"/>
      <c r="M121" s="61" t="s">
        <v>559</v>
      </c>
      <c r="N121" s="32"/>
      <c r="O121" s="34" t="str">
        <f t="shared" si="1"/>
        <v>OK</v>
      </c>
      <c r="P121" s="61" t="s">
        <v>366</v>
      </c>
      <c r="Q121" s="34" t="str">
        <f t="shared" si="2"/>
        <v>FLEX-01</v>
      </c>
      <c r="R121" s="34" t="str">
        <f t="shared" si="3"/>
        <v/>
      </c>
      <c r="S121" s="34">
        <f t="shared" si="4"/>
        <v>2</v>
      </c>
      <c r="T121" s="34" t="str">
        <f t="shared" si="5"/>
        <v>FLEX-01||30-223-00002-00||Repair_Good / 维修良品</v>
      </c>
      <c r="U121" s="34" t="s">
        <v>611</v>
      </c>
      <c r="V121" s="135" t="s">
        <v>612</v>
      </c>
      <c r="W121" s="42" t="str">
        <f t="shared" si="6"/>
        <v>OK</v>
      </c>
      <c r="X121" s="42">
        <f t="shared" si="7"/>
        <v>0</v>
      </c>
      <c r="Y121" s="42">
        <f t="shared" si="8"/>
        <v>0</v>
      </c>
      <c r="Z121" s="42" t="str">
        <f>IF(G121="","",IFERROR(VLOOKUP(G121,'Product_Stock_Master产品维护'!$A$2:$L992,11,FALSE),"No"))</f>
        <v>Yes</v>
      </c>
      <c r="AA121" s="42" t="str">
        <f>IF(G121="","",IFERROR(VLOOKUP(G121,'Product_Stock_Master产品维护'!$A$2:$L992,12,FALSE),""))</f>
        <v>Battery / 电池</v>
      </c>
      <c r="AB121" s="42"/>
      <c r="AC121" s="42"/>
    </row>
    <row r="122" ht="15.75" customHeight="1">
      <c r="A122" s="60">
        <v>46230.0</v>
      </c>
      <c r="B122" s="60"/>
      <c r="C122" s="62" t="s">
        <v>67</v>
      </c>
      <c r="D122" s="32"/>
      <c r="E122" s="32"/>
      <c r="F122" s="32"/>
      <c r="G122" s="61" t="s">
        <v>613</v>
      </c>
      <c r="H122" s="34" t="str">
        <f>IF(G122="","",IFERROR(VLOOKUP(G122,'Product_Stock_Master产品维护'!$A$2:$E992,2,FALSE()),"SKU not found"))</f>
        <v>EQ4800-S</v>
      </c>
      <c r="I122" s="34" t="str">
        <f>IF(G122="","",IFERROR(VLOOKUP(G122,'Product_Stock_Master产品维护'!$A$2:$E992,3,FALSE()),"Item type not found"))</f>
        <v>Product</v>
      </c>
      <c r="J122" s="32"/>
      <c r="K122" s="61">
        <v>8.0</v>
      </c>
      <c r="L122" s="32"/>
      <c r="M122" s="61" t="s">
        <v>559</v>
      </c>
      <c r="N122" s="32"/>
      <c r="O122" s="34" t="str">
        <f t="shared" si="1"/>
        <v>OK</v>
      </c>
      <c r="P122" s="61" t="s">
        <v>366</v>
      </c>
      <c r="Q122" s="34" t="str">
        <f t="shared" si="2"/>
        <v>FLEX-01</v>
      </c>
      <c r="R122" s="34" t="str">
        <f t="shared" si="3"/>
        <v/>
      </c>
      <c r="S122" s="34">
        <f t="shared" si="4"/>
        <v>8</v>
      </c>
      <c r="T122" s="34" t="str">
        <f t="shared" si="5"/>
        <v>FLEX-01||97-223-00067-00||Repair_Good / 维修良品</v>
      </c>
      <c r="U122" s="34" t="s">
        <v>614</v>
      </c>
      <c r="V122" s="135" t="s">
        <v>612</v>
      </c>
      <c r="W122" s="42" t="str">
        <f t="shared" si="6"/>
        <v>OK</v>
      </c>
      <c r="X122" s="42">
        <f t="shared" si="7"/>
        <v>0</v>
      </c>
      <c r="Y122" s="42">
        <f t="shared" si="8"/>
        <v>0</v>
      </c>
      <c r="Z122" s="42" t="str">
        <f>IF(G122="","",IFERROR(VLOOKUP(G122,'Product_Stock_Master产品维护'!$A$2:$L992,11,FALSE),"No"))</f>
        <v>Yes</v>
      </c>
      <c r="AA122" s="42" t="str">
        <f>IF(G122="","",IFERROR(VLOOKUP(G122,'Product_Stock_Master产品维护'!$A$2:$L992,12,FALSE),""))</f>
        <v>Battery / 电池</v>
      </c>
      <c r="AB122" s="42"/>
      <c r="AC122" s="42"/>
    </row>
    <row r="123" ht="15.75" customHeight="1">
      <c r="A123" s="60">
        <v>46230.0</v>
      </c>
      <c r="B123" s="60"/>
      <c r="C123" s="62" t="s">
        <v>67</v>
      </c>
      <c r="D123" s="32"/>
      <c r="E123" s="32"/>
      <c r="F123" s="32"/>
      <c r="G123" s="61" t="s">
        <v>594</v>
      </c>
      <c r="H123" s="34" t="str">
        <f>IF(G123="","",IFERROR(VLOOKUP(G123,'Product_Stock_Master产品维护'!$A$2:$E992,2,FALSE()),"SKU not found"))</f>
        <v>KH10</v>
      </c>
      <c r="I123" s="34" t="str">
        <f>IF(G123="","",IFERROR(VLOOKUP(G123,'Product_Stock_Master产品维护'!$A$2:$E992,3,FALSE()),"Item type not found"))</f>
        <v>Product</v>
      </c>
      <c r="J123" s="32"/>
      <c r="K123" s="61">
        <v>8.0</v>
      </c>
      <c r="L123" s="32"/>
      <c r="M123" s="61" t="s">
        <v>559</v>
      </c>
      <c r="N123" s="32"/>
      <c r="O123" s="34" t="str">
        <f t="shared" si="1"/>
        <v>OK</v>
      </c>
      <c r="P123" s="61" t="s">
        <v>366</v>
      </c>
      <c r="Q123" s="34" t="str">
        <f t="shared" si="2"/>
        <v>FLEX-01</v>
      </c>
      <c r="R123" s="34" t="str">
        <f t="shared" si="3"/>
        <v/>
      </c>
      <c r="S123" s="34">
        <f t="shared" si="4"/>
        <v>8</v>
      </c>
      <c r="T123" s="34" t="str">
        <f t="shared" si="5"/>
        <v>FLEX-01||30-138-K1415-B0||Repair_Good / 维修良品</v>
      </c>
      <c r="U123" s="34" t="s">
        <v>615</v>
      </c>
      <c r="V123" s="135" t="s">
        <v>616</v>
      </c>
      <c r="W123" s="42" t="str">
        <f t="shared" si="6"/>
        <v>OK</v>
      </c>
      <c r="X123" s="42">
        <f t="shared" si="7"/>
        <v>0</v>
      </c>
      <c r="Y123" s="42">
        <f t="shared" si="8"/>
        <v>0</v>
      </c>
      <c r="Z123" s="42" t="str">
        <f>IF(G123="","",IFERROR(VLOOKUP(G123,'Product_Stock_Master产品维护'!$A$2:$L992,11,FALSE),"No"))</f>
        <v>Yes</v>
      </c>
      <c r="AA123" s="42" t="str">
        <f>IF(G123="","",IFERROR(VLOOKUP(G123,'Product_Stock_Master产品维护'!$A$2:$L992,12,FALSE),""))</f>
        <v>Inverter / 逆变器</v>
      </c>
      <c r="AB123" s="42"/>
      <c r="AC123" s="42"/>
    </row>
    <row r="124" ht="15.75" customHeight="1">
      <c r="A124" s="60">
        <v>46230.0</v>
      </c>
      <c r="B124" s="60"/>
      <c r="C124" s="62" t="s">
        <v>67</v>
      </c>
      <c r="D124" s="32"/>
      <c r="E124" s="32"/>
      <c r="F124" s="32"/>
      <c r="G124" s="61" t="s">
        <v>617</v>
      </c>
      <c r="H124" s="34" t="str">
        <f>IF(G124="","",IFERROR(VLOOKUP(G124,'Product_Stock_Master产品维护'!$A$2:$E992,2,FALSE()),"SKU not found"))</f>
        <v>KH9.9</v>
      </c>
      <c r="I124" s="34" t="str">
        <f>IF(G124="","",IFERROR(VLOOKUP(G124,'Product_Stock_Master产品维护'!$A$2:$E992,3,FALSE()),"Item type not found"))</f>
        <v>Material</v>
      </c>
      <c r="J124" s="32"/>
      <c r="K124" s="61">
        <v>4.0</v>
      </c>
      <c r="L124" s="32"/>
      <c r="M124" s="61" t="s">
        <v>559</v>
      </c>
      <c r="N124" s="32"/>
      <c r="O124" s="34" t="str">
        <f t="shared" si="1"/>
        <v>OK</v>
      </c>
      <c r="P124" s="61" t="s">
        <v>366</v>
      </c>
      <c r="Q124" s="34" t="str">
        <f t="shared" si="2"/>
        <v>FLEX-01</v>
      </c>
      <c r="R124" s="34" t="str">
        <f t="shared" si="3"/>
        <v/>
      </c>
      <c r="S124" s="34">
        <f t="shared" si="4"/>
        <v>4</v>
      </c>
      <c r="T124" s="34" t="str">
        <f t="shared" si="5"/>
        <v>FLEX-01||30-138-K1615-B0||Repair_Good / 维修良品</v>
      </c>
      <c r="U124" s="34" t="s">
        <v>618</v>
      </c>
      <c r="V124" s="135" t="s">
        <v>612</v>
      </c>
      <c r="W124" s="42" t="str">
        <f t="shared" si="6"/>
        <v>OK</v>
      </c>
      <c r="X124" s="42">
        <f t="shared" si="7"/>
        <v>0</v>
      </c>
      <c r="Y124" s="42">
        <f t="shared" si="8"/>
        <v>0</v>
      </c>
      <c r="Z124" s="42" t="str">
        <f>IF(G124="","",IFERROR(VLOOKUP(G124,'Product_Stock_Master产品维护'!$A$2:$L992,11,FALSE),"No"))</f>
        <v>Yes</v>
      </c>
      <c r="AA124" s="42" t="str">
        <f>IF(G124="","",IFERROR(VLOOKUP(G124,'Product_Stock_Master产品维护'!$A$2:$L992,12,FALSE),""))</f>
        <v>Inverter / 逆变器</v>
      </c>
      <c r="AB124" s="42"/>
      <c r="AC124" s="42"/>
    </row>
    <row r="125" ht="15.75" customHeight="1">
      <c r="A125" s="60">
        <v>46230.0</v>
      </c>
      <c r="B125" s="60"/>
      <c r="C125" s="62" t="s">
        <v>67</v>
      </c>
      <c r="D125" s="32"/>
      <c r="E125" s="32"/>
      <c r="F125" s="32"/>
      <c r="G125" s="61" t="s">
        <v>579</v>
      </c>
      <c r="H125" s="34" t="str">
        <f>IF(G125="","",IFERROR(VLOOKUP(G125,'Product_Stock_Master产品维护'!$A$2:$E992,2,FALSE()),"SKU not found"))</f>
        <v>KH8</v>
      </c>
      <c r="I125" s="34" t="str">
        <f>IF(G125="","",IFERROR(VLOOKUP(G125,'Product_Stock_Master产品维护'!$A$2:$E992,3,FALSE()),"Item type not found"))</f>
        <v>Product</v>
      </c>
      <c r="J125" s="32"/>
      <c r="K125" s="61">
        <v>4.0</v>
      </c>
      <c r="L125" s="32"/>
      <c r="M125" s="61" t="s">
        <v>559</v>
      </c>
      <c r="N125" s="32"/>
      <c r="O125" s="34" t="str">
        <f t="shared" si="1"/>
        <v>OK</v>
      </c>
      <c r="P125" s="61" t="s">
        <v>366</v>
      </c>
      <c r="Q125" s="34" t="str">
        <f t="shared" si="2"/>
        <v>FLEX-01</v>
      </c>
      <c r="R125" s="34" t="str">
        <f t="shared" si="3"/>
        <v/>
      </c>
      <c r="S125" s="34">
        <f t="shared" si="4"/>
        <v>4</v>
      </c>
      <c r="T125" s="34" t="str">
        <f t="shared" si="5"/>
        <v>FLEX-01||30-138-K1215-B0||Repair_Good / 维修良品</v>
      </c>
      <c r="U125" s="34" t="s">
        <v>619</v>
      </c>
      <c r="V125" s="135" t="s">
        <v>616</v>
      </c>
      <c r="W125" s="42" t="str">
        <f t="shared" si="6"/>
        <v>OK</v>
      </c>
      <c r="X125" s="42">
        <f t="shared" si="7"/>
        <v>0</v>
      </c>
      <c r="Y125" s="42">
        <f t="shared" si="8"/>
        <v>0</v>
      </c>
      <c r="Z125" s="42" t="str">
        <f>IF(G125="","",IFERROR(VLOOKUP(G125,'Product_Stock_Master产品维护'!$A$2:$L992,11,FALSE),"No"))</f>
        <v>Yes</v>
      </c>
      <c r="AA125" s="42" t="str">
        <f>IF(G125="","",IFERROR(VLOOKUP(G125,'Product_Stock_Master产品维护'!$A$2:$L992,12,FALSE),""))</f>
        <v>Inverter / 逆变器</v>
      </c>
      <c r="AB125" s="42"/>
      <c r="AC125" s="42"/>
    </row>
    <row r="126" ht="15.75" customHeight="1">
      <c r="A126" s="60">
        <v>46230.0</v>
      </c>
      <c r="B126" s="60"/>
      <c r="C126" s="62" t="s">
        <v>67</v>
      </c>
      <c r="D126" s="32"/>
      <c r="E126" s="32"/>
      <c r="F126" s="32"/>
      <c r="G126" s="61" t="s">
        <v>620</v>
      </c>
      <c r="H126" s="34" t="str">
        <f>IF(G126="","",IFERROR(VLOOKUP(G126,'Product_Stock_Master产品维护'!$A$2:$E992,2,FALSE()),"SKU not found"))</f>
        <v>CQ6-S</v>
      </c>
      <c r="I126" s="34" t="str">
        <f>IF(G126="","",IFERROR(VLOOKUP(G126,'Product_Stock_Master产品维护'!$A$2:$E992,3,FALSE()),"Item type not found"))</f>
        <v>Product</v>
      </c>
      <c r="J126" s="32"/>
      <c r="K126" s="61">
        <v>1.0</v>
      </c>
      <c r="L126" s="32"/>
      <c r="M126" s="61" t="s">
        <v>559</v>
      </c>
      <c r="N126" s="32"/>
      <c r="O126" s="34" t="str">
        <f t="shared" si="1"/>
        <v>OK</v>
      </c>
      <c r="P126" s="61" t="s">
        <v>366</v>
      </c>
      <c r="Q126" s="34" t="str">
        <f t="shared" si="2"/>
        <v>FLEX-01</v>
      </c>
      <c r="R126" s="34" t="str">
        <f t="shared" si="3"/>
        <v/>
      </c>
      <c r="S126" s="34">
        <f t="shared" si="4"/>
        <v>1</v>
      </c>
      <c r="T126" s="34" t="str">
        <f t="shared" si="5"/>
        <v>FLEX-01||97-229-00014-00||Repair_Good / 维修良品</v>
      </c>
      <c r="U126" s="34" t="s">
        <v>621</v>
      </c>
      <c r="V126" s="135" t="s">
        <v>612</v>
      </c>
      <c r="W126" s="42" t="str">
        <f t="shared" si="6"/>
        <v>OK</v>
      </c>
      <c r="X126" s="42">
        <f t="shared" si="7"/>
        <v>0</v>
      </c>
      <c r="Y126" s="42">
        <f t="shared" si="8"/>
        <v>0</v>
      </c>
      <c r="Z126" s="42" t="str">
        <f>IF(G126="","",IFERROR(VLOOKUP(G126,'Product_Stock_Master产品维护'!$A$2:$L992,11,FALSE),"No"))</f>
        <v>Yes</v>
      </c>
      <c r="AA126" s="42" t="str">
        <f>IF(G126="","",IFERROR(VLOOKUP(G126,'Product_Stock_Master产品维护'!$A$2:$L992,12,FALSE),""))</f>
        <v>Battery / 电池</v>
      </c>
      <c r="AB126" s="42"/>
      <c r="AC126" s="42"/>
    </row>
    <row r="127" ht="15.75" customHeight="1">
      <c r="A127" s="60">
        <v>46230.0</v>
      </c>
      <c r="B127" s="60"/>
      <c r="C127" s="62" t="s">
        <v>622</v>
      </c>
      <c r="D127" s="32"/>
      <c r="E127" s="32"/>
      <c r="F127" s="32"/>
      <c r="G127" s="61" t="s">
        <v>561</v>
      </c>
      <c r="H127" s="34" t="str">
        <f>IF(G127="","",IFERROR(VLOOKUP(G127,'Product_Stock_Master产品维护'!$A$2:$E992,2,FALSE()),"SKU not found"))</f>
        <v>EQ4800-M</v>
      </c>
      <c r="I127" s="34" t="str">
        <f>IF(G127="","",IFERROR(VLOOKUP(G127,'Product_Stock_Master产品维护'!$A$2:$E992,3,FALSE()),"Item type not found"))</f>
        <v>Product</v>
      </c>
      <c r="J127" s="32"/>
      <c r="K127" s="61">
        <v>2.0</v>
      </c>
      <c r="L127" s="32"/>
      <c r="M127" s="61" t="s">
        <v>559</v>
      </c>
      <c r="N127" s="32"/>
      <c r="O127" s="34" t="str">
        <f t="shared" si="1"/>
        <v>OK</v>
      </c>
      <c r="P127" s="61" t="s">
        <v>366</v>
      </c>
      <c r="Q127" s="34" t="str">
        <f t="shared" si="2"/>
        <v>FLEX-01</v>
      </c>
      <c r="R127" s="34" t="str">
        <f t="shared" si="3"/>
        <v/>
      </c>
      <c r="S127" s="34">
        <f t="shared" si="4"/>
        <v>2</v>
      </c>
      <c r="T127" s="138" t="str">
        <f t="shared" si="5"/>
        <v>FLEX-01||97-223-00088-00||Repair_Good / 维修良品</v>
      </c>
      <c r="U127" s="34" t="s">
        <v>623</v>
      </c>
      <c r="V127" s="135" t="s">
        <v>624</v>
      </c>
      <c r="W127" s="42" t="str">
        <f t="shared" si="6"/>
        <v>OK</v>
      </c>
      <c r="X127" s="42">
        <f t="shared" si="7"/>
        <v>0</v>
      </c>
      <c r="Y127" s="42">
        <f t="shared" si="8"/>
        <v>0</v>
      </c>
      <c r="Z127" s="42" t="str">
        <f>IF(G127="","",IFERROR(VLOOKUP(G127,'Product_Stock_Master产品维护'!$A$2:$L992,11,FALSE),"No"))</f>
        <v>Yes</v>
      </c>
      <c r="AA127" s="42" t="str">
        <f>IF(G127="","",IFERROR(VLOOKUP(G127,'Product_Stock_Master产品维护'!$A$2:$L992,12,FALSE),""))</f>
        <v>Battery / 电池</v>
      </c>
      <c r="AB127" s="42"/>
      <c r="AC127" s="42"/>
    </row>
    <row r="128" ht="15.75" customHeight="1">
      <c r="A128" s="60">
        <v>46230.0</v>
      </c>
      <c r="B128" s="60"/>
      <c r="C128" s="62" t="s">
        <v>622</v>
      </c>
      <c r="D128" s="32"/>
      <c r="E128" s="32"/>
      <c r="F128" s="32"/>
      <c r="G128" s="61" t="s">
        <v>579</v>
      </c>
      <c r="H128" s="34" t="str">
        <f>IF(G128="","",IFERROR(VLOOKUP(G128,'Product_Stock_Master产品维护'!$A$2:$E992,2,FALSE()),"SKU not found"))</f>
        <v>KH8</v>
      </c>
      <c r="I128" s="34" t="str">
        <f>IF(G128="","",IFERROR(VLOOKUP(G128,'Product_Stock_Master产品维护'!$A$2:$E992,3,FALSE()),"Item type not found"))</f>
        <v>Product</v>
      </c>
      <c r="J128" s="32"/>
      <c r="K128" s="61">
        <v>1.0</v>
      </c>
      <c r="L128" s="32"/>
      <c r="M128" s="61" t="s">
        <v>559</v>
      </c>
      <c r="N128" s="32"/>
      <c r="O128" s="34" t="str">
        <f t="shared" si="1"/>
        <v>OK</v>
      </c>
      <c r="P128" s="61" t="s">
        <v>366</v>
      </c>
      <c r="Q128" s="34" t="str">
        <f t="shared" si="2"/>
        <v>FLEX-01</v>
      </c>
      <c r="R128" s="34" t="str">
        <f t="shared" si="3"/>
        <v/>
      </c>
      <c r="S128" s="34">
        <f t="shared" si="4"/>
        <v>1</v>
      </c>
      <c r="T128" s="138" t="str">
        <f t="shared" si="5"/>
        <v>FLEX-01||30-138-K1215-B0||Repair_Good / 维修良品</v>
      </c>
      <c r="U128" s="34" t="s">
        <v>627</v>
      </c>
      <c r="V128" s="135" t="s">
        <v>624</v>
      </c>
      <c r="W128" s="42" t="str">
        <f t="shared" si="6"/>
        <v>OK</v>
      </c>
      <c r="X128" s="42">
        <f t="shared" si="7"/>
        <v>0</v>
      </c>
      <c r="Y128" s="42">
        <f t="shared" si="8"/>
        <v>0</v>
      </c>
      <c r="Z128" s="42" t="str">
        <f>IF(G128="","",IFERROR(VLOOKUP(G128,'Product_Stock_Master产品维护'!$A$2:$L992,11,FALSE),"No"))</f>
        <v>Yes</v>
      </c>
      <c r="AA128" s="42" t="str">
        <f>IF(G128="","",IFERROR(VLOOKUP(G128,'Product_Stock_Master产品维护'!$A$2:$L992,12,FALSE),""))</f>
        <v>Inverter / 逆变器</v>
      </c>
      <c r="AB128" s="42"/>
      <c r="AC128" s="42"/>
    </row>
    <row r="129" ht="15.75" customHeight="1">
      <c r="A129" s="60">
        <v>46230.0</v>
      </c>
      <c r="B129" s="60"/>
      <c r="C129" s="62" t="s">
        <v>622</v>
      </c>
      <c r="D129" s="32"/>
      <c r="E129" s="32"/>
      <c r="F129" s="32"/>
      <c r="G129" s="61" t="s">
        <v>594</v>
      </c>
      <c r="H129" s="34" t="str">
        <f>IF(G129="","",IFERROR(VLOOKUP(G129,'Product_Stock_Master产品维护'!$A$2:$E992,2,FALSE()),"SKU not found"))</f>
        <v>KH10</v>
      </c>
      <c r="I129" s="34" t="str">
        <f>IF(G129="","",IFERROR(VLOOKUP(G129,'Product_Stock_Master产品维护'!$A$2:$E992,3,FALSE()),"Item type not found"))</f>
        <v>Product</v>
      </c>
      <c r="J129" s="32"/>
      <c r="K129" s="61">
        <v>2.0</v>
      </c>
      <c r="L129" s="32"/>
      <c r="M129" s="61" t="s">
        <v>559</v>
      </c>
      <c r="N129" s="32"/>
      <c r="O129" s="34" t="str">
        <f t="shared" si="1"/>
        <v>OK</v>
      </c>
      <c r="P129" s="61" t="s">
        <v>366</v>
      </c>
      <c r="Q129" s="34" t="str">
        <f t="shared" si="2"/>
        <v>FLEX-01</v>
      </c>
      <c r="R129" s="34" t="str">
        <f t="shared" si="3"/>
        <v/>
      </c>
      <c r="S129" s="34">
        <f t="shared" si="4"/>
        <v>2</v>
      </c>
      <c r="T129" s="138" t="str">
        <f t="shared" si="5"/>
        <v>FLEX-01||30-138-K1415-B0||Repair_Good / 维修良品</v>
      </c>
      <c r="U129" s="34" t="s">
        <v>629</v>
      </c>
      <c r="V129" s="135" t="s">
        <v>624</v>
      </c>
      <c r="W129" s="42" t="str">
        <f t="shared" si="6"/>
        <v>OK</v>
      </c>
      <c r="X129" s="42">
        <f t="shared" si="7"/>
        <v>0</v>
      </c>
      <c r="Y129" s="42">
        <f t="shared" si="8"/>
        <v>0</v>
      </c>
      <c r="Z129" s="42" t="str">
        <f>IF(G129="","",IFERROR(VLOOKUP(G129,'Product_Stock_Master产品维护'!$A$2:$L992,11,FALSE),"No"))</f>
        <v>Yes</v>
      </c>
      <c r="AA129" s="42" t="str">
        <f>IF(G129="","",IFERROR(VLOOKUP(G129,'Product_Stock_Master产品维护'!$A$2:$L992,12,FALSE),""))</f>
        <v>Inverter / 逆变器</v>
      </c>
      <c r="AB129" s="42"/>
      <c r="AC129" s="42"/>
    </row>
    <row r="130" ht="15.75" customHeight="1">
      <c r="A130" s="60">
        <v>46230.0</v>
      </c>
      <c r="B130" s="60"/>
      <c r="C130" s="61" t="s">
        <v>630</v>
      </c>
      <c r="D130" s="61" t="s">
        <v>631</v>
      </c>
      <c r="E130" s="32"/>
      <c r="F130" s="32"/>
      <c r="G130" s="32"/>
      <c r="H130" s="34" t="str">
        <f>IF(G130="","",IFERROR(VLOOKUP(G130,'Product_Stock_Master产品维护'!$A$2:$E992,2,FALSE()),"SKU not found"))</f>
        <v/>
      </c>
      <c r="I130" s="34" t="str">
        <f>IF(G130="","",IFERROR(VLOOKUP(G130,'Product_Stock_Master产品维护'!$A$2:$E992,3,FALSE()),"Item type not found"))</f>
        <v/>
      </c>
      <c r="J130" s="61" t="s">
        <v>632</v>
      </c>
      <c r="K130" s="61">
        <v>1.0</v>
      </c>
      <c r="L130" s="32"/>
      <c r="M130" s="61" t="s">
        <v>633</v>
      </c>
      <c r="N130" s="32"/>
      <c r="O130" s="34" t="str">
        <f t="shared" si="1"/>
        <v>Missing SKU / 缺料号</v>
      </c>
      <c r="P130" s="61" t="s">
        <v>449</v>
      </c>
      <c r="Q130" s="34" t="str">
        <f t="shared" si="2"/>
        <v>REPAIR-01</v>
      </c>
      <c r="R130" s="34" t="str">
        <f t="shared" si="3"/>
        <v>60E5M4805C3F242</v>
      </c>
      <c r="S130" s="34">
        <f t="shared" si="4"/>
        <v>1</v>
      </c>
      <c r="T130" s="34" t="str">
        <f t="shared" si="5"/>
        <v>REPAIR-01|||60E5M4805C3F242|Repair / 待修</v>
      </c>
      <c r="U130" s="34" t="s">
        <v>634</v>
      </c>
      <c r="V130" s="103" t="s">
        <v>635</v>
      </c>
      <c r="W130" s="42" t="str">
        <f t="shared" si="6"/>
        <v>OK</v>
      </c>
      <c r="X130" s="42">
        <f t="shared" si="7"/>
        <v>1</v>
      </c>
      <c r="Y130" s="42">
        <f t="shared" si="8"/>
        <v>0</v>
      </c>
      <c r="Z130" s="42" t="str">
        <f>IF(G130="","",IFERROR(VLOOKUP(G130,'Product_Stock_Master产品维护'!$A$2:$L992,11,FALSE),"No"))</f>
        <v/>
      </c>
      <c r="AA130" s="42" t="str">
        <f>IF(G130="","",IFERROR(VLOOKUP(G130,'Product_Stock_Master产品维护'!$A$2:$L992,12,FALSE),""))</f>
        <v/>
      </c>
      <c r="AB130" s="42"/>
      <c r="AC130" s="42"/>
    </row>
    <row r="131" ht="15.75" customHeight="1">
      <c r="A131" s="60">
        <v>46230.0</v>
      </c>
      <c r="B131" s="60"/>
      <c r="C131" s="61" t="s">
        <v>630</v>
      </c>
      <c r="D131" s="61" t="s">
        <v>636</v>
      </c>
      <c r="E131" s="32"/>
      <c r="F131" s="32"/>
      <c r="G131" s="32"/>
      <c r="H131" s="34" t="str">
        <f>IF(G131="","",IFERROR(VLOOKUP(G131,'Product_Stock_Master产品维护'!$A$2:$E992,2,FALSE()),"SKU not found"))</f>
        <v/>
      </c>
      <c r="I131" s="34" t="str">
        <f>IF(G131="","",IFERROR(VLOOKUP(G131,'Product_Stock_Master产品维护'!$A$2:$E992,3,FALSE()),"Item type not found"))</f>
        <v/>
      </c>
      <c r="J131" s="61" t="s">
        <v>637</v>
      </c>
      <c r="K131" s="61">
        <v>1.0</v>
      </c>
      <c r="L131" s="32"/>
      <c r="M131" s="61" t="s">
        <v>633</v>
      </c>
      <c r="N131" s="32"/>
      <c r="O131" s="34" t="str">
        <f t="shared" si="1"/>
        <v>Missing SKU / 缺料号</v>
      </c>
      <c r="P131" s="61" t="s">
        <v>449</v>
      </c>
      <c r="Q131" s="34" t="str">
        <f t="shared" si="2"/>
        <v>REPAIR-01</v>
      </c>
      <c r="R131" s="34" t="str">
        <f t="shared" si="3"/>
        <v>60HD9920617M278</v>
      </c>
      <c r="S131" s="34">
        <f t="shared" si="4"/>
        <v>1</v>
      </c>
      <c r="T131" s="34" t="str">
        <f t="shared" si="5"/>
        <v>REPAIR-01|||60HD9920617M278|Repair / 待修</v>
      </c>
      <c r="U131" s="34" t="s">
        <v>638</v>
      </c>
      <c r="V131" s="103" t="s">
        <v>635</v>
      </c>
      <c r="W131" s="42" t="str">
        <f t="shared" si="6"/>
        <v>OK</v>
      </c>
      <c r="X131" s="42">
        <f t="shared" si="7"/>
        <v>1</v>
      </c>
      <c r="Y131" s="42">
        <f t="shared" si="8"/>
        <v>0</v>
      </c>
      <c r="Z131" s="42" t="str">
        <f>IF(G131="","",IFERROR(VLOOKUP(G131,'Product_Stock_Master产品维护'!$A$2:$L992,11,FALSE),"No"))</f>
        <v/>
      </c>
      <c r="AA131" s="42" t="str">
        <f>IF(G131="","",IFERROR(VLOOKUP(G131,'Product_Stock_Master产品维护'!$A$2:$L992,12,FALSE),""))</f>
        <v/>
      </c>
      <c r="AB131" s="42"/>
      <c r="AC131" s="42"/>
    </row>
    <row r="132" ht="15.75" customHeight="1">
      <c r="A132" s="60">
        <v>46230.0</v>
      </c>
      <c r="B132" s="60"/>
      <c r="C132" s="61" t="s">
        <v>564</v>
      </c>
      <c r="D132" s="61" t="s">
        <v>640</v>
      </c>
      <c r="E132" s="62" t="s">
        <v>641</v>
      </c>
      <c r="F132" s="32"/>
      <c r="G132" s="61" t="s">
        <v>378</v>
      </c>
      <c r="H132" s="34" t="str">
        <f>IF(G132="","",IFERROR(VLOOKUP(G132,'Product_Stock_Master产品维护'!$A$2:$E992,2,FALSE()),"SKU not found"))</f>
        <v>EQ4800-S</v>
      </c>
      <c r="I132" s="34" t="str">
        <f>IF(G132="","",IFERROR(VLOOKUP(G132,'Product_Stock_Master产品维护'!$A$2:$E992,3,FALSE()),"Item type not found"))</f>
        <v>Product</v>
      </c>
      <c r="J132" s="62" t="s">
        <v>642</v>
      </c>
      <c r="K132" s="61">
        <v>1.0</v>
      </c>
      <c r="L132" s="62" t="s">
        <v>559</v>
      </c>
      <c r="M132" s="61"/>
      <c r="N132" s="61" t="s">
        <v>643</v>
      </c>
      <c r="O132" s="34" t="str">
        <f t="shared" si="1"/>
        <v>OK</v>
      </c>
      <c r="P132" s="61" t="s">
        <v>383</v>
      </c>
      <c r="Q132" s="34" t="str">
        <f t="shared" si="2"/>
        <v>FLEX-01</v>
      </c>
      <c r="R132" s="34" t="str">
        <f t="shared" si="3"/>
        <v/>
      </c>
      <c r="S132" s="34">
        <f t="shared" si="4"/>
        <v>0</v>
      </c>
      <c r="T132" s="34" t="str">
        <f t="shared" si="5"/>
        <v>FLEX-01||97-223-00107-00||New / 新机</v>
      </c>
      <c r="U132" s="34" t="s">
        <v>644</v>
      </c>
      <c r="V132" s="41"/>
      <c r="W132" s="42" t="str">
        <f t="shared" si="6"/>
        <v>OK</v>
      </c>
      <c r="X132" s="42">
        <f t="shared" si="7"/>
        <v>1</v>
      </c>
      <c r="Y132" s="42">
        <f t="shared" si="8"/>
        <v>0</v>
      </c>
      <c r="Z132" s="42" t="str">
        <f>IF(G132="","",IFERROR(VLOOKUP(G132,'Product_Stock_Master产品维护'!$A$2:$L992,11,FALSE),"No"))</f>
        <v>Yes</v>
      </c>
      <c r="AA132" s="42" t="str">
        <f>IF(G132="","",IFERROR(VLOOKUP(G132,'Product_Stock_Master产品维护'!$A$2:$L992,12,FALSE),""))</f>
        <v>Battery / 电池</v>
      </c>
      <c r="AB132" s="42"/>
      <c r="AC132" s="42"/>
    </row>
    <row r="133" ht="15.75" customHeight="1">
      <c r="A133" s="60">
        <v>46230.0</v>
      </c>
      <c r="B133" s="60"/>
      <c r="C133" s="61" t="s">
        <v>564</v>
      </c>
      <c r="D133" s="61" t="s">
        <v>640</v>
      </c>
      <c r="E133" s="62" t="s">
        <v>641</v>
      </c>
      <c r="F133" s="32"/>
      <c r="G133" s="61" t="s">
        <v>378</v>
      </c>
      <c r="H133" s="34" t="str">
        <f>IF(G133="","",IFERROR(VLOOKUP(G133,'Product_Stock_Master产品维护'!$A$2:$E992,2,FALSE()),"SKU not found"))</f>
        <v>EQ4800-S</v>
      </c>
      <c r="I133" s="34" t="str">
        <f>IF(G133="","",IFERROR(VLOOKUP(G133,'Product_Stock_Master产品维护'!$A$2:$E992,3,FALSE()),"Item type not found"))</f>
        <v>Product</v>
      </c>
      <c r="J133" s="62" t="s">
        <v>645</v>
      </c>
      <c r="K133" s="61">
        <v>1.0</v>
      </c>
      <c r="L133" s="62" t="s">
        <v>559</v>
      </c>
      <c r="M133" s="61"/>
      <c r="N133" s="61" t="s">
        <v>643</v>
      </c>
      <c r="O133" s="34" t="str">
        <f t="shared" si="1"/>
        <v>OK</v>
      </c>
      <c r="P133" s="61" t="s">
        <v>383</v>
      </c>
      <c r="Q133" s="34" t="str">
        <f t="shared" si="2"/>
        <v>FLEX-01</v>
      </c>
      <c r="R133" s="34" t="str">
        <f t="shared" si="3"/>
        <v/>
      </c>
      <c r="S133" s="34">
        <f t="shared" si="4"/>
        <v>0</v>
      </c>
      <c r="T133" s="34" t="str">
        <f t="shared" si="5"/>
        <v>FLEX-01||97-223-00107-00||New / 新机</v>
      </c>
      <c r="U133" s="34" t="s">
        <v>646</v>
      </c>
      <c r="V133" s="41"/>
      <c r="W133" s="42" t="str">
        <f t="shared" si="6"/>
        <v>OK</v>
      </c>
      <c r="X133" s="42">
        <f t="shared" si="7"/>
        <v>0</v>
      </c>
      <c r="Y133" s="42">
        <f t="shared" si="8"/>
        <v>0</v>
      </c>
      <c r="Z133" s="42" t="str">
        <f>IF(G133="","",IFERROR(VLOOKUP(G133,'Product_Stock_Master产品维护'!$A$2:$L992,11,FALSE),"No"))</f>
        <v>Yes</v>
      </c>
      <c r="AA133" s="42" t="str">
        <f>IF(G133="","",IFERROR(VLOOKUP(G133,'Product_Stock_Master产品维护'!$A$2:$L992,12,FALSE),""))</f>
        <v>Battery / 电池</v>
      </c>
      <c r="AB133" s="42"/>
      <c r="AC133" s="42"/>
    </row>
    <row r="134" ht="15.75" customHeight="1">
      <c r="A134" s="60">
        <v>46230.0</v>
      </c>
      <c r="B134" s="60"/>
      <c r="C134" s="61" t="s">
        <v>564</v>
      </c>
      <c r="D134" s="61" t="s">
        <v>647</v>
      </c>
      <c r="E134" s="62" t="s">
        <v>648</v>
      </c>
      <c r="F134" s="32"/>
      <c r="G134" s="61" t="s">
        <v>364</v>
      </c>
      <c r="H134" s="34" t="str">
        <f>IF(G134="","",IFERROR(VLOOKUP(G134,'Product_Stock_Master产品维护'!$A$2:$E992,2,FALSE()),"SKU not found"))</f>
        <v>CQ6-S</v>
      </c>
      <c r="I134" s="34" t="str">
        <f>IF(G134="","",IFERROR(VLOOKUP(G134,'Product_Stock_Master产品维护'!$A$2:$E992,3,FALSE()),"Item type not found"))</f>
        <v>Product</v>
      </c>
      <c r="J134" s="62" t="s">
        <v>649</v>
      </c>
      <c r="K134" s="61">
        <v>1.0</v>
      </c>
      <c r="L134" s="62" t="s">
        <v>365</v>
      </c>
      <c r="M134" s="32"/>
      <c r="N134" s="62" t="s">
        <v>650</v>
      </c>
      <c r="O134" s="34" t="str">
        <f t="shared" si="1"/>
        <v>OK</v>
      </c>
      <c r="P134" s="61" t="s">
        <v>383</v>
      </c>
      <c r="Q134" s="34" t="str">
        <f t="shared" si="2"/>
        <v>R2-1-5-L</v>
      </c>
      <c r="R134" s="34" t="str">
        <f t="shared" si="3"/>
        <v/>
      </c>
      <c r="S134" s="34">
        <f t="shared" si="4"/>
        <v>0</v>
      </c>
      <c r="T134" s="34" t="str">
        <f t="shared" si="5"/>
        <v>R2-1-5-L||97-229-00018-00||New / 新机</v>
      </c>
      <c r="U134" s="34" t="s">
        <v>651</v>
      </c>
      <c r="V134" s="41"/>
      <c r="W134" s="42" t="str">
        <f t="shared" si="6"/>
        <v>OK</v>
      </c>
      <c r="X134" s="42">
        <f t="shared" si="7"/>
        <v>1</v>
      </c>
      <c r="Y134" s="42">
        <f t="shared" si="8"/>
        <v>0</v>
      </c>
      <c r="Z134" s="42" t="str">
        <f>IF(G134="","",IFERROR(VLOOKUP(G134,'Product_Stock_Master产品维护'!$A$2:$L992,11,FALSE),"No"))</f>
        <v>Yes</v>
      </c>
      <c r="AA134" s="42" t="str">
        <f>IF(G134="","",IFERROR(VLOOKUP(G134,'Product_Stock_Master产品维护'!$A$2:$L992,12,FALSE),""))</f>
        <v>Battery / 电池</v>
      </c>
      <c r="AB134" s="42"/>
      <c r="AC134" s="42"/>
    </row>
    <row r="135" ht="15.75" customHeight="1">
      <c r="A135" s="60">
        <v>46225.0</v>
      </c>
      <c r="B135" s="60"/>
      <c r="C135" s="61" t="s">
        <v>564</v>
      </c>
      <c r="D135" s="61" t="s">
        <v>653</v>
      </c>
      <c r="E135" s="62" t="s">
        <v>654</v>
      </c>
      <c r="F135" s="61" t="s">
        <v>407</v>
      </c>
      <c r="G135" s="61" t="s">
        <v>408</v>
      </c>
      <c r="H135" s="34" t="str">
        <f>IF(G135="","",IFERROR(VLOOKUP(G135,'Product_Stock_Master产品维护'!$A$2:$E992,2,FALSE()),"SKU not found"))</f>
        <v>CQ6-M</v>
      </c>
      <c r="I135" s="34" t="str">
        <f>IF(G135="","",IFERROR(VLOOKUP(G135,'Product_Stock_Master产品维护'!$A$2:$E992,3,FALSE()),"Item type not found"))</f>
        <v>Product</v>
      </c>
      <c r="J135" s="62" t="s">
        <v>655</v>
      </c>
      <c r="K135" s="61">
        <v>1.0</v>
      </c>
      <c r="L135" s="61" t="s">
        <v>409</v>
      </c>
      <c r="M135" s="32"/>
      <c r="N135" s="61" t="s">
        <v>650</v>
      </c>
      <c r="O135" s="34" t="str">
        <f t="shared" si="1"/>
        <v>OK</v>
      </c>
      <c r="P135" s="61" t="s">
        <v>366</v>
      </c>
      <c r="Q135" s="34" t="str">
        <f t="shared" si="2"/>
        <v>R2-3-5-L</v>
      </c>
      <c r="R135" s="34" t="str">
        <f t="shared" si="3"/>
        <v/>
      </c>
      <c r="S135" s="34">
        <f t="shared" si="4"/>
        <v>0</v>
      </c>
      <c r="T135" s="34" t="str">
        <f t="shared" si="5"/>
        <v>R2-3-5-L|Mix003|97-229-00012-00||Repair_Good / 维修良品</v>
      </c>
      <c r="U135" s="34" t="s">
        <v>656</v>
      </c>
      <c r="V135" s="41"/>
      <c r="W135" s="42" t="str">
        <f t="shared" si="6"/>
        <v>OK</v>
      </c>
      <c r="X135" s="42">
        <f t="shared" si="7"/>
        <v>1</v>
      </c>
      <c r="Y135" s="42">
        <f t="shared" si="8"/>
        <v>0</v>
      </c>
      <c r="Z135" s="42" t="str">
        <f>IF(G135="","",IFERROR(VLOOKUP(G135,'Product_Stock_Master产品维护'!$A$2:$L992,11,FALSE),"No"))</f>
        <v>Yes</v>
      </c>
      <c r="AA135" s="42" t="str">
        <f>IF(G135="","",IFERROR(VLOOKUP(G135,'Product_Stock_Master产品维护'!$A$2:$L992,12,FALSE),""))</f>
        <v>Battery / 电池</v>
      </c>
      <c r="AB135" s="42"/>
      <c r="AC135" s="42"/>
    </row>
    <row r="136" ht="15.75" customHeight="1">
      <c r="A136" s="60">
        <v>46230.0</v>
      </c>
      <c r="B136" s="60"/>
      <c r="C136" s="61" t="s">
        <v>657</v>
      </c>
      <c r="D136" s="32"/>
      <c r="E136" s="32"/>
      <c r="F136" s="32"/>
      <c r="G136" s="61" t="s">
        <v>147</v>
      </c>
      <c r="H136" s="34" t="str">
        <f>IF(G136="","",IFERROR(VLOOKUP(G136,'Product_Stock_Master产品维护'!$A$2:$E992,2,FALSE()),"SKU not found"))</f>
        <v>保温棉 橡胶泡棉 -90° -180° V-0 黑色 1主8从 上保温棉+下保温棉+四周保温棉(4+5) 带纸箱</v>
      </c>
      <c r="I136" s="34" t="str">
        <f>IF(G136="","",IFERROR(VLOOKUP(G136,'Product_Stock_Master产品维护'!$A$2:$E992,3,FALSE()),"Item type not found"))</f>
        <v>Material</v>
      </c>
      <c r="J136" s="32"/>
      <c r="K136" s="61">
        <v>20.0</v>
      </c>
      <c r="L136" s="61" t="s">
        <v>208</v>
      </c>
      <c r="M136" s="61" t="s">
        <v>559</v>
      </c>
      <c r="N136" s="32"/>
      <c r="O136" s="34" t="str">
        <f t="shared" si="1"/>
        <v>OK</v>
      </c>
      <c r="P136" s="61" t="s">
        <v>79</v>
      </c>
      <c r="Q136" s="34" t="str">
        <f t="shared" ref="Q136:Q992" si="9">IF(C136="","",IF(OR(C136="Opening",C136="Inbound",C136="Return_to_Repair",C136="Adjustment_In",C136="Move"),M136,IF(OR(C136="Outbound",C136="Adjustment_Out",C136="Prepared"),L136,"")))</f>
        <v>FLEX-01</v>
      </c>
      <c r="R136" s="34" t="str">
        <f t="shared" si="3"/>
        <v/>
      </c>
      <c r="S136" s="34">
        <f t="shared" ref="S136:S992" si="10">IF(C136="","",IF(C136="Prepared",0,IF(OR(C136="Opening",C136="Inbound",C136="Return_to_Repair",C136="Adjustment_In",C136="Move"),K136,IF(OR(C136="Outbound",C136="Adjustment_Out"),-K136,0))))</f>
        <v>20</v>
      </c>
      <c r="T136" s="34" t="str">
        <f t="shared" si="5"/>
        <v>FLEX-01||10-120-00471-00||Material / 物料</v>
      </c>
      <c r="U136" s="34" t="s">
        <v>658</v>
      </c>
      <c r="V136" s="103" t="s">
        <v>659</v>
      </c>
      <c r="W136" s="42" t="str">
        <f t="shared" si="6"/>
        <v>OK</v>
      </c>
      <c r="X136" s="42">
        <f t="shared" si="7"/>
        <v>0</v>
      </c>
      <c r="Y136" s="42">
        <f t="shared" si="8"/>
        <v>0</v>
      </c>
      <c r="Z136" s="42" t="str">
        <f>IF(G136="","",IFERROR(VLOOKUP(G136,'Product_Stock_Master产品维护'!$A$2:$L992,11,FALSE),"No"))</f>
        <v/>
      </c>
      <c r="AA136" s="42" t="str">
        <f>IF(G136="","",IFERROR(VLOOKUP(G136,'Product_Stock_Master产品维护'!$A$2:$L992,12,FALSE),""))</f>
        <v/>
      </c>
      <c r="AB136" s="42" t="str">
        <f t="shared" ref="AB136:AB992" si="11">IF(C136="Move",IF(L136="","",L136&amp;"|"&amp;F136&amp;"|"&amp;G136&amp;"|"&amp;R136&amp;"|"&amp;P136),"")</f>
        <v>R1-4-2-R||10-120-00471-00||Material / 物料</v>
      </c>
      <c r="AC136" s="42">
        <f t="shared" ref="AC136:AC992" si="12">IF(C136="Move",-K136,0)</f>
        <v>-20</v>
      </c>
    </row>
    <row r="137" ht="15.75" customHeight="1">
      <c r="A137" s="60">
        <v>46230.0</v>
      </c>
      <c r="B137" s="60"/>
      <c r="C137" s="61" t="s">
        <v>657</v>
      </c>
      <c r="D137" s="32"/>
      <c r="E137" s="32"/>
      <c r="F137" s="32"/>
      <c r="G137" s="61" t="s">
        <v>358</v>
      </c>
      <c r="H137" s="34" t="str">
        <f>IF(G137="","",IFERROR(VLOOKUP(G137,'Product_Stock_Master产品维护'!$A$2:$E992,2,FALSE()),"SKU not found"))</f>
        <v>SKU not found</v>
      </c>
      <c r="I137" s="34" t="str">
        <f>IF(G137="","",IFERROR(VLOOKUP(G137,'Product_Stock_Master产品维护'!$A$2:$E992,3,FALSE()),"Item type not found"))</f>
        <v>Item type not found</v>
      </c>
      <c r="J137" s="32"/>
      <c r="K137" s="61">
        <v>200.0</v>
      </c>
      <c r="L137" s="61" t="s">
        <v>204</v>
      </c>
      <c r="M137" s="61" t="s">
        <v>559</v>
      </c>
      <c r="N137" s="32"/>
      <c r="O137" s="34" t="str">
        <f t="shared" si="1"/>
        <v>OK</v>
      </c>
      <c r="P137" s="61" t="s">
        <v>79</v>
      </c>
      <c r="Q137" s="34" t="str">
        <f t="shared" si="9"/>
        <v>FLEX-01</v>
      </c>
      <c r="R137" s="34" t="str">
        <f t="shared" si="3"/>
        <v/>
      </c>
      <c r="S137" s="34">
        <f t="shared" si="10"/>
        <v>200</v>
      </c>
      <c r="T137" s="34" t="str">
        <f t="shared" si="5"/>
        <v>FLEX-01||10-105-00346-00||Material / 物料</v>
      </c>
      <c r="U137" s="34" t="s">
        <v>660</v>
      </c>
      <c r="V137" s="103" t="s">
        <v>659</v>
      </c>
      <c r="W137" s="42" t="str">
        <f t="shared" si="6"/>
        <v>OK</v>
      </c>
      <c r="X137" s="42">
        <f t="shared" si="7"/>
        <v>0</v>
      </c>
      <c r="Y137" s="42">
        <f t="shared" si="8"/>
        <v>0</v>
      </c>
      <c r="Z137" s="42" t="str">
        <f>IF(G137="","",IFERROR(VLOOKUP(G137,'Product_Stock_Master产品维护'!$A$2:$L992,11,FALSE),"No"))</f>
        <v>No</v>
      </c>
      <c r="AA137" s="42" t="str">
        <f>IF(G137="","",IFERROR(VLOOKUP(G137,'Product_Stock_Master产品维护'!$A$2:$L992,12,FALSE),""))</f>
        <v/>
      </c>
      <c r="AB137" s="42" t="str">
        <f t="shared" si="11"/>
        <v>R1-4-2-L||10-105-00346-00||Material / 物料</v>
      </c>
      <c r="AC137" s="42">
        <f t="shared" si="12"/>
        <v>-200</v>
      </c>
    </row>
    <row r="138" ht="15.75" customHeight="1">
      <c r="A138" s="60">
        <v>46230.0</v>
      </c>
      <c r="B138" s="60"/>
      <c r="C138" s="61" t="s">
        <v>657</v>
      </c>
      <c r="D138" s="32"/>
      <c r="E138" s="32"/>
      <c r="F138" s="32"/>
      <c r="G138" s="61" t="s">
        <v>140</v>
      </c>
      <c r="H138" s="34" t="str">
        <f>IF(G138="","",IFERROR(VLOOKUP(G138,'Product_Stock_Master产品维护'!$A$2:$E992,2,FALSE()),"SKU not found"))</f>
        <v>KH遮线罩</v>
      </c>
      <c r="I138" s="34" t="str">
        <f>IF(G138="","",IFERROR(VLOOKUP(G138,'Product_Stock_Master产品维护'!$A$2:$E992,3,FALSE()),"Item type not found"))</f>
        <v>Material</v>
      </c>
      <c r="J138" s="32"/>
      <c r="K138" s="61">
        <v>72.0</v>
      </c>
      <c r="L138" s="61" t="s">
        <v>184</v>
      </c>
      <c r="M138" s="61" t="s">
        <v>559</v>
      </c>
      <c r="N138" s="32"/>
      <c r="O138" s="34" t="str">
        <f t="shared" si="1"/>
        <v>OK</v>
      </c>
      <c r="P138" s="61" t="s">
        <v>79</v>
      </c>
      <c r="Q138" s="34" t="str">
        <f t="shared" si="9"/>
        <v>FLEX-01</v>
      </c>
      <c r="R138" s="34" t="str">
        <f t="shared" si="3"/>
        <v/>
      </c>
      <c r="S138" s="34">
        <f t="shared" si="10"/>
        <v>72</v>
      </c>
      <c r="T138" s="34" t="str">
        <f t="shared" si="5"/>
        <v>FLEX-01||97-406-00017-00||Material / 物料</v>
      </c>
      <c r="U138" s="34" t="s">
        <v>662</v>
      </c>
      <c r="V138" s="103" t="s">
        <v>659</v>
      </c>
      <c r="W138" s="42" t="str">
        <f t="shared" si="6"/>
        <v>OK</v>
      </c>
      <c r="X138" s="42">
        <f t="shared" si="7"/>
        <v>0</v>
      </c>
      <c r="Y138" s="42">
        <f t="shared" si="8"/>
        <v>0</v>
      </c>
      <c r="Z138" s="42" t="str">
        <f>IF(G138="","",IFERROR(VLOOKUP(G138,'Product_Stock_Master产品维护'!$A$2:$L992,11,FALSE),"No"))</f>
        <v>No</v>
      </c>
      <c r="AA138" s="42" t="str">
        <f>IF(G138="","",IFERROR(VLOOKUP(G138,'Product_Stock_Master产品维护'!$A$2:$L992,12,FALSE),""))</f>
        <v/>
      </c>
      <c r="AB138" s="42" t="str">
        <f t="shared" si="11"/>
        <v>R1-3-2-L||97-406-00017-00||Material / 物料</v>
      </c>
      <c r="AC138" s="42">
        <f t="shared" si="12"/>
        <v>-72</v>
      </c>
    </row>
    <row r="139" ht="15.75" customHeight="1">
      <c r="A139" s="60">
        <v>46230.0</v>
      </c>
      <c r="B139" s="60"/>
      <c r="C139" s="61" t="s">
        <v>657</v>
      </c>
      <c r="D139" s="32"/>
      <c r="E139" s="32"/>
      <c r="F139" s="32"/>
      <c r="G139" s="61" t="s">
        <v>140</v>
      </c>
      <c r="H139" s="34" t="str">
        <f>IF(G139="","",IFERROR(VLOOKUP(G139,'Product_Stock_Master产品维护'!$A$2:$E992,2,FALSE()),"SKU not found"))</f>
        <v>KH遮线罩</v>
      </c>
      <c r="I139" s="34" t="str">
        <f>IF(G139="","",IFERROR(VLOOKUP(G139,'Product_Stock_Master产品维护'!$A$2:$E992,3,FALSE()),"Item type not found"))</f>
        <v>Material</v>
      </c>
      <c r="J139" s="32"/>
      <c r="K139" s="61">
        <v>72.0</v>
      </c>
      <c r="L139" s="61" t="s">
        <v>200</v>
      </c>
      <c r="M139" s="61" t="s">
        <v>559</v>
      </c>
      <c r="N139" s="32"/>
      <c r="O139" s="34" t="str">
        <f t="shared" si="1"/>
        <v>OK</v>
      </c>
      <c r="P139" s="61" t="s">
        <v>79</v>
      </c>
      <c r="Q139" s="34" t="str">
        <f t="shared" si="9"/>
        <v>FLEX-01</v>
      </c>
      <c r="R139" s="34" t="str">
        <f t="shared" si="3"/>
        <v/>
      </c>
      <c r="S139" s="34">
        <f t="shared" si="10"/>
        <v>72</v>
      </c>
      <c r="T139" s="34" t="str">
        <f t="shared" si="5"/>
        <v>FLEX-01||97-406-00017-00||Material / 物料</v>
      </c>
      <c r="U139" s="34" t="s">
        <v>663</v>
      </c>
      <c r="V139" s="103" t="s">
        <v>659</v>
      </c>
      <c r="W139" s="42" t="str">
        <f t="shared" si="6"/>
        <v>OK</v>
      </c>
      <c r="X139" s="42">
        <f t="shared" si="7"/>
        <v>0</v>
      </c>
      <c r="Y139" s="42">
        <f t="shared" si="8"/>
        <v>0</v>
      </c>
      <c r="Z139" s="42" t="str">
        <f>IF(G139="","",IFERROR(VLOOKUP(G139,'Product_Stock_Master产品维护'!$A$2:$L992,11,FALSE),"No"))</f>
        <v>No</v>
      </c>
      <c r="AA139" s="42" t="str">
        <f>IF(G139="","",IFERROR(VLOOKUP(G139,'Product_Stock_Master产品维护'!$A$2:$L992,12,FALSE),""))</f>
        <v/>
      </c>
      <c r="AB139" s="42" t="str">
        <f t="shared" si="11"/>
        <v>R1-3-2-R||97-406-00017-00||Material / 物料</v>
      </c>
      <c r="AC139" s="42">
        <f t="shared" si="12"/>
        <v>-72</v>
      </c>
    </row>
    <row r="140" ht="15.75" customHeight="1">
      <c r="A140" s="60">
        <v>46230.0</v>
      </c>
      <c r="B140" s="60"/>
      <c r="C140" s="62" t="s">
        <v>622</v>
      </c>
      <c r="D140" s="32"/>
      <c r="E140" s="32"/>
      <c r="F140" s="32"/>
      <c r="G140" s="61" t="s">
        <v>561</v>
      </c>
      <c r="H140" s="34" t="str">
        <f>IF(G140="","",IFERROR(VLOOKUP(G140,'Product_Stock_Master产品维护'!$A$2:$E992,2,FALSE()),"SKU not found"))</f>
        <v>EQ4800-M</v>
      </c>
      <c r="I140" s="34" t="str">
        <f>IF(G140="","",IFERROR(VLOOKUP(G140,'Product_Stock_Master产品维护'!$A$2:$E992,3,FALSE()),"Item type not found"))</f>
        <v>Product</v>
      </c>
      <c r="J140" s="32"/>
      <c r="K140" s="61">
        <v>1.0</v>
      </c>
      <c r="L140" s="32"/>
      <c r="M140" s="61" t="s">
        <v>559</v>
      </c>
      <c r="N140" s="32"/>
      <c r="O140" s="34" t="str">
        <f t="shared" si="1"/>
        <v>OK</v>
      </c>
      <c r="P140" s="61" t="s">
        <v>366</v>
      </c>
      <c r="Q140" s="34" t="str">
        <f t="shared" si="9"/>
        <v>FLEX-01</v>
      </c>
      <c r="R140" s="34" t="str">
        <f t="shared" si="3"/>
        <v/>
      </c>
      <c r="S140" s="34">
        <f t="shared" si="10"/>
        <v>1</v>
      </c>
      <c r="T140" s="34" t="str">
        <f t="shared" si="5"/>
        <v>FLEX-01||97-223-00088-00||Repair_Good / 维修良品</v>
      </c>
      <c r="U140" s="34" t="s">
        <v>664</v>
      </c>
      <c r="V140" s="135" t="s">
        <v>665</v>
      </c>
      <c r="W140" s="42" t="str">
        <f t="shared" si="6"/>
        <v>OK</v>
      </c>
      <c r="X140" s="42">
        <f t="shared" si="7"/>
        <v>0</v>
      </c>
      <c r="Y140" s="42">
        <f t="shared" si="8"/>
        <v>0</v>
      </c>
      <c r="Z140" s="42" t="str">
        <f>IF(G140="","",IFERROR(VLOOKUP(G140,'Product_Stock_Master产品维护'!$A$2:$L992,11,FALSE),"No"))</f>
        <v>Yes</v>
      </c>
      <c r="AA140" s="42" t="str">
        <f>IF(G140="","",IFERROR(VLOOKUP(G140,'Product_Stock_Master产品维护'!$A$2:$L992,12,FALSE),""))</f>
        <v>Battery / 电池</v>
      </c>
      <c r="AB140" s="42" t="str">
        <f t="shared" si="11"/>
        <v/>
      </c>
      <c r="AC140" s="42">
        <f t="shared" si="12"/>
        <v>0</v>
      </c>
    </row>
    <row r="141" ht="15.75" customHeight="1">
      <c r="A141" s="60">
        <v>46230.0</v>
      </c>
      <c r="B141" s="60"/>
      <c r="C141" s="62" t="s">
        <v>622</v>
      </c>
      <c r="D141" s="32"/>
      <c r="E141" s="32"/>
      <c r="F141" s="32"/>
      <c r="G141" s="61" t="s">
        <v>402</v>
      </c>
      <c r="H141" s="34" t="str">
        <f>IF(G141="","",IFERROR(VLOOKUP(G141,'Product_Stock_Master产品维护'!$A$2:$E992,2,FALSE()),"SKU not found"))</f>
        <v>EQ4800-M</v>
      </c>
      <c r="I141" s="34" t="str">
        <f>IF(G141="","",IFERROR(VLOOKUP(G141,'Product_Stock_Master产品维护'!$A$2:$E992,3,FALSE()),"Item type not found"))</f>
        <v>Product</v>
      </c>
      <c r="J141" s="32"/>
      <c r="K141" s="61">
        <v>1.0</v>
      </c>
      <c r="L141" s="32"/>
      <c r="M141" s="61" t="s">
        <v>559</v>
      </c>
      <c r="N141" s="32"/>
      <c r="O141" s="34" t="str">
        <f t="shared" si="1"/>
        <v>OK</v>
      </c>
      <c r="P141" s="61" t="s">
        <v>366</v>
      </c>
      <c r="Q141" s="34" t="str">
        <f t="shared" si="9"/>
        <v>FLEX-01</v>
      </c>
      <c r="R141" s="34" t="str">
        <f t="shared" si="3"/>
        <v/>
      </c>
      <c r="S141" s="34">
        <f t="shared" si="10"/>
        <v>1</v>
      </c>
      <c r="T141" s="34" t="str">
        <f t="shared" si="5"/>
        <v>FLEX-01||97-223-00064-00||Repair_Good / 维修良品</v>
      </c>
      <c r="U141" s="34" t="s">
        <v>670</v>
      </c>
      <c r="V141" s="135" t="s">
        <v>665</v>
      </c>
      <c r="W141" s="42" t="str">
        <f t="shared" si="6"/>
        <v>OK</v>
      </c>
      <c r="X141" s="42">
        <f t="shared" si="7"/>
        <v>0</v>
      </c>
      <c r="Y141" s="42">
        <f t="shared" si="8"/>
        <v>0</v>
      </c>
      <c r="Z141" s="42" t="str">
        <f>IF(G141="","",IFERROR(VLOOKUP(G141,'Product_Stock_Master产品维护'!$A$2:$L992,11,FALSE),"No"))</f>
        <v>Yes</v>
      </c>
      <c r="AA141" s="42" t="str">
        <f>IF(G141="","",IFERROR(VLOOKUP(G141,'Product_Stock_Master产品维护'!$A$2:$L992,12,FALSE),""))</f>
        <v>Battery / 电池</v>
      </c>
      <c r="AB141" s="42" t="str">
        <f t="shared" si="11"/>
        <v/>
      </c>
      <c r="AC141" s="42">
        <f t="shared" si="12"/>
        <v>0</v>
      </c>
    </row>
    <row r="142" ht="15.75" customHeight="1">
      <c r="A142" s="60">
        <v>46230.0</v>
      </c>
      <c r="B142" s="60"/>
      <c r="C142" s="62" t="s">
        <v>622</v>
      </c>
      <c r="D142" s="32"/>
      <c r="E142" s="32"/>
      <c r="F142" s="32"/>
      <c r="G142" s="61" t="s">
        <v>673</v>
      </c>
      <c r="H142" s="34" t="str">
        <f>IF(G142="","",IFERROR(VLOOKUP(G142,'Product_Stock_Master产品维护'!$A$2:$E992,2,FALSE()),"SKU not found"))</f>
        <v>EQ4800-M</v>
      </c>
      <c r="I142" s="34" t="str">
        <f>IF(G142="","",IFERROR(VLOOKUP(G142,'Product_Stock_Master产品维护'!$A$2:$E992,3,FALSE()),"Item type not found"))</f>
        <v>Product</v>
      </c>
      <c r="J142" s="32"/>
      <c r="K142" s="61">
        <v>1.0</v>
      </c>
      <c r="L142" s="32"/>
      <c r="M142" s="61" t="s">
        <v>559</v>
      </c>
      <c r="N142" s="32"/>
      <c r="O142" s="34" t="str">
        <f t="shared" si="1"/>
        <v>OK</v>
      </c>
      <c r="P142" s="61" t="s">
        <v>366</v>
      </c>
      <c r="Q142" s="34" t="str">
        <f t="shared" si="9"/>
        <v>FLEX-01</v>
      </c>
      <c r="R142" s="34" t="str">
        <f t="shared" si="3"/>
        <v/>
      </c>
      <c r="S142" s="34">
        <f t="shared" si="10"/>
        <v>1</v>
      </c>
      <c r="T142" s="34" t="str">
        <f t="shared" si="5"/>
        <v>FLEX-01||97-223-00091-00||Repair_Good / 维修良品</v>
      </c>
      <c r="U142" s="34" t="s">
        <v>676</v>
      </c>
      <c r="V142" s="135" t="s">
        <v>665</v>
      </c>
      <c r="W142" s="42" t="str">
        <f t="shared" si="6"/>
        <v>OK</v>
      </c>
      <c r="X142" s="42">
        <f t="shared" si="7"/>
        <v>0</v>
      </c>
      <c r="Y142" s="42">
        <f t="shared" si="8"/>
        <v>0</v>
      </c>
      <c r="Z142" s="42" t="str">
        <f>IF(G142="","",IFERROR(VLOOKUP(G142,'Product_Stock_Master产品维护'!$A$2:$L992,11,FALSE),"No"))</f>
        <v>Yes</v>
      </c>
      <c r="AA142" s="42" t="str">
        <f>IF(G142="","",IFERROR(VLOOKUP(G142,'Product_Stock_Master产品维护'!$A$2:$L992,12,FALSE),""))</f>
        <v>Battery / 电池</v>
      </c>
      <c r="AB142" s="42" t="str">
        <f t="shared" si="11"/>
        <v/>
      </c>
      <c r="AC142" s="42">
        <f t="shared" si="12"/>
        <v>0</v>
      </c>
    </row>
    <row r="143" ht="15.75" customHeight="1">
      <c r="A143" s="59" t="s">
        <v>678</v>
      </c>
      <c r="B143" s="60"/>
      <c r="C143" s="61" t="s">
        <v>657</v>
      </c>
      <c r="D143" s="32"/>
      <c r="E143" s="32"/>
      <c r="F143" s="32"/>
      <c r="G143" s="61" t="s">
        <v>358</v>
      </c>
      <c r="H143" s="34" t="str">
        <f>IF(G143="","",IFERROR(VLOOKUP(G143,'Product_Stock_Master产品维护'!$A$2:$E992,2,FALSE()),"SKU not found"))</f>
        <v>SKU not found</v>
      </c>
      <c r="I143" s="34" t="str">
        <f>IF(G143="","",IFERROR(VLOOKUP(G143,'Product_Stock_Master产品维护'!$A$2:$E992,3,FALSE()),"Item type not found"))</f>
        <v>Item type not found</v>
      </c>
      <c r="J143" s="32"/>
      <c r="K143" s="61">
        <v>200.0</v>
      </c>
      <c r="L143" s="61" t="s">
        <v>559</v>
      </c>
      <c r="M143" s="61" t="s">
        <v>204</v>
      </c>
      <c r="N143" s="32"/>
      <c r="O143" s="34" t="str">
        <f t="shared" si="1"/>
        <v>OK</v>
      </c>
      <c r="P143" s="61" t="s">
        <v>79</v>
      </c>
      <c r="Q143" s="34" t="str">
        <f t="shared" si="9"/>
        <v>R1-4-2-L</v>
      </c>
      <c r="R143" s="34" t="str">
        <f t="shared" si="3"/>
        <v/>
      </c>
      <c r="S143" s="34">
        <f t="shared" si="10"/>
        <v>200</v>
      </c>
      <c r="T143" s="34" t="str">
        <f t="shared" si="5"/>
        <v>R1-4-2-L||10-105-00346-00||Material / 物料</v>
      </c>
      <c r="U143" s="34" t="s">
        <v>682</v>
      </c>
      <c r="V143" s="103" t="s">
        <v>683</v>
      </c>
      <c r="W143" s="42" t="str">
        <f t="shared" si="6"/>
        <v>OK</v>
      </c>
      <c r="X143" s="42">
        <f t="shared" si="7"/>
        <v>0</v>
      </c>
      <c r="Y143" s="42">
        <f t="shared" si="8"/>
        <v>0</v>
      </c>
      <c r="Z143" s="42" t="str">
        <f>IF(G143="","",IFERROR(VLOOKUP(G143,'Product_Stock_Master产品维护'!$A$2:$L992,11,FALSE),"No"))</f>
        <v>No</v>
      </c>
      <c r="AA143" s="42" t="str">
        <f>IF(G143="","",IFERROR(VLOOKUP(G143,'Product_Stock_Master产品维护'!$A$2:$L992,12,FALSE),""))</f>
        <v/>
      </c>
      <c r="AB143" s="42" t="str">
        <f t="shared" si="11"/>
        <v>FLEX-01||10-105-00346-00||Material / 物料</v>
      </c>
      <c r="AC143" s="42">
        <f t="shared" si="12"/>
        <v>-200</v>
      </c>
    </row>
    <row r="144" ht="15.75" customHeight="1">
      <c r="A144" s="59" t="s">
        <v>678</v>
      </c>
      <c r="B144" s="60"/>
      <c r="C144" s="61" t="s">
        <v>657</v>
      </c>
      <c r="D144" s="32"/>
      <c r="E144" s="32"/>
      <c r="F144" s="32"/>
      <c r="G144" s="61" t="s">
        <v>147</v>
      </c>
      <c r="H144" s="34" t="str">
        <f>IF(G144="","",IFERROR(VLOOKUP(G144,'Product_Stock_Master产品维护'!$A$2:$E992,2,FALSE()),"SKU not found"))</f>
        <v>保温棉 橡胶泡棉 -90° -180° V-0 黑色 1主8从 上保温棉+下保温棉+四周保温棉(4+5) 带纸箱</v>
      </c>
      <c r="I144" s="34" t="str">
        <f>IF(G144="","",IFERROR(VLOOKUP(G144,'Product_Stock_Master产品维护'!$A$2:$E992,3,FALSE()),"Item type not found"))</f>
        <v>Material</v>
      </c>
      <c r="J144" s="32"/>
      <c r="K144" s="61">
        <v>20.0</v>
      </c>
      <c r="L144" s="61" t="s">
        <v>559</v>
      </c>
      <c r="M144" s="61" t="s">
        <v>208</v>
      </c>
      <c r="N144" s="32"/>
      <c r="O144" s="34" t="str">
        <f t="shared" si="1"/>
        <v>OK</v>
      </c>
      <c r="P144" s="61" t="s">
        <v>79</v>
      </c>
      <c r="Q144" s="34" t="str">
        <f t="shared" si="9"/>
        <v>R1-4-2-R</v>
      </c>
      <c r="R144" s="34" t="str">
        <f t="shared" si="3"/>
        <v/>
      </c>
      <c r="S144" s="34">
        <f t="shared" si="10"/>
        <v>20</v>
      </c>
      <c r="T144" s="34" t="str">
        <f t="shared" si="5"/>
        <v>R1-4-2-R||10-120-00471-00||Material / 物料</v>
      </c>
      <c r="U144" s="34" t="s">
        <v>689</v>
      </c>
      <c r="V144" s="103" t="s">
        <v>683</v>
      </c>
      <c r="W144" s="42" t="str">
        <f t="shared" si="6"/>
        <v>OK</v>
      </c>
      <c r="X144" s="42">
        <f t="shared" si="7"/>
        <v>0</v>
      </c>
      <c r="Y144" s="42">
        <f t="shared" si="8"/>
        <v>0</v>
      </c>
      <c r="Z144" s="42" t="str">
        <f>IF(G144="","",IFERROR(VLOOKUP(G144,'Product_Stock_Master产品维护'!$A$2:$L992,11,FALSE),"No"))</f>
        <v/>
      </c>
      <c r="AA144" s="42" t="str">
        <f>IF(G144="","",IFERROR(VLOOKUP(G144,'Product_Stock_Master产品维护'!$A$2:$L992,12,FALSE),""))</f>
        <v/>
      </c>
      <c r="AB144" s="42" t="str">
        <f t="shared" si="11"/>
        <v>FLEX-01||10-120-00471-00||Material / 物料</v>
      </c>
      <c r="AC144" s="42">
        <f t="shared" si="12"/>
        <v>-20</v>
      </c>
    </row>
    <row r="145" ht="15.75" customHeight="1">
      <c r="A145" s="59" t="s">
        <v>678</v>
      </c>
      <c r="B145" s="60"/>
      <c r="C145" s="61" t="s">
        <v>657</v>
      </c>
      <c r="D145" s="32"/>
      <c r="E145" s="32"/>
      <c r="F145" s="32"/>
      <c r="G145" s="61" t="s">
        <v>140</v>
      </c>
      <c r="H145" s="34" t="str">
        <f>IF(G145="","",IFERROR(VLOOKUP(G145,'Product_Stock_Master产品维护'!$A$2:$E992,2,FALSE()),"SKU not found"))</f>
        <v>KH遮线罩</v>
      </c>
      <c r="I145" s="34" t="str">
        <f>IF(G145="","",IFERROR(VLOOKUP(G145,'Product_Stock_Master产品维护'!$A$2:$E992,3,FALSE()),"Item type not found"))</f>
        <v>Material</v>
      </c>
      <c r="J145" s="32"/>
      <c r="K145" s="61">
        <v>39.0</v>
      </c>
      <c r="L145" s="61" t="s">
        <v>559</v>
      </c>
      <c r="M145" s="61" t="s">
        <v>184</v>
      </c>
      <c r="N145" s="32"/>
      <c r="O145" s="34" t="str">
        <f t="shared" si="1"/>
        <v>OK</v>
      </c>
      <c r="P145" s="61" t="s">
        <v>79</v>
      </c>
      <c r="Q145" s="34" t="str">
        <f t="shared" si="9"/>
        <v>R1-3-2-L</v>
      </c>
      <c r="R145" s="34" t="str">
        <f t="shared" si="3"/>
        <v/>
      </c>
      <c r="S145" s="34">
        <f t="shared" si="10"/>
        <v>39</v>
      </c>
      <c r="T145" s="34" t="str">
        <f t="shared" si="5"/>
        <v>R1-3-2-L||97-406-00017-00||Material / 物料</v>
      </c>
      <c r="U145" s="34" t="s">
        <v>690</v>
      </c>
      <c r="V145" s="103" t="s">
        <v>683</v>
      </c>
      <c r="W145" s="42" t="str">
        <f t="shared" si="6"/>
        <v>OK</v>
      </c>
      <c r="X145" s="42">
        <f t="shared" si="7"/>
        <v>0</v>
      </c>
      <c r="Y145" s="42">
        <f t="shared" si="8"/>
        <v>0</v>
      </c>
      <c r="Z145" s="42" t="str">
        <f>IF(G145="","",IFERROR(VLOOKUP(G145,'Product_Stock_Master产品维护'!$A$2:$L992,11,FALSE),"No"))</f>
        <v>No</v>
      </c>
      <c r="AA145" s="42" t="str">
        <f>IF(G145="","",IFERROR(VLOOKUP(G145,'Product_Stock_Master产品维护'!$A$2:$L992,12,FALSE),""))</f>
        <v/>
      </c>
      <c r="AB145" s="42" t="str">
        <f t="shared" si="11"/>
        <v>FLEX-01||97-406-00017-00||Material / 物料</v>
      </c>
      <c r="AC145" s="42">
        <f t="shared" si="12"/>
        <v>-39</v>
      </c>
    </row>
    <row r="146" ht="15.75" customHeight="1">
      <c r="A146" s="59" t="s">
        <v>678</v>
      </c>
      <c r="B146" s="60"/>
      <c r="C146" s="61" t="s">
        <v>657</v>
      </c>
      <c r="D146" s="32"/>
      <c r="E146" s="32"/>
      <c r="F146" s="32"/>
      <c r="G146" s="61" t="s">
        <v>140</v>
      </c>
      <c r="H146" s="34" t="str">
        <f>IF(G146="","",IFERROR(VLOOKUP(G146,'Product_Stock_Master产品维护'!$A$2:$E992,2,FALSE()),"SKU not found"))</f>
        <v>KH遮线罩</v>
      </c>
      <c r="I146" s="34" t="str">
        <f>IF(G146="","",IFERROR(VLOOKUP(G146,'Product_Stock_Master产品维护'!$A$2:$E992,3,FALSE()),"Item type not found"))</f>
        <v>Material</v>
      </c>
      <c r="J146" s="32"/>
      <c r="K146" s="61">
        <v>38.0</v>
      </c>
      <c r="L146" s="61" t="s">
        <v>559</v>
      </c>
      <c r="M146" s="61" t="s">
        <v>200</v>
      </c>
      <c r="N146" s="32"/>
      <c r="O146" s="34" t="str">
        <f t="shared" si="1"/>
        <v>OK</v>
      </c>
      <c r="P146" s="61" t="s">
        <v>79</v>
      </c>
      <c r="Q146" s="34" t="str">
        <f t="shared" si="9"/>
        <v>R1-3-2-R</v>
      </c>
      <c r="R146" s="34" t="str">
        <f t="shared" si="3"/>
        <v/>
      </c>
      <c r="S146" s="34">
        <f t="shared" si="10"/>
        <v>38</v>
      </c>
      <c r="T146" s="34" t="str">
        <f t="shared" si="5"/>
        <v>R1-3-2-R||97-406-00017-00||Material / 物料</v>
      </c>
      <c r="U146" s="34" t="s">
        <v>691</v>
      </c>
      <c r="V146" s="103" t="s">
        <v>683</v>
      </c>
      <c r="W146" s="42" t="str">
        <f t="shared" si="6"/>
        <v>OK</v>
      </c>
      <c r="X146" s="42">
        <f t="shared" si="7"/>
        <v>0</v>
      </c>
      <c r="Y146" s="42">
        <f t="shared" si="8"/>
        <v>0</v>
      </c>
      <c r="Z146" s="42" t="str">
        <f>IF(G146="","",IFERROR(VLOOKUP(G146,'Product_Stock_Master产品维护'!$A$2:$L992,11,FALSE),"No"))</f>
        <v>No</v>
      </c>
      <c r="AA146" s="42" t="str">
        <f>IF(G146="","",IFERROR(VLOOKUP(G146,'Product_Stock_Master产品维护'!$A$2:$L992,12,FALSE),""))</f>
        <v/>
      </c>
      <c r="AB146" s="42" t="str">
        <f t="shared" si="11"/>
        <v>FLEX-01||97-406-00017-00||Material / 物料</v>
      </c>
      <c r="AC146" s="42">
        <f t="shared" si="12"/>
        <v>-38</v>
      </c>
    </row>
    <row r="147" ht="15.75" customHeight="1">
      <c r="A147" s="59" t="s">
        <v>678</v>
      </c>
      <c r="B147" s="60"/>
      <c r="C147" s="61" t="s">
        <v>622</v>
      </c>
      <c r="D147" s="32"/>
      <c r="E147" s="32"/>
      <c r="F147" s="32"/>
      <c r="G147" s="61" t="s">
        <v>692</v>
      </c>
      <c r="H147" s="34" t="str">
        <f>IF(G147="","",IFERROR(VLOOKUP(G147,'Product_Stock_Master产品维护'!$A$2:$E992,2,FALSE()),"SKU not found"))</f>
        <v>PCBA-逆变器 H1-G2 3-6kW 功率板</v>
      </c>
      <c r="I147" s="34" t="str">
        <f>IF(G147="","",IFERROR(VLOOKUP(G147,'Product_Stock_Master产品维护'!$A$2:$E992,3,FALSE()),"Item type not found"))</f>
        <v>Material</v>
      </c>
      <c r="J147" s="32"/>
      <c r="K147" s="61">
        <v>75.0</v>
      </c>
      <c r="L147" s="32"/>
      <c r="M147" s="61" t="s">
        <v>693</v>
      </c>
      <c r="N147" s="32"/>
      <c r="O147" s="34" t="str">
        <f t="shared" si="1"/>
        <v>OK</v>
      </c>
      <c r="P147" s="61" t="s">
        <v>79</v>
      </c>
      <c r="Q147" s="34" t="str">
        <f t="shared" si="9"/>
        <v>R1-4-3-L</v>
      </c>
      <c r="R147" s="34" t="str">
        <f t="shared" si="3"/>
        <v/>
      </c>
      <c r="S147" s="34">
        <f t="shared" si="10"/>
        <v>75</v>
      </c>
      <c r="T147" s="34" t="str">
        <f t="shared" si="5"/>
        <v>R1-4-3-L||20-012-10219-08||Material / 物料</v>
      </c>
      <c r="U147" s="34" t="s">
        <v>694</v>
      </c>
      <c r="V147" s="103" t="s">
        <v>695</v>
      </c>
      <c r="W147" s="42" t="str">
        <f t="shared" si="6"/>
        <v>OK</v>
      </c>
      <c r="X147" s="42">
        <f t="shared" si="7"/>
        <v>0</v>
      </c>
      <c r="Y147" s="42">
        <f t="shared" si="8"/>
        <v>0</v>
      </c>
      <c r="Z147" s="42" t="str">
        <f>IF(G147="","",IFERROR(VLOOKUP(G147,'Product_Stock_Master产品维护'!$A$2:$L992,11,FALSE),"No"))</f>
        <v>No</v>
      </c>
      <c r="AA147" s="42" t="str">
        <f>IF(G147="","",IFERROR(VLOOKUP(G147,'Product_Stock_Master产品维护'!$A$2:$L992,12,FALSE),""))</f>
        <v/>
      </c>
      <c r="AB147" s="42" t="str">
        <f t="shared" si="11"/>
        <v/>
      </c>
      <c r="AC147" s="42">
        <f t="shared" si="12"/>
        <v>0</v>
      </c>
    </row>
    <row r="148" ht="15.75" customHeight="1">
      <c r="A148" s="59" t="s">
        <v>678</v>
      </c>
      <c r="B148" s="60"/>
      <c r="C148" s="61" t="s">
        <v>622</v>
      </c>
      <c r="D148" s="32"/>
      <c r="E148" s="32"/>
      <c r="F148" s="32"/>
      <c r="G148" s="61" t="s">
        <v>697</v>
      </c>
      <c r="H148" s="34" t="str">
        <f>IF(G148="","",IFERROR(VLOOKUP(G148,'Product_Stock_Master产品维护'!$A$2:$E992,2,FALSE()),"SKU not found"))</f>
        <v>PCBA-逆变器 H3-G2 15kW 控制板</v>
      </c>
      <c r="I148" s="34" t="str">
        <f>IF(G148="","",IFERROR(VLOOKUP(G148,'Product_Stock_Master产品维护'!$A$2:$E992,3,FALSE()),"Item type not found"))</f>
        <v>Material</v>
      </c>
      <c r="J148" s="32"/>
      <c r="K148" s="61">
        <v>99.0</v>
      </c>
      <c r="L148" s="32"/>
      <c r="M148" s="61" t="s">
        <v>698</v>
      </c>
      <c r="N148" s="32"/>
      <c r="O148" s="34" t="str">
        <f t="shared" si="1"/>
        <v>OK</v>
      </c>
      <c r="P148" s="61" t="s">
        <v>79</v>
      </c>
      <c r="Q148" s="34" t="str">
        <f t="shared" si="9"/>
        <v>R1-4-3-R</v>
      </c>
      <c r="R148" s="34" t="str">
        <f t="shared" si="3"/>
        <v/>
      </c>
      <c r="S148" s="34">
        <f t="shared" si="10"/>
        <v>99</v>
      </c>
      <c r="T148" s="34" t="str">
        <f t="shared" si="5"/>
        <v>R1-4-3-R||20-012-10330-11||Material / 物料</v>
      </c>
      <c r="U148" s="34" t="s">
        <v>699</v>
      </c>
      <c r="V148" s="103" t="s">
        <v>695</v>
      </c>
      <c r="W148" s="42" t="str">
        <f t="shared" si="6"/>
        <v>OK</v>
      </c>
      <c r="X148" s="42">
        <f t="shared" si="7"/>
        <v>0</v>
      </c>
      <c r="Y148" s="42">
        <f t="shared" si="8"/>
        <v>0</v>
      </c>
      <c r="Z148" s="42" t="str">
        <f>IF(G148="","",IFERROR(VLOOKUP(G148,'Product_Stock_Master产品维护'!$A$2:$L992,11,FALSE),"No"))</f>
        <v>No</v>
      </c>
      <c r="AA148" s="42" t="str">
        <f>IF(G148="","",IFERROR(VLOOKUP(G148,'Product_Stock_Master产品维护'!$A$2:$L992,12,FALSE),""))</f>
        <v/>
      </c>
      <c r="AB148" s="42" t="str">
        <f t="shared" si="11"/>
        <v/>
      </c>
      <c r="AC148" s="42">
        <f t="shared" si="12"/>
        <v>0</v>
      </c>
    </row>
    <row r="149" ht="15.75" customHeight="1">
      <c r="A149" s="59" t="s">
        <v>678</v>
      </c>
      <c r="B149" s="60"/>
      <c r="C149" s="61" t="s">
        <v>622</v>
      </c>
      <c r="D149" s="32"/>
      <c r="E149" s="32"/>
      <c r="F149" s="32"/>
      <c r="G149" s="61" t="s">
        <v>525</v>
      </c>
      <c r="H149" s="34" t="str">
        <f>IF(G149="","",IFERROR(VLOOKUP(G149,'Product_Stock_Master产品维护'!$A$2:$E992,2,FALSE()),"SKU not found"))</f>
        <v>PCBA-逆变器 KH 9-10.5kW 功率板</v>
      </c>
      <c r="I149" s="34" t="str">
        <f>IF(G149="","",IFERROR(VLOOKUP(G149,'Product_Stock_Master产品维护'!$A$2:$E992,3,FALSE()),"Item type not found"))</f>
        <v>Material</v>
      </c>
      <c r="J149" s="32"/>
      <c r="K149" s="61">
        <v>75.0</v>
      </c>
      <c r="L149" s="32"/>
      <c r="M149" s="61" t="s">
        <v>700</v>
      </c>
      <c r="N149" s="32"/>
      <c r="O149" s="34" t="str">
        <f t="shared" si="1"/>
        <v>OK</v>
      </c>
      <c r="P149" s="61" t="s">
        <v>79</v>
      </c>
      <c r="Q149" s="34" t="str">
        <f t="shared" si="9"/>
        <v>R1-3-3-L</v>
      </c>
      <c r="R149" s="34" t="str">
        <f t="shared" si="3"/>
        <v/>
      </c>
      <c r="S149" s="34">
        <f t="shared" si="10"/>
        <v>75</v>
      </c>
      <c r="T149" s="34" t="str">
        <f t="shared" si="5"/>
        <v>R1-3-3-L||20-012-10342-02||Material / 物料</v>
      </c>
      <c r="U149" s="34" t="s">
        <v>701</v>
      </c>
      <c r="V149" s="103" t="s">
        <v>695</v>
      </c>
      <c r="W149" s="42" t="str">
        <f t="shared" si="6"/>
        <v>OK</v>
      </c>
      <c r="X149" s="42">
        <f t="shared" si="7"/>
        <v>0</v>
      </c>
      <c r="Y149" s="42">
        <f t="shared" si="8"/>
        <v>0</v>
      </c>
      <c r="Z149" s="42" t="str">
        <f>IF(G149="","",IFERROR(VLOOKUP(G149,'Product_Stock_Master产品维护'!$A$2:$L992,11,FALSE),"No"))</f>
        <v>No</v>
      </c>
      <c r="AA149" s="42" t="str">
        <f>IF(G149="","",IFERROR(VLOOKUP(G149,'Product_Stock_Master产品维护'!$A$2:$L992,12,FALSE),""))</f>
        <v/>
      </c>
      <c r="AB149" s="42" t="str">
        <f t="shared" si="11"/>
        <v/>
      </c>
      <c r="AC149" s="42">
        <f t="shared" si="12"/>
        <v>0</v>
      </c>
    </row>
    <row r="150" ht="15.75" customHeight="1">
      <c r="A150" s="59" t="s">
        <v>678</v>
      </c>
      <c r="B150" s="60"/>
      <c r="C150" s="61" t="s">
        <v>622</v>
      </c>
      <c r="D150" s="32"/>
      <c r="E150" s="32"/>
      <c r="F150" s="32"/>
      <c r="G150" s="61" t="s">
        <v>702</v>
      </c>
      <c r="H150" s="34" t="str">
        <f>IF(G150="","",IFERROR(VLOOKUP(G150,'Product_Stock_Master产品维护'!$A$2:$E992,2,FALSE()),"SKU not found"))</f>
        <v>PCBA-电池 ECS BMU_6813_V2_14串_7NTC_CAN_CM</v>
      </c>
      <c r="I150" s="34" t="str">
        <f>IF(G150="","",IFERROR(VLOOKUP(G150,'Product_Stock_Master产品维护'!$A$2:$E992,3,FALSE()),"Item type not found"))</f>
        <v>Material</v>
      </c>
      <c r="J150" s="32"/>
      <c r="K150" s="61">
        <v>99.0</v>
      </c>
      <c r="L150" s="32"/>
      <c r="M150" s="61" t="s">
        <v>703</v>
      </c>
      <c r="N150" s="32"/>
      <c r="O150" s="34" t="str">
        <f t="shared" si="1"/>
        <v>OK</v>
      </c>
      <c r="P150" s="61" t="s">
        <v>79</v>
      </c>
      <c r="Q150" s="34" t="str">
        <f t="shared" si="9"/>
        <v>R1-3-3-R</v>
      </c>
      <c r="R150" s="34" t="str">
        <f t="shared" si="3"/>
        <v/>
      </c>
      <c r="S150" s="34">
        <f t="shared" si="10"/>
        <v>99</v>
      </c>
      <c r="T150" s="34" t="str">
        <f t="shared" si="5"/>
        <v>R1-3-3-R||20-012-20142-00||Material / 物料</v>
      </c>
      <c r="U150" s="34" t="s">
        <v>704</v>
      </c>
      <c r="V150" s="103" t="s">
        <v>695</v>
      </c>
      <c r="W150" s="42" t="str">
        <f t="shared" si="6"/>
        <v>OK</v>
      </c>
      <c r="X150" s="42">
        <f t="shared" si="7"/>
        <v>0</v>
      </c>
      <c r="Y150" s="42">
        <f t="shared" si="8"/>
        <v>0</v>
      </c>
      <c r="Z150" s="42" t="str">
        <f>IF(G150="","",IFERROR(VLOOKUP(G150,'Product_Stock_Master产品维护'!$A$2:$L992,11,FALSE),"No"))</f>
        <v>No</v>
      </c>
      <c r="AA150" s="42" t="str">
        <f>IF(G150="","",IFERROR(VLOOKUP(G150,'Product_Stock_Master产品维护'!$A$2:$L992,12,FALSE),""))</f>
        <v/>
      </c>
      <c r="AB150" s="42" t="str">
        <f t="shared" si="11"/>
        <v/>
      </c>
      <c r="AC150" s="42">
        <f t="shared" si="12"/>
        <v>0</v>
      </c>
    </row>
    <row r="151" ht="15.75" customHeight="1">
      <c r="A151" s="59" t="s">
        <v>678</v>
      </c>
      <c r="B151" s="60"/>
      <c r="C151" s="61" t="s">
        <v>622</v>
      </c>
      <c r="D151" s="32"/>
      <c r="E151" s="32"/>
      <c r="F151" s="32"/>
      <c r="G151" s="32"/>
      <c r="H151" s="34" t="str">
        <f>IF(G151="","",IFERROR(VLOOKUP(G151,'Product_Stock_Master产品维护'!$A$2:$E992,2,FALSE()),"SKU not found"))</f>
        <v/>
      </c>
      <c r="I151" s="34" t="str">
        <f>IF(G151="","",IFERROR(VLOOKUP(G151,'Product_Stock_Master产品维护'!$A$2:$E992,3,FALSE()),"Item type not found"))</f>
        <v/>
      </c>
      <c r="J151" s="32"/>
      <c r="K151" s="61">
        <v>99.0</v>
      </c>
      <c r="L151" s="32"/>
      <c r="M151" s="61" t="s">
        <v>705</v>
      </c>
      <c r="N151" s="32"/>
      <c r="O151" s="34" t="str">
        <f t="shared" si="1"/>
        <v>OK</v>
      </c>
      <c r="P151" s="61" t="s">
        <v>79</v>
      </c>
      <c r="Q151" s="34" t="str">
        <f t="shared" si="9"/>
        <v>R1-4-4-L</v>
      </c>
      <c r="R151" s="34" t="str">
        <f t="shared" si="3"/>
        <v/>
      </c>
      <c r="S151" s="34">
        <f t="shared" si="10"/>
        <v>99</v>
      </c>
      <c r="T151" s="34" t="str">
        <f t="shared" si="5"/>
        <v>R1-4-4-L||||Material / 物料</v>
      </c>
      <c r="U151" s="34" t="s">
        <v>706</v>
      </c>
      <c r="V151" s="103" t="s">
        <v>707</v>
      </c>
      <c r="W151" s="42" t="str">
        <f t="shared" si="6"/>
        <v>OK</v>
      </c>
      <c r="X151" s="42">
        <f t="shared" si="7"/>
        <v>0</v>
      </c>
      <c r="Y151" s="42">
        <f t="shared" si="8"/>
        <v>0</v>
      </c>
      <c r="Z151" s="42" t="str">
        <f>IF(G151="","",IFERROR(VLOOKUP(G151,'Product_Stock_Master产品维护'!$A$2:$L992,11,FALSE),"No"))</f>
        <v/>
      </c>
      <c r="AA151" s="42" t="str">
        <f>IF(G151="","",IFERROR(VLOOKUP(G151,'Product_Stock_Master产品维护'!$A$2:$L992,12,FALSE),""))</f>
        <v/>
      </c>
      <c r="AB151" s="42" t="str">
        <f t="shared" si="11"/>
        <v/>
      </c>
      <c r="AC151" s="42">
        <f t="shared" si="12"/>
        <v>0</v>
      </c>
    </row>
    <row r="152" ht="15.75" customHeight="1">
      <c r="A152" s="59" t="s">
        <v>678</v>
      </c>
      <c r="B152" s="60"/>
      <c r="C152" s="61" t="s">
        <v>622</v>
      </c>
      <c r="D152" s="32"/>
      <c r="E152" s="32"/>
      <c r="F152" s="32"/>
      <c r="G152" s="32"/>
      <c r="H152" s="34" t="str">
        <f>IF(G152="","",IFERROR(VLOOKUP(G152,'Product_Stock_Master产品维护'!$A$2:$E992,2,FALSE()),"SKU not found"))</f>
        <v/>
      </c>
      <c r="I152" s="34" t="str">
        <f>IF(G152="","",IFERROR(VLOOKUP(G152,'Product_Stock_Master产品维护'!$A$2:$E992,3,FALSE()),"Item type not found"))</f>
        <v/>
      </c>
      <c r="J152" s="32"/>
      <c r="K152" s="61">
        <v>99.0</v>
      </c>
      <c r="L152" s="32"/>
      <c r="M152" s="61" t="s">
        <v>708</v>
      </c>
      <c r="N152" s="32"/>
      <c r="O152" s="34" t="str">
        <f t="shared" si="1"/>
        <v>OK</v>
      </c>
      <c r="P152" s="61" t="s">
        <v>79</v>
      </c>
      <c r="Q152" s="34" t="str">
        <f t="shared" si="9"/>
        <v>R1-3-4-L</v>
      </c>
      <c r="R152" s="34" t="str">
        <f t="shared" si="3"/>
        <v/>
      </c>
      <c r="S152" s="34">
        <f t="shared" si="10"/>
        <v>99</v>
      </c>
      <c r="T152" s="34" t="str">
        <f t="shared" si="5"/>
        <v>R1-3-4-L||||Material / 物料</v>
      </c>
      <c r="U152" s="34" t="s">
        <v>709</v>
      </c>
      <c r="V152" s="103" t="s">
        <v>707</v>
      </c>
      <c r="W152" s="42" t="str">
        <f t="shared" si="6"/>
        <v>OK</v>
      </c>
      <c r="X152" s="42">
        <f t="shared" si="7"/>
        <v>0</v>
      </c>
      <c r="Y152" s="42">
        <f t="shared" si="8"/>
        <v>0</v>
      </c>
      <c r="Z152" s="42" t="str">
        <f>IF(G152="","",IFERROR(VLOOKUP(G152,'Product_Stock_Master产品维护'!$A$2:$L992,11,FALSE),"No"))</f>
        <v/>
      </c>
      <c r="AA152" s="42" t="str">
        <f>IF(G152="","",IFERROR(VLOOKUP(G152,'Product_Stock_Master产品维护'!$A$2:$L992,12,FALSE),""))</f>
        <v/>
      </c>
      <c r="AB152" s="42" t="str">
        <f t="shared" si="11"/>
        <v/>
      </c>
      <c r="AC152" s="42">
        <f t="shared" si="12"/>
        <v>0</v>
      </c>
    </row>
    <row r="153" ht="15.75" customHeight="1">
      <c r="A153" s="59" t="s">
        <v>678</v>
      </c>
      <c r="B153" s="60"/>
      <c r="C153" s="61" t="s">
        <v>622</v>
      </c>
      <c r="D153" s="32"/>
      <c r="E153" s="32"/>
      <c r="F153" s="32"/>
      <c r="G153" s="32"/>
      <c r="H153" s="34" t="str">
        <f>IF(G153="","",IFERROR(VLOOKUP(G153,'Product_Stock_Master产品维护'!$A$2:$E992,2,FALSE()),"SKU not found"))</f>
        <v/>
      </c>
      <c r="I153" s="34" t="str">
        <f>IF(G153="","",IFERROR(VLOOKUP(G153,'Product_Stock_Master产品维护'!$A$2:$E992,3,FALSE()),"Item type not found"))</f>
        <v/>
      </c>
      <c r="J153" s="32"/>
      <c r="K153" s="61">
        <v>99.0</v>
      </c>
      <c r="L153" s="32"/>
      <c r="M153" s="61" t="s">
        <v>710</v>
      </c>
      <c r="N153" s="32"/>
      <c r="O153" s="34" t="str">
        <f t="shared" si="1"/>
        <v>OK</v>
      </c>
      <c r="P153" s="61" t="s">
        <v>79</v>
      </c>
      <c r="Q153" s="34" t="str">
        <f t="shared" si="9"/>
        <v>R1-3-4-R</v>
      </c>
      <c r="R153" s="34" t="str">
        <f t="shared" si="3"/>
        <v/>
      </c>
      <c r="S153" s="34">
        <f t="shared" si="10"/>
        <v>99</v>
      </c>
      <c r="T153" s="34" t="str">
        <f t="shared" si="5"/>
        <v>R1-3-4-R||||Material / 物料</v>
      </c>
      <c r="U153" s="34" t="s">
        <v>711</v>
      </c>
      <c r="V153" s="103" t="s">
        <v>707</v>
      </c>
      <c r="W153" s="42" t="str">
        <f t="shared" si="6"/>
        <v>OK</v>
      </c>
      <c r="X153" s="42">
        <f t="shared" si="7"/>
        <v>0</v>
      </c>
      <c r="Y153" s="42">
        <f t="shared" si="8"/>
        <v>0</v>
      </c>
      <c r="Z153" s="42" t="str">
        <f>IF(G153="","",IFERROR(VLOOKUP(G153,'Product_Stock_Master产品维护'!$A$2:$L992,11,FALSE),"No"))</f>
        <v/>
      </c>
      <c r="AA153" s="42" t="str">
        <f>IF(G153="","",IFERROR(VLOOKUP(G153,'Product_Stock_Master产品维护'!$A$2:$L992,12,FALSE),""))</f>
        <v/>
      </c>
      <c r="AB153" s="42" t="str">
        <f t="shared" si="11"/>
        <v/>
      </c>
      <c r="AC153" s="42">
        <f t="shared" si="12"/>
        <v>0</v>
      </c>
    </row>
    <row r="154" ht="15.75" customHeight="1">
      <c r="A154" s="59" t="s">
        <v>678</v>
      </c>
      <c r="B154" s="60"/>
      <c r="C154" s="61" t="s">
        <v>622</v>
      </c>
      <c r="D154" s="32"/>
      <c r="E154" s="32"/>
      <c r="F154" s="32"/>
      <c r="G154" s="32"/>
      <c r="H154" s="34" t="str">
        <f>IF(G154="","",IFERROR(VLOOKUP(G154,'Product_Stock_Master产品维护'!$A$2:$E992,2,FALSE()),"SKU not found"))</f>
        <v/>
      </c>
      <c r="I154" s="34" t="str">
        <f>IF(G154="","",IFERROR(VLOOKUP(G154,'Product_Stock_Master产品维护'!$A$2:$E992,3,FALSE()),"Item type not found"))</f>
        <v/>
      </c>
      <c r="J154" s="32"/>
      <c r="K154" s="61">
        <v>99.0</v>
      </c>
      <c r="L154" s="32"/>
      <c r="M154" s="61" t="s">
        <v>652</v>
      </c>
      <c r="N154" s="32"/>
      <c r="O154" s="34" t="str">
        <f t="shared" si="1"/>
        <v>OK</v>
      </c>
      <c r="P154" s="61" t="s">
        <v>79</v>
      </c>
      <c r="Q154" s="34" t="str">
        <f t="shared" si="9"/>
        <v>R1-2-4-L</v>
      </c>
      <c r="R154" s="34" t="str">
        <f t="shared" si="3"/>
        <v/>
      </c>
      <c r="S154" s="34">
        <f t="shared" si="10"/>
        <v>99</v>
      </c>
      <c r="T154" s="34" t="str">
        <f t="shared" si="5"/>
        <v>R1-2-4-L||||Material / 物料</v>
      </c>
      <c r="U154" s="34" t="s">
        <v>722</v>
      </c>
      <c r="V154" s="103" t="s">
        <v>707</v>
      </c>
      <c r="W154" s="42" t="str">
        <f t="shared" si="6"/>
        <v>OK</v>
      </c>
      <c r="X154" s="42">
        <f t="shared" si="7"/>
        <v>0</v>
      </c>
      <c r="Y154" s="42">
        <f t="shared" si="8"/>
        <v>0</v>
      </c>
      <c r="Z154" s="42" t="str">
        <f>IF(G154="","",IFERROR(VLOOKUP(G154,'Product_Stock_Master产品维护'!$A$2:$L992,11,FALSE),"No"))</f>
        <v/>
      </c>
      <c r="AA154" s="42" t="str">
        <f>IF(G154="","",IFERROR(VLOOKUP(G154,'Product_Stock_Master产品维护'!$A$2:$L992,12,FALSE),""))</f>
        <v/>
      </c>
      <c r="AB154" s="42" t="str">
        <f t="shared" si="11"/>
        <v/>
      </c>
      <c r="AC154" s="42">
        <f t="shared" si="12"/>
        <v>0</v>
      </c>
    </row>
    <row r="155" ht="15.75" customHeight="1">
      <c r="A155" s="59" t="s">
        <v>678</v>
      </c>
      <c r="B155" s="60"/>
      <c r="C155" s="61" t="s">
        <v>622</v>
      </c>
      <c r="D155" s="32"/>
      <c r="E155" s="32"/>
      <c r="F155" s="32"/>
      <c r="G155" s="32"/>
      <c r="H155" s="34" t="str">
        <f>IF(G155="","",IFERROR(VLOOKUP(G155,'Product_Stock_Master产品维护'!$A$2:$E992,2,FALSE()),"SKU not found"))</f>
        <v/>
      </c>
      <c r="I155" s="34" t="str">
        <f>IF(G155="","",IFERROR(VLOOKUP(G155,'Product_Stock_Master产品维护'!$A$2:$E992,3,FALSE()),"Item type not found"))</f>
        <v/>
      </c>
      <c r="J155" s="32"/>
      <c r="K155" s="61">
        <v>99.0</v>
      </c>
      <c r="L155" s="32"/>
      <c r="M155" s="61" t="s">
        <v>666</v>
      </c>
      <c r="N155" s="32"/>
      <c r="O155" s="34" t="str">
        <f t="shared" si="1"/>
        <v>OK</v>
      </c>
      <c r="P155" s="61" t="s">
        <v>79</v>
      </c>
      <c r="Q155" s="34" t="str">
        <f t="shared" si="9"/>
        <v>R1-2-4-R</v>
      </c>
      <c r="R155" s="34" t="str">
        <f t="shared" si="3"/>
        <v/>
      </c>
      <c r="S155" s="34">
        <f t="shared" si="10"/>
        <v>99</v>
      </c>
      <c r="T155" s="34" t="str">
        <f t="shared" si="5"/>
        <v>R1-2-4-R||||Material / 物料</v>
      </c>
      <c r="U155" s="34" t="s">
        <v>728</v>
      </c>
      <c r="V155" s="103" t="s">
        <v>707</v>
      </c>
      <c r="W155" s="42" t="str">
        <f t="shared" si="6"/>
        <v>OK</v>
      </c>
      <c r="X155" s="42">
        <f t="shared" si="7"/>
        <v>0</v>
      </c>
      <c r="Y155" s="42">
        <f t="shared" si="8"/>
        <v>0</v>
      </c>
      <c r="Z155" s="42" t="str">
        <f>IF(G155="","",IFERROR(VLOOKUP(G155,'Product_Stock_Master产品维护'!$A$2:$L992,11,FALSE),"No"))</f>
        <v/>
      </c>
      <c r="AA155" s="42" t="str">
        <f>IF(G155="","",IFERROR(VLOOKUP(G155,'Product_Stock_Master产品维护'!$A$2:$L992,12,FALSE),""))</f>
        <v/>
      </c>
      <c r="AB155" s="42" t="str">
        <f t="shared" si="11"/>
        <v/>
      </c>
      <c r="AC155" s="42">
        <f t="shared" si="12"/>
        <v>0</v>
      </c>
    </row>
    <row r="156" ht="15.75" customHeight="1">
      <c r="A156" s="59" t="s">
        <v>678</v>
      </c>
      <c r="B156" s="60"/>
      <c r="C156" s="61" t="s">
        <v>622</v>
      </c>
      <c r="D156" s="32"/>
      <c r="E156" s="32"/>
      <c r="F156" s="32"/>
      <c r="G156" s="32"/>
      <c r="H156" s="34" t="str">
        <f>IF(G156="","",IFERROR(VLOOKUP(G156,'Product_Stock_Master产品维护'!$A$2:$E992,2,FALSE()),"SKU not found"))</f>
        <v/>
      </c>
      <c r="I156" s="34" t="str">
        <f>IF(G156="","",IFERROR(VLOOKUP(G156,'Product_Stock_Master产品维护'!$A$2:$E992,3,FALSE()),"Item type not found"))</f>
        <v/>
      </c>
      <c r="J156" s="32"/>
      <c r="K156" s="61">
        <v>99.0</v>
      </c>
      <c r="L156" s="32"/>
      <c r="M156" s="61" t="s">
        <v>734</v>
      </c>
      <c r="N156" s="32"/>
      <c r="O156" s="34" t="str">
        <f t="shared" si="1"/>
        <v>OK</v>
      </c>
      <c r="P156" s="61" t="s">
        <v>79</v>
      </c>
      <c r="Q156" s="34" t="str">
        <f t="shared" si="9"/>
        <v>R1-3-5-L</v>
      </c>
      <c r="R156" s="34" t="str">
        <f t="shared" si="3"/>
        <v/>
      </c>
      <c r="S156" s="34">
        <f t="shared" si="10"/>
        <v>99</v>
      </c>
      <c r="T156" s="34" t="str">
        <f t="shared" si="5"/>
        <v>R1-3-5-L||||Material / 物料</v>
      </c>
      <c r="U156" s="34" t="s">
        <v>737</v>
      </c>
      <c r="V156" s="103" t="s">
        <v>707</v>
      </c>
      <c r="W156" s="42" t="str">
        <f t="shared" si="6"/>
        <v>OK</v>
      </c>
      <c r="X156" s="42">
        <f t="shared" si="7"/>
        <v>0</v>
      </c>
      <c r="Y156" s="42">
        <f t="shared" si="8"/>
        <v>0</v>
      </c>
      <c r="Z156" s="42" t="str">
        <f>IF(G156="","",IFERROR(VLOOKUP(G156,'Product_Stock_Master产品维护'!$A$2:$L992,11,FALSE),"No"))</f>
        <v/>
      </c>
      <c r="AA156" s="42" t="str">
        <f>IF(G156="","",IFERROR(VLOOKUP(G156,'Product_Stock_Master产品维护'!$A$2:$L992,12,FALSE),""))</f>
        <v/>
      </c>
      <c r="AB156" s="42" t="str">
        <f t="shared" si="11"/>
        <v/>
      </c>
      <c r="AC156" s="42">
        <f t="shared" si="12"/>
        <v>0</v>
      </c>
    </row>
    <row r="157" ht="15.75" customHeight="1">
      <c r="A157" s="59" t="s">
        <v>678</v>
      </c>
      <c r="B157" s="60"/>
      <c r="C157" s="61" t="s">
        <v>622</v>
      </c>
      <c r="D157" s="32"/>
      <c r="E157" s="32"/>
      <c r="F157" s="32"/>
      <c r="G157" s="32"/>
      <c r="H157" s="34" t="str">
        <f>IF(G157="","",IFERROR(VLOOKUP(G157,'Product_Stock_Master产品维护'!$A$2:$E992,2,FALSE()),"SKU not found"))</f>
        <v/>
      </c>
      <c r="I157" s="34" t="str">
        <f>IF(G157="","",IFERROR(VLOOKUP(G157,'Product_Stock_Master产品维护'!$A$2:$E992,3,FALSE()),"Item type not found"))</f>
        <v/>
      </c>
      <c r="J157" s="32"/>
      <c r="K157" s="61">
        <v>99.0</v>
      </c>
      <c r="L157" s="32"/>
      <c r="M157" s="61" t="s">
        <v>742</v>
      </c>
      <c r="N157" s="32"/>
      <c r="O157" s="34" t="str">
        <f t="shared" si="1"/>
        <v>OK</v>
      </c>
      <c r="P157" s="61" t="s">
        <v>79</v>
      </c>
      <c r="Q157" s="34" t="str">
        <f t="shared" si="9"/>
        <v>R1-3-5-R</v>
      </c>
      <c r="R157" s="34" t="str">
        <f t="shared" si="3"/>
        <v/>
      </c>
      <c r="S157" s="34">
        <f t="shared" si="10"/>
        <v>99</v>
      </c>
      <c r="T157" s="34" t="str">
        <f t="shared" si="5"/>
        <v>R1-3-5-R||||Material / 物料</v>
      </c>
      <c r="U157" s="34" t="s">
        <v>743</v>
      </c>
      <c r="V157" s="103" t="s">
        <v>707</v>
      </c>
      <c r="W157" s="42" t="str">
        <f t="shared" si="6"/>
        <v>OK</v>
      </c>
      <c r="X157" s="42">
        <f t="shared" si="7"/>
        <v>0</v>
      </c>
      <c r="Y157" s="42">
        <f t="shared" si="8"/>
        <v>0</v>
      </c>
      <c r="Z157" s="42" t="str">
        <f>IF(G157="","",IFERROR(VLOOKUP(G157,'Product_Stock_Master产品维护'!$A$2:$L992,11,FALSE),"No"))</f>
        <v/>
      </c>
      <c r="AA157" s="42" t="str">
        <f>IF(G157="","",IFERROR(VLOOKUP(G157,'Product_Stock_Master产品维护'!$A$2:$L992,12,FALSE),""))</f>
        <v/>
      </c>
      <c r="AB157" s="42" t="str">
        <f t="shared" si="11"/>
        <v/>
      </c>
      <c r="AC157" s="42">
        <f t="shared" si="12"/>
        <v>0</v>
      </c>
    </row>
    <row r="158" ht="15.75" customHeight="1">
      <c r="A158" s="59" t="s">
        <v>678</v>
      </c>
      <c r="B158" s="60"/>
      <c r="C158" s="61" t="s">
        <v>622</v>
      </c>
      <c r="D158" s="32"/>
      <c r="E158" s="32"/>
      <c r="F158" s="32"/>
      <c r="G158" s="32"/>
      <c r="H158" s="34" t="str">
        <f>IF(G158="","",IFERROR(VLOOKUP(G158,'Product_Stock_Master产品维护'!$A$2:$E992,2,FALSE()),"SKU not found"))</f>
        <v/>
      </c>
      <c r="I158" s="34" t="str">
        <f>IF(G158="","",IFERROR(VLOOKUP(G158,'Product_Stock_Master产品维护'!$A$2:$E992,3,FALSE()),"Item type not found"))</f>
        <v/>
      </c>
      <c r="J158" s="32"/>
      <c r="K158" s="61">
        <v>99.0</v>
      </c>
      <c r="L158" s="32"/>
      <c r="M158" s="61" t="s">
        <v>748</v>
      </c>
      <c r="N158" s="32"/>
      <c r="O158" s="34" t="str">
        <f t="shared" si="1"/>
        <v>OK</v>
      </c>
      <c r="P158" s="61" t="s">
        <v>79</v>
      </c>
      <c r="Q158" s="34" t="str">
        <f t="shared" si="9"/>
        <v>R1-4-5-L</v>
      </c>
      <c r="R158" s="34" t="str">
        <f t="shared" si="3"/>
        <v/>
      </c>
      <c r="S158" s="34">
        <f t="shared" si="10"/>
        <v>99</v>
      </c>
      <c r="T158" s="34" t="str">
        <f t="shared" si="5"/>
        <v>R1-4-5-L||||Material / 物料</v>
      </c>
      <c r="U158" s="34" t="s">
        <v>749</v>
      </c>
      <c r="V158" s="103" t="s">
        <v>707</v>
      </c>
      <c r="W158" s="42" t="str">
        <f t="shared" si="6"/>
        <v>OK</v>
      </c>
      <c r="X158" s="42">
        <f t="shared" si="7"/>
        <v>0</v>
      </c>
      <c r="Y158" s="42">
        <f t="shared" si="8"/>
        <v>0</v>
      </c>
      <c r="Z158" s="42" t="str">
        <f>IF(G158="","",IFERROR(VLOOKUP(G158,'Product_Stock_Master产品维护'!$A$2:$L992,11,FALSE),"No"))</f>
        <v/>
      </c>
      <c r="AA158" s="42" t="str">
        <f>IF(G158="","",IFERROR(VLOOKUP(G158,'Product_Stock_Master产品维护'!$A$2:$L992,12,FALSE),""))</f>
        <v/>
      </c>
      <c r="AB158" s="42" t="str">
        <f t="shared" si="11"/>
        <v/>
      </c>
      <c r="AC158" s="42">
        <f t="shared" si="12"/>
        <v>0</v>
      </c>
    </row>
    <row r="159" ht="15.75" customHeight="1">
      <c r="A159" s="59" t="s">
        <v>752</v>
      </c>
      <c r="B159" s="60"/>
      <c r="C159" s="61" t="s">
        <v>564</v>
      </c>
      <c r="D159" s="61" t="s">
        <v>754</v>
      </c>
      <c r="E159" s="62" t="s">
        <v>756</v>
      </c>
      <c r="F159" s="32"/>
      <c r="G159" s="61" t="s">
        <v>610</v>
      </c>
      <c r="H159" s="34" t="str">
        <f>IF(G159="","",IFERROR(VLOOKUP(G159,'Product_Stock_Master产品维护'!$A$2:$E992,2,FALSE()),"SKU not found"))</f>
        <v>EQ4800-S</v>
      </c>
      <c r="I159" s="34" t="str">
        <f>IF(G159="","",IFERROR(VLOOKUP(G159,'Product_Stock_Master产品维护'!$A$2:$E992,3,FALSE()),"Item type not found"))</f>
        <v>Product</v>
      </c>
      <c r="J159" s="62" t="s">
        <v>757</v>
      </c>
      <c r="K159" s="61">
        <v>1.0</v>
      </c>
      <c r="L159" s="62" t="s">
        <v>559</v>
      </c>
      <c r="M159" s="62"/>
      <c r="N159" s="61" t="s">
        <v>650</v>
      </c>
      <c r="O159" s="34" t="str">
        <f t="shared" si="1"/>
        <v>OK</v>
      </c>
      <c r="P159" s="61" t="s">
        <v>366</v>
      </c>
      <c r="Q159" s="34" t="str">
        <f t="shared" si="9"/>
        <v>FLEX-01</v>
      </c>
      <c r="R159" s="34" t="str">
        <f t="shared" si="3"/>
        <v/>
      </c>
      <c r="S159" s="34">
        <f t="shared" si="10"/>
        <v>0</v>
      </c>
      <c r="T159" s="34" t="str">
        <f t="shared" si="5"/>
        <v>FLEX-01||30-223-00002-00||Repair_Good / 维修良品</v>
      </c>
      <c r="U159" s="34" t="s">
        <v>759</v>
      </c>
      <c r="V159" s="41"/>
      <c r="W159" s="42" t="str">
        <f t="shared" si="6"/>
        <v>OK</v>
      </c>
      <c r="X159" s="42">
        <f t="shared" si="7"/>
        <v>1</v>
      </c>
      <c r="Y159" s="42">
        <f t="shared" si="8"/>
        <v>0</v>
      </c>
      <c r="Z159" s="42" t="str">
        <f>IF(G159="","",IFERROR(VLOOKUP(G159,'Product_Stock_Master产品维护'!$A$2:$L992,11,FALSE),"No"))</f>
        <v>Yes</v>
      </c>
      <c r="AA159" s="42" t="str">
        <f>IF(G159="","",IFERROR(VLOOKUP(G159,'Product_Stock_Master产品维护'!$A$2:$L992,12,FALSE),""))</f>
        <v>Battery / 电池</v>
      </c>
      <c r="AB159" s="42" t="str">
        <f t="shared" si="11"/>
        <v/>
      </c>
      <c r="AC159" s="42">
        <f t="shared" si="12"/>
        <v>0</v>
      </c>
    </row>
    <row r="160" ht="15.75" customHeight="1">
      <c r="A160" s="59" t="s">
        <v>752</v>
      </c>
      <c r="B160" s="60"/>
      <c r="C160" s="62" t="s">
        <v>622</v>
      </c>
      <c r="D160" s="32"/>
      <c r="E160" s="32"/>
      <c r="F160" s="32"/>
      <c r="G160" s="62" t="s">
        <v>437</v>
      </c>
      <c r="H160" s="34" t="str">
        <f>IF(G160="","",IFERROR(VLOOKUP(G160,'Product_Stock_Master产品维护'!$A$2:$E992,2,FALSE()),"SKU not found"))</f>
        <v>CQ6-S</v>
      </c>
      <c r="I160" s="34" t="str">
        <f>IF(G160="","",IFERROR(VLOOKUP(G160,'Product_Stock_Master产品维护'!$A$2:$E992,3,FALSE()),"Item type not found"))</f>
        <v>Product</v>
      </c>
      <c r="J160" s="62"/>
      <c r="K160" s="62">
        <v>1.0</v>
      </c>
      <c r="L160" s="32"/>
      <c r="M160" s="62" t="s">
        <v>559</v>
      </c>
      <c r="N160" s="32"/>
      <c r="O160" s="34" t="str">
        <f t="shared" si="1"/>
        <v>OK</v>
      </c>
      <c r="P160" s="62" t="s">
        <v>383</v>
      </c>
      <c r="Q160" s="34" t="str">
        <f t="shared" si="9"/>
        <v>FLEX-01</v>
      </c>
      <c r="R160" s="34" t="str">
        <f t="shared" si="3"/>
        <v/>
      </c>
      <c r="S160" s="34">
        <f t="shared" si="10"/>
        <v>1</v>
      </c>
      <c r="T160" s="34" t="str">
        <f t="shared" si="5"/>
        <v>FLEX-01||97-229-00021-00||New / 新机</v>
      </c>
      <c r="U160" s="34" t="s">
        <v>763</v>
      </c>
      <c r="V160" s="41"/>
      <c r="W160" s="42" t="str">
        <f t="shared" si="6"/>
        <v>OK</v>
      </c>
      <c r="X160" s="42">
        <f t="shared" si="7"/>
        <v>0</v>
      </c>
      <c r="Y160" s="42">
        <f t="shared" si="8"/>
        <v>0</v>
      </c>
      <c r="Z160" s="42" t="str">
        <f>IF(G160="","",IFERROR(VLOOKUP(G160,'Product_Stock_Master产品维护'!$A$2:$L992,11,FALSE),"No"))</f>
        <v>Yes</v>
      </c>
      <c r="AA160" s="42" t="str">
        <f>IF(G160="","",IFERROR(VLOOKUP(G160,'Product_Stock_Master产品维护'!$A$2:$L992,12,FALSE),""))</f>
        <v>Battery / 电池</v>
      </c>
      <c r="AB160" s="42" t="str">
        <f t="shared" si="11"/>
        <v/>
      </c>
      <c r="AC160" s="42">
        <f t="shared" si="12"/>
        <v>0</v>
      </c>
    </row>
    <row r="161" ht="15.75" customHeight="1">
      <c r="A161" s="59" t="s">
        <v>752</v>
      </c>
      <c r="B161" s="60"/>
      <c r="C161" s="61" t="s">
        <v>622</v>
      </c>
      <c r="D161" s="61"/>
      <c r="E161" s="61"/>
      <c r="F161" s="61"/>
      <c r="G161" s="61"/>
      <c r="H161" s="34" t="str">
        <f>IF(G161="","",IFERROR(VLOOKUP(G161,'Product_Stock_Master产品维护'!$A$2:$E992,2,FALSE()),"SKU not found"))</f>
        <v/>
      </c>
      <c r="I161" s="34" t="str">
        <f>IF(G161="","",IFERROR(VLOOKUP(G161,'Product_Stock_Master产品维护'!$A$2:$E992,3,FALSE()),"Item type not found"))</f>
        <v/>
      </c>
      <c r="J161" s="32"/>
      <c r="K161" s="61">
        <v>99.0</v>
      </c>
      <c r="L161" s="32"/>
      <c r="M161" s="61" t="s">
        <v>179</v>
      </c>
      <c r="N161" s="32"/>
      <c r="O161" s="34" t="str">
        <f t="shared" si="1"/>
        <v>OK</v>
      </c>
      <c r="P161" s="61" t="s">
        <v>79</v>
      </c>
      <c r="Q161" s="34" t="str">
        <f t="shared" si="9"/>
        <v>R1-2-2-R</v>
      </c>
      <c r="R161" s="34" t="str">
        <f t="shared" si="3"/>
        <v/>
      </c>
      <c r="S161" s="34">
        <f t="shared" si="10"/>
        <v>99</v>
      </c>
      <c r="T161" s="34" t="str">
        <f t="shared" si="5"/>
        <v>R1-2-2-R||||Material / 物料</v>
      </c>
      <c r="U161" s="34" t="s">
        <v>767</v>
      </c>
      <c r="V161" s="103" t="s">
        <v>768</v>
      </c>
      <c r="W161" s="42" t="str">
        <f t="shared" si="6"/>
        <v>OK</v>
      </c>
      <c r="X161" s="42">
        <f t="shared" si="7"/>
        <v>0</v>
      </c>
      <c r="Y161" s="42">
        <f t="shared" si="8"/>
        <v>0</v>
      </c>
      <c r="Z161" s="42" t="str">
        <f>IF(G161="","",IFERROR(VLOOKUP(G161,'Product_Stock_Master产品维护'!$A$2:$L992,11,FALSE),"No"))</f>
        <v/>
      </c>
      <c r="AA161" s="42" t="str">
        <f>IF(G161="","",IFERROR(VLOOKUP(G161,'Product_Stock_Master产品维护'!$A$2:$L992,12,FALSE),""))</f>
        <v/>
      </c>
      <c r="AB161" s="42" t="str">
        <f t="shared" si="11"/>
        <v/>
      </c>
      <c r="AC161" s="42">
        <f t="shared" si="12"/>
        <v>0</v>
      </c>
    </row>
    <row r="162" ht="15.75" customHeight="1">
      <c r="A162" s="59" t="s">
        <v>752</v>
      </c>
      <c r="B162" s="60"/>
      <c r="C162" s="61" t="s">
        <v>622</v>
      </c>
      <c r="D162" s="61"/>
      <c r="E162" s="61"/>
      <c r="F162" s="61"/>
      <c r="G162" s="61"/>
      <c r="H162" s="34" t="str">
        <f>IF(G162="","",IFERROR(VLOOKUP(G162,'Product_Stock_Master产品维护'!$A$2:$E992,2,FALSE()),"SKU not found"))</f>
        <v/>
      </c>
      <c r="I162" s="34" t="str">
        <f>IF(G162="","",IFERROR(VLOOKUP(G162,'Product_Stock_Master产品维护'!$A$2:$E992,3,FALSE()),"Item type not found"))</f>
        <v/>
      </c>
      <c r="J162" s="32"/>
      <c r="K162" s="61">
        <v>99.0</v>
      </c>
      <c r="L162" s="32"/>
      <c r="M162" s="61" t="s">
        <v>217</v>
      </c>
      <c r="N162" s="32"/>
      <c r="O162" s="34" t="str">
        <f t="shared" si="1"/>
        <v>OK</v>
      </c>
      <c r="P162" s="61" t="s">
        <v>79</v>
      </c>
      <c r="Q162" s="34" t="str">
        <f t="shared" si="9"/>
        <v>R1-2-3-L</v>
      </c>
      <c r="R162" s="34" t="str">
        <f t="shared" si="3"/>
        <v/>
      </c>
      <c r="S162" s="34">
        <f t="shared" si="10"/>
        <v>99</v>
      </c>
      <c r="T162" s="34" t="str">
        <f t="shared" si="5"/>
        <v>R1-2-3-L||||Material / 物料</v>
      </c>
      <c r="U162" s="34" t="s">
        <v>771</v>
      </c>
      <c r="V162" s="103" t="s">
        <v>768</v>
      </c>
      <c r="W162" s="42" t="str">
        <f t="shared" si="6"/>
        <v>OK</v>
      </c>
      <c r="X162" s="42">
        <f t="shared" si="7"/>
        <v>0</v>
      </c>
      <c r="Y162" s="42">
        <f t="shared" si="8"/>
        <v>0</v>
      </c>
      <c r="Z162" s="42" t="str">
        <f>IF(G162="","",IFERROR(VLOOKUP(G162,'Product_Stock_Master产品维护'!$A$2:$L992,11,FALSE),"No"))</f>
        <v/>
      </c>
      <c r="AA162" s="42" t="str">
        <f>IF(G162="","",IFERROR(VLOOKUP(G162,'Product_Stock_Master产品维护'!$A$2:$L992,12,FALSE),""))</f>
        <v/>
      </c>
      <c r="AB162" s="42" t="str">
        <f t="shared" si="11"/>
        <v/>
      </c>
      <c r="AC162" s="42">
        <f t="shared" si="12"/>
        <v>0</v>
      </c>
    </row>
    <row r="163" ht="15.75" customHeight="1">
      <c r="A163" s="59" t="s">
        <v>752</v>
      </c>
      <c r="B163" s="60"/>
      <c r="C163" s="61" t="s">
        <v>622</v>
      </c>
      <c r="D163" s="61"/>
      <c r="E163" s="61"/>
      <c r="F163" s="61"/>
      <c r="G163" s="61"/>
      <c r="H163" s="34" t="str">
        <f>IF(G163="","",IFERROR(VLOOKUP(G163,'Product_Stock_Master产品维护'!$A$2:$E992,2,FALSE()),"SKU not found"))</f>
        <v/>
      </c>
      <c r="I163" s="34" t="str">
        <f>IF(G163="","",IFERROR(VLOOKUP(G163,'Product_Stock_Master产品维护'!$A$2:$E992,3,FALSE()),"Item type not found"))</f>
        <v/>
      </c>
      <c r="J163" s="32"/>
      <c r="K163" s="61">
        <v>99.0</v>
      </c>
      <c r="L163" s="32"/>
      <c r="M163" s="61" t="s">
        <v>639</v>
      </c>
      <c r="N163" s="32"/>
      <c r="O163" s="34" t="str">
        <f t="shared" si="1"/>
        <v>OK</v>
      </c>
      <c r="P163" s="61" t="s">
        <v>79</v>
      </c>
      <c r="Q163" s="34" t="str">
        <f t="shared" si="9"/>
        <v>R1-2-3-R</v>
      </c>
      <c r="R163" s="34" t="str">
        <f t="shared" si="3"/>
        <v/>
      </c>
      <c r="S163" s="34">
        <f t="shared" si="10"/>
        <v>99</v>
      </c>
      <c r="T163" s="34" t="str">
        <f t="shared" si="5"/>
        <v>R1-2-3-R||||Material / 物料</v>
      </c>
      <c r="U163" s="34" t="s">
        <v>777</v>
      </c>
      <c r="V163" s="103" t="s">
        <v>768</v>
      </c>
      <c r="W163" s="42" t="str">
        <f t="shared" si="6"/>
        <v>OK</v>
      </c>
      <c r="X163" s="42">
        <f t="shared" si="7"/>
        <v>0</v>
      </c>
      <c r="Y163" s="42">
        <f t="shared" si="8"/>
        <v>0</v>
      </c>
      <c r="Z163" s="42" t="str">
        <f>IF(G163="","",IFERROR(VLOOKUP(G163,'Product_Stock_Master产品维护'!$A$2:$L992,11,FALSE),"No"))</f>
        <v/>
      </c>
      <c r="AA163" s="42" t="str">
        <f>IF(G163="","",IFERROR(VLOOKUP(G163,'Product_Stock_Master产品维护'!$A$2:$L992,12,FALSE),""))</f>
        <v/>
      </c>
      <c r="AB163" s="42" t="str">
        <f t="shared" si="11"/>
        <v/>
      </c>
      <c r="AC163" s="42">
        <f t="shared" si="12"/>
        <v>0</v>
      </c>
    </row>
    <row r="164" ht="15.75" customHeight="1">
      <c r="A164" s="59" t="s">
        <v>752</v>
      </c>
      <c r="B164" s="60"/>
      <c r="C164" s="61" t="s">
        <v>622</v>
      </c>
      <c r="D164" s="32"/>
      <c r="E164" s="32"/>
      <c r="F164" s="32"/>
      <c r="G164" s="61" t="s">
        <v>447</v>
      </c>
      <c r="H164" s="34" t="str">
        <f>IF(G164="","",IFERROR(VLOOKUP(G164,'Product_Stock_Master产品维护'!$A$2:$E992,2,FALSE()),"SKU not found"))</f>
        <v>SKU not found</v>
      </c>
      <c r="I164" s="34" t="str">
        <f>IF(G164="","",IFERROR(VLOOKUP(G164,'Product_Stock_Master产品维护'!$A$2:$E992,3,FALSE()),"Item type not found"))</f>
        <v>Item type not found</v>
      </c>
      <c r="J164" s="32"/>
      <c r="K164" s="61">
        <v>99.0</v>
      </c>
      <c r="L164" s="32"/>
      <c r="M164" s="61" t="s">
        <v>781</v>
      </c>
      <c r="N164" s="32"/>
      <c r="O164" s="34" t="str">
        <f t="shared" si="1"/>
        <v>OK</v>
      </c>
      <c r="P164" s="61" t="s">
        <v>449</v>
      </c>
      <c r="Q164" s="34" t="str">
        <f t="shared" si="9"/>
        <v>R2-3-1-R</v>
      </c>
      <c r="R164" s="34" t="str">
        <f t="shared" si="3"/>
        <v/>
      </c>
      <c r="S164" s="34">
        <f t="shared" si="10"/>
        <v>99</v>
      </c>
      <c r="T164" s="34" t="str">
        <f t="shared" si="5"/>
        <v>R2-3-1-R||坏机||Repair / 待修</v>
      </c>
      <c r="U164" s="34" t="s">
        <v>783</v>
      </c>
      <c r="V164" s="103" t="s">
        <v>784</v>
      </c>
      <c r="W164" s="42" t="str">
        <f t="shared" si="6"/>
        <v>OK</v>
      </c>
      <c r="X164" s="42">
        <f t="shared" si="7"/>
        <v>0</v>
      </c>
      <c r="Y164" s="42">
        <f t="shared" si="8"/>
        <v>0</v>
      </c>
      <c r="Z164" s="42" t="str">
        <f>IF(G164="","",IFERROR(VLOOKUP(G164,'Product_Stock_Master产品维护'!$A$2:$L992,11,FALSE),"No"))</f>
        <v>No</v>
      </c>
      <c r="AA164" s="42" t="str">
        <f>IF(G164="","",IFERROR(VLOOKUP(G164,'Product_Stock_Master产品维护'!$A$2:$L992,12,FALSE),""))</f>
        <v/>
      </c>
      <c r="AB164" s="42" t="str">
        <f t="shared" si="11"/>
        <v/>
      </c>
      <c r="AC164" s="42">
        <f t="shared" si="12"/>
        <v>0</v>
      </c>
    </row>
    <row r="165" ht="15.75" customHeight="1">
      <c r="A165" s="59" t="s">
        <v>752</v>
      </c>
      <c r="B165" s="60"/>
      <c r="C165" s="61" t="s">
        <v>622</v>
      </c>
      <c r="D165" s="32"/>
      <c r="E165" s="32"/>
      <c r="F165" s="32"/>
      <c r="G165" s="61" t="s">
        <v>447</v>
      </c>
      <c r="H165" s="34" t="str">
        <f>IF(G165="","",IFERROR(VLOOKUP(G165,'Product_Stock_Master产品维护'!$A$2:$E992,2,FALSE()),"SKU not found"))</f>
        <v>SKU not found</v>
      </c>
      <c r="I165" s="34" t="str">
        <f>IF(G165="","",IFERROR(VLOOKUP(G165,'Product_Stock_Master产品维护'!$A$2:$E992,3,FALSE()),"Item type not found"))</f>
        <v>Item type not found</v>
      </c>
      <c r="J165" s="32"/>
      <c r="K165" s="61">
        <v>99.0</v>
      </c>
      <c r="L165" s="32"/>
      <c r="M165" s="61" t="s">
        <v>791</v>
      </c>
      <c r="N165" s="32"/>
      <c r="O165" s="34" t="str">
        <f t="shared" si="1"/>
        <v>OK</v>
      </c>
      <c r="P165" s="61" t="s">
        <v>449</v>
      </c>
      <c r="Q165" s="34" t="str">
        <f t="shared" si="9"/>
        <v>R2-2-1-L</v>
      </c>
      <c r="R165" s="34" t="str">
        <f t="shared" si="3"/>
        <v/>
      </c>
      <c r="S165" s="34">
        <f t="shared" si="10"/>
        <v>99</v>
      </c>
      <c r="T165" s="34" t="str">
        <f t="shared" si="5"/>
        <v>R2-2-1-L||坏机||Repair / 待修</v>
      </c>
      <c r="U165" s="34" t="s">
        <v>792</v>
      </c>
      <c r="V165" s="103" t="s">
        <v>784</v>
      </c>
      <c r="W165" s="42" t="str">
        <f t="shared" si="6"/>
        <v>OK</v>
      </c>
      <c r="X165" s="42">
        <f t="shared" si="7"/>
        <v>0</v>
      </c>
      <c r="Y165" s="42">
        <f t="shared" si="8"/>
        <v>0</v>
      </c>
      <c r="Z165" s="42" t="str">
        <f>IF(G165="","",IFERROR(VLOOKUP(G165,'Product_Stock_Master产品维护'!$A$2:$L992,11,FALSE),"No"))</f>
        <v>No</v>
      </c>
      <c r="AA165" s="42" t="str">
        <f>IF(G165="","",IFERROR(VLOOKUP(G165,'Product_Stock_Master产品维护'!$A$2:$L992,12,FALSE),""))</f>
        <v/>
      </c>
      <c r="AB165" s="42" t="str">
        <f t="shared" si="11"/>
        <v/>
      </c>
      <c r="AC165" s="42">
        <f t="shared" si="12"/>
        <v>0</v>
      </c>
    </row>
    <row r="166" ht="15.75" customHeight="1">
      <c r="A166" s="59" t="s">
        <v>752</v>
      </c>
      <c r="B166" s="60"/>
      <c r="C166" s="61" t="s">
        <v>622</v>
      </c>
      <c r="D166" s="32"/>
      <c r="E166" s="32"/>
      <c r="F166" s="32"/>
      <c r="G166" s="61" t="s">
        <v>447</v>
      </c>
      <c r="H166" s="34" t="str">
        <f>IF(G166="","",IFERROR(VLOOKUP(G166,'Product_Stock_Master产品维护'!$A$2:$E992,2,FALSE()),"SKU not found"))</f>
        <v>SKU not found</v>
      </c>
      <c r="I166" s="34" t="str">
        <f>IF(G166="","",IFERROR(VLOOKUP(G166,'Product_Stock_Master产品维护'!$A$2:$E992,3,FALSE()),"Item type not found"))</f>
        <v>Item type not found</v>
      </c>
      <c r="J166" s="32"/>
      <c r="K166" s="61">
        <v>99.0</v>
      </c>
      <c r="L166" s="32"/>
      <c r="M166" s="61" t="s">
        <v>798</v>
      </c>
      <c r="N166" s="32"/>
      <c r="O166" s="34" t="str">
        <f t="shared" si="1"/>
        <v>OK</v>
      </c>
      <c r="P166" s="61" t="s">
        <v>449</v>
      </c>
      <c r="Q166" s="34" t="str">
        <f t="shared" si="9"/>
        <v>R2-2-1-R</v>
      </c>
      <c r="R166" s="34" t="str">
        <f t="shared" si="3"/>
        <v/>
      </c>
      <c r="S166" s="34">
        <f t="shared" si="10"/>
        <v>99</v>
      </c>
      <c r="T166" s="34" t="str">
        <f t="shared" si="5"/>
        <v>R2-2-1-R||坏机||Repair / 待修</v>
      </c>
      <c r="U166" s="34" t="s">
        <v>800</v>
      </c>
      <c r="V166" s="103" t="s">
        <v>784</v>
      </c>
      <c r="W166" s="42" t="str">
        <f t="shared" si="6"/>
        <v>OK</v>
      </c>
      <c r="X166" s="42">
        <f t="shared" si="7"/>
        <v>0</v>
      </c>
      <c r="Y166" s="42">
        <f t="shared" si="8"/>
        <v>0</v>
      </c>
      <c r="Z166" s="42" t="str">
        <f>IF(G166="","",IFERROR(VLOOKUP(G166,'Product_Stock_Master产品维护'!$A$2:$L992,11,FALSE),"No"))</f>
        <v>No</v>
      </c>
      <c r="AA166" s="42" t="str">
        <f>IF(G166="","",IFERROR(VLOOKUP(G166,'Product_Stock_Master产品维护'!$A$2:$L992,12,FALSE),""))</f>
        <v/>
      </c>
      <c r="AB166" s="42" t="str">
        <f t="shared" si="11"/>
        <v/>
      </c>
      <c r="AC166" s="42">
        <f t="shared" si="12"/>
        <v>0</v>
      </c>
    </row>
    <row r="167" ht="15.75" customHeight="1">
      <c r="A167" s="59" t="s">
        <v>752</v>
      </c>
      <c r="B167" s="60"/>
      <c r="C167" s="61" t="s">
        <v>622</v>
      </c>
      <c r="D167" s="32"/>
      <c r="E167" s="32"/>
      <c r="F167" s="32"/>
      <c r="G167" s="61" t="s">
        <v>447</v>
      </c>
      <c r="H167" s="34" t="str">
        <f>IF(G167="","",IFERROR(VLOOKUP(G167,'Product_Stock_Master产品维护'!$A$2:$E992,2,FALSE()),"SKU not found"))</f>
        <v>SKU not found</v>
      </c>
      <c r="I167" s="34" t="str">
        <f>IF(G167="","",IFERROR(VLOOKUP(G167,'Product_Stock_Master产品维护'!$A$2:$E992,3,FALSE()),"Item type not found"))</f>
        <v>Item type not found</v>
      </c>
      <c r="J167" s="32"/>
      <c r="K167" s="61">
        <v>99.0</v>
      </c>
      <c r="L167" s="32"/>
      <c r="M167" s="61" t="s">
        <v>805</v>
      </c>
      <c r="N167" s="32"/>
      <c r="O167" s="34" t="str">
        <f t="shared" si="1"/>
        <v>OK</v>
      </c>
      <c r="P167" s="61" t="s">
        <v>449</v>
      </c>
      <c r="Q167" s="34" t="str">
        <f t="shared" si="9"/>
        <v>R2-1-1-L</v>
      </c>
      <c r="R167" s="34" t="str">
        <f t="shared" si="3"/>
        <v/>
      </c>
      <c r="S167" s="34">
        <f t="shared" si="10"/>
        <v>99</v>
      </c>
      <c r="T167" s="34" t="str">
        <f t="shared" si="5"/>
        <v>R2-1-1-L||坏机||Repair / 待修</v>
      </c>
      <c r="U167" s="34" t="s">
        <v>807</v>
      </c>
      <c r="V167" s="103" t="s">
        <v>784</v>
      </c>
      <c r="W167" s="42" t="str">
        <f t="shared" si="6"/>
        <v>OK</v>
      </c>
      <c r="X167" s="42">
        <f t="shared" si="7"/>
        <v>0</v>
      </c>
      <c r="Y167" s="42">
        <f t="shared" si="8"/>
        <v>0</v>
      </c>
      <c r="Z167" s="42" t="str">
        <f>IF(G167="","",IFERROR(VLOOKUP(G167,'Product_Stock_Master产品维护'!$A$2:$L992,11,FALSE),"No"))</f>
        <v>No</v>
      </c>
      <c r="AA167" s="42" t="str">
        <f>IF(G167="","",IFERROR(VLOOKUP(G167,'Product_Stock_Master产品维护'!$A$2:$L992,12,FALSE),""))</f>
        <v/>
      </c>
      <c r="AB167" s="42" t="str">
        <f t="shared" si="11"/>
        <v/>
      </c>
      <c r="AC167" s="42">
        <f t="shared" si="12"/>
        <v>0</v>
      </c>
    </row>
    <row r="168" ht="15.75" customHeight="1">
      <c r="A168" s="59" t="s">
        <v>752</v>
      </c>
      <c r="B168" s="60"/>
      <c r="C168" s="61" t="s">
        <v>622</v>
      </c>
      <c r="D168" s="32"/>
      <c r="E168" s="32"/>
      <c r="F168" s="32"/>
      <c r="G168" s="61" t="s">
        <v>447</v>
      </c>
      <c r="H168" s="34" t="str">
        <f>IF(G168="","",IFERROR(VLOOKUP(G168,'Product_Stock_Master产品维护'!$A$2:$E992,2,FALSE()),"SKU not found"))</f>
        <v>SKU not found</v>
      </c>
      <c r="I168" s="34" t="str">
        <f>IF(G168="","",IFERROR(VLOOKUP(G168,'Product_Stock_Master产品维护'!$A$2:$E992,3,FALSE()),"Item type not found"))</f>
        <v>Item type not found</v>
      </c>
      <c r="J168" s="32"/>
      <c r="K168" s="61">
        <v>99.0</v>
      </c>
      <c r="L168" s="32"/>
      <c r="M168" s="61" t="s">
        <v>810</v>
      </c>
      <c r="N168" s="32"/>
      <c r="O168" s="34" t="str">
        <f t="shared" si="1"/>
        <v>OK</v>
      </c>
      <c r="P168" s="61" t="s">
        <v>449</v>
      </c>
      <c r="Q168" s="34" t="str">
        <f t="shared" si="9"/>
        <v>R2-1-1-R</v>
      </c>
      <c r="R168" s="34" t="str">
        <f t="shared" si="3"/>
        <v/>
      </c>
      <c r="S168" s="34">
        <f t="shared" si="10"/>
        <v>99</v>
      </c>
      <c r="T168" s="34" t="str">
        <f t="shared" si="5"/>
        <v>R2-1-1-R||坏机||Repair / 待修</v>
      </c>
      <c r="U168" s="34" t="s">
        <v>812</v>
      </c>
      <c r="V168" s="103" t="s">
        <v>784</v>
      </c>
      <c r="W168" s="42" t="str">
        <f t="shared" si="6"/>
        <v>OK</v>
      </c>
      <c r="X168" s="42">
        <f t="shared" si="7"/>
        <v>0</v>
      </c>
      <c r="Y168" s="42">
        <f t="shared" si="8"/>
        <v>0</v>
      </c>
      <c r="Z168" s="42" t="str">
        <f>IF(G168="","",IFERROR(VLOOKUP(G168,'Product_Stock_Master产品维护'!$A$2:$L992,11,FALSE),"No"))</f>
        <v>No</v>
      </c>
      <c r="AA168" s="42" t="str">
        <f>IF(G168="","",IFERROR(VLOOKUP(G168,'Product_Stock_Master产品维护'!$A$2:$L992,12,FALSE),""))</f>
        <v/>
      </c>
      <c r="AB168" s="42" t="str">
        <f t="shared" si="11"/>
        <v/>
      </c>
      <c r="AC168" s="42">
        <f t="shared" si="12"/>
        <v>0</v>
      </c>
    </row>
    <row r="169" ht="15.75" customHeight="1">
      <c r="A169" s="59" t="s">
        <v>752</v>
      </c>
      <c r="B169" s="60"/>
      <c r="C169" s="61" t="s">
        <v>622</v>
      </c>
      <c r="D169" s="32"/>
      <c r="E169" s="32"/>
      <c r="F169" s="32"/>
      <c r="G169" s="61" t="s">
        <v>447</v>
      </c>
      <c r="H169" s="34" t="str">
        <f>IF(G169="","",IFERROR(VLOOKUP(G169,'Product_Stock_Master产品维护'!$A$2:$E992,2,FALSE()),"SKU not found"))</f>
        <v>SKU not found</v>
      </c>
      <c r="I169" s="34" t="str">
        <f>IF(G169="","",IFERROR(VLOOKUP(G169,'Product_Stock_Master产品维护'!$A$2:$E992,3,FALSE()),"Item type not found"))</f>
        <v>Item type not found</v>
      </c>
      <c r="J169" s="32"/>
      <c r="K169" s="61">
        <v>99.0</v>
      </c>
      <c r="L169" s="32"/>
      <c r="M169" s="61" t="s">
        <v>816</v>
      </c>
      <c r="N169" s="32"/>
      <c r="O169" s="34" t="str">
        <f t="shared" si="1"/>
        <v>OK</v>
      </c>
      <c r="P169" s="61" t="s">
        <v>449</v>
      </c>
      <c r="Q169" s="34" t="str">
        <f t="shared" si="9"/>
        <v>R2-3-2-L</v>
      </c>
      <c r="R169" s="34" t="str">
        <f t="shared" si="3"/>
        <v/>
      </c>
      <c r="S169" s="34">
        <f t="shared" si="10"/>
        <v>99</v>
      </c>
      <c r="T169" s="34" t="str">
        <f t="shared" si="5"/>
        <v>R2-3-2-L||坏机||Repair / 待修</v>
      </c>
      <c r="U169" s="34" t="s">
        <v>817</v>
      </c>
      <c r="V169" s="103" t="s">
        <v>784</v>
      </c>
      <c r="W169" s="42" t="str">
        <f t="shared" si="6"/>
        <v>OK</v>
      </c>
      <c r="X169" s="42">
        <f t="shared" si="7"/>
        <v>0</v>
      </c>
      <c r="Y169" s="42">
        <f t="shared" si="8"/>
        <v>0</v>
      </c>
      <c r="Z169" s="42" t="str">
        <f>IF(G169="","",IFERROR(VLOOKUP(G169,'Product_Stock_Master产品维护'!$A$2:$L992,11,FALSE),"No"))</f>
        <v>No</v>
      </c>
      <c r="AA169" s="42" t="str">
        <f>IF(G169="","",IFERROR(VLOOKUP(G169,'Product_Stock_Master产品维护'!$A$2:$L992,12,FALSE),""))</f>
        <v/>
      </c>
      <c r="AB169" s="42" t="str">
        <f t="shared" si="11"/>
        <v/>
      </c>
      <c r="AC169" s="42">
        <f t="shared" si="12"/>
        <v>0</v>
      </c>
    </row>
    <row r="170" ht="15.75" customHeight="1">
      <c r="A170" s="59" t="s">
        <v>752</v>
      </c>
      <c r="B170" s="60"/>
      <c r="C170" s="61" t="s">
        <v>622</v>
      </c>
      <c r="D170" s="32"/>
      <c r="E170" s="32"/>
      <c r="F170" s="32"/>
      <c r="G170" s="61" t="s">
        <v>447</v>
      </c>
      <c r="H170" s="34" t="str">
        <f>IF(G170="","",IFERROR(VLOOKUP(G170,'Product_Stock_Master产品维护'!$A$2:$E992,2,FALSE()),"SKU not found"))</f>
        <v>SKU not found</v>
      </c>
      <c r="I170" s="34" t="str">
        <f>IF(G170="","",IFERROR(VLOOKUP(G170,'Product_Stock_Master产品维护'!$A$2:$E992,3,FALSE()),"Item type not found"))</f>
        <v>Item type not found</v>
      </c>
      <c r="J170" s="32"/>
      <c r="K170" s="61">
        <v>99.0</v>
      </c>
      <c r="L170" s="32"/>
      <c r="M170" s="61" t="s">
        <v>823</v>
      </c>
      <c r="N170" s="32"/>
      <c r="O170" s="34" t="str">
        <f t="shared" si="1"/>
        <v>OK</v>
      </c>
      <c r="P170" s="61" t="s">
        <v>449</v>
      </c>
      <c r="Q170" s="34" t="str">
        <f t="shared" si="9"/>
        <v>R2-3-2-R</v>
      </c>
      <c r="R170" s="34" t="str">
        <f t="shared" si="3"/>
        <v/>
      </c>
      <c r="S170" s="34">
        <f t="shared" si="10"/>
        <v>99</v>
      </c>
      <c r="T170" s="34" t="str">
        <f t="shared" si="5"/>
        <v>R2-3-2-R||坏机||Repair / 待修</v>
      </c>
      <c r="U170" s="34" t="s">
        <v>824</v>
      </c>
      <c r="V170" s="103" t="s">
        <v>784</v>
      </c>
      <c r="W170" s="42" t="str">
        <f t="shared" si="6"/>
        <v>OK</v>
      </c>
      <c r="X170" s="42">
        <f t="shared" si="7"/>
        <v>0</v>
      </c>
      <c r="Y170" s="42">
        <f t="shared" si="8"/>
        <v>0</v>
      </c>
      <c r="Z170" s="42" t="str">
        <f>IF(G170="","",IFERROR(VLOOKUP(G170,'Product_Stock_Master产品维护'!$A$2:$L992,11,FALSE),"No"))</f>
        <v>No</v>
      </c>
      <c r="AA170" s="42" t="str">
        <f>IF(G170="","",IFERROR(VLOOKUP(G170,'Product_Stock_Master产品维护'!$A$2:$L992,12,FALSE),""))</f>
        <v/>
      </c>
      <c r="AB170" s="42" t="str">
        <f t="shared" si="11"/>
        <v/>
      </c>
      <c r="AC170" s="42">
        <f t="shared" si="12"/>
        <v>0</v>
      </c>
    </row>
    <row r="171" ht="15.75" customHeight="1">
      <c r="A171" s="59" t="s">
        <v>752</v>
      </c>
      <c r="B171" s="60"/>
      <c r="C171" s="61" t="s">
        <v>622</v>
      </c>
      <c r="D171" s="32"/>
      <c r="E171" s="32"/>
      <c r="F171" s="32"/>
      <c r="G171" s="61" t="s">
        <v>447</v>
      </c>
      <c r="H171" s="34" t="str">
        <f>IF(G171="","",IFERROR(VLOOKUP(G171,'Product_Stock_Master产品维护'!$A$2:$E992,2,FALSE()),"SKU not found"))</f>
        <v>SKU not found</v>
      </c>
      <c r="I171" s="34" t="str">
        <f>IF(G171="","",IFERROR(VLOOKUP(G171,'Product_Stock_Master产品维护'!$A$2:$E992,3,FALSE()),"Item type not found"))</f>
        <v>Item type not found</v>
      </c>
      <c r="J171" s="32"/>
      <c r="K171" s="61">
        <v>99.0</v>
      </c>
      <c r="L171" s="32"/>
      <c r="M171" s="61" t="s">
        <v>827</v>
      </c>
      <c r="N171" s="32"/>
      <c r="O171" s="34" t="str">
        <f t="shared" si="1"/>
        <v>OK</v>
      </c>
      <c r="P171" s="61" t="s">
        <v>449</v>
      </c>
      <c r="Q171" s="34" t="str">
        <f t="shared" si="9"/>
        <v>R2-2-2-L</v>
      </c>
      <c r="R171" s="34" t="str">
        <f t="shared" si="3"/>
        <v/>
      </c>
      <c r="S171" s="34">
        <f t="shared" si="10"/>
        <v>99</v>
      </c>
      <c r="T171" s="34" t="str">
        <f t="shared" si="5"/>
        <v>R2-2-2-L||坏机||Repair / 待修</v>
      </c>
      <c r="U171" s="34" t="s">
        <v>829</v>
      </c>
      <c r="V171" s="103" t="s">
        <v>784</v>
      </c>
      <c r="W171" s="42" t="str">
        <f t="shared" si="6"/>
        <v>OK</v>
      </c>
      <c r="X171" s="42">
        <f t="shared" si="7"/>
        <v>0</v>
      </c>
      <c r="Y171" s="42">
        <f t="shared" si="8"/>
        <v>0</v>
      </c>
      <c r="Z171" s="42" t="str">
        <f>IF(G171="","",IFERROR(VLOOKUP(G171,'Product_Stock_Master产品维护'!$A$2:$L992,11,FALSE),"No"))</f>
        <v>No</v>
      </c>
      <c r="AA171" s="42" t="str">
        <f>IF(G171="","",IFERROR(VLOOKUP(G171,'Product_Stock_Master产品维护'!$A$2:$L992,12,FALSE),""))</f>
        <v/>
      </c>
      <c r="AB171" s="42" t="str">
        <f t="shared" si="11"/>
        <v/>
      </c>
      <c r="AC171" s="42">
        <f t="shared" si="12"/>
        <v>0</v>
      </c>
    </row>
    <row r="172" ht="15.75" customHeight="1">
      <c r="A172" s="59" t="s">
        <v>752</v>
      </c>
      <c r="B172" s="60"/>
      <c r="C172" s="61" t="s">
        <v>622</v>
      </c>
      <c r="D172" s="32"/>
      <c r="E172" s="32"/>
      <c r="F172" s="32"/>
      <c r="G172" s="61" t="s">
        <v>447</v>
      </c>
      <c r="H172" s="34" t="str">
        <f>IF(G172="","",IFERROR(VLOOKUP(G172,'Product_Stock_Master产品维护'!$A$2:$E992,2,FALSE()),"SKU not found"))</f>
        <v>SKU not found</v>
      </c>
      <c r="I172" s="34" t="str">
        <f>IF(G172="","",IFERROR(VLOOKUP(G172,'Product_Stock_Master产品维护'!$A$2:$E992,3,FALSE()),"Item type not found"))</f>
        <v>Item type not found</v>
      </c>
      <c r="J172" s="32"/>
      <c r="K172" s="61">
        <v>99.0</v>
      </c>
      <c r="L172" s="32"/>
      <c r="M172" s="61" t="s">
        <v>832</v>
      </c>
      <c r="N172" s="32"/>
      <c r="O172" s="34" t="str">
        <f t="shared" si="1"/>
        <v>OK</v>
      </c>
      <c r="P172" s="61" t="s">
        <v>449</v>
      </c>
      <c r="Q172" s="34" t="str">
        <f t="shared" si="9"/>
        <v>R2-2-2-R</v>
      </c>
      <c r="R172" s="34" t="str">
        <f t="shared" si="3"/>
        <v/>
      </c>
      <c r="S172" s="34">
        <f t="shared" si="10"/>
        <v>99</v>
      </c>
      <c r="T172" s="34" t="str">
        <f t="shared" si="5"/>
        <v>R2-2-2-R||坏机||Repair / 待修</v>
      </c>
      <c r="U172" s="34" t="s">
        <v>834</v>
      </c>
      <c r="V172" s="103" t="s">
        <v>784</v>
      </c>
      <c r="W172" s="42" t="str">
        <f t="shared" si="6"/>
        <v>OK</v>
      </c>
      <c r="X172" s="42">
        <f t="shared" si="7"/>
        <v>0</v>
      </c>
      <c r="Y172" s="42">
        <f t="shared" si="8"/>
        <v>0</v>
      </c>
      <c r="Z172" s="42" t="str">
        <f>IF(G172="","",IFERROR(VLOOKUP(G172,'Product_Stock_Master产品维护'!$A$2:$L992,11,FALSE),"No"))</f>
        <v>No</v>
      </c>
      <c r="AA172" s="42" t="str">
        <f>IF(G172="","",IFERROR(VLOOKUP(G172,'Product_Stock_Master产品维护'!$A$2:$L992,12,FALSE),""))</f>
        <v/>
      </c>
      <c r="AB172" s="42" t="str">
        <f t="shared" si="11"/>
        <v/>
      </c>
      <c r="AC172" s="42">
        <f t="shared" si="12"/>
        <v>0</v>
      </c>
    </row>
    <row r="173" ht="15.75" customHeight="1">
      <c r="A173" s="59" t="s">
        <v>752</v>
      </c>
      <c r="B173" s="60"/>
      <c r="C173" s="61" t="s">
        <v>622</v>
      </c>
      <c r="D173" s="32"/>
      <c r="E173" s="32"/>
      <c r="F173" s="32"/>
      <c r="G173" s="61" t="s">
        <v>447</v>
      </c>
      <c r="H173" s="34" t="str">
        <f>IF(G173="","",IFERROR(VLOOKUP(G173,'Product_Stock_Master产品维护'!$A$2:$E992,2,FALSE()),"SKU not found"))</f>
        <v>SKU not found</v>
      </c>
      <c r="I173" s="34" t="str">
        <f>IF(G173="","",IFERROR(VLOOKUP(G173,'Product_Stock_Master产品维护'!$A$2:$E992,3,FALSE()),"Item type not found"))</f>
        <v>Item type not found</v>
      </c>
      <c r="J173" s="32"/>
      <c r="K173" s="61">
        <v>99.0</v>
      </c>
      <c r="L173" s="32"/>
      <c r="M173" s="61" t="s">
        <v>850</v>
      </c>
      <c r="N173" s="32"/>
      <c r="O173" s="34" t="str">
        <f t="shared" si="1"/>
        <v>OK</v>
      </c>
      <c r="P173" s="61" t="s">
        <v>449</v>
      </c>
      <c r="Q173" s="34" t="str">
        <f t="shared" si="9"/>
        <v>R2-1-2-L</v>
      </c>
      <c r="R173" s="34" t="str">
        <f t="shared" si="3"/>
        <v/>
      </c>
      <c r="S173" s="34">
        <f t="shared" si="10"/>
        <v>99</v>
      </c>
      <c r="T173" s="34" t="str">
        <f t="shared" si="5"/>
        <v>R2-1-2-L||坏机||Repair / 待修</v>
      </c>
      <c r="U173" s="34" t="s">
        <v>852</v>
      </c>
      <c r="V173" s="103" t="s">
        <v>784</v>
      </c>
      <c r="W173" s="42" t="str">
        <f t="shared" si="6"/>
        <v>OK</v>
      </c>
      <c r="X173" s="42">
        <f t="shared" si="7"/>
        <v>0</v>
      </c>
      <c r="Y173" s="42">
        <f t="shared" si="8"/>
        <v>0</v>
      </c>
      <c r="Z173" s="42" t="str">
        <f>IF(G173="","",IFERROR(VLOOKUP(G173,'Product_Stock_Master产品维护'!$A$2:$L992,11,FALSE),"No"))</f>
        <v>No</v>
      </c>
      <c r="AA173" s="42" t="str">
        <f>IF(G173="","",IFERROR(VLOOKUP(G173,'Product_Stock_Master产品维护'!$A$2:$L992,12,FALSE),""))</f>
        <v/>
      </c>
      <c r="AB173" s="42" t="str">
        <f t="shared" si="11"/>
        <v/>
      </c>
      <c r="AC173" s="42">
        <f t="shared" si="12"/>
        <v>0</v>
      </c>
    </row>
    <row r="174" ht="15.75" customHeight="1">
      <c r="A174" s="59" t="s">
        <v>752</v>
      </c>
      <c r="B174" s="60"/>
      <c r="C174" s="61" t="s">
        <v>622</v>
      </c>
      <c r="D174" s="32"/>
      <c r="E174" s="32"/>
      <c r="F174" s="32"/>
      <c r="G174" s="62" t="s">
        <v>855</v>
      </c>
      <c r="H174" s="34" t="str">
        <f>IF(G174="","",IFERROR(VLOOKUP(G174,'Product_Stock_Master产品维护'!$A$2:$E992,2,FALSE()),"SKU not found"))</f>
        <v>CQ7-M</v>
      </c>
      <c r="I174" s="34" t="str">
        <f>IF(G174="","",IFERROR(VLOOKUP(G174,'Product_Stock_Master产品维护'!$A$2:$E992,3,FALSE()),"Item type not found"))</f>
        <v>Product</v>
      </c>
      <c r="J174" s="32"/>
      <c r="K174" s="61">
        <v>1.0</v>
      </c>
      <c r="L174" s="32"/>
      <c r="M174" s="61" t="s">
        <v>559</v>
      </c>
      <c r="N174" s="32"/>
      <c r="O174" s="34" t="str">
        <f t="shared" si="1"/>
        <v>OK</v>
      </c>
      <c r="P174" s="61" t="s">
        <v>366</v>
      </c>
      <c r="Q174" s="34" t="str">
        <f t="shared" si="9"/>
        <v>FLEX-01</v>
      </c>
      <c r="R174" s="34" t="str">
        <f t="shared" si="3"/>
        <v/>
      </c>
      <c r="S174" s="34">
        <f t="shared" si="10"/>
        <v>1</v>
      </c>
      <c r="T174" s="34" t="str">
        <f t="shared" si="5"/>
        <v>FLEX-01||30-229-00024-00||Repair_Good / 维修良品</v>
      </c>
      <c r="U174" s="34" t="s">
        <v>857</v>
      </c>
      <c r="V174" s="103" t="s">
        <v>858</v>
      </c>
      <c r="W174" s="42" t="str">
        <f t="shared" si="6"/>
        <v>OK</v>
      </c>
      <c r="X174" s="42">
        <f t="shared" si="7"/>
        <v>0</v>
      </c>
      <c r="Y174" s="42">
        <f t="shared" si="8"/>
        <v>0</v>
      </c>
      <c r="Z174" s="42" t="str">
        <f>IF(G174="","",IFERROR(VLOOKUP(G174,'Product_Stock_Master产品维护'!$A$2:$L992,11,FALSE),"No"))</f>
        <v>Yes</v>
      </c>
      <c r="AA174" s="42" t="str">
        <f>IF(G174="","",IFERROR(VLOOKUP(G174,'Product_Stock_Master产品维护'!$A$2:$L992,12,FALSE),""))</f>
        <v>Battery / 电池</v>
      </c>
      <c r="AB174" s="42" t="str">
        <f t="shared" si="11"/>
        <v/>
      </c>
      <c r="AC174" s="42">
        <f t="shared" si="12"/>
        <v>0</v>
      </c>
    </row>
    <row r="175" ht="15.75" customHeight="1">
      <c r="A175" s="59" t="s">
        <v>752</v>
      </c>
      <c r="B175" s="60"/>
      <c r="C175" s="61" t="s">
        <v>622</v>
      </c>
      <c r="D175" s="32"/>
      <c r="E175" s="32"/>
      <c r="F175" s="32"/>
      <c r="G175" s="61" t="s">
        <v>587</v>
      </c>
      <c r="H175" s="34" t="str">
        <f>IF(G175="","",IFERROR(VLOOKUP(G175,'Product_Stock_Master产品维护'!$A$2:$E992,2,FALSE()),"SKU not found"))</f>
        <v>CQ7-S</v>
      </c>
      <c r="I175" s="34" t="str">
        <f>IF(G175="","",IFERROR(VLOOKUP(G175,'Product_Stock_Master产品维护'!$A$2:$E992,3,FALSE()),"Item type not found"))</f>
        <v>Product</v>
      </c>
      <c r="J175" s="32"/>
      <c r="K175" s="61">
        <v>1.0</v>
      </c>
      <c r="L175" s="32"/>
      <c r="M175" s="61" t="s">
        <v>559</v>
      </c>
      <c r="N175" s="32"/>
      <c r="O175" s="34" t="str">
        <f t="shared" si="1"/>
        <v>OK</v>
      </c>
      <c r="P175" s="61" t="s">
        <v>366</v>
      </c>
      <c r="Q175" s="34" t="str">
        <f t="shared" si="9"/>
        <v>FLEX-01</v>
      </c>
      <c r="R175" s="34" t="str">
        <f t="shared" si="3"/>
        <v/>
      </c>
      <c r="S175" s="34">
        <f t="shared" si="10"/>
        <v>1</v>
      </c>
      <c r="T175" s="34" t="str">
        <f t="shared" si="5"/>
        <v>FLEX-01||30-229-00003-00||Repair_Good / 维修良品</v>
      </c>
      <c r="U175" s="34" t="s">
        <v>862</v>
      </c>
      <c r="V175" s="103" t="s">
        <v>858</v>
      </c>
      <c r="W175" s="42" t="str">
        <f t="shared" si="6"/>
        <v>OK</v>
      </c>
      <c r="X175" s="42">
        <f t="shared" si="7"/>
        <v>0</v>
      </c>
      <c r="Y175" s="42">
        <f t="shared" si="8"/>
        <v>0</v>
      </c>
      <c r="Z175" s="42" t="str">
        <f>IF(G175="","",IFERROR(VLOOKUP(G175,'Product_Stock_Master产品维护'!$A$2:$L992,11,FALSE),"No"))</f>
        <v>Yes</v>
      </c>
      <c r="AA175" s="42" t="str">
        <f>IF(G175="","",IFERROR(VLOOKUP(G175,'Product_Stock_Master产品维护'!$A$2:$L992,12,FALSE),""))</f>
        <v>Battery / 电池</v>
      </c>
      <c r="AB175" s="42" t="str">
        <f t="shared" si="11"/>
        <v/>
      </c>
      <c r="AC175" s="42">
        <f t="shared" si="12"/>
        <v>0</v>
      </c>
    </row>
    <row r="176" ht="15.75" customHeight="1">
      <c r="A176" s="59" t="s">
        <v>752</v>
      </c>
      <c r="B176" s="60"/>
      <c r="C176" s="61" t="s">
        <v>622</v>
      </c>
      <c r="D176" s="32"/>
      <c r="E176" s="32"/>
      <c r="F176" s="32"/>
      <c r="G176" s="61" t="s">
        <v>364</v>
      </c>
      <c r="H176" s="34" t="str">
        <f>IF(G176="","",IFERROR(VLOOKUP(G176,'Product_Stock_Master产品维护'!$A$2:$E992,2,FALSE()),"SKU not found"))</f>
        <v>CQ6-S</v>
      </c>
      <c r="I176" s="34" t="str">
        <f>IF(G176="","",IFERROR(VLOOKUP(G176,'Product_Stock_Master产品维护'!$A$2:$E992,3,FALSE()),"Item type not found"))</f>
        <v>Product</v>
      </c>
      <c r="J176" s="32"/>
      <c r="K176" s="61">
        <v>1.0</v>
      </c>
      <c r="L176" s="32"/>
      <c r="M176" s="61" t="s">
        <v>559</v>
      </c>
      <c r="N176" s="32"/>
      <c r="O176" s="34" t="str">
        <f t="shared" si="1"/>
        <v>OK</v>
      </c>
      <c r="P176" s="61" t="s">
        <v>366</v>
      </c>
      <c r="Q176" s="34" t="str">
        <f t="shared" si="9"/>
        <v>FLEX-01</v>
      </c>
      <c r="R176" s="34" t="str">
        <f t="shared" si="3"/>
        <v/>
      </c>
      <c r="S176" s="34">
        <f t="shared" si="10"/>
        <v>1</v>
      </c>
      <c r="T176" s="34" t="str">
        <f t="shared" si="5"/>
        <v>FLEX-01||97-229-00018-00||Repair_Good / 维修良品</v>
      </c>
      <c r="U176" s="34" t="s">
        <v>866</v>
      </c>
      <c r="V176" s="103" t="s">
        <v>858</v>
      </c>
      <c r="W176" s="42" t="str">
        <f t="shared" si="6"/>
        <v>OK</v>
      </c>
      <c r="X176" s="42">
        <f t="shared" si="7"/>
        <v>0</v>
      </c>
      <c r="Y176" s="42">
        <f t="shared" si="8"/>
        <v>0</v>
      </c>
      <c r="Z176" s="42" t="str">
        <f>IF(G176="","",IFERROR(VLOOKUP(G176,'Product_Stock_Master产品维护'!$A$2:$L992,11,FALSE),"No"))</f>
        <v>Yes</v>
      </c>
      <c r="AA176" s="42" t="str">
        <f>IF(G176="","",IFERROR(VLOOKUP(G176,'Product_Stock_Master产品维护'!$A$2:$L992,12,FALSE),""))</f>
        <v>Battery / 电池</v>
      </c>
      <c r="AB176" s="42" t="str">
        <f t="shared" si="11"/>
        <v/>
      </c>
      <c r="AC176" s="42">
        <f t="shared" si="12"/>
        <v>0</v>
      </c>
    </row>
    <row r="177" ht="15.75" customHeight="1">
      <c r="A177" s="59" t="s">
        <v>752</v>
      </c>
      <c r="B177" s="60"/>
      <c r="C177" s="61" t="s">
        <v>622</v>
      </c>
      <c r="D177" s="32"/>
      <c r="E177" s="32"/>
      <c r="F177" s="32"/>
      <c r="G177" s="61" t="s">
        <v>364</v>
      </c>
      <c r="H177" s="34" t="str">
        <f>IF(G177="","",IFERROR(VLOOKUP(G177,'Product_Stock_Master产品维护'!$A$2:$E992,2,FALSE()),"SKU not found"))</f>
        <v>CQ6-S</v>
      </c>
      <c r="I177" s="34" t="str">
        <f>IF(G177="","",IFERROR(VLOOKUP(G177,'Product_Stock_Master产品维护'!$A$2:$E992,3,FALSE()),"Item type not found"))</f>
        <v>Product</v>
      </c>
      <c r="J177" s="32"/>
      <c r="K177" s="61">
        <v>1.0</v>
      </c>
      <c r="L177" s="32"/>
      <c r="M177" s="61" t="s">
        <v>559</v>
      </c>
      <c r="N177" s="32"/>
      <c r="O177" s="34" t="str">
        <f t="shared" si="1"/>
        <v>OK</v>
      </c>
      <c r="P177" s="61" t="s">
        <v>366</v>
      </c>
      <c r="Q177" s="34" t="str">
        <f t="shared" si="9"/>
        <v>FLEX-01</v>
      </c>
      <c r="R177" s="34" t="str">
        <f t="shared" si="3"/>
        <v/>
      </c>
      <c r="S177" s="34">
        <f t="shared" si="10"/>
        <v>1</v>
      </c>
      <c r="T177" s="34" t="str">
        <f t="shared" si="5"/>
        <v>FLEX-01||97-229-00018-00||Repair_Good / 维修良品</v>
      </c>
      <c r="U177" s="34" t="s">
        <v>871</v>
      </c>
      <c r="V177" s="103" t="s">
        <v>858</v>
      </c>
      <c r="W177" s="42" t="str">
        <f t="shared" si="6"/>
        <v>OK</v>
      </c>
      <c r="X177" s="42">
        <f t="shared" si="7"/>
        <v>0</v>
      </c>
      <c r="Y177" s="42">
        <f t="shared" si="8"/>
        <v>0</v>
      </c>
      <c r="Z177" s="42" t="str">
        <f>IF(G177="","",IFERROR(VLOOKUP(G177,'Product_Stock_Master产品维护'!$A$2:$L992,11,FALSE),"No"))</f>
        <v>Yes</v>
      </c>
      <c r="AA177" s="42" t="str">
        <f>IF(G177="","",IFERROR(VLOOKUP(G177,'Product_Stock_Master产品维护'!$A$2:$L992,12,FALSE),""))</f>
        <v>Battery / 电池</v>
      </c>
      <c r="AB177" s="42" t="str">
        <f t="shared" si="11"/>
        <v/>
      </c>
      <c r="AC177" s="42">
        <f t="shared" si="12"/>
        <v>0</v>
      </c>
    </row>
    <row r="178" ht="15.75" customHeight="1">
      <c r="A178" s="59" t="s">
        <v>752</v>
      </c>
      <c r="B178" s="60"/>
      <c r="C178" s="61" t="s">
        <v>622</v>
      </c>
      <c r="D178" s="32"/>
      <c r="E178" s="32"/>
      <c r="F178" s="32"/>
      <c r="G178" s="61" t="s">
        <v>364</v>
      </c>
      <c r="H178" s="34" t="str">
        <f>IF(G178="","",IFERROR(VLOOKUP(G178,'Product_Stock_Master产品维护'!$A$2:$E992,2,FALSE()),"SKU not found"))</f>
        <v>CQ6-S</v>
      </c>
      <c r="I178" s="34" t="str">
        <f>IF(G178="","",IFERROR(VLOOKUP(G178,'Product_Stock_Master产品维护'!$A$2:$E992,3,FALSE()),"Item type not found"))</f>
        <v>Product</v>
      </c>
      <c r="J178" s="32"/>
      <c r="K178" s="61">
        <v>1.0</v>
      </c>
      <c r="L178" s="32"/>
      <c r="M178" s="61" t="s">
        <v>559</v>
      </c>
      <c r="N178" s="32"/>
      <c r="O178" s="34" t="str">
        <f t="shared" si="1"/>
        <v>OK</v>
      </c>
      <c r="P178" s="61" t="s">
        <v>366</v>
      </c>
      <c r="Q178" s="34" t="str">
        <f t="shared" si="9"/>
        <v>FLEX-01</v>
      </c>
      <c r="R178" s="34" t="str">
        <f t="shared" si="3"/>
        <v/>
      </c>
      <c r="S178" s="34">
        <f t="shared" si="10"/>
        <v>1</v>
      </c>
      <c r="T178" s="34" t="str">
        <f t="shared" si="5"/>
        <v>FLEX-01||97-229-00018-00||Repair_Good / 维修良品</v>
      </c>
      <c r="U178" s="34" t="s">
        <v>878</v>
      </c>
      <c r="V178" s="103" t="s">
        <v>858</v>
      </c>
      <c r="W178" s="42" t="str">
        <f t="shared" si="6"/>
        <v>OK</v>
      </c>
      <c r="X178" s="42">
        <f t="shared" si="7"/>
        <v>0</v>
      </c>
      <c r="Y178" s="42">
        <f t="shared" si="8"/>
        <v>0</v>
      </c>
      <c r="Z178" s="42" t="str">
        <f>IF(G178="","",IFERROR(VLOOKUP(G178,'Product_Stock_Master产品维护'!$A$2:$L992,11,FALSE),"No"))</f>
        <v>Yes</v>
      </c>
      <c r="AA178" s="42" t="str">
        <f>IF(G178="","",IFERROR(VLOOKUP(G178,'Product_Stock_Master产品维护'!$A$2:$L992,12,FALSE),""))</f>
        <v>Battery / 电池</v>
      </c>
      <c r="AB178" s="42" t="str">
        <f t="shared" si="11"/>
        <v/>
      </c>
      <c r="AC178" s="42">
        <f t="shared" si="12"/>
        <v>0</v>
      </c>
    </row>
    <row r="179" ht="15.75" customHeight="1">
      <c r="A179" s="59" t="s">
        <v>752</v>
      </c>
      <c r="B179" s="60"/>
      <c r="C179" s="61" t="s">
        <v>622</v>
      </c>
      <c r="D179" s="32"/>
      <c r="E179" s="32"/>
      <c r="F179" s="32"/>
      <c r="G179" s="61" t="s">
        <v>399</v>
      </c>
      <c r="H179" s="34" t="str">
        <f>IF(G179="","",IFERROR(VLOOKUP(G179,'Product_Stock_Master产品维护'!$A$2:$E992,2,FALSE()),"SKU not found"))</f>
        <v>EQ4800-M</v>
      </c>
      <c r="I179" s="34" t="str">
        <f>IF(G179="","",IFERROR(VLOOKUP(G179,'Product_Stock_Master产品维护'!$A$2:$E992,3,FALSE()),"Item type not found"))</f>
        <v>Product</v>
      </c>
      <c r="J179" s="32"/>
      <c r="K179" s="61">
        <v>1.0</v>
      </c>
      <c r="L179" s="32"/>
      <c r="M179" s="61" t="s">
        <v>559</v>
      </c>
      <c r="N179" s="32"/>
      <c r="O179" s="34" t="str">
        <f t="shared" si="1"/>
        <v>OK</v>
      </c>
      <c r="P179" s="61" t="s">
        <v>366</v>
      </c>
      <c r="Q179" s="34" t="str">
        <f t="shared" si="9"/>
        <v>FLEX-01</v>
      </c>
      <c r="R179" s="34" t="str">
        <f t="shared" si="3"/>
        <v/>
      </c>
      <c r="S179" s="34">
        <f t="shared" si="10"/>
        <v>1</v>
      </c>
      <c r="T179" s="34" t="str">
        <f t="shared" si="5"/>
        <v>FLEX-01||97-223-00090-00||Repair_Good / 维修良品</v>
      </c>
      <c r="U179" s="34" t="s">
        <v>882</v>
      </c>
      <c r="V179" s="103" t="s">
        <v>858</v>
      </c>
      <c r="W179" s="42" t="str">
        <f t="shared" si="6"/>
        <v>OK</v>
      </c>
      <c r="X179" s="42">
        <f t="shared" si="7"/>
        <v>0</v>
      </c>
      <c r="Y179" s="42">
        <f t="shared" si="8"/>
        <v>0</v>
      </c>
      <c r="Z179" s="42" t="str">
        <f>IF(G179="","",IFERROR(VLOOKUP(G179,'Product_Stock_Master产品维护'!$A$2:$L992,11,FALSE),"No"))</f>
        <v>Yes</v>
      </c>
      <c r="AA179" s="42" t="str">
        <f>IF(G179="","",IFERROR(VLOOKUP(G179,'Product_Stock_Master产品维护'!$A$2:$L992,12,FALSE),""))</f>
        <v>Battery / 电池</v>
      </c>
      <c r="AB179" s="42" t="str">
        <f t="shared" si="11"/>
        <v/>
      </c>
      <c r="AC179" s="42">
        <f t="shared" si="12"/>
        <v>0</v>
      </c>
    </row>
    <row r="180" ht="15.75" customHeight="1">
      <c r="A180" s="59" t="s">
        <v>752</v>
      </c>
      <c r="B180" s="60"/>
      <c r="C180" s="61" t="s">
        <v>622</v>
      </c>
      <c r="D180" s="32"/>
      <c r="E180" s="32"/>
      <c r="F180" s="32"/>
      <c r="G180" s="61" t="s">
        <v>561</v>
      </c>
      <c r="H180" s="34" t="str">
        <f>IF(G180="","",IFERROR(VLOOKUP(G180,'Product_Stock_Master产品维护'!$A$2:$E992,2,FALSE()),"SKU not found"))</f>
        <v>EQ4800-M</v>
      </c>
      <c r="I180" s="34" t="str">
        <f>IF(G180="","",IFERROR(VLOOKUP(G180,'Product_Stock_Master产品维护'!$A$2:$E992,3,FALSE()),"Item type not found"))</f>
        <v>Product</v>
      </c>
      <c r="J180" s="32"/>
      <c r="K180" s="61">
        <v>1.0</v>
      </c>
      <c r="L180" s="32"/>
      <c r="M180" s="61" t="s">
        <v>559</v>
      </c>
      <c r="N180" s="32"/>
      <c r="O180" s="34" t="str">
        <f t="shared" si="1"/>
        <v>OK</v>
      </c>
      <c r="P180" s="61" t="s">
        <v>366</v>
      </c>
      <c r="Q180" s="34" t="str">
        <f t="shared" si="9"/>
        <v>FLEX-01</v>
      </c>
      <c r="R180" s="34" t="str">
        <f t="shared" si="3"/>
        <v/>
      </c>
      <c r="S180" s="34">
        <f t="shared" si="10"/>
        <v>1</v>
      </c>
      <c r="T180" s="34" t="str">
        <f t="shared" si="5"/>
        <v>FLEX-01||97-223-00088-00||Repair_Good / 维修良品</v>
      </c>
      <c r="U180" s="34" t="s">
        <v>887</v>
      </c>
      <c r="V180" s="103" t="s">
        <v>858</v>
      </c>
      <c r="W180" s="42" t="str">
        <f t="shared" si="6"/>
        <v>OK</v>
      </c>
      <c r="X180" s="42">
        <f t="shared" si="7"/>
        <v>0</v>
      </c>
      <c r="Y180" s="42">
        <f t="shared" si="8"/>
        <v>0</v>
      </c>
      <c r="Z180" s="42" t="str">
        <f>IF(G180="","",IFERROR(VLOOKUP(G180,'Product_Stock_Master产品维护'!$A$2:$L992,11,FALSE),"No"))</f>
        <v>Yes</v>
      </c>
      <c r="AA180" s="42" t="str">
        <f>IF(G180="","",IFERROR(VLOOKUP(G180,'Product_Stock_Master产品维护'!$A$2:$L992,12,FALSE),""))</f>
        <v>Battery / 电池</v>
      </c>
      <c r="AB180" s="42" t="str">
        <f t="shared" si="11"/>
        <v/>
      </c>
      <c r="AC180" s="42">
        <f t="shared" si="12"/>
        <v>0</v>
      </c>
    </row>
    <row r="181" ht="15.75" customHeight="1">
      <c r="A181" s="59" t="s">
        <v>752</v>
      </c>
      <c r="B181" s="60"/>
      <c r="C181" s="61" t="s">
        <v>622</v>
      </c>
      <c r="D181" s="32"/>
      <c r="E181" s="32"/>
      <c r="F181" s="32"/>
      <c r="G181" s="61" t="s">
        <v>892</v>
      </c>
      <c r="H181" s="34" t="str">
        <f>IF(G181="","",IFERROR(VLOOKUP(G181,'Product_Stock_Master产品维护'!$A$2:$E992,2,FALSE()),"SKU not found"))</f>
        <v>EQ4800-M</v>
      </c>
      <c r="I181" s="34" t="str">
        <f>IF(G181="","",IFERROR(VLOOKUP(G181,'Product_Stock_Master产品维护'!$A$2:$E992,3,FALSE()),"Item type not found"))</f>
        <v>Product</v>
      </c>
      <c r="J181" s="32"/>
      <c r="K181" s="61">
        <v>1.0</v>
      </c>
      <c r="L181" s="32"/>
      <c r="M181" s="61" t="s">
        <v>559</v>
      </c>
      <c r="N181" s="32"/>
      <c r="O181" s="34" t="str">
        <f t="shared" si="1"/>
        <v>OK</v>
      </c>
      <c r="P181" s="61" t="s">
        <v>366</v>
      </c>
      <c r="Q181" s="34" t="str">
        <f t="shared" si="9"/>
        <v>FLEX-01</v>
      </c>
      <c r="R181" s="34" t="str">
        <f t="shared" si="3"/>
        <v/>
      </c>
      <c r="S181" s="34">
        <f t="shared" si="10"/>
        <v>1</v>
      </c>
      <c r="T181" s="34" t="str">
        <f t="shared" si="5"/>
        <v>FLEX-01||97-223-00089-00||Repair_Good / 维修良品</v>
      </c>
      <c r="U181" s="34" t="s">
        <v>897</v>
      </c>
      <c r="V181" s="103" t="s">
        <v>858</v>
      </c>
      <c r="W181" s="42" t="str">
        <f t="shared" si="6"/>
        <v>OK</v>
      </c>
      <c r="X181" s="42">
        <f t="shared" si="7"/>
        <v>0</v>
      </c>
      <c r="Y181" s="42">
        <f t="shared" si="8"/>
        <v>0</v>
      </c>
      <c r="Z181" s="42" t="str">
        <f>IF(G181="","",IFERROR(VLOOKUP(G181,'Product_Stock_Master产品维护'!$A$2:$L992,11,FALSE),"No"))</f>
        <v>Yes</v>
      </c>
      <c r="AA181" s="42" t="str">
        <f>IF(G181="","",IFERROR(VLOOKUP(G181,'Product_Stock_Master产品维护'!$A$2:$L992,12,FALSE),""))</f>
        <v>Battery / 电池</v>
      </c>
      <c r="AB181" s="42" t="str">
        <f t="shared" si="11"/>
        <v/>
      </c>
      <c r="AC181" s="42">
        <f t="shared" si="12"/>
        <v>0</v>
      </c>
    </row>
    <row r="182" ht="15.75" customHeight="1">
      <c r="A182" s="59" t="s">
        <v>752</v>
      </c>
      <c r="B182" s="60"/>
      <c r="C182" s="61" t="s">
        <v>622</v>
      </c>
      <c r="D182" s="32"/>
      <c r="E182" s="32"/>
      <c r="F182" s="32"/>
      <c r="G182" s="61" t="s">
        <v>561</v>
      </c>
      <c r="H182" s="34" t="str">
        <f>IF(G182="","",IFERROR(VLOOKUP(G182,'Product_Stock_Master产品维护'!$A$2:$E992,2,FALSE()),"SKU not found"))</f>
        <v>EQ4800-M</v>
      </c>
      <c r="I182" s="34" t="str">
        <f>IF(G182="","",IFERROR(VLOOKUP(G182,'Product_Stock_Master产品维护'!$A$2:$E992,3,FALSE()),"Item type not found"))</f>
        <v>Product</v>
      </c>
      <c r="J182" s="32"/>
      <c r="K182" s="61">
        <v>1.0</v>
      </c>
      <c r="L182" s="32"/>
      <c r="M182" s="61" t="s">
        <v>559</v>
      </c>
      <c r="N182" s="32"/>
      <c r="O182" s="34" t="str">
        <f t="shared" si="1"/>
        <v>OK</v>
      </c>
      <c r="P182" s="61" t="s">
        <v>366</v>
      </c>
      <c r="Q182" s="34" t="str">
        <f t="shared" si="9"/>
        <v>FLEX-01</v>
      </c>
      <c r="R182" s="34" t="str">
        <f t="shared" si="3"/>
        <v/>
      </c>
      <c r="S182" s="34">
        <f t="shared" si="10"/>
        <v>1</v>
      </c>
      <c r="T182" s="34" t="str">
        <f t="shared" si="5"/>
        <v>FLEX-01||97-223-00088-00||Repair_Good / 维修良品</v>
      </c>
      <c r="U182" s="34" t="s">
        <v>901</v>
      </c>
      <c r="V182" s="103" t="s">
        <v>858</v>
      </c>
      <c r="W182" s="42" t="str">
        <f t="shared" si="6"/>
        <v>OK</v>
      </c>
      <c r="X182" s="42">
        <f t="shared" si="7"/>
        <v>0</v>
      </c>
      <c r="Y182" s="42">
        <f t="shared" si="8"/>
        <v>0</v>
      </c>
      <c r="Z182" s="42" t="str">
        <f>IF(G182="","",IFERROR(VLOOKUP(G182,'Product_Stock_Master产品维护'!$A$2:$L992,11,FALSE),"No"))</f>
        <v>Yes</v>
      </c>
      <c r="AA182" s="42" t="str">
        <f>IF(G182="","",IFERROR(VLOOKUP(G182,'Product_Stock_Master产品维护'!$A$2:$L992,12,FALSE),""))</f>
        <v>Battery / 电池</v>
      </c>
      <c r="AB182" s="42" t="str">
        <f t="shared" si="11"/>
        <v/>
      </c>
      <c r="AC182" s="42">
        <f t="shared" si="12"/>
        <v>0</v>
      </c>
    </row>
    <row r="183" ht="15.75" customHeight="1">
      <c r="A183" s="59" t="s">
        <v>752</v>
      </c>
      <c r="B183" s="60"/>
      <c r="C183" s="61" t="s">
        <v>622</v>
      </c>
      <c r="D183" s="32"/>
      <c r="E183" s="32"/>
      <c r="F183" s="32"/>
      <c r="G183" s="61" t="s">
        <v>399</v>
      </c>
      <c r="H183" s="34" t="str">
        <f>IF(G183="","",IFERROR(VLOOKUP(G183,'Product_Stock_Master产品维护'!$A$2:$E992,2,FALSE()),"SKU not found"))</f>
        <v>EQ4800-M</v>
      </c>
      <c r="I183" s="34" t="str">
        <f>IF(G183="","",IFERROR(VLOOKUP(G183,'Product_Stock_Master产品维护'!$A$2:$E992,3,FALSE()),"Item type not found"))</f>
        <v>Product</v>
      </c>
      <c r="J183" s="32"/>
      <c r="K183" s="61">
        <v>1.0</v>
      </c>
      <c r="L183" s="32"/>
      <c r="M183" s="61" t="s">
        <v>559</v>
      </c>
      <c r="N183" s="32"/>
      <c r="O183" s="34" t="str">
        <f t="shared" si="1"/>
        <v>OK</v>
      </c>
      <c r="P183" s="61" t="s">
        <v>366</v>
      </c>
      <c r="Q183" s="34" t="str">
        <f t="shared" si="9"/>
        <v>FLEX-01</v>
      </c>
      <c r="R183" s="34" t="str">
        <f t="shared" si="3"/>
        <v/>
      </c>
      <c r="S183" s="34">
        <f t="shared" si="10"/>
        <v>1</v>
      </c>
      <c r="T183" s="34" t="str">
        <f t="shared" si="5"/>
        <v>FLEX-01||97-223-00090-00||Repair_Good / 维修良品</v>
      </c>
      <c r="U183" s="34" t="s">
        <v>906</v>
      </c>
      <c r="V183" s="103" t="s">
        <v>858</v>
      </c>
      <c r="W183" s="42" t="str">
        <f t="shared" si="6"/>
        <v>OK</v>
      </c>
      <c r="X183" s="42">
        <f t="shared" si="7"/>
        <v>0</v>
      </c>
      <c r="Y183" s="42">
        <f t="shared" si="8"/>
        <v>0</v>
      </c>
      <c r="Z183" s="42" t="str">
        <f>IF(G183="","",IFERROR(VLOOKUP(G183,'Product_Stock_Master产品维护'!$A$2:$L992,11,FALSE),"No"))</f>
        <v>Yes</v>
      </c>
      <c r="AA183" s="42" t="str">
        <f>IF(G183="","",IFERROR(VLOOKUP(G183,'Product_Stock_Master产品维护'!$A$2:$L992,12,FALSE),""))</f>
        <v>Battery / 电池</v>
      </c>
      <c r="AB183" s="42" t="str">
        <f t="shared" si="11"/>
        <v/>
      </c>
      <c r="AC183" s="42">
        <f t="shared" si="12"/>
        <v>0</v>
      </c>
    </row>
    <row r="184" ht="15.75" customHeight="1">
      <c r="A184" s="59" t="s">
        <v>752</v>
      </c>
      <c r="B184" s="60"/>
      <c r="C184" s="61" t="s">
        <v>622</v>
      </c>
      <c r="D184" s="32"/>
      <c r="E184" s="32"/>
      <c r="F184" s="32"/>
      <c r="G184" s="61" t="s">
        <v>910</v>
      </c>
      <c r="H184" s="34" t="str">
        <f>IF(G184="","",IFERROR(VLOOKUP(G184,'Product_Stock_Master产品维护'!$A$2:$E992,2,FALSE()),"SKU not found"))</f>
        <v>EQ4800</v>
      </c>
      <c r="I184" s="34" t="str">
        <f>IF(G184="","",IFERROR(VLOOKUP(G184,'Product_Stock_Master产品维护'!$A$2:$E992,3,FALSE()),"Item type not found"))</f>
        <v>Product</v>
      </c>
      <c r="J184" s="32"/>
      <c r="K184" s="61">
        <v>1.0</v>
      </c>
      <c r="L184" s="32"/>
      <c r="M184" s="61" t="s">
        <v>559</v>
      </c>
      <c r="N184" s="32"/>
      <c r="O184" s="34" t="str">
        <f t="shared" si="1"/>
        <v>OK</v>
      </c>
      <c r="P184" s="61" t="s">
        <v>366</v>
      </c>
      <c r="Q184" s="34" t="str">
        <f t="shared" si="9"/>
        <v>FLEX-01</v>
      </c>
      <c r="R184" s="34" t="str">
        <f t="shared" si="3"/>
        <v/>
      </c>
      <c r="S184" s="34">
        <f t="shared" si="10"/>
        <v>1</v>
      </c>
      <c r="T184" s="34" t="str">
        <f t="shared" si="5"/>
        <v>FLEX-01||30-223-00001-00||Repair_Good / 维修良品</v>
      </c>
      <c r="U184" s="34" t="s">
        <v>916</v>
      </c>
      <c r="V184" s="103" t="s">
        <v>858</v>
      </c>
      <c r="W184" s="42" t="str">
        <f t="shared" si="6"/>
        <v>OK</v>
      </c>
      <c r="X184" s="42">
        <f t="shared" si="7"/>
        <v>0</v>
      </c>
      <c r="Y184" s="42">
        <f t="shared" si="8"/>
        <v>0</v>
      </c>
      <c r="Z184" s="42" t="str">
        <f>IF(G184="","",IFERROR(VLOOKUP(G184,'Product_Stock_Master产品维护'!$A$2:$L992,11,FALSE),"No"))</f>
        <v>Yes</v>
      </c>
      <c r="AA184" s="42" t="str">
        <f>IF(G184="","",IFERROR(VLOOKUP(G184,'Product_Stock_Master产品维护'!$A$2:$L992,12,FALSE),""))</f>
        <v>Battery / 电池</v>
      </c>
      <c r="AB184" s="42" t="str">
        <f t="shared" si="11"/>
        <v/>
      </c>
      <c r="AC184" s="42">
        <f t="shared" si="12"/>
        <v>0</v>
      </c>
    </row>
    <row r="185" ht="15.75" customHeight="1">
      <c r="A185" s="59" t="s">
        <v>752</v>
      </c>
      <c r="B185" s="60"/>
      <c r="C185" s="61" t="s">
        <v>622</v>
      </c>
      <c r="D185" s="32"/>
      <c r="E185" s="32"/>
      <c r="F185" s="32"/>
      <c r="G185" s="61" t="s">
        <v>561</v>
      </c>
      <c r="H185" s="34" t="str">
        <f>IF(G185="","",IFERROR(VLOOKUP(G185,'Product_Stock_Master产品维护'!$A$2:$E992,2,FALSE()),"SKU not found"))</f>
        <v>EQ4800-M</v>
      </c>
      <c r="I185" s="34" t="str">
        <f>IF(G185="","",IFERROR(VLOOKUP(G185,'Product_Stock_Master产品维护'!$A$2:$E992,3,FALSE()),"Item type not found"))</f>
        <v>Product</v>
      </c>
      <c r="J185" s="32"/>
      <c r="K185" s="61">
        <v>1.0</v>
      </c>
      <c r="L185" s="32"/>
      <c r="M185" s="61" t="s">
        <v>559</v>
      </c>
      <c r="N185" s="32"/>
      <c r="O185" s="34" t="str">
        <f t="shared" si="1"/>
        <v>OK</v>
      </c>
      <c r="P185" s="61" t="s">
        <v>366</v>
      </c>
      <c r="Q185" s="34" t="str">
        <f t="shared" si="9"/>
        <v>FLEX-01</v>
      </c>
      <c r="R185" s="34" t="str">
        <f t="shared" si="3"/>
        <v/>
      </c>
      <c r="S185" s="34">
        <f t="shared" si="10"/>
        <v>1</v>
      </c>
      <c r="T185" s="34" t="str">
        <f t="shared" si="5"/>
        <v>FLEX-01||97-223-00088-00||Repair_Good / 维修良品</v>
      </c>
      <c r="U185" s="34" t="s">
        <v>923</v>
      </c>
      <c r="V185" s="103" t="s">
        <v>858</v>
      </c>
      <c r="W185" s="42" t="str">
        <f t="shared" si="6"/>
        <v>OK</v>
      </c>
      <c r="X185" s="42">
        <f t="shared" si="7"/>
        <v>0</v>
      </c>
      <c r="Y185" s="42">
        <f t="shared" si="8"/>
        <v>0</v>
      </c>
      <c r="Z185" s="42" t="str">
        <f>IF(G185="","",IFERROR(VLOOKUP(G185,'Product_Stock_Master产品维护'!$A$2:$L992,11,FALSE),"No"))</f>
        <v>Yes</v>
      </c>
      <c r="AA185" s="42" t="str">
        <f>IF(G185="","",IFERROR(VLOOKUP(G185,'Product_Stock_Master产品维护'!$A$2:$L992,12,FALSE),""))</f>
        <v>Battery / 电池</v>
      </c>
      <c r="AB185" s="42" t="str">
        <f t="shared" si="11"/>
        <v/>
      </c>
      <c r="AC185" s="42">
        <f t="shared" si="12"/>
        <v>0</v>
      </c>
    </row>
    <row r="186" ht="15.75" customHeight="1">
      <c r="A186" s="59" t="s">
        <v>752</v>
      </c>
      <c r="B186" s="60"/>
      <c r="C186" s="61" t="s">
        <v>622</v>
      </c>
      <c r="D186" s="32"/>
      <c r="E186" s="32"/>
      <c r="F186" s="32"/>
      <c r="G186" s="61" t="s">
        <v>610</v>
      </c>
      <c r="H186" s="34" t="str">
        <f>IF(G186="","",IFERROR(VLOOKUP(G186,'Product_Stock_Master产品维护'!$A$2:$E992,2,FALSE()),"SKU not found"))</f>
        <v>EQ4800-S</v>
      </c>
      <c r="I186" s="34" t="str">
        <f>IF(G186="","",IFERROR(VLOOKUP(G186,'Product_Stock_Master产品维护'!$A$2:$E992,3,FALSE()),"Item type not found"))</f>
        <v>Product</v>
      </c>
      <c r="J186" s="32"/>
      <c r="K186" s="61">
        <v>1.0</v>
      </c>
      <c r="L186" s="32"/>
      <c r="M186" s="61" t="s">
        <v>559</v>
      </c>
      <c r="N186" s="32"/>
      <c r="O186" s="34" t="str">
        <f t="shared" si="1"/>
        <v>OK</v>
      </c>
      <c r="P186" s="61" t="s">
        <v>366</v>
      </c>
      <c r="Q186" s="34" t="str">
        <f t="shared" si="9"/>
        <v>FLEX-01</v>
      </c>
      <c r="R186" s="34" t="str">
        <f t="shared" si="3"/>
        <v/>
      </c>
      <c r="S186" s="34">
        <f t="shared" si="10"/>
        <v>1</v>
      </c>
      <c r="T186" s="34" t="str">
        <f t="shared" si="5"/>
        <v>FLEX-01||30-223-00002-00||Repair_Good / 维修良品</v>
      </c>
      <c r="U186" s="34" t="s">
        <v>932</v>
      </c>
      <c r="V186" s="103" t="s">
        <v>858</v>
      </c>
      <c r="W186" s="42" t="str">
        <f t="shared" si="6"/>
        <v>OK</v>
      </c>
      <c r="X186" s="42">
        <f t="shared" si="7"/>
        <v>0</v>
      </c>
      <c r="Y186" s="42">
        <f t="shared" si="8"/>
        <v>0</v>
      </c>
      <c r="Z186" s="42" t="str">
        <f>IF(G186="","",IFERROR(VLOOKUP(G186,'Product_Stock_Master产品维护'!$A$2:$L992,11,FALSE),"No"))</f>
        <v>Yes</v>
      </c>
      <c r="AA186" s="42" t="str">
        <f>IF(G186="","",IFERROR(VLOOKUP(G186,'Product_Stock_Master产品维护'!$A$2:$L992,12,FALSE),""))</f>
        <v>Battery / 电池</v>
      </c>
      <c r="AB186" s="42" t="str">
        <f t="shared" si="11"/>
        <v/>
      </c>
      <c r="AC186" s="42">
        <f t="shared" si="12"/>
        <v>0</v>
      </c>
    </row>
    <row r="187" ht="15.75" customHeight="1">
      <c r="A187" s="59" t="s">
        <v>752</v>
      </c>
      <c r="B187" s="60"/>
      <c r="C187" s="61" t="s">
        <v>622</v>
      </c>
      <c r="D187" s="32"/>
      <c r="E187" s="32"/>
      <c r="F187" s="32"/>
      <c r="G187" s="61" t="s">
        <v>936</v>
      </c>
      <c r="H187" s="34" t="str">
        <f>IF(G187="","",IFERROR(VLOOKUP(G187,'Product_Stock_Master产品维护'!$A$2:$E992,2,FALSE()),"SKU not found"))</f>
        <v>EQ4800-S</v>
      </c>
      <c r="I187" s="34" t="str">
        <f>IF(G187="","",IFERROR(VLOOKUP(G187,'Product_Stock_Master产品维护'!$A$2:$E992,3,FALSE()),"Item type not found"))</f>
        <v>Product</v>
      </c>
      <c r="J187" s="32"/>
      <c r="K187" s="61">
        <v>1.0</v>
      </c>
      <c r="L187" s="32"/>
      <c r="M187" s="61" t="s">
        <v>559</v>
      </c>
      <c r="N187" s="32"/>
      <c r="O187" s="34" t="str">
        <f t="shared" si="1"/>
        <v>OK</v>
      </c>
      <c r="P187" s="61" t="s">
        <v>366</v>
      </c>
      <c r="Q187" s="34" t="str">
        <f t="shared" si="9"/>
        <v>FLEX-01</v>
      </c>
      <c r="R187" s="34" t="str">
        <f t="shared" si="3"/>
        <v/>
      </c>
      <c r="S187" s="34">
        <f t="shared" si="10"/>
        <v>1</v>
      </c>
      <c r="T187" s="34" t="str">
        <f t="shared" si="5"/>
        <v>FLEX-01||97-223-00065-00||Repair_Good / 维修良品</v>
      </c>
      <c r="U187" s="34" t="s">
        <v>940</v>
      </c>
      <c r="V187" s="103" t="s">
        <v>858</v>
      </c>
      <c r="W187" s="42" t="str">
        <f t="shared" si="6"/>
        <v>OK</v>
      </c>
      <c r="X187" s="42">
        <f t="shared" si="7"/>
        <v>0</v>
      </c>
      <c r="Y187" s="42">
        <f t="shared" si="8"/>
        <v>0</v>
      </c>
      <c r="Z187" s="42" t="str">
        <f>IF(G187="","",IFERROR(VLOOKUP(G187,'Product_Stock_Master产品维护'!$A$2:$L992,11,FALSE),"No"))</f>
        <v>Yes</v>
      </c>
      <c r="AA187" s="42" t="str">
        <f>IF(G187="","",IFERROR(VLOOKUP(G187,'Product_Stock_Master产品维护'!$A$2:$L992,12,FALSE),""))</f>
        <v>Battery / 电池</v>
      </c>
      <c r="AB187" s="42" t="str">
        <f t="shared" si="11"/>
        <v/>
      </c>
      <c r="AC187" s="42">
        <f t="shared" si="12"/>
        <v>0</v>
      </c>
    </row>
    <row r="188" ht="15.75" customHeight="1">
      <c r="A188" s="59" t="s">
        <v>752</v>
      </c>
      <c r="B188" s="60"/>
      <c r="C188" s="61" t="s">
        <v>622</v>
      </c>
      <c r="D188" s="32"/>
      <c r="E188" s="32"/>
      <c r="F188" s="32"/>
      <c r="G188" s="61" t="s">
        <v>402</v>
      </c>
      <c r="H188" s="34" t="str">
        <f>IF(G188="","",IFERROR(VLOOKUP(G188,'Product_Stock_Master产品维护'!$A$2:$E992,2,FALSE()),"SKU not found"))</f>
        <v>EQ4800-M</v>
      </c>
      <c r="I188" s="34" t="str">
        <f>IF(G188="","",IFERROR(VLOOKUP(G188,'Product_Stock_Master产品维护'!$A$2:$E992,3,FALSE()),"Item type not found"))</f>
        <v>Product</v>
      </c>
      <c r="J188" s="32"/>
      <c r="K188" s="61">
        <v>1.0</v>
      </c>
      <c r="L188" s="32"/>
      <c r="M188" s="61" t="s">
        <v>559</v>
      </c>
      <c r="N188" s="32"/>
      <c r="O188" s="34" t="str">
        <f t="shared" si="1"/>
        <v>OK</v>
      </c>
      <c r="P188" s="61" t="s">
        <v>366</v>
      </c>
      <c r="Q188" s="34" t="str">
        <f t="shared" si="9"/>
        <v>FLEX-01</v>
      </c>
      <c r="R188" s="34" t="str">
        <f t="shared" si="3"/>
        <v/>
      </c>
      <c r="S188" s="34">
        <f t="shared" si="10"/>
        <v>1</v>
      </c>
      <c r="T188" s="34" t="str">
        <f t="shared" si="5"/>
        <v>FLEX-01||97-223-00064-00||Repair_Good / 维修良品</v>
      </c>
      <c r="U188" s="34" t="s">
        <v>949</v>
      </c>
      <c r="V188" s="103" t="s">
        <v>858</v>
      </c>
      <c r="W188" s="42" t="str">
        <f t="shared" si="6"/>
        <v>OK</v>
      </c>
      <c r="X188" s="42">
        <f t="shared" si="7"/>
        <v>0</v>
      </c>
      <c r="Y188" s="42">
        <f t="shared" si="8"/>
        <v>0</v>
      </c>
      <c r="Z188" s="42" t="str">
        <f>IF(G188="","",IFERROR(VLOOKUP(G188,'Product_Stock_Master产品维护'!$A$2:$L992,11,FALSE),"No"))</f>
        <v>Yes</v>
      </c>
      <c r="AA188" s="42" t="str">
        <f>IF(G188="","",IFERROR(VLOOKUP(G188,'Product_Stock_Master产品维护'!$A$2:$L992,12,FALSE),""))</f>
        <v>Battery / 电池</v>
      </c>
      <c r="AB188" s="42" t="str">
        <f t="shared" si="11"/>
        <v/>
      </c>
      <c r="AC188" s="42">
        <f t="shared" si="12"/>
        <v>0</v>
      </c>
    </row>
    <row r="189" ht="15.75" customHeight="1">
      <c r="A189" s="59" t="s">
        <v>752</v>
      </c>
      <c r="B189" s="60"/>
      <c r="C189" s="61" t="s">
        <v>622</v>
      </c>
      <c r="D189" s="32"/>
      <c r="E189" s="32"/>
      <c r="F189" s="32"/>
      <c r="G189" s="61" t="s">
        <v>402</v>
      </c>
      <c r="H189" s="34" t="str">
        <f>IF(G189="","",IFERROR(VLOOKUP(G189,'Product_Stock_Master产品维护'!$A$2:$E992,2,FALSE()),"SKU not found"))</f>
        <v>EQ4800-M</v>
      </c>
      <c r="I189" s="34" t="str">
        <f>IF(G189="","",IFERROR(VLOOKUP(G189,'Product_Stock_Master产品维护'!$A$2:$E992,3,FALSE()),"Item type not found"))</f>
        <v>Product</v>
      </c>
      <c r="J189" s="32"/>
      <c r="K189" s="61">
        <v>1.0</v>
      </c>
      <c r="L189" s="32"/>
      <c r="M189" s="61" t="s">
        <v>559</v>
      </c>
      <c r="N189" s="32"/>
      <c r="O189" s="34" t="str">
        <f t="shared" si="1"/>
        <v>OK</v>
      </c>
      <c r="P189" s="61" t="s">
        <v>366</v>
      </c>
      <c r="Q189" s="34" t="str">
        <f t="shared" si="9"/>
        <v>FLEX-01</v>
      </c>
      <c r="R189" s="34" t="str">
        <f t="shared" si="3"/>
        <v/>
      </c>
      <c r="S189" s="34">
        <f t="shared" si="10"/>
        <v>1</v>
      </c>
      <c r="T189" s="34" t="str">
        <f t="shared" si="5"/>
        <v>FLEX-01||97-223-00064-00||Repair_Good / 维修良品</v>
      </c>
      <c r="U189" s="34" t="s">
        <v>956</v>
      </c>
      <c r="V189" s="103" t="s">
        <v>858</v>
      </c>
      <c r="W189" s="42" t="str">
        <f t="shared" si="6"/>
        <v>OK</v>
      </c>
      <c r="X189" s="42">
        <f t="shared" si="7"/>
        <v>0</v>
      </c>
      <c r="Y189" s="42">
        <f t="shared" si="8"/>
        <v>0</v>
      </c>
      <c r="Z189" s="42" t="str">
        <f>IF(G189="","",IFERROR(VLOOKUP(G189,'Product_Stock_Master产品维护'!$A$2:$L992,11,FALSE),"No"))</f>
        <v>Yes</v>
      </c>
      <c r="AA189" s="42" t="str">
        <f>IF(G189="","",IFERROR(VLOOKUP(G189,'Product_Stock_Master产品维护'!$A$2:$L992,12,FALSE),""))</f>
        <v>Battery / 电池</v>
      </c>
      <c r="AB189" s="42" t="str">
        <f t="shared" si="11"/>
        <v/>
      </c>
      <c r="AC189" s="42">
        <f t="shared" si="12"/>
        <v>0</v>
      </c>
    </row>
    <row r="190" ht="15.75" customHeight="1">
      <c r="A190" s="59" t="s">
        <v>752</v>
      </c>
      <c r="B190" s="60"/>
      <c r="C190" s="61" t="s">
        <v>622</v>
      </c>
      <c r="D190" s="32"/>
      <c r="E190" s="32"/>
      <c r="F190" s="32"/>
      <c r="G190" s="61" t="s">
        <v>558</v>
      </c>
      <c r="H190" s="34" t="str">
        <f>IF(G190="","",IFERROR(VLOOKUP(G190,'Product_Stock_Master产品维护'!$A$2:$E992,2,FALSE()),"SKU not found"))</f>
        <v>CQ6-M</v>
      </c>
      <c r="I190" s="34" t="str">
        <f>IF(G190="","",IFERROR(VLOOKUP(G190,'Product_Stock_Master产品维护'!$A$2:$E992,3,FALSE()),"Item type not found"))</f>
        <v>Product</v>
      </c>
      <c r="J190" s="32"/>
      <c r="K190" s="61">
        <v>1.0</v>
      </c>
      <c r="L190" s="32"/>
      <c r="M190" s="61" t="s">
        <v>559</v>
      </c>
      <c r="N190" s="32"/>
      <c r="O190" s="34" t="str">
        <f t="shared" si="1"/>
        <v>OK</v>
      </c>
      <c r="P190" s="61" t="s">
        <v>366</v>
      </c>
      <c r="Q190" s="34" t="str">
        <f t="shared" si="9"/>
        <v>FLEX-01</v>
      </c>
      <c r="R190" s="34" t="str">
        <f t="shared" si="3"/>
        <v/>
      </c>
      <c r="S190" s="34">
        <f t="shared" si="10"/>
        <v>1</v>
      </c>
      <c r="T190" s="34" t="str">
        <f t="shared" si="5"/>
        <v>FLEX-01||97-229-00020-00||Repair_Good / 维修良品</v>
      </c>
      <c r="U190" s="34" t="s">
        <v>961</v>
      </c>
      <c r="V190" s="103" t="s">
        <v>858</v>
      </c>
      <c r="W190" s="42" t="str">
        <f t="shared" si="6"/>
        <v>OK</v>
      </c>
      <c r="X190" s="42">
        <f t="shared" si="7"/>
        <v>0</v>
      </c>
      <c r="Y190" s="42">
        <f t="shared" si="8"/>
        <v>0</v>
      </c>
      <c r="Z190" s="42" t="str">
        <f>IF(G190="","",IFERROR(VLOOKUP(G190,'Product_Stock_Master产品维护'!$A$2:$L992,11,FALSE),"No"))</f>
        <v>Yes</v>
      </c>
      <c r="AA190" s="42" t="str">
        <f>IF(G190="","",IFERROR(VLOOKUP(G190,'Product_Stock_Master产品维护'!$A$2:$L992,12,FALSE),""))</f>
        <v>Battery / 电池</v>
      </c>
      <c r="AB190" s="42" t="str">
        <f t="shared" si="11"/>
        <v/>
      </c>
      <c r="AC190" s="42">
        <f t="shared" si="12"/>
        <v>0</v>
      </c>
    </row>
    <row r="191" ht="15.75" customHeight="1">
      <c r="A191" s="59" t="s">
        <v>752</v>
      </c>
      <c r="B191" s="60"/>
      <c r="C191" s="61" t="s">
        <v>622</v>
      </c>
      <c r="D191" s="32"/>
      <c r="E191" s="32"/>
      <c r="F191" s="32"/>
      <c r="G191" s="61" t="s">
        <v>408</v>
      </c>
      <c r="H191" s="34" t="str">
        <f>IF(G191="","",IFERROR(VLOOKUP(G191,'Product_Stock_Master产品维护'!$A$2:$E992,2,FALSE()),"SKU not found"))</f>
        <v>CQ6-M</v>
      </c>
      <c r="I191" s="34" t="str">
        <f>IF(G191="","",IFERROR(VLOOKUP(G191,'Product_Stock_Master产品维护'!$A$2:$E992,3,FALSE()),"Item type not found"))</f>
        <v>Product</v>
      </c>
      <c r="J191" s="32"/>
      <c r="K191" s="61">
        <v>1.0</v>
      </c>
      <c r="L191" s="32"/>
      <c r="M191" s="61" t="s">
        <v>559</v>
      </c>
      <c r="N191" s="32"/>
      <c r="O191" s="34" t="str">
        <f t="shared" si="1"/>
        <v>OK</v>
      </c>
      <c r="P191" s="61" t="s">
        <v>366</v>
      </c>
      <c r="Q191" s="34" t="str">
        <f t="shared" si="9"/>
        <v>FLEX-01</v>
      </c>
      <c r="R191" s="34" t="str">
        <f t="shared" si="3"/>
        <v/>
      </c>
      <c r="S191" s="34">
        <f t="shared" si="10"/>
        <v>1</v>
      </c>
      <c r="T191" s="34" t="str">
        <f t="shared" si="5"/>
        <v>FLEX-01||97-229-00012-00||Repair_Good / 维修良品</v>
      </c>
      <c r="U191" s="34" t="s">
        <v>969</v>
      </c>
      <c r="V191" s="103" t="s">
        <v>858</v>
      </c>
      <c r="W191" s="42" t="str">
        <f t="shared" si="6"/>
        <v>OK</v>
      </c>
      <c r="X191" s="42">
        <f t="shared" si="7"/>
        <v>0</v>
      </c>
      <c r="Y191" s="42">
        <f t="shared" si="8"/>
        <v>0</v>
      </c>
      <c r="Z191" s="42" t="str">
        <f>IF(G191="","",IFERROR(VLOOKUP(G191,'Product_Stock_Master产品维护'!$A$2:$L992,11,FALSE),"No"))</f>
        <v>Yes</v>
      </c>
      <c r="AA191" s="42" t="str">
        <f>IF(G191="","",IFERROR(VLOOKUP(G191,'Product_Stock_Master产品维护'!$A$2:$L992,12,FALSE),""))</f>
        <v>Battery / 电池</v>
      </c>
      <c r="AB191" s="42" t="str">
        <f t="shared" si="11"/>
        <v/>
      </c>
      <c r="AC191" s="42">
        <f t="shared" si="12"/>
        <v>0</v>
      </c>
    </row>
    <row r="192" ht="15.75" customHeight="1">
      <c r="A192" s="59" t="s">
        <v>752</v>
      </c>
      <c r="B192" s="60"/>
      <c r="C192" s="61" t="s">
        <v>622</v>
      </c>
      <c r="D192" s="32"/>
      <c r="E192" s="32"/>
      <c r="F192" s="32"/>
      <c r="G192" s="61" t="s">
        <v>408</v>
      </c>
      <c r="H192" s="34" t="str">
        <f>IF(G192="","",IFERROR(VLOOKUP(G192,'Product_Stock_Master产品维护'!$A$2:$E992,2,FALSE()),"SKU not found"))</f>
        <v>CQ6-M</v>
      </c>
      <c r="I192" s="34" t="str">
        <f>IF(G192="","",IFERROR(VLOOKUP(G192,'Product_Stock_Master产品维护'!$A$2:$E992,3,FALSE()),"Item type not found"))</f>
        <v>Product</v>
      </c>
      <c r="J192" s="32"/>
      <c r="K192" s="61">
        <v>1.0</v>
      </c>
      <c r="L192" s="32"/>
      <c r="M192" s="61" t="s">
        <v>559</v>
      </c>
      <c r="N192" s="32"/>
      <c r="O192" s="34" t="str">
        <f t="shared" si="1"/>
        <v>OK</v>
      </c>
      <c r="P192" s="61" t="s">
        <v>366</v>
      </c>
      <c r="Q192" s="34" t="str">
        <f t="shared" si="9"/>
        <v>FLEX-01</v>
      </c>
      <c r="R192" s="34" t="str">
        <f t="shared" si="3"/>
        <v/>
      </c>
      <c r="S192" s="34">
        <f t="shared" si="10"/>
        <v>1</v>
      </c>
      <c r="T192" s="34" t="str">
        <f t="shared" si="5"/>
        <v>FLEX-01||97-229-00012-00||Repair_Good / 维修良品</v>
      </c>
      <c r="U192" s="34" t="s">
        <v>976</v>
      </c>
      <c r="V192" s="103" t="s">
        <v>858</v>
      </c>
      <c r="W192" s="42" t="str">
        <f t="shared" si="6"/>
        <v>OK</v>
      </c>
      <c r="X192" s="42">
        <f t="shared" si="7"/>
        <v>0</v>
      </c>
      <c r="Y192" s="42">
        <f t="shared" si="8"/>
        <v>0</v>
      </c>
      <c r="Z192" s="42" t="str">
        <f>IF(G192="","",IFERROR(VLOOKUP(G192,'Product_Stock_Master产品维护'!$A$2:$L992,11,FALSE),"No"))</f>
        <v>Yes</v>
      </c>
      <c r="AA192" s="42" t="str">
        <f>IF(G192="","",IFERROR(VLOOKUP(G192,'Product_Stock_Master产品维护'!$A$2:$L992,12,FALSE),""))</f>
        <v>Battery / 电池</v>
      </c>
      <c r="AB192" s="42" t="str">
        <f t="shared" si="11"/>
        <v/>
      </c>
      <c r="AC192" s="42">
        <f t="shared" si="12"/>
        <v>0</v>
      </c>
    </row>
    <row r="193" ht="15.75" customHeight="1">
      <c r="A193" s="59" t="s">
        <v>752</v>
      </c>
      <c r="B193" s="60"/>
      <c r="C193" s="61" t="s">
        <v>622</v>
      </c>
      <c r="D193" s="32"/>
      <c r="E193" s="32"/>
      <c r="F193" s="32"/>
      <c r="G193" s="61" t="s">
        <v>408</v>
      </c>
      <c r="H193" s="34" t="str">
        <f>IF(G193="","",IFERROR(VLOOKUP(G193,'Product_Stock_Master产品维护'!$A$2:$E992,2,FALSE()),"SKU not found"))</f>
        <v>CQ6-M</v>
      </c>
      <c r="I193" s="34" t="str">
        <f>IF(G193="","",IFERROR(VLOOKUP(G193,'Product_Stock_Master产品维护'!$A$2:$E992,3,FALSE()),"Item type not found"))</f>
        <v>Product</v>
      </c>
      <c r="J193" s="32"/>
      <c r="K193" s="61">
        <v>1.0</v>
      </c>
      <c r="L193" s="32"/>
      <c r="M193" s="61" t="s">
        <v>559</v>
      </c>
      <c r="N193" s="32"/>
      <c r="O193" s="34" t="str">
        <f t="shared" si="1"/>
        <v>OK</v>
      </c>
      <c r="P193" s="61" t="s">
        <v>366</v>
      </c>
      <c r="Q193" s="34" t="str">
        <f t="shared" si="9"/>
        <v>FLEX-01</v>
      </c>
      <c r="R193" s="34" t="str">
        <f t="shared" si="3"/>
        <v/>
      </c>
      <c r="S193" s="34">
        <f t="shared" si="10"/>
        <v>1</v>
      </c>
      <c r="T193" s="34" t="str">
        <f t="shared" si="5"/>
        <v>FLEX-01||97-229-00012-00||Repair_Good / 维修良品</v>
      </c>
      <c r="U193" s="34" t="s">
        <v>981</v>
      </c>
      <c r="V193" s="103" t="s">
        <v>858</v>
      </c>
      <c r="W193" s="42" t="str">
        <f t="shared" si="6"/>
        <v>OK</v>
      </c>
      <c r="X193" s="42">
        <f t="shared" si="7"/>
        <v>0</v>
      </c>
      <c r="Y193" s="42">
        <f t="shared" si="8"/>
        <v>0</v>
      </c>
      <c r="Z193" s="42" t="str">
        <f>IF(G193="","",IFERROR(VLOOKUP(G193,'Product_Stock_Master产品维护'!$A$2:$L992,11,FALSE),"No"))</f>
        <v>Yes</v>
      </c>
      <c r="AA193" s="42" t="str">
        <f>IF(G193="","",IFERROR(VLOOKUP(G193,'Product_Stock_Master产品维护'!$A$2:$L992,12,FALSE),""))</f>
        <v>Battery / 电池</v>
      </c>
      <c r="AB193" s="42" t="str">
        <f t="shared" si="11"/>
        <v/>
      </c>
      <c r="AC193" s="42">
        <f t="shared" si="12"/>
        <v>0</v>
      </c>
    </row>
    <row r="194" ht="15.75" customHeight="1">
      <c r="A194" s="59" t="s">
        <v>752</v>
      </c>
      <c r="B194" s="60"/>
      <c r="C194" s="61" t="s">
        <v>564</v>
      </c>
      <c r="D194" s="61" t="s">
        <v>984</v>
      </c>
      <c r="E194" s="62" t="s">
        <v>985</v>
      </c>
      <c r="F194" s="32"/>
      <c r="G194" s="61" t="s">
        <v>421</v>
      </c>
      <c r="H194" s="34" t="str">
        <f>IF(G194="","",IFERROR(VLOOKUP(G194,'Product_Stock_Master产品维护'!$A$2:$E992,2,FALSE()),"SKU not found"))</f>
        <v>EQ4800-S</v>
      </c>
      <c r="I194" s="34" t="str">
        <f>IF(G194="","",IFERROR(VLOOKUP(G194,'Product_Stock_Master产品维护'!$A$2:$E992,3,FALSE()),"Item type not found"))</f>
        <v>Product</v>
      </c>
      <c r="J194" s="32"/>
      <c r="K194" s="61">
        <v>1.0</v>
      </c>
      <c r="L194" s="32"/>
      <c r="M194" s="61"/>
      <c r="N194" s="61" t="s">
        <v>650</v>
      </c>
      <c r="O194" s="34" t="str">
        <f t="shared" si="1"/>
        <v>Missing From Location / 缺来源库位</v>
      </c>
      <c r="P194" s="61" t="s">
        <v>366</v>
      </c>
      <c r="Q194" s="34" t="str">
        <f t="shared" si="9"/>
        <v/>
      </c>
      <c r="R194" s="34" t="str">
        <f t="shared" si="3"/>
        <v/>
      </c>
      <c r="S194" s="34">
        <f t="shared" si="10"/>
        <v>0</v>
      </c>
      <c r="T194" s="34" t="str">
        <f t="shared" si="5"/>
        <v/>
      </c>
      <c r="U194" s="34" t="s">
        <v>987</v>
      </c>
      <c r="V194" s="103"/>
      <c r="W194" s="42" t="str">
        <f t="shared" si="6"/>
        <v>OK</v>
      </c>
      <c r="X194" s="42">
        <f t="shared" si="7"/>
        <v>1</v>
      </c>
      <c r="Y194" s="42">
        <f t="shared" si="8"/>
        <v>0</v>
      </c>
      <c r="Z194" s="42" t="str">
        <f>IF(G194="","",IFERROR(VLOOKUP(G194,'Product_Stock_Master产品维护'!$A$2:$L992,11,FALSE),"No"))</f>
        <v>Yes</v>
      </c>
      <c r="AA194" s="42" t="str">
        <f>IF(G194="","",IFERROR(VLOOKUP(G194,'Product_Stock_Master产品维护'!$A$2:$L992,12,FALSE),""))</f>
        <v>Battery / 电池</v>
      </c>
      <c r="AB194" s="42" t="str">
        <f t="shared" si="11"/>
        <v/>
      </c>
      <c r="AC194" s="42">
        <f t="shared" si="12"/>
        <v>0</v>
      </c>
    </row>
    <row r="195" ht="15.75" customHeight="1">
      <c r="A195" s="59" t="s">
        <v>752</v>
      </c>
      <c r="B195" s="60"/>
      <c r="C195" s="61" t="s">
        <v>564</v>
      </c>
      <c r="D195" s="61" t="s">
        <v>984</v>
      </c>
      <c r="E195" s="62" t="s">
        <v>985</v>
      </c>
      <c r="F195" s="32"/>
      <c r="G195" s="61" t="s">
        <v>421</v>
      </c>
      <c r="H195" s="34" t="str">
        <f>IF(G195="","",IFERROR(VLOOKUP(G195,'Product_Stock_Master产品维护'!$A$2:$E992,2,FALSE()),"SKU not found"))</f>
        <v>EQ4800-S</v>
      </c>
      <c r="I195" s="34" t="str">
        <f>IF(G195="","",IFERROR(VLOOKUP(G195,'Product_Stock_Master产品维护'!$A$2:$E992,3,FALSE()),"Item type not found"))</f>
        <v>Product</v>
      </c>
      <c r="J195" s="32"/>
      <c r="K195" s="61">
        <v>1.0</v>
      </c>
      <c r="L195" s="32"/>
      <c r="M195" s="61"/>
      <c r="N195" s="61" t="s">
        <v>650</v>
      </c>
      <c r="O195" s="34" t="str">
        <f t="shared" si="1"/>
        <v>Missing From Location / 缺来源库位</v>
      </c>
      <c r="P195" s="61" t="s">
        <v>366</v>
      </c>
      <c r="Q195" s="34" t="str">
        <f t="shared" si="9"/>
        <v/>
      </c>
      <c r="R195" s="34" t="str">
        <f t="shared" si="3"/>
        <v/>
      </c>
      <c r="S195" s="34">
        <f t="shared" si="10"/>
        <v>0</v>
      </c>
      <c r="T195" s="34" t="str">
        <f t="shared" si="5"/>
        <v/>
      </c>
      <c r="U195" s="34" t="s">
        <v>992</v>
      </c>
      <c r="V195" s="103"/>
      <c r="W195" s="42" t="str">
        <f t="shared" si="6"/>
        <v>OK</v>
      </c>
      <c r="X195" s="42">
        <f t="shared" si="7"/>
        <v>0</v>
      </c>
      <c r="Y195" s="42">
        <f t="shared" si="8"/>
        <v>0</v>
      </c>
      <c r="Z195" s="42" t="str">
        <f>IF(G195="","",IFERROR(VLOOKUP(G195,'Product_Stock_Master产品维护'!$A$2:$L992,11,FALSE),"No"))</f>
        <v>Yes</v>
      </c>
      <c r="AA195" s="42" t="str">
        <f>IF(G195="","",IFERROR(VLOOKUP(G195,'Product_Stock_Master产品维护'!$A$2:$L992,12,FALSE),""))</f>
        <v>Battery / 电池</v>
      </c>
      <c r="AB195" s="42" t="str">
        <f t="shared" si="11"/>
        <v/>
      </c>
      <c r="AC195" s="42">
        <f t="shared" si="12"/>
        <v>0</v>
      </c>
    </row>
    <row r="196" ht="15.75" customHeight="1">
      <c r="A196" s="59" t="s">
        <v>752</v>
      </c>
      <c r="B196" s="60"/>
      <c r="C196" s="61" t="s">
        <v>564</v>
      </c>
      <c r="D196" s="61" t="s">
        <v>984</v>
      </c>
      <c r="E196" s="62" t="s">
        <v>985</v>
      </c>
      <c r="F196" s="32"/>
      <c r="G196" s="61" t="s">
        <v>421</v>
      </c>
      <c r="H196" s="34" t="str">
        <f>IF(G196="","",IFERROR(VLOOKUP(G196,'Product_Stock_Master产品维护'!$A$2:$E992,2,FALSE()),"SKU not found"))</f>
        <v>EQ4800-S</v>
      </c>
      <c r="I196" s="34" t="str">
        <f>IF(G196="","",IFERROR(VLOOKUP(G196,'Product_Stock_Master产品维护'!$A$2:$E992,3,FALSE()),"Item type not found"))</f>
        <v>Product</v>
      </c>
      <c r="J196" s="32"/>
      <c r="K196" s="61">
        <v>1.0</v>
      </c>
      <c r="L196" s="32"/>
      <c r="M196" s="61"/>
      <c r="N196" s="61" t="s">
        <v>650</v>
      </c>
      <c r="O196" s="34" t="str">
        <f t="shared" si="1"/>
        <v>Missing From Location / 缺来源库位</v>
      </c>
      <c r="P196" s="61" t="s">
        <v>366</v>
      </c>
      <c r="Q196" s="34" t="str">
        <f t="shared" si="9"/>
        <v/>
      </c>
      <c r="R196" s="34" t="str">
        <f t="shared" si="3"/>
        <v/>
      </c>
      <c r="S196" s="34">
        <f t="shared" si="10"/>
        <v>0</v>
      </c>
      <c r="T196" s="34" t="str">
        <f t="shared" si="5"/>
        <v/>
      </c>
      <c r="U196" s="34" t="s">
        <v>995</v>
      </c>
      <c r="V196" s="103"/>
      <c r="W196" s="42" t="str">
        <f t="shared" si="6"/>
        <v>OK</v>
      </c>
      <c r="X196" s="42">
        <f t="shared" si="7"/>
        <v>0</v>
      </c>
      <c r="Y196" s="42">
        <f t="shared" si="8"/>
        <v>0</v>
      </c>
      <c r="Z196" s="42" t="str">
        <f>IF(G196="","",IFERROR(VLOOKUP(G196,'Product_Stock_Master产品维护'!$A$2:$L992,11,FALSE),"No"))</f>
        <v>Yes</v>
      </c>
      <c r="AA196" s="42" t="str">
        <f>IF(G196="","",IFERROR(VLOOKUP(G196,'Product_Stock_Master产品维护'!$A$2:$L992,12,FALSE),""))</f>
        <v>Battery / 电池</v>
      </c>
      <c r="AB196" s="42" t="str">
        <f t="shared" si="11"/>
        <v/>
      </c>
      <c r="AC196" s="42">
        <f t="shared" si="12"/>
        <v>0</v>
      </c>
    </row>
    <row r="197" ht="15.75" customHeight="1">
      <c r="A197" s="59" t="s">
        <v>752</v>
      </c>
      <c r="B197" s="60"/>
      <c r="C197" s="61" t="s">
        <v>564</v>
      </c>
      <c r="D197" s="61" t="s">
        <v>984</v>
      </c>
      <c r="E197" s="62" t="s">
        <v>985</v>
      </c>
      <c r="F197" s="32"/>
      <c r="G197" s="61" t="s">
        <v>421</v>
      </c>
      <c r="H197" s="34" t="str">
        <f>IF(G197="","",IFERROR(VLOOKUP(G197,'Product_Stock_Master产品维护'!$A$2:$E992,2,FALSE()),"SKU not found"))</f>
        <v>EQ4800-S</v>
      </c>
      <c r="I197" s="34" t="str">
        <f>IF(G197="","",IFERROR(VLOOKUP(G197,'Product_Stock_Master产品维护'!$A$2:$E992,3,FALSE()),"Item type not found"))</f>
        <v>Product</v>
      </c>
      <c r="J197" s="32"/>
      <c r="K197" s="61">
        <v>1.0</v>
      </c>
      <c r="L197" s="32"/>
      <c r="M197" s="61"/>
      <c r="N197" s="61" t="s">
        <v>650</v>
      </c>
      <c r="O197" s="34" t="str">
        <f t="shared" si="1"/>
        <v>Missing From Location / 缺来源库位</v>
      </c>
      <c r="P197" s="61" t="s">
        <v>366</v>
      </c>
      <c r="Q197" s="34" t="str">
        <f t="shared" si="9"/>
        <v/>
      </c>
      <c r="R197" s="34" t="str">
        <f t="shared" si="3"/>
        <v/>
      </c>
      <c r="S197" s="34">
        <f t="shared" si="10"/>
        <v>0</v>
      </c>
      <c r="T197" s="34" t="str">
        <f t="shared" si="5"/>
        <v/>
      </c>
      <c r="U197" s="34" t="s">
        <v>999</v>
      </c>
      <c r="V197" s="103"/>
      <c r="W197" s="42" t="str">
        <f t="shared" si="6"/>
        <v>OK</v>
      </c>
      <c r="X197" s="42">
        <f t="shared" si="7"/>
        <v>0</v>
      </c>
      <c r="Y197" s="42">
        <f t="shared" si="8"/>
        <v>0</v>
      </c>
      <c r="Z197" s="42" t="str">
        <f>IF(G197="","",IFERROR(VLOOKUP(G197,'Product_Stock_Master产品维护'!$A$2:$L992,11,FALSE),"No"))</f>
        <v>Yes</v>
      </c>
      <c r="AA197" s="42" t="str">
        <f>IF(G197="","",IFERROR(VLOOKUP(G197,'Product_Stock_Master产品维护'!$A$2:$L992,12,FALSE),""))</f>
        <v>Battery / 电池</v>
      </c>
      <c r="AB197" s="42" t="str">
        <f t="shared" si="11"/>
        <v/>
      </c>
      <c r="AC197" s="42">
        <f t="shared" si="12"/>
        <v>0</v>
      </c>
    </row>
    <row r="198" ht="15.75" customHeight="1">
      <c r="A198" s="59" t="s">
        <v>752</v>
      </c>
      <c r="B198" s="60"/>
      <c r="C198" s="61" t="s">
        <v>564</v>
      </c>
      <c r="D198" s="61" t="s">
        <v>1001</v>
      </c>
      <c r="E198" s="62" t="s">
        <v>1002</v>
      </c>
      <c r="F198" s="62"/>
      <c r="G198" s="61" t="s">
        <v>399</v>
      </c>
      <c r="H198" s="34" t="str">
        <f>IF(G198="","",IFERROR(VLOOKUP(G198,'Product_Stock_Master产品维护'!$A$2:$E992,2,FALSE()),"SKU not found"))</f>
        <v>EQ4800-M</v>
      </c>
      <c r="I198" s="34" t="str">
        <f>IF(G198="","",IFERROR(VLOOKUP(G198,'Product_Stock_Master产品维护'!$A$2:$E992,3,FALSE()),"Item type not found"))</f>
        <v>Product</v>
      </c>
      <c r="J198" s="62" t="s">
        <v>1004</v>
      </c>
      <c r="K198" s="61">
        <v>1.0</v>
      </c>
      <c r="L198" s="62" t="s">
        <v>559</v>
      </c>
      <c r="M198" s="61"/>
      <c r="N198" s="61" t="s">
        <v>650</v>
      </c>
      <c r="O198" s="34" t="str">
        <f t="shared" si="1"/>
        <v>OK</v>
      </c>
      <c r="P198" s="61" t="s">
        <v>366</v>
      </c>
      <c r="Q198" s="34" t="str">
        <f t="shared" si="9"/>
        <v>FLEX-01</v>
      </c>
      <c r="R198" s="34" t="str">
        <f t="shared" si="3"/>
        <v/>
      </c>
      <c r="S198" s="34">
        <f t="shared" si="10"/>
        <v>0</v>
      </c>
      <c r="T198" s="34" t="str">
        <f t="shared" si="5"/>
        <v>FLEX-01||97-223-00090-00||Repair_Good / 维修良品</v>
      </c>
      <c r="U198" s="34" t="s">
        <v>1005</v>
      </c>
      <c r="V198" s="103"/>
      <c r="W198" s="42" t="str">
        <f t="shared" si="6"/>
        <v>OK</v>
      </c>
      <c r="X198" s="42">
        <f t="shared" si="7"/>
        <v>1</v>
      </c>
      <c r="Y198" s="42">
        <f t="shared" si="8"/>
        <v>0</v>
      </c>
      <c r="Z198" s="42" t="str">
        <f>IF(G198="","",IFERROR(VLOOKUP(G198,'Product_Stock_Master产品维护'!$A$2:$L992,11,FALSE),"No"))</f>
        <v>Yes</v>
      </c>
      <c r="AA198" s="42" t="str">
        <f>IF(G198="","",IFERROR(VLOOKUP(G198,'Product_Stock_Master产品维护'!$A$2:$L992,12,FALSE),""))</f>
        <v>Battery / 电池</v>
      </c>
      <c r="AB198" s="42" t="str">
        <f t="shared" si="11"/>
        <v/>
      </c>
      <c r="AC198" s="42">
        <f t="shared" si="12"/>
        <v>0</v>
      </c>
    </row>
    <row r="199" ht="15.75" customHeight="1">
      <c r="A199" s="59" t="s">
        <v>752</v>
      </c>
      <c r="B199" s="60"/>
      <c r="C199" s="61" t="s">
        <v>564</v>
      </c>
      <c r="D199" s="61" t="s">
        <v>1011</v>
      </c>
      <c r="E199" s="62" t="s">
        <v>1012</v>
      </c>
      <c r="F199" s="62"/>
      <c r="G199" s="61" t="s">
        <v>399</v>
      </c>
      <c r="H199" s="34" t="str">
        <f>IF(G199="","",IFERROR(VLOOKUP(G199,'Product_Stock_Master产品维护'!$A$2:$E992,2,FALSE()),"SKU not found"))</f>
        <v>EQ4800-M</v>
      </c>
      <c r="I199" s="34" t="str">
        <f>IF(G199="","",IFERROR(VLOOKUP(G199,'Product_Stock_Master产品维护'!$A$2:$E992,3,FALSE()),"Item type not found"))</f>
        <v>Product</v>
      </c>
      <c r="J199" s="62" t="s">
        <v>1013</v>
      </c>
      <c r="K199" s="61">
        <v>1.0</v>
      </c>
      <c r="L199" s="62" t="s">
        <v>559</v>
      </c>
      <c r="M199" s="61"/>
      <c r="N199" s="61" t="s">
        <v>650</v>
      </c>
      <c r="O199" s="34" t="str">
        <f t="shared" si="1"/>
        <v>OK</v>
      </c>
      <c r="P199" s="61" t="s">
        <v>366</v>
      </c>
      <c r="Q199" s="34" t="str">
        <f t="shared" si="9"/>
        <v>FLEX-01</v>
      </c>
      <c r="R199" s="34" t="str">
        <f t="shared" si="3"/>
        <v/>
      </c>
      <c r="S199" s="34">
        <f t="shared" si="10"/>
        <v>0</v>
      </c>
      <c r="T199" s="34" t="str">
        <f t="shared" si="5"/>
        <v>FLEX-01||97-223-00090-00||Repair_Good / 维修良品</v>
      </c>
      <c r="U199" s="34" t="s">
        <v>1014</v>
      </c>
      <c r="V199" s="103"/>
      <c r="W199" s="42" t="str">
        <f t="shared" si="6"/>
        <v>OK</v>
      </c>
      <c r="X199" s="42">
        <f t="shared" si="7"/>
        <v>1</v>
      </c>
      <c r="Y199" s="42">
        <f t="shared" si="8"/>
        <v>0</v>
      </c>
      <c r="Z199" s="42" t="str">
        <f>IF(G199="","",IFERROR(VLOOKUP(G199,'Product_Stock_Master产品维护'!$A$2:$L992,11,FALSE),"No"))</f>
        <v>Yes</v>
      </c>
      <c r="AA199" s="42" t="str">
        <f>IF(G199="","",IFERROR(VLOOKUP(G199,'Product_Stock_Master产品维护'!$A$2:$L992,12,FALSE),""))</f>
        <v>Battery / 电池</v>
      </c>
      <c r="AB199" s="42" t="str">
        <f t="shared" si="11"/>
        <v/>
      </c>
      <c r="AC199" s="42">
        <f t="shared" si="12"/>
        <v>0</v>
      </c>
    </row>
    <row r="200" ht="15.75" customHeight="1">
      <c r="A200" s="59" t="s">
        <v>752</v>
      </c>
      <c r="B200" s="60"/>
      <c r="C200" s="61" t="s">
        <v>564</v>
      </c>
      <c r="D200" s="61" t="s">
        <v>1018</v>
      </c>
      <c r="E200" s="62" t="s">
        <v>1019</v>
      </c>
      <c r="F200" s="32"/>
      <c r="G200" s="61" t="s">
        <v>558</v>
      </c>
      <c r="H200" s="34" t="str">
        <f>IF(G200="","",IFERROR(VLOOKUP(G200,'Product_Stock_Master产品维护'!$A$2:$E992,2,FALSE()),"SKU not found"))</f>
        <v>CQ6-M</v>
      </c>
      <c r="I200" s="34" t="str">
        <f>IF(G200="","",IFERROR(VLOOKUP(G200,'Product_Stock_Master产品维护'!$A$2:$E992,3,FALSE()),"Item type not found"))</f>
        <v>Product</v>
      </c>
      <c r="J200" s="32"/>
      <c r="K200" s="61">
        <v>1.0</v>
      </c>
      <c r="L200" s="32"/>
      <c r="M200" s="61"/>
      <c r="N200" s="61" t="s">
        <v>643</v>
      </c>
      <c r="O200" s="34" t="str">
        <f t="shared" si="1"/>
        <v>Missing From Location / 缺来源库位</v>
      </c>
      <c r="P200" s="61" t="s">
        <v>383</v>
      </c>
      <c r="Q200" s="34" t="str">
        <f t="shared" si="9"/>
        <v/>
      </c>
      <c r="R200" s="34" t="str">
        <f t="shared" si="3"/>
        <v/>
      </c>
      <c r="S200" s="34">
        <f t="shared" si="10"/>
        <v>0</v>
      </c>
      <c r="T200" s="34" t="str">
        <f t="shared" si="5"/>
        <v/>
      </c>
      <c r="U200" s="34" t="s">
        <v>1021</v>
      </c>
      <c r="V200" s="103" t="s">
        <v>1022</v>
      </c>
      <c r="W200" s="42" t="str">
        <f t="shared" si="6"/>
        <v>OK</v>
      </c>
      <c r="X200" s="42">
        <f t="shared" si="7"/>
        <v>1</v>
      </c>
      <c r="Y200" s="42">
        <f t="shared" si="8"/>
        <v>0</v>
      </c>
      <c r="Z200" s="42" t="str">
        <f>IF(G200="","",IFERROR(VLOOKUP(G200,'Product_Stock_Master产品维护'!$A$2:$L992,11,FALSE),"No"))</f>
        <v>Yes</v>
      </c>
      <c r="AA200" s="42" t="str">
        <f>IF(G200="","",IFERROR(VLOOKUP(G200,'Product_Stock_Master产品维护'!$A$2:$L992,12,FALSE),""))</f>
        <v>Battery / 电池</v>
      </c>
      <c r="AB200" s="42" t="str">
        <f t="shared" si="11"/>
        <v/>
      </c>
      <c r="AC200" s="42">
        <f t="shared" si="12"/>
        <v>0</v>
      </c>
    </row>
    <row r="201" ht="15.75" customHeight="1">
      <c r="A201" s="59" t="s">
        <v>752</v>
      </c>
      <c r="B201" s="60"/>
      <c r="C201" s="61" t="s">
        <v>564</v>
      </c>
      <c r="D201" s="61" t="s">
        <v>1018</v>
      </c>
      <c r="E201" s="62" t="s">
        <v>1019</v>
      </c>
      <c r="F201" s="32"/>
      <c r="G201" s="61" t="s">
        <v>437</v>
      </c>
      <c r="H201" s="34" t="str">
        <f>IF(G201="","",IFERROR(VLOOKUP(G201,'Product_Stock_Master产品维护'!$A$2:$E992,2,FALSE()),"SKU not found"))</f>
        <v>CQ6-S</v>
      </c>
      <c r="I201" s="34" t="str">
        <f>IF(G201="","",IFERROR(VLOOKUP(G201,'Product_Stock_Master产品维护'!$A$2:$E992,3,FALSE()),"Item type not found"))</f>
        <v>Product</v>
      </c>
      <c r="J201" s="32"/>
      <c r="K201" s="61">
        <v>1.0</v>
      </c>
      <c r="L201" s="32"/>
      <c r="M201" s="61"/>
      <c r="N201" s="61" t="s">
        <v>643</v>
      </c>
      <c r="O201" s="34" t="str">
        <f t="shared" si="1"/>
        <v>Missing From Location / 缺来源库位</v>
      </c>
      <c r="P201" s="61" t="s">
        <v>383</v>
      </c>
      <c r="Q201" s="34" t="str">
        <f t="shared" si="9"/>
        <v/>
      </c>
      <c r="R201" s="34" t="str">
        <f t="shared" si="3"/>
        <v/>
      </c>
      <c r="S201" s="34">
        <f t="shared" si="10"/>
        <v>0</v>
      </c>
      <c r="T201" s="34" t="str">
        <f t="shared" si="5"/>
        <v/>
      </c>
      <c r="U201" s="34" t="s">
        <v>1021</v>
      </c>
      <c r="V201" s="103" t="s">
        <v>1022</v>
      </c>
      <c r="W201" s="42" t="str">
        <f t="shared" si="6"/>
        <v>OK</v>
      </c>
      <c r="X201" s="42">
        <f t="shared" si="7"/>
        <v>0</v>
      </c>
      <c r="Y201" s="42">
        <f t="shared" si="8"/>
        <v>0</v>
      </c>
      <c r="Z201" s="42" t="str">
        <f>IF(G201="","",IFERROR(VLOOKUP(G201,'Product_Stock_Master产品维护'!$A$2:$L992,11,FALSE),"No"))</f>
        <v>Yes</v>
      </c>
      <c r="AA201" s="42" t="str">
        <f>IF(G201="","",IFERROR(VLOOKUP(G201,'Product_Stock_Master产品维护'!$A$2:$L992,12,FALSE),""))</f>
        <v>Battery / 电池</v>
      </c>
      <c r="AB201" s="42" t="str">
        <f t="shared" si="11"/>
        <v/>
      </c>
      <c r="AC201" s="42">
        <f t="shared" si="12"/>
        <v>0</v>
      </c>
    </row>
    <row r="202" ht="15.75" customHeight="1">
      <c r="A202" s="59" t="s">
        <v>752</v>
      </c>
      <c r="B202" s="60"/>
      <c r="C202" s="61" t="s">
        <v>564</v>
      </c>
      <c r="D202" s="61" t="s">
        <v>1018</v>
      </c>
      <c r="E202" s="62" t="s">
        <v>1019</v>
      </c>
      <c r="F202" s="32"/>
      <c r="G202" s="61" t="s">
        <v>437</v>
      </c>
      <c r="H202" s="34" t="str">
        <f>IF(G202="","",IFERROR(VLOOKUP(G202,'Product_Stock_Master产品维护'!$A$2:$E992,2,FALSE()),"SKU not found"))</f>
        <v>CQ6-S</v>
      </c>
      <c r="I202" s="34" t="str">
        <f>IF(G202="","",IFERROR(VLOOKUP(G202,'Product_Stock_Master产品维护'!$A$2:$E992,3,FALSE()),"Item type not found"))</f>
        <v>Product</v>
      </c>
      <c r="J202" s="32"/>
      <c r="K202" s="61">
        <v>1.0</v>
      </c>
      <c r="L202" s="32"/>
      <c r="M202" s="61"/>
      <c r="N202" s="61" t="s">
        <v>643</v>
      </c>
      <c r="O202" s="34" t="str">
        <f t="shared" si="1"/>
        <v>Missing From Location / 缺来源库位</v>
      </c>
      <c r="P202" s="61" t="s">
        <v>383</v>
      </c>
      <c r="Q202" s="34" t="str">
        <f t="shared" si="9"/>
        <v/>
      </c>
      <c r="R202" s="34" t="str">
        <f t="shared" si="3"/>
        <v/>
      </c>
      <c r="S202" s="34">
        <f t="shared" si="10"/>
        <v>0</v>
      </c>
      <c r="T202" s="34" t="str">
        <f t="shared" si="5"/>
        <v/>
      </c>
      <c r="U202" s="34" t="s">
        <v>1021</v>
      </c>
      <c r="V202" s="103" t="s">
        <v>1022</v>
      </c>
      <c r="W202" s="42" t="str">
        <f t="shared" si="6"/>
        <v>OK</v>
      </c>
      <c r="X202" s="42">
        <f t="shared" si="7"/>
        <v>0</v>
      </c>
      <c r="Y202" s="42">
        <f t="shared" si="8"/>
        <v>0</v>
      </c>
      <c r="Z202" s="42" t="str">
        <f>IF(G202="","",IFERROR(VLOOKUP(G202,'Product_Stock_Master产品维护'!$A$2:$L992,11,FALSE),"No"))</f>
        <v>Yes</v>
      </c>
      <c r="AA202" s="42" t="str">
        <f>IF(G202="","",IFERROR(VLOOKUP(G202,'Product_Stock_Master产品维护'!$A$2:$L992,12,FALSE),""))</f>
        <v>Battery / 电池</v>
      </c>
      <c r="AB202" s="42" t="str">
        <f t="shared" si="11"/>
        <v/>
      </c>
      <c r="AC202" s="42">
        <f t="shared" si="12"/>
        <v>0</v>
      </c>
    </row>
    <row r="203" ht="15.75" customHeight="1">
      <c r="A203" s="59" t="s">
        <v>752</v>
      </c>
      <c r="B203" s="60"/>
      <c r="C203" s="61" t="s">
        <v>564</v>
      </c>
      <c r="D203" s="61" t="s">
        <v>1018</v>
      </c>
      <c r="E203" s="62" t="s">
        <v>1019</v>
      </c>
      <c r="F203" s="32"/>
      <c r="G203" s="61" t="s">
        <v>437</v>
      </c>
      <c r="H203" s="34" t="str">
        <f>IF(G203="","",IFERROR(VLOOKUP(G203,'Product_Stock_Master产品维护'!$A$2:$E992,2,FALSE()),"SKU not found"))</f>
        <v>CQ6-S</v>
      </c>
      <c r="I203" s="34" t="str">
        <f>IF(G203="","",IFERROR(VLOOKUP(G203,'Product_Stock_Master产品维护'!$A$2:$E992,3,FALSE()),"Item type not found"))</f>
        <v>Product</v>
      </c>
      <c r="J203" s="32"/>
      <c r="K203" s="61">
        <v>1.0</v>
      </c>
      <c r="L203" s="32"/>
      <c r="M203" s="61"/>
      <c r="N203" s="61" t="s">
        <v>643</v>
      </c>
      <c r="O203" s="34" t="str">
        <f t="shared" si="1"/>
        <v>Missing From Location / 缺来源库位</v>
      </c>
      <c r="P203" s="61" t="s">
        <v>383</v>
      </c>
      <c r="Q203" s="34" t="str">
        <f t="shared" si="9"/>
        <v/>
      </c>
      <c r="R203" s="34" t="str">
        <f t="shared" si="3"/>
        <v/>
      </c>
      <c r="S203" s="34">
        <f t="shared" si="10"/>
        <v>0</v>
      </c>
      <c r="T203" s="34" t="str">
        <f t="shared" si="5"/>
        <v/>
      </c>
      <c r="U203" s="34" t="s">
        <v>1021</v>
      </c>
      <c r="V203" s="103" t="s">
        <v>1022</v>
      </c>
      <c r="W203" s="42" t="str">
        <f t="shared" si="6"/>
        <v>OK</v>
      </c>
      <c r="X203" s="42">
        <f t="shared" si="7"/>
        <v>0</v>
      </c>
      <c r="Y203" s="42">
        <f t="shared" si="8"/>
        <v>0</v>
      </c>
      <c r="Z203" s="42" t="str">
        <f>IF(G203="","",IFERROR(VLOOKUP(G203,'Product_Stock_Master产品维护'!$A$2:$L992,11,FALSE),"No"))</f>
        <v>Yes</v>
      </c>
      <c r="AA203" s="42" t="str">
        <f>IF(G203="","",IFERROR(VLOOKUP(G203,'Product_Stock_Master产品维护'!$A$2:$L992,12,FALSE),""))</f>
        <v>Battery / 电池</v>
      </c>
      <c r="AB203" s="42" t="str">
        <f t="shared" si="11"/>
        <v/>
      </c>
      <c r="AC203" s="42">
        <f t="shared" si="12"/>
        <v>0</v>
      </c>
    </row>
    <row r="204" ht="15.75" customHeight="1">
      <c r="A204" s="163"/>
      <c r="B204" s="163"/>
      <c r="C204" s="164"/>
      <c r="D204" s="164"/>
      <c r="E204" s="164"/>
      <c r="F204" s="164"/>
      <c r="G204" s="164"/>
      <c r="H204" s="165" t="str">
        <f>IF(G204="","",IFERROR(VLOOKUP(G204,'Product_Stock_Master产品维护'!$A$2:$E992,2,FALSE()),"SKU not found"))</f>
        <v/>
      </c>
      <c r="I204" s="165" t="str">
        <f>IF(G204="","",IFERROR(VLOOKUP(G204,'Product_Stock_Master产品维护'!$A$2:$E992,3,FALSE()),"Item type not found"))</f>
        <v/>
      </c>
      <c r="J204" s="164"/>
      <c r="K204" s="164"/>
      <c r="L204" s="164"/>
      <c r="M204" s="164"/>
      <c r="N204" s="164"/>
      <c r="O204" s="165" t="str">
        <f t="shared" si="1"/>
        <v/>
      </c>
      <c r="P204" s="164"/>
      <c r="Q204" s="165" t="str">
        <f t="shared" si="9"/>
        <v/>
      </c>
      <c r="R204" s="165" t="str">
        <f t="shared" si="3"/>
        <v/>
      </c>
      <c r="S204" s="165" t="str">
        <f t="shared" si="10"/>
        <v/>
      </c>
      <c r="T204" s="165" t="str">
        <f t="shared" si="5"/>
        <v/>
      </c>
      <c r="U204" s="165" t="s">
        <v>1036</v>
      </c>
      <c r="V204" s="53"/>
      <c r="W204" s="52" t="str">
        <f t="shared" si="6"/>
        <v/>
      </c>
      <c r="X204" s="52">
        <f t="shared" si="7"/>
        <v>0</v>
      </c>
      <c r="Y204" s="52">
        <f t="shared" si="8"/>
        <v>0</v>
      </c>
      <c r="Z204" s="52" t="str">
        <f>IF(G204="","",IFERROR(VLOOKUP(G204,'Product_Stock_Master产品维护'!$A$2:$L992,11,FALSE),"No"))</f>
        <v/>
      </c>
      <c r="AA204" s="52" t="str">
        <f>IF(G204="","",IFERROR(VLOOKUP(G204,'Product_Stock_Master产品维护'!$A$2:$L992,12,FALSE),""))</f>
        <v/>
      </c>
      <c r="AB204" s="52" t="str">
        <f t="shared" si="11"/>
        <v/>
      </c>
      <c r="AC204" s="52">
        <f t="shared" si="12"/>
        <v>0</v>
      </c>
    </row>
    <row r="205" ht="15.75" customHeight="1">
      <c r="A205" s="163"/>
      <c r="B205" s="163"/>
      <c r="C205" s="164"/>
      <c r="D205" s="164"/>
      <c r="E205" s="164"/>
      <c r="F205" s="164"/>
      <c r="G205" s="164"/>
      <c r="H205" s="165" t="str">
        <f>IF(G205="","",IFERROR(VLOOKUP(G205,'Product_Stock_Master产品维护'!$A$2:$E992,2,FALSE()),"SKU not found"))</f>
        <v/>
      </c>
      <c r="I205" s="165" t="str">
        <f>IF(G205="","",IFERROR(VLOOKUP(G205,'Product_Stock_Master产品维护'!$A$2:$E992,3,FALSE()),"Item type not found"))</f>
        <v/>
      </c>
      <c r="J205" s="164"/>
      <c r="K205" s="164"/>
      <c r="L205" s="164"/>
      <c r="M205" s="164"/>
      <c r="N205" s="164"/>
      <c r="O205" s="165" t="str">
        <f t="shared" si="1"/>
        <v/>
      </c>
      <c r="P205" s="164"/>
      <c r="Q205" s="165" t="str">
        <f t="shared" si="9"/>
        <v/>
      </c>
      <c r="R205" s="165" t="str">
        <f t="shared" si="3"/>
        <v/>
      </c>
      <c r="S205" s="165" t="str">
        <f t="shared" si="10"/>
        <v/>
      </c>
      <c r="T205" s="165" t="str">
        <f t="shared" si="5"/>
        <v/>
      </c>
      <c r="U205" s="165" t="s">
        <v>1040</v>
      </c>
      <c r="V205" s="53"/>
      <c r="W205" s="52" t="str">
        <f t="shared" si="6"/>
        <v/>
      </c>
      <c r="X205" s="52">
        <f t="shared" si="7"/>
        <v>0</v>
      </c>
      <c r="Y205" s="52">
        <f t="shared" si="8"/>
        <v>0</v>
      </c>
      <c r="Z205" s="52" t="str">
        <f>IF(G205="","",IFERROR(VLOOKUP(G205,'Product_Stock_Master产品维护'!$A$2:$L992,11,FALSE),"No"))</f>
        <v/>
      </c>
      <c r="AA205" s="52" t="str">
        <f>IF(G205="","",IFERROR(VLOOKUP(G205,'Product_Stock_Master产品维护'!$A$2:$L992,12,FALSE),""))</f>
        <v/>
      </c>
      <c r="AB205" s="52" t="str">
        <f t="shared" si="11"/>
        <v/>
      </c>
      <c r="AC205" s="52">
        <f t="shared" si="12"/>
        <v>0</v>
      </c>
    </row>
    <row r="206" ht="15.75" customHeight="1">
      <c r="A206" s="163"/>
      <c r="B206" s="163"/>
      <c r="C206" s="164"/>
      <c r="D206" s="164"/>
      <c r="E206" s="164"/>
      <c r="F206" s="164"/>
      <c r="G206" s="164"/>
      <c r="H206" s="165" t="str">
        <f>IF(G206="","",IFERROR(VLOOKUP(G206,'Product_Stock_Master产品维护'!$A$2:$E992,2,FALSE()),"SKU not found"))</f>
        <v/>
      </c>
      <c r="I206" s="165" t="str">
        <f>IF(G206="","",IFERROR(VLOOKUP(G206,'Product_Stock_Master产品维护'!$A$2:$E992,3,FALSE()),"Item type not found"))</f>
        <v/>
      </c>
      <c r="J206" s="164"/>
      <c r="K206" s="164"/>
      <c r="L206" s="164"/>
      <c r="M206" s="164"/>
      <c r="N206" s="164"/>
      <c r="O206" s="165" t="str">
        <f t="shared" si="1"/>
        <v/>
      </c>
      <c r="P206" s="164"/>
      <c r="Q206" s="165" t="str">
        <f t="shared" si="9"/>
        <v/>
      </c>
      <c r="R206" s="165" t="str">
        <f t="shared" si="3"/>
        <v/>
      </c>
      <c r="S206" s="165" t="str">
        <f t="shared" si="10"/>
        <v/>
      </c>
      <c r="T206" s="165" t="str">
        <f t="shared" si="5"/>
        <v/>
      </c>
      <c r="U206" s="165" t="s">
        <v>1042</v>
      </c>
      <c r="V206" s="53"/>
      <c r="W206" s="52" t="str">
        <f t="shared" si="6"/>
        <v/>
      </c>
      <c r="X206" s="52">
        <f t="shared" si="7"/>
        <v>0</v>
      </c>
      <c r="Y206" s="52">
        <f t="shared" si="8"/>
        <v>0</v>
      </c>
      <c r="Z206" s="52" t="str">
        <f>IF(G206="","",IFERROR(VLOOKUP(G206,'Product_Stock_Master产品维护'!$A$2:$L992,11,FALSE),"No"))</f>
        <v/>
      </c>
      <c r="AA206" s="52" t="str">
        <f>IF(G206="","",IFERROR(VLOOKUP(G206,'Product_Stock_Master产品维护'!$A$2:$L992,12,FALSE),""))</f>
        <v/>
      </c>
      <c r="AB206" s="52" t="str">
        <f t="shared" si="11"/>
        <v/>
      </c>
      <c r="AC206" s="52">
        <f t="shared" si="12"/>
        <v>0</v>
      </c>
    </row>
    <row r="207" ht="15.75" customHeight="1">
      <c r="A207" s="163"/>
      <c r="B207" s="163"/>
      <c r="C207" s="164"/>
      <c r="D207" s="164"/>
      <c r="E207" s="164"/>
      <c r="F207" s="164"/>
      <c r="G207" s="164"/>
      <c r="H207" s="165" t="str">
        <f>IF(G207="","",IFERROR(VLOOKUP(G207,'Product_Stock_Master产品维护'!$A$2:$E992,2,FALSE()),"SKU not found"))</f>
        <v/>
      </c>
      <c r="I207" s="165" t="str">
        <f>IF(G207="","",IFERROR(VLOOKUP(G207,'Product_Stock_Master产品维护'!$A$2:$E992,3,FALSE()),"Item type not found"))</f>
        <v/>
      </c>
      <c r="J207" s="164"/>
      <c r="K207" s="164"/>
      <c r="L207" s="164"/>
      <c r="M207" s="164"/>
      <c r="N207" s="164"/>
      <c r="O207" s="165" t="str">
        <f t="shared" si="1"/>
        <v/>
      </c>
      <c r="P207" s="164"/>
      <c r="Q207" s="165" t="str">
        <f t="shared" si="9"/>
        <v/>
      </c>
      <c r="R207" s="165" t="str">
        <f t="shared" si="3"/>
        <v/>
      </c>
      <c r="S207" s="165" t="str">
        <f t="shared" si="10"/>
        <v/>
      </c>
      <c r="T207" s="165" t="str">
        <f t="shared" si="5"/>
        <v/>
      </c>
      <c r="U207" s="165" t="s">
        <v>1044</v>
      </c>
      <c r="V207" s="53"/>
      <c r="W207" s="52" t="str">
        <f t="shared" si="6"/>
        <v/>
      </c>
      <c r="X207" s="52">
        <f t="shared" si="7"/>
        <v>0</v>
      </c>
      <c r="Y207" s="52">
        <f t="shared" si="8"/>
        <v>0</v>
      </c>
      <c r="Z207" s="52" t="str">
        <f>IF(G207="","",IFERROR(VLOOKUP(G207,'Product_Stock_Master产品维护'!$A$2:$L992,11,FALSE),"No"))</f>
        <v/>
      </c>
      <c r="AA207" s="52" t="str">
        <f>IF(G207="","",IFERROR(VLOOKUP(G207,'Product_Stock_Master产品维护'!$A$2:$L992,12,FALSE),""))</f>
        <v/>
      </c>
      <c r="AB207" s="52" t="str">
        <f t="shared" si="11"/>
        <v/>
      </c>
      <c r="AC207" s="52">
        <f t="shared" si="12"/>
        <v>0</v>
      </c>
    </row>
    <row r="208" ht="15.75" customHeight="1">
      <c r="A208" s="163"/>
      <c r="B208" s="163"/>
      <c r="C208" s="164"/>
      <c r="D208" s="164"/>
      <c r="E208" s="164"/>
      <c r="F208" s="164"/>
      <c r="G208" s="164"/>
      <c r="H208" s="165" t="str">
        <f>IF(G208="","",IFERROR(VLOOKUP(G208,'Product_Stock_Master产品维护'!$A$2:$E992,2,FALSE()),"SKU not found"))</f>
        <v/>
      </c>
      <c r="I208" s="165" t="str">
        <f>IF(G208="","",IFERROR(VLOOKUP(G208,'Product_Stock_Master产品维护'!$A$2:$E992,3,FALSE()),"Item type not found"))</f>
        <v/>
      </c>
      <c r="J208" s="164"/>
      <c r="K208" s="164"/>
      <c r="L208" s="164"/>
      <c r="M208" s="164"/>
      <c r="N208" s="164"/>
      <c r="O208" s="165" t="str">
        <f t="shared" si="1"/>
        <v/>
      </c>
      <c r="P208" s="164"/>
      <c r="Q208" s="165" t="str">
        <f t="shared" si="9"/>
        <v/>
      </c>
      <c r="R208" s="165" t="str">
        <f t="shared" si="3"/>
        <v/>
      </c>
      <c r="S208" s="165" t="str">
        <f t="shared" si="10"/>
        <v/>
      </c>
      <c r="T208" s="165" t="str">
        <f t="shared" si="5"/>
        <v/>
      </c>
      <c r="U208" s="165" t="s">
        <v>1047</v>
      </c>
      <c r="V208" s="53"/>
      <c r="W208" s="52" t="str">
        <f t="shared" si="6"/>
        <v/>
      </c>
      <c r="X208" s="52">
        <f t="shared" si="7"/>
        <v>0</v>
      </c>
      <c r="Y208" s="52">
        <f t="shared" si="8"/>
        <v>0</v>
      </c>
      <c r="Z208" s="52" t="str">
        <f>IF(G208="","",IFERROR(VLOOKUP(G208,'Product_Stock_Master产品维护'!$A$2:$L992,11,FALSE),"No"))</f>
        <v/>
      </c>
      <c r="AA208" s="52" t="str">
        <f>IF(G208="","",IFERROR(VLOOKUP(G208,'Product_Stock_Master产品维护'!$A$2:$L992,12,FALSE),""))</f>
        <v/>
      </c>
      <c r="AB208" s="52" t="str">
        <f t="shared" si="11"/>
        <v/>
      </c>
      <c r="AC208" s="52">
        <f t="shared" si="12"/>
        <v>0</v>
      </c>
    </row>
    <row r="209" ht="15.75" customHeight="1">
      <c r="A209" s="163"/>
      <c r="B209" s="163"/>
      <c r="C209" s="164"/>
      <c r="D209" s="164"/>
      <c r="E209" s="164"/>
      <c r="F209" s="164"/>
      <c r="G209" s="164"/>
      <c r="H209" s="165" t="str">
        <f>IF(G209="","",IFERROR(VLOOKUP(G209,'Product_Stock_Master产品维护'!$A$2:$E992,2,FALSE()),"SKU not found"))</f>
        <v/>
      </c>
      <c r="I209" s="165" t="str">
        <f>IF(G209="","",IFERROR(VLOOKUP(G209,'Product_Stock_Master产品维护'!$A$2:$E992,3,FALSE()),"Item type not found"))</f>
        <v/>
      </c>
      <c r="J209" s="164"/>
      <c r="K209" s="164"/>
      <c r="L209" s="164"/>
      <c r="M209" s="164"/>
      <c r="N209" s="164"/>
      <c r="O209" s="165" t="str">
        <f t="shared" si="1"/>
        <v/>
      </c>
      <c r="P209" s="164"/>
      <c r="Q209" s="165" t="str">
        <f t="shared" si="9"/>
        <v/>
      </c>
      <c r="R209" s="165" t="str">
        <f t="shared" si="3"/>
        <v/>
      </c>
      <c r="S209" s="165" t="str">
        <f t="shared" si="10"/>
        <v/>
      </c>
      <c r="T209" s="165" t="str">
        <f t="shared" si="5"/>
        <v/>
      </c>
      <c r="U209" s="165" t="s">
        <v>1049</v>
      </c>
      <c r="V209" s="53"/>
      <c r="W209" s="52" t="str">
        <f t="shared" si="6"/>
        <v/>
      </c>
      <c r="X209" s="52">
        <f t="shared" si="7"/>
        <v>0</v>
      </c>
      <c r="Y209" s="52">
        <f t="shared" si="8"/>
        <v>0</v>
      </c>
      <c r="Z209" s="52" t="str">
        <f>IF(G209="","",IFERROR(VLOOKUP(G209,'Product_Stock_Master产品维护'!$A$2:$L992,11,FALSE),"No"))</f>
        <v/>
      </c>
      <c r="AA209" s="52" t="str">
        <f>IF(G209="","",IFERROR(VLOOKUP(G209,'Product_Stock_Master产品维护'!$A$2:$L992,12,FALSE),""))</f>
        <v/>
      </c>
      <c r="AB209" s="52" t="str">
        <f t="shared" si="11"/>
        <v/>
      </c>
      <c r="AC209" s="52">
        <f t="shared" si="12"/>
        <v>0</v>
      </c>
    </row>
    <row r="210" ht="15.75" customHeight="1">
      <c r="A210" s="163"/>
      <c r="B210" s="163"/>
      <c r="C210" s="164"/>
      <c r="D210" s="164"/>
      <c r="E210" s="164"/>
      <c r="F210" s="164"/>
      <c r="G210" s="164"/>
      <c r="H210" s="165" t="str">
        <f>IF(G210="","",IFERROR(VLOOKUP(G210,'Product_Stock_Master产品维护'!$A$2:$E992,2,FALSE()),"SKU not found"))</f>
        <v/>
      </c>
      <c r="I210" s="165" t="str">
        <f>IF(G210="","",IFERROR(VLOOKUP(G210,'Product_Stock_Master产品维护'!$A$2:$E992,3,FALSE()),"Item type not found"))</f>
        <v/>
      </c>
      <c r="J210" s="164"/>
      <c r="K210" s="164"/>
      <c r="L210" s="164"/>
      <c r="M210" s="164"/>
      <c r="N210" s="164"/>
      <c r="O210" s="165" t="str">
        <f t="shared" si="1"/>
        <v/>
      </c>
      <c r="P210" s="164"/>
      <c r="Q210" s="165" t="str">
        <f t="shared" si="9"/>
        <v/>
      </c>
      <c r="R210" s="165" t="str">
        <f t="shared" si="3"/>
        <v/>
      </c>
      <c r="S210" s="165" t="str">
        <f t="shared" si="10"/>
        <v/>
      </c>
      <c r="T210" s="165" t="str">
        <f t="shared" si="5"/>
        <v/>
      </c>
      <c r="U210" s="165" t="s">
        <v>1052</v>
      </c>
      <c r="V210" s="53"/>
      <c r="W210" s="52" t="str">
        <f t="shared" si="6"/>
        <v/>
      </c>
      <c r="X210" s="52">
        <f t="shared" si="7"/>
        <v>0</v>
      </c>
      <c r="Y210" s="52">
        <f t="shared" si="8"/>
        <v>0</v>
      </c>
      <c r="Z210" s="52" t="str">
        <f>IF(G210="","",IFERROR(VLOOKUP(G210,'Product_Stock_Master产品维护'!$A$2:$L992,11,FALSE),"No"))</f>
        <v/>
      </c>
      <c r="AA210" s="52" t="str">
        <f>IF(G210="","",IFERROR(VLOOKUP(G210,'Product_Stock_Master产品维护'!$A$2:$L992,12,FALSE),""))</f>
        <v/>
      </c>
      <c r="AB210" s="52" t="str">
        <f t="shared" si="11"/>
        <v/>
      </c>
      <c r="AC210" s="52">
        <f t="shared" si="12"/>
        <v>0</v>
      </c>
    </row>
    <row r="211" ht="15.75" customHeight="1">
      <c r="A211" s="163"/>
      <c r="B211" s="163"/>
      <c r="C211" s="164"/>
      <c r="D211" s="164"/>
      <c r="E211" s="164"/>
      <c r="F211" s="164"/>
      <c r="G211" s="164"/>
      <c r="H211" s="165" t="str">
        <f>IF(G211="","",IFERROR(VLOOKUP(G211,'Product_Stock_Master产品维护'!$A$2:$E992,2,FALSE()),"SKU not found"))</f>
        <v/>
      </c>
      <c r="I211" s="165" t="str">
        <f>IF(G211="","",IFERROR(VLOOKUP(G211,'Product_Stock_Master产品维护'!$A$2:$E992,3,FALSE()),"Item type not found"))</f>
        <v/>
      </c>
      <c r="J211" s="164"/>
      <c r="K211" s="164"/>
      <c r="L211" s="164"/>
      <c r="M211" s="164"/>
      <c r="N211" s="164"/>
      <c r="O211" s="165" t="str">
        <f t="shared" si="1"/>
        <v/>
      </c>
      <c r="P211" s="164"/>
      <c r="Q211" s="165" t="str">
        <f t="shared" si="9"/>
        <v/>
      </c>
      <c r="R211" s="165" t="str">
        <f t="shared" si="3"/>
        <v/>
      </c>
      <c r="S211" s="165" t="str">
        <f t="shared" si="10"/>
        <v/>
      </c>
      <c r="T211" s="165" t="str">
        <f t="shared" si="5"/>
        <v/>
      </c>
      <c r="U211" s="165" t="s">
        <v>1055</v>
      </c>
      <c r="V211" s="53"/>
      <c r="W211" s="52" t="str">
        <f t="shared" si="6"/>
        <v/>
      </c>
      <c r="X211" s="52">
        <f t="shared" si="7"/>
        <v>0</v>
      </c>
      <c r="Y211" s="52">
        <f t="shared" si="8"/>
        <v>0</v>
      </c>
      <c r="Z211" s="52" t="str">
        <f>IF(G211="","",IFERROR(VLOOKUP(G211,'Product_Stock_Master产品维护'!$A$2:$L992,11,FALSE),"No"))</f>
        <v/>
      </c>
      <c r="AA211" s="52" t="str">
        <f>IF(G211="","",IFERROR(VLOOKUP(G211,'Product_Stock_Master产品维护'!$A$2:$L992,12,FALSE),""))</f>
        <v/>
      </c>
      <c r="AB211" s="52" t="str">
        <f t="shared" si="11"/>
        <v/>
      </c>
      <c r="AC211" s="52">
        <f t="shared" si="12"/>
        <v>0</v>
      </c>
    </row>
    <row r="212" ht="15.75" customHeight="1">
      <c r="A212" s="163"/>
      <c r="B212" s="163"/>
      <c r="C212" s="164"/>
      <c r="D212" s="164"/>
      <c r="E212" s="164"/>
      <c r="F212" s="164"/>
      <c r="G212" s="164"/>
      <c r="H212" s="165" t="str">
        <f>IF(G212="","",IFERROR(VLOOKUP(G212,'Product_Stock_Master产品维护'!$A$2:$E992,2,FALSE()),"SKU not found"))</f>
        <v/>
      </c>
      <c r="I212" s="165" t="str">
        <f>IF(G212="","",IFERROR(VLOOKUP(G212,'Product_Stock_Master产品维护'!$A$2:$E992,3,FALSE()),"Item type not found"))</f>
        <v/>
      </c>
      <c r="J212" s="164"/>
      <c r="K212" s="164"/>
      <c r="L212" s="164"/>
      <c r="M212" s="164"/>
      <c r="N212" s="164"/>
      <c r="O212" s="165" t="str">
        <f t="shared" si="1"/>
        <v/>
      </c>
      <c r="P212" s="164"/>
      <c r="Q212" s="165" t="str">
        <f t="shared" si="9"/>
        <v/>
      </c>
      <c r="R212" s="165" t="str">
        <f t="shared" si="3"/>
        <v/>
      </c>
      <c r="S212" s="165" t="str">
        <f t="shared" si="10"/>
        <v/>
      </c>
      <c r="T212" s="165" t="str">
        <f t="shared" si="5"/>
        <v/>
      </c>
      <c r="U212" s="165" t="s">
        <v>1058</v>
      </c>
      <c r="V212" s="53"/>
      <c r="W212" s="52" t="str">
        <f t="shared" si="6"/>
        <v/>
      </c>
      <c r="X212" s="52">
        <f t="shared" si="7"/>
        <v>0</v>
      </c>
      <c r="Y212" s="52">
        <f t="shared" si="8"/>
        <v>0</v>
      </c>
      <c r="Z212" s="52" t="str">
        <f>IF(G212="","",IFERROR(VLOOKUP(G212,'Product_Stock_Master产品维护'!$A$2:$L992,11,FALSE),"No"))</f>
        <v/>
      </c>
      <c r="AA212" s="52" t="str">
        <f>IF(G212="","",IFERROR(VLOOKUP(G212,'Product_Stock_Master产品维护'!$A$2:$L992,12,FALSE),""))</f>
        <v/>
      </c>
      <c r="AB212" s="52" t="str">
        <f t="shared" si="11"/>
        <v/>
      </c>
      <c r="AC212" s="52">
        <f t="shared" si="12"/>
        <v>0</v>
      </c>
    </row>
    <row r="213" ht="15.75" customHeight="1">
      <c r="A213" s="163"/>
      <c r="B213" s="163"/>
      <c r="C213" s="164"/>
      <c r="D213" s="164"/>
      <c r="E213" s="164"/>
      <c r="F213" s="164"/>
      <c r="G213" s="164"/>
      <c r="H213" s="165" t="str">
        <f>IF(G213="","",IFERROR(VLOOKUP(G213,'Product_Stock_Master产品维护'!$A$2:$E992,2,FALSE()),"SKU not found"))</f>
        <v/>
      </c>
      <c r="I213" s="165" t="str">
        <f>IF(G213="","",IFERROR(VLOOKUP(G213,'Product_Stock_Master产品维护'!$A$2:$E992,3,FALSE()),"Item type not found"))</f>
        <v/>
      </c>
      <c r="J213" s="164"/>
      <c r="K213" s="164"/>
      <c r="L213" s="164"/>
      <c r="M213" s="164"/>
      <c r="N213" s="164"/>
      <c r="O213" s="165" t="str">
        <f t="shared" si="1"/>
        <v/>
      </c>
      <c r="P213" s="164"/>
      <c r="Q213" s="165" t="str">
        <f t="shared" si="9"/>
        <v/>
      </c>
      <c r="R213" s="165" t="str">
        <f t="shared" si="3"/>
        <v/>
      </c>
      <c r="S213" s="165" t="str">
        <f t="shared" si="10"/>
        <v/>
      </c>
      <c r="T213" s="165" t="str">
        <f t="shared" si="5"/>
        <v/>
      </c>
      <c r="U213" s="165" t="s">
        <v>1069</v>
      </c>
      <c r="V213" s="53"/>
      <c r="W213" s="52" t="str">
        <f t="shared" si="6"/>
        <v/>
      </c>
      <c r="X213" s="52">
        <f t="shared" si="7"/>
        <v>0</v>
      </c>
      <c r="Y213" s="52">
        <f t="shared" si="8"/>
        <v>0</v>
      </c>
      <c r="Z213" s="52" t="str">
        <f>IF(G213="","",IFERROR(VLOOKUP(G213,'Product_Stock_Master产品维护'!$A$2:$L992,11,FALSE),"No"))</f>
        <v/>
      </c>
      <c r="AA213" s="52" t="str">
        <f>IF(G213="","",IFERROR(VLOOKUP(G213,'Product_Stock_Master产品维护'!$A$2:$L992,12,FALSE),""))</f>
        <v/>
      </c>
      <c r="AB213" s="52" t="str">
        <f t="shared" si="11"/>
        <v/>
      </c>
      <c r="AC213" s="52">
        <f t="shared" si="12"/>
        <v>0</v>
      </c>
    </row>
    <row r="214" ht="15.75" customHeight="1">
      <c r="A214" s="163"/>
      <c r="B214" s="163"/>
      <c r="C214" s="164"/>
      <c r="D214" s="164"/>
      <c r="E214" s="164"/>
      <c r="F214" s="164"/>
      <c r="G214" s="164"/>
      <c r="H214" s="165" t="str">
        <f>IF(G214="","",IFERROR(VLOOKUP(G214,'Product_Stock_Master产品维护'!$A$2:$E992,2,FALSE()),"SKU not found"))</f>
        <v/>
      </c>
      <c r="I214" s="165" t="str">
        <f>IF(G214="","",IFERROR(VLOOKUP(G214,'Product_Stock_Master产品维护'!$A$2:$E992,3,FALSE()),"Item type not found"))</f>
        <v/>
      </c>
      <c r="J214" s="164"/>
      <c r="K214" s="164"/>
      <c r="L214" s="164"/>
      <c r="M214" s="164"/>
      <c r="N214" s="164"/>
      <c r="O214" s="165" t="str">
        <f t="shared" si="1"/>
        <v/>
      </c>
      <c r="P214" s="164"/>
      <c r="Q214" s="165" t="str">
        <f t="shared" si="9"/>
        <v/>
      </c>
      <c r="R214" s="165" t="str">
        <f t="shared" si="3"/>
        <v/>
      </c>
      <c r="S214" s="165" t="str">
        <f t="shared" si="10"/>
        <v/>
      </c>
      <c r="T214" s="165" t="str">
        <f t="shared" si="5"/>
        <v/>
      </c>
      <c r="U214" s="165" t="s">
        <v>1073</v>
      </c>
      <c r="V214" s="53"/>
      <c r="W214" s="52" t="str">
        <f t="shared" si="6"/>
        <v/>
      </c>
      <c r="X214" s="52">
        <f t="shared" si="7"/>
        <v>0</v>
      </c>
      <c r="Y214" s="52">
        <f t="shared" si="8"/>
        <v>0</v>
      </c>
      <c r="Z214" s="52" t="str">
        <f>IF(G214="","",IFERROR(VLOOKUP(G214,'Product_Stock_Master产品维护'!$A$2:$L992,11,FALSE),"No"))</f>
        <v/>
      </c>
      <c r="AA214" s="52" t="str">
        <f>IF(G214="","",IFERROR(VLOOKUP(G214,'Product_Stock_Master产品维护'!$A$2:$L992,12,FALSE),""))</f>
        <v/>
      </c>
      <c r="AB214" s="52" t="str">
        <f t="shared" si="11"/>
        <v/>
      </c>
      <c r="AC214" s="52">
        <f t="shared" si="12"/>
        <v>0</v>
      </c>
    </row>
    <row r="215" ht="15.75" customHeight="1">
      <c r="A215" s="163"/>
      <c r="B215" s="163"/>
      <c r="C215" s="164"/>
      <c r="D215" s="164"/>
      <c r="E215" s="164"/>
      <c r="F215" s="164"/>
      <c r="G215" s="164"/>
      <c r="H215" s="165" t="str">
        <f>IF(G215="","",IFERROR(VLOOKUP(G215,'Product_Stock_Master产品维护'!$A$2:$E992,2,FALSE()),"SKU not found"))</f>
        <v/>
      </c>
      <c r="I215" s="165" t="str">
        <f>IF(G215="","",IFERROR(VLOOKUP(G215,'Product_Stock_Master产品维护'!$A$2:$E992,3,FALSE()),"Item type not found"))</f>
        <v/>
      </c>
      <c r="J215" s="164"/>
      <c r="K215" s="164"/>
      <c r="L215" s="164"/>
      <c r="M215" s="164"/>
      <c r="N215" s="164"/>
      <c r="O215" s="165" t="str">
        <f t="shared" si="1"/>
        <v/>
      </c>
      <c r="P215" s="164"/>
      <c r="Q215" s="165" t="str">
        <f t="shared" si="9"/>
        <v/>
      </c>
      <c r="R215" s="165" t="str">
        <f t="shared" si="3"/>
        <v/>
      </c>
      <c r="S215" s="165" t="str">
        <f t="shared" si="10"/>
        <v/>
      </c>
      <c r="T215" s="165" t="str">
        <f t="shared" si="5"/>
        <v/>
      </c>
      <c r="U215" s="165" t="s">
        <v>1079</v>
      </c>
      <c r="V215" s="53"/>
      <c r="W215" s="52" t="str">
        <f t="shared" si="6"/>
        <v/>
      </c>
      <c r="X215" s="52">
        <f t="shared" si="7"/>
        <v>0</v>
      </c>
      <c r="Y215" s="52">
        <f t="shared" si="8"/>
        <v>0</v>
      </c>
      <c r="Z215" s="52" t="str">
        <f>IF(G215="","",IFERROR(VLOOKUP(G215,'Product_Stock_Master产品维护'!$A$2:$L992,11,FALSE),"No"))</f>
        <v/>
      </c>
      <c r="AA215" s="52" t="str">
        <f>IF(G215="","",IFERROR(VLOOKUP(G215,'Product_Stock_Master产品维护'!$A$2:$L992,12,FALSE),""))</f>
        <v/>
      </c>
      <c r="AB215" s="52" t="str">
        <f t="shared" si="11"/>
        <v/>
      </c>
      <c r="AC215" s="52">
        <f t="shared" si="12"/>
        <v>0</v>
      </c>
    </row>
    <row r="216" ht="15.75" customHeight="1">
      <c r="A216" s="163"/>
      <c r="B216" s="163"/>
      <c r="C216" s="164"/>
      <c r="D216" s="164"/>
      <c r="E216" s="164"/>
      <c r="F216" s="164"/>
      <c r="G216" s="164"/>
      <c r="H216" s="165" t="str">
        <f>IF(G216="","",IFERROR(VLOOKUP(G216,'Product_Stock_Master产品维护'!$A$2:$E992,2,FALSE()),"SKU not found"))</f>
        <v/>
      </c>
      <c r="I216" s="165" t="str">
        <f>IF(G216="","",IFERROR(VLOOKUP(G216,'Product_Stock_Master产品维护'!$A$2:$E992,3,FALSE()),"Item type not found"))</f>
        <v/>
      </c>
      <c r="J216" s="164"/>
      <c r="K216" s="164"/>
      <c r="L216" s="164"/>
      <c r="M216" s="164"/>
      <c r="N216" s="164"/>
      <c r="O216" s="165" t="str">
        <f t="shared" si="1"/>
        <v/>
      </c>
      <c r="P216" s="164"/>
      <c r="Q216" s="165" t="str">
        <f t="shared" si="9"/>
        <v/>
      </c>
      <c r="R216" s="165" t="str">
        <f t="shared" si="3"/>
        <v/>
      </c>
      <c r="S216" s="165" t="str">
        <f t="shared" si="10"/>
        <v/>
      </c>
      <c r="T216" s="165" t="str">
        <f t="shared" si="5"/>
        <v/>
      </c>
      <c r="U216" s="165" t="s">
        <v>1083</v>
      </c>
      <c r="V216" s="53"/>
      <c r="W216" s="52" t="str">
        <f t="shared" si="6"/>
        <v/>
      </c>
      <c r="X216" s="52">
        <f t="shared" si="7"/>
        <v>0</v>
      </c>
      <c r="Y216" s="52">
        <f t="shared" si="8"/>
        <v>0</v>
      </c>
      <c r="Z216" s="52" t="str">
        <f>IF(G216="","",IFERROR(VLOOKUP(G216,'Product_Stock_Master产品维护'!$A$2:$L992,11,FALSE),"No"))</f>
        <v/>
      </c>
      <c r="AA216" s="52" t="str">
        <f>IF(G216="","",IFERROR(VLOOKUP(G216,'Product_Stock_Master产品维护'!$A$2:$L992,12,FALSE),""))</f>
        <v/>
      </c>
      <c r="AB216" s="52" t="str">
        <f t="shared" si="11"/>
        <v/>
      </c>
      <c r="AC216" s="52">
        <f t="shared" si="12"/>
        <v>0</v>
      </c>
    </row>
    <row r="217" ht="15.75" customHeight="1">
      <c r="A217" s="163"/>
      <c r="B217" s="163"/>
      <c r="C217" s="164"/>
      <c r="D217" s="164"/>
      <c r="E217" s="164"/>
      <c r="F217" s="164"/>
      <c r="G217" s="164"/>
      <c r="H217" s="165" t="str">
        <f>IF(G217="","",IFERROR(VLOOKUP(G217,'Product_Stock_Master产品维护'!$A$2:$E992,2,FALSE()),"SKU not found"))</f>
        <v/>
      </c>
      <c r="I217" s="165" t="str">
        <f>IF(G217="","",IFERROR(VLOOKUP(G217,'Product_Stock_Master产品维护'!$A$2:$E992,3,FALSE()),"Item type not found"))</f>
        <v/>
      </c>
      <c r="J217" s="164"/>
      <c r="K217" s="164"/>
      <c r="L217" s="164"/>
      <c r="M217" s="164"/>
      <c r="N217" s="164"/>
      <c r="O217" s="165" t="str">
        <f t="shared" si="1"/>
        <v/>
      </c>
      <c r="P217" s="164"/>
      <c r="Q217" s="165" t="str">
        <f t="shared" si="9"/>
        <v/>
      </c>
      <c r="R217" s="165" t="str">
        <f t="shared" si="3"/>
        <v/>
      </c>
      <c r="S217" s="165" t="str">
        <f t="shared" si="10"/>
        <v/>
      </c>
      <c r="T217" s="165" t="str">
        <f t="shared" si="5"/>
        <v/>
      </c>
      <c r="U217" s="165" t="s">
        <v>1087</v>
      </c>
      <c r="V217" s="53"/>
      <c r="W217" s="52" t="str">
        <f t="shared" si="6"/>
        <v/>
      </c>
      <c r="X217" s="52">
        <f t="shared" si="7"/>
        <v>0</v>
      </c>
      <c r="Y217" s="52">
        <f t="shared" si="8"/>
        <v>0</v>
      </c>
      <c r="Z217" s="52" t="str">
        <f>IF(G217="","",IFERROR(VLOOKUP(G217,'Product_Stock_Master产品维护'!$A$2:$L992,11,FALSE),"No"))</f>
        <v/>
      </c>
      <c r="AA217" s="52" t="str">
        <f>IF(G217="","",IFERROR(VLOOKUP(G217,'Product_Stock_Master产品维护'!$A$2:$L992,12,FALSE),""))</f>
        <v/>
      </c>
      <c r="AB217" s="52" t="str">
        <f t="shared" si="11"/>
        <v/>
      </c>
      <c r="AC217" s="52">
        <f t="shared" si="12"/>
        <v>0</v>
      </c>
    </row>
    <row r="218" ht="15.75" customHeight="1">
      <c r="A218" s="163"/>
      <c r="B218" s="163"/>
      <c r="C218" s="164"/>
      <c r="D218" s="164"/>
      <c r="E218" s="164"/>
      <c r="F218" s="164"/>
      <c r="G218" s="164"/>
      <c r="H218" s="165" t="str">
        <f>IF(G218="","",IFERROR(VLOOKUP(G218,'Product_Stock_Master产品维护'!$A$2:$E992,2,FALSE()),"SKU not found"))</f>
        <v/>
      </c>
      <c r="I218" s="165" t="str">
        <f>IF(G218="","",IFERROR(VLOOKUP(G218,'Product_Stock_Master产品维护'!$A$2:$E992,3,FALSE()),"Item type not found"))</f>
        <v/>
      </c>
      <c r="J218" s="164"/>
      <c r="K218" s="164"/>
      <c r="L218" s="164"/>
      <c r="M218" s="164"/>
      <c r="N218" s="164"/>
      <c r="O218" s="165" t="str">
        <f t="shared" si="1"/>
        <v/>
      </c>
      <c r="P218" s="164"/>
      <c r="Q218" s="165" t="str">
        <f t="shared" si="9"/>
        <v/>
      </c>
      <c r="R218" s="165" t="str">
        <f t="shared" si="3"/>
        <v/>
      </c>
      <c r="S218" s="165" t="str">
        <f t="shared" si="10"/>
        <v/>
      </c>
      <c r="T218" s="165" t="str">
        <f t="shared" si="5"/>
        <v/>
      </c>
      <c r="U218" s="165" t="s">
        <v>1090</v>
      </c>
      <c r="V218" s="53"/>
      <c r="W218" s="52" t="str">
        <f t="shared" si="6"/>
        <v/>
      </c>
      <c r="X218" s="52">
        <f t="shared" si="7"/>
        <v>0</v>
      </c>
      <c r="Y218" s="52">
        <f t="shared" si="8"/>
        <v>0</v>
      </c>
      <c r="Z218" s="52" t="str">
        <f>IF(G218="","",IFERROR(VLOOKUP(G218,'Product_Stock_Master产品维护'!$A$2:$L992,11,FALSE),"No"))</f>
        <v/>
      </c>
      <c r="AA218" s="52" t="str">
        <f>IF(G218="","",IFERROR(VLOOKUP(G218,'Product_Stock_Master产品维护'!$A$2:$L992,12,FALSE),""))</f>
        <v/>
      </c>
      <c r="AB218" s="52" t="str">
        <f t="shared" si="11"/>
        <v/>
      </c>
      <c r="AC218" s="52">
        <f t="shared" si="12"/>
        <v>0</v>
      </c>
    </row>
    <row r="219" ht="15.75" customHeight="1">
      <c r="A219" s="163"/>
      <c r="B219" s="163"/>
      <c r="C219" s="164"/>
      <c r="D219" s="164"/>
      <c r="E219" s="164"/>
      <c r="F219" s="164"/>
      <c r="G219" s="164"/>
      <c r="H219" s="165" t="str">
        <f>IF(G219="","",IFERROR(VLOOKUP(G219,'Product_Stock_Master产品维护'!$A$2:$E992,2,FALSE()),"SKU not found"))</f>
        <v/>
      </c>
      <c r="I219" s="165" t="str">
        <f>IF(G219="","",IFERROR(VLOOKUP(G219,'Product_Stock_Master产品维护'!$A$2:$E992,3,FALSE()),"Item type not found"))</f>
        <v/>
      </c>
      <c r="J219" s="164"/>
      <c r="K219" s="164"/>
      <c r="L219" s="164"/>
      <c r="M219" s="164"/>
      <c r="N219" s="164"/>
      <c r="O219" s="165" t="str">
        <f t="shared" si="1"/>
        <v/>
      </c>
      <c r="P219" s="164"/>
      <c r="Q219" s="165" t="str">
        <f t="shared" si="9"/>
        <v/>
      </c>
      <c r="R219" s="165" t="str">
        <f t="shared" si="3"/>
        <v/>
      </c>
      <c r="S219" s="165" t="str">
        <f t="shared" si="10"/>
        <v/>
      </c>
      <c r="T219" s="165" t="str">
        <f t="shared" si="5"/>
        <v/>
      </c>
      <c r="U219" s="165" t="s">
        <v>1093</v>
      </c>
      <c r="V219" s="53"/>
      <c r="W219" s="52" t="str">
        <f t="shared" si="6"/>
        <v/>
      </c>
      <c r="X219" s="52">
        <f t="shared" si="7"/>
        <v>0</v>
      </c>
      <c r="Y219" s="52">
        <f t="shared" si="8"/>
        <v>0</v>
      </c>
      <c r="Z219" s="52" t="str">
        <f>IF(G219="","",IFERROR(VLOOKUP(G219,'Product_Stock_Master产品维护'!$A$2:$L992,11,FALSE),"No"))</f>
        <v/>
      </c>
      <c r="AA219" s="52" t="str">
        <f>IF(G219="","",IFERROR(VLOOKUP(G219,'Product_Stock_Master产品维护'!$A$2:$L992,12,FALSE),""))</f>
        <v/>
      </c>
      <c r="AB219" s="52" t="str">
        <f t="shared" si="11"/>
        <v/>
      </c>
      <c r="AC219" s="52">
        <f t="shared" si="12"/>
        <v>0</v>
      </c>
    </row>
    <row r="220" ht="15.75" customHeight="1">
      <c r="A220" s="163"/>
      <c r="B220" s="163"/>
      <c r="C220" s="164"/>
      <c r="D220" s="164"/>
      <c r="E220" s="164"/>
      <c r="F220" s="164"/>
      <c r="G220" s="164"/>
      <c r="H220" s="165" t="str">
        <f>IF(G220="","",IFERROR(VLOOKUP(G220,'Product_Stock_Master产品维护'!$A$2:$E992,2,FALSE()),"SKU not found"))</f>
        <v/>
      </c>
      <c r="I220" s="165" t="str">
        <f>IF(G220="","",IFERROR(VLOOKUP(G220,'Product_Stock_Master产品维护'!$A$2:$E992,3,FALSE()),"Item type not found"))</f>
        <v/>
      </c>
      <c r="J220" s="164"/>
      <c r="K220" s="164"/>
      <c r="L220" s="164"/>
      <c r="M220" s="164"/>
      <c r="N220" s="164"/>
      <c r="O220" s="165" t="str">
        <f t="shared" si="1"/>
        <v/>
      </c>
      <c r="P220" s="164"/>
      <c r="Q220" s="165" t="str">
        <f t="shared" si="9"/>
        <v/>
      </c>
      <c r="R220" s="165" t="str">
        <f t="shared" si="3"/>
        <v/>
      </c>
      <c r="S220" s="165" t="str">
        <f t="shared" si="10"/>
        <v/>
      </c>
      <c r="T220" s="165" t="str">
        <f t="shared" si="5"/>
        <v/>
      </c>
      <c r="U220" s="165" t="s">
        <v>1097</v>
      </c>
      <c r="V220" s="53"/>
      <c r="W220" s="52" t="str">
        <f t="shared" si="6"/>
        <v/>
      </c>
      <c r="X220" s="52">
        <f t="shared" si="7"/>
        <v>0</v>
      </c>
      <c r="Y220" s="52">
        <f t="shared" si="8"/>
        <v>0</v>
      </c>
      <c r="Z220" s="52" t="str">
        <f>IF(G220="","",IFERROR(VLOOKUP(G220,'Product_Stock_Master产品维护'!$A$2:$L992,11,FALSE),"No"))</f>
        <v/>
      </c>
      <c r="AA220" s="52" t="str">
        <f>IF(G220="","",IFERROR(VLOOKUP(G220,'Product_Stock_Master产品维护'!$A$2:$L992,12,FALSE),""))</f>
        <v/>
      </c>
      <c r="AB220" s="52" t="str">
        <f t="shared" si="11"/>
        <v/>
      </c>
      <c r="AC220" s="52">
        <f t="shared" si="12"/>
        <v>0</v>
      </c>
    </row>
    <row r="221" ht="15.75" customHeight="1">
      <c r="A221" s="163"/>
      <c r="B221" s="163"/>
      <c r="C221" s="164"/>
      <c r="D221" s="164"/>
      <c r="E221" s="164"/>
      <c r="F221" s="164"/>
      <c r="G221" s="164"/>
      <c r="H221" s="165" t="str">
        <f>IF(G221="","",IFERROR(VLOOKUP(G221,'Product_Stock_Master产品维护'!$A$2:$E992,2,FALSE()),"SKU not found"))</f>
        <v/>
      </c>
      <c r="I221" s="165" t="str">
        <f>IF(G221="","",IFERROR(VLOOKUP(G221,'Product_Stock_Master产品维护'!$A$2:$E992,3,FALSE()),"Item type not found"))</f>
        <v/>
      </c>
      <c r="J221" s="164"/>
      <c r="K221" s="164"/>
      <c r="L221" s="164"/>
      <c r="M221" s="164"/>
      <c r="N221" s="164"/>
      <c r="O221" s="165" t="str">
        <f t="shared" si="1"/>
        <v/>
      </c>
      <c r="P221" s="164"/>
      <c r="Q221" s="165" t="str">
        <f t="shared" si="9"/>
        <v/>
      </c>
      <c r="R221" s="165" t="str">
        <f t="shared" si="3"/>
        <v/>
      </c>
      <c r="S221" s="165" t="str">
        <f t="shared" si="10"/>
        <v/>
      </c>
      <c r="T221" s="165" t="str">
        <f t="shared" si="5"/>
        <v/>
      </c>
      <c r="U221" s="165" t="s">
        <v>1099</v>
      </c>
      <c r="V221" s="53"/>
      <c r="W221" s="52" t="str">
        <f t="shared" si="6"/>
        <v/>
      </c>
      <c r="X221" s="52">
        <f t="shared" si="7"/>
        <v>0</v>
      </c>
      <c r="Y221" s="52">
        <f t="shared" si="8"/>
        <v>0</v>
      </c>
      <c r="Z221" s="52" t="str">
        <f>IF(G221="","",IFERROR(VLOOKUP(G221,'Product_Stock_Master产品维护'!$A$2:$L992,11,FALSE),"No"))</f>
        <v/>
      </c>
      <c r="AA221" s="52" t="str">
        <f>IF(G221="","",IFERROR(VLOOKUP(G221,'Product_Stock_Master产品维护'!$A$2:$L992,12,FALSE),""))</f>
        <v/>
      </c>
      <c r="AB221" s="52" t="str">
        <f t="shared" si="11"/>
        <v/>
      </c>
      <c r="AC221" s="52">
        <f t="shared" si="12"/>
        <v>0</v>
      </c>
    </row>
    <row r="222" ht="15.75" customHeight="1">
      <c r="A222" s="163"/>
      <c r="B222" s="163"/>
      <c r="C222" s="164"/>
      <c r="D222" s="164"/>
      <c r="E222" s="164"/>
      <c r="F222" s="164"/>
      <c r="G222" s="164"/>
      <c r="H222" s="165" t="str">
        <f>IF(G222="","",IFERROR(VLOOKUP(G222,'Product_Stock_Master产品维护'!$A$2:$E992,2,FALSE()),"SKU not found"))</f>
        <v/>
      </c>
      <c r="I222" s="165" t="str">
        <f>IF(G222="","",IFERROR(VLOOKUP(G222,'Product_Stock_Master产品维护'!$A$2:$E992,3,FALSE()),"Item type not found"))</f>
        <v/>
      </c>
      <c r="J222" s="164"/>
      <c r="K222" s="164"/>
      <c r="L222" s="164"/>
      <c r="M222" s="164"/>
      <c r="N222" s="164"/>
      <c r="O222" s="165" t="str">
        <f t="shared" si="1"/>
        <v/>
      </c>
      <c r="P222" s="164"/>
      <c r="Q222" s="165" t="str">
        <f t="shared" si="9"/>
        <v/>
      </c>
      <c r="R222" s="165" t="str">
        <f t="shared" si="3"/>
        <v/>
      </c>
      <c r="S222" s="165" t="str">
        <f t="shared" si="10"/>
        <v/>
      </c>
      <c r="T222" s="165" t="str">
        <f t="shared" si="5"/>
        <v/>
      </c>
      <c r="U222" s="165" t="s">
        <v>1101</v>
      </c>
      <c r="V222" s="53"/>
      <c r="W222" s="52" t="str">
        <f t="shared" si="6"/>
        <v/>
      </c>
      <c r="X222" s="52">
        <f t="shared" si="7"/>
        <v>0</v>
      </c>
      <c r="Y222" s="52">
        <f t="shared" si="8"/>
        <v>0</v>
      </c>
      <c r="Z222" s="52" t="str">
        <f>IF(G222="","",IFERROR(VLOOKUP(G222,'Product_Stock_Master产品维护'!$A$2:$L992,11,FALSE),"No"))</f>
        <v/>
      </c>
      <c r="AA222" s="52" t="str">
        <f>IF(G222="","",IFERROR(VLOOKUP(G222,'Product_Stock_Master产品维护'!$A$2:$L992,12,FALSE),""))</f>
        <v/>
      </c>
      <c r="AB222" s="52" t="str">
        <f t="shared" si="11"/>
        <v/>
      </c>
      <c r="AC222" s="52">
        <f t="shared" si="12"/>
        <v>0</v>
      </c>
    </row>
    <row r="223" ht="15.75" customHeight="1">
      <c r="A223" s="163"/>
      <c r="B223" s="163"/>
      <c r="C223" s="164"/>
      <c r="D223" s="164"/>
      <c r="E223" s="164"/>
      <c r="F223" s="164"/>
      <c r="G223" s="164"/>
      <c r="H223" s="165" t="str">
        <f>IF(G223="","",IFERROR(VLOOKUP(G223,'Product_Stock_Master产品维护'!$A$2:$E992,2,FALSE()),"SKU not found"))</f>
        <v/>
      </c>
      <c r="I223" s="165" t="str">
        <f>IF(G223="","",IFERROR(VLOOKUP(G223,'Product_Stock_Master产品维护'!$A$2:$E992,3,FALSE()),"Item type not found"))</f>
        <v/>
      </c>
      <c r="J223" s="164"/>
      <c r="K223" s="164"/>
      <c r="L223" s="164"/>
      <c r="M223" s="164"/>
      <c r="N223" s="164"/>
      <c r="O223" s="165" t="str">
        <f t="shared" si="1"/>
        <v/>
      </c>
      <c r="P223" s="164"/>
      <c r="Q223" s="165" t="str">
        <f t="shared" si="9"/>
        <v/>
      </c>
      <c r="R223" s="165" t="str">
        <f t="shared" si="3"/>
        <v/>
      </c>
      <c r="S223" s="165" t="str">
        <f t="shared" si="10"/>
        <v/>
      </c>
      <c r="T223" s="165" t="str">
        <f t="shared" si="5"/>
        <v/>
      </c>
      <c r="U223" s="165" t="s">
        <v>1102</v>
      </c>
      <c r="V223" s="53"/>
      <c r="W223" s="52" t="str">
        <f t="shared" si="6"/>
        <v/>
      </c>
      <c r="X223" s="52">
        <f t="shared" si="7"/>
        <v>0</v>
      </c>
      <c r="Y223" s="52">
        <f t="shared" si="8"/>
        <v>0</v>
      </c>
      <c r="Z223" s="52" t="str">
        <f>IF(G223="","",IFERROR(VLOOKUP(G223,'Product_Stock_Master产品维护'!$A$2:$L992,11,FALSE),"No"))</f>
        <v/>
      </c>
      <c r="AA223" s="52" t="str">
        <f>IF(G223="","",IFERROR(VLOOKUP(G223,'Product_Stock_Master产品维护'!$A$2:$L992,12,FALSE),""))</f>
        <v/>
      </c>
      <c r="AB223" s="52" t="str">
        <f t="shared" si="11"/>
        <v/>
      </c>
      <c r="AC223" s="52">
        <f t="shared" si="12"/>
        <v>0</v>
      </c>
    </row>
    <row r="224" ht="15.75" customHeight="1">
      <c r="A224" s="163"/>
      <c r="B224" s="163"/>
      <c r="C224" s="164"/>
      <c r="D224" s="164"/>
      <c r="E224" s="164"/>
      <c r="F224" s="164"/>
      <c r="G224" s="164"/>
      <c r="H224" s="165" t="str">
        <f>IF(G224="","",IFERROR(VLOOKUP(G224,'Product_Stock_Master产品维护'!$A$2:$E992,2,FALSE()),"SKU not found"))</f>
        <v/>
      </c>
      <c r="I224" s="165" t="str">
        <f>IF(G224="","",IFERROR(VLOOKUP(G224,'Product_Stock_Master产品维护'!$A$2:$E992,3,FALSE()),"Item type not found"))</f>
        <v/>
      </c>
      <c r="J224" s="164"/>
      <c r="K224" s="164"/>
      <c r="L224" s="164"/>
      <c r="M224" s="164"/>
      <c r="N224" s="164"/>
      <c r="O224" s="165" t="str">
        <f t="shared" si="1"/>
        <v/>
      </c>
      <c r="P224" s="164"/>
      <c r="Q224" s="165" t="str">
        <f t="shared" si="9"/>
        <v/>
      </c>
      <c r="R224" s="165" t="str">
        <f t="shared" si="3"/>
        <v/>
      </c>
      <c r="S224" s="165" t="str">
        <f t="shared" si="10"/>
        <v/>
      </c>
      <c r="T224" s="165" t="str">
        <f t="shared" si="5"/>
        <v/>
      </c>
      <c r="U224" s="165" t="s">
        <v>1103</v>
      </c>
      <c r="V224" s="53"/>
      <c r="W224" s="52" t="str">
        <f t="shared" si="6"/>
        <v/>
      </c>
      <c r="X224" s="52">
        <f t="shared" si="7"/>
        <v>0</v>
      </c>
      <c r="Y224" s="52">
        <f t="shared" si="8"/>
        <v>0</v>
      </c>
      <c r="Z224" s="52" t="str">
        <f>IF(G224="","",IFERROR(VLOOKUP(G224,'Product_Stock_Master产品维护'!$A$2:$L992,11,FALSE),"No"))</f>
        <v/>
      </c>
      <c r="AA224" s="52" t="str">
        <f>IF(G224="","",IFERROR(VLOOKUP(G224,'Product_Stock_Master产品维护'!$A$2:$L992,12,FALSE),""))</f>
        <v/>
      </c>
      <c r="AB224" s="52" t="str">
        <f t="shared" si="11"/>
        <v/>
      </c>
      <c r="AC224" s="52">
        <f t="shared" si="12"/>
        <v>0</v>
      </c>
    </row>
    <row r="225" ht="15.75" customHeight="1">
      <c r="A225" s="163"/>
      <c r="B225" s="163"/>
      <c r="C225" s="164"/>
      <c r="D225" s="164"/>
      <c r="E225" s="164"/>
      <c r="F225" s="164"/>
      <c r="G225" s="164"/>
      <c r="H225" s="165" t="str">
        <f>IF(G225="","",IFERROR(VLOOKUP(G225,'Product_Stock_Master产品维护'!$A$2:$E992,2,FALSE()),"SKU not found"))</f>
        <v/>
      </c>
      <c r="I225" s="165" t="str">
        <f>IF(G225="","",IFERROR(VLOOKUP(G225,'Product_Stock_Master产品维护'!$A$2:$E992,3,FALSE()),"Item type not found"))</f>
        <v/>
      </c>
      <c r="J225" s="164"/>
      <c r="K225" s="164"/>
      <c r="L225" s="164"/>
      <c r="M225" s="164"/>
      <c r="N225" s="164"/>
      <c r="O225" s="165" t="str">
        <f t="shared" si="1"/>
        <v/>
      </c>
      <c r="P225" s="164"/>
      <c r="Q225" s="165" t="str">
        <f t="shared" si="9"/>
        <v/>
      </c>
      <c r="R225" s="165" t="str">
        <f t="shared" si="3"/>
        <v/>
      </c>
      <c r="S225" s="165" t="str">
        <f t="shared" si="10"/>
        <v/>
      </c>
      <c r="T225" s="165" t="str">
        <f t="shared" si="5"/>
        <v/>
      </c>
      <c r="U225" s="165" t="s">
        <v>1104</v>
      </c>
      <c r="V225" s="53"/>
      <c r="W225" s="52" t="str">
        <f t="shared" si="6"/>
        <v/>
      </c>
      <c r="X225" s="52">
        <f t="shared" si="7"/>
        <v>0</v>
      </c>
      <c r="Y225" s="52">
        <f t="shared" si="8"/>
        <v>0</v>
      </c>
      <c r="Z225" s="52" t="str">
        <f>IF(G225="","",IFERROR(VLOOKUP(G225,'Product_Stock_Master产品维护'!$A$2:$L992,11,FALSE),"No"))</f>
        <v/>
      </c>
      <c r="AA225" s="52" t="str">
        <f>IF(G225="","",IFERROR(VLOOKUP(G225,'Product_Stock_Master产品维护'!$A$2:$L992,12,FALSE),""))</f>
        <v/>
      </c>
      <c r="AB225" s="52" t="str">
        <f t="shared" si="11"/>
        <v/>
      </c>
      <c r="AC225" s="52">
        <f t="shared" si="12"/>
        <v>0</v>
      </c>
    </row>
    <row r="226" ht="15.75" customHeight="1">
      <c r="A226" s="163"/>
      <c r="B226" s="163"/>
      <c r="C226" s="164"/>
      <c r="D226" s="164"/>
      <c r="E226" s="164"/>
      <c r="F226" s="164"/>
      <c r="G226" s="164"/>
      <c r="H226" s="165" t="str">
        <f>IF(G226="","",IFERROR(VLOOKUP(G226,'Product_Stock_Master产品维护'!$A$2:$E992,2,FALSE()),"SKU not found"))</f>
        <v/>
      </c>
      <c r="I226" s="165" t="str">
        <f>IF(G226="","",IFERROR(VLOOKUP(G226,'Product_Stock_Master产品维护'!$A$2:$E992,3,FALSE()),"Item type not found"))</f>
        <v/>
      </c>
      <c r="J226" s="164"/>
      <c r="K226" s="164"/>
      <c r="L226" s="164"/>
      <c r="M226" s="164"/>
      <c r="N226" s="164"/>
      <c r="O226" s="165" t="str">
        <f t="shared" si="1"/>
        <v/>
      </c>
      <c r="P226" s="164"/>
      <c r="Q226" s="165" t="str">
        <f t="shared" si="9"/>
        <v/>
      </c>
      <c r="R226" s="165" t="str">
        <f t="shared" si="3"/>
        <v/>
      </c>
      <c r="S226" s="165" t="str">
        <f t="shared" si="10"/>
        <v/>
      </c>
      <c r="T226" s="165" t="str">
        <f t="shared" si="5"/>
        <v/>
      </c>
      <c r="U226" s="165" t="s">
        <v>1105</v>
      </c>
      <c r="V226" s="53"/>
      <c r="W226" s="52" t="str">
        <f t="shared" si="6"/>
        <v/>
      </c>
      <c r="X226" s="52">
        <f t="shared" si="7"/>
        <v>0</v>
      </c>
      <c r="Y226" s="52">
        <f t="shared" si="8"/>
        <v>0</v>
      </c>
      <c r="Z226" s="52" t="str">
        <f>IF(G226="","",IFERROR(VLOOKUP(G226,'Product_Stock_Master产品维护'!$A$2:$L992,11,FALSE),"No"))</f>
        <v/>
      </c>
      <c r="AA226" s="52" t="str">
        <f>IF(G226="","",IFERROR(VLOOKUP(G226,'Product_Stock_Master产品维护'!$A$2:$L992,12,FALSE),""))</f>
        <v/>
      </c>
      <c r="AB226" s="52" t="str">
        <f t="shared" si="11"/>
        <v/>
      </c>
      <c r="AC226" s="52">
        <f t="shared" si="12"/>
        <v>0</v>
      </c>
    </row>
    <row r="227" ht="15.75" customHeight="1">
      <c r="A227" s="163"/>
      <c r="B227" s="163"/>
      <c r="C227" s="164"/>
      <c r="D227" s="164"/>
      <c r="E227" s="164"/>
      <c r="F227" s="164"/>
      <c r="G227" s="164"/>
      <c r="H227" s="165" t="str">
        <f>IF(G227="","",IFERROR(VLOOKUP(G227,'Product_Stock_Master产品维护'!$A$2:$E992,2,FALSE()),"SKU not found"))</f>
        <v/>
      </c>
      <c r="I227" s="165" t="str">
        <f>IF(G227="","",IFERROR(VLOOKUP(G227,'Product_Stock_Master产品维护'!$A$2:$E992,3,FALSE()),"Item type not found"))</f>
        <v/>
      </c>
      <c r="J227" s="164"/>
      <c r="K227" s="164"/>
      <c r="L227" s="164"/>
      <c r="M227" s="164"/>
      <c r="N227" s="164"/>
      <c r="O227" s="165" t="str">
        <f t="shared" si="1"/>
        <v/>
      </c>
      <c r="P227" s="164"/>
      <c r="Q227" s="165" t="str">
        <f t="shared" si="9"/>
        <v/>
      </c>
      <c r="R227" s="165" t="str">
        <f t="shared" si="3"/>
        <v/>
      </c>
      <c r="S227" s="165" t="str">
        <f t="shared" si="10"/>
        <v/>
      </c>
      <c r="T227" s="165" t="str">
        <f t="shared" si="5"/>
        <v/>
      </c>
      <c r="U227" s="165" t="s">
        <v>1106</v>
      </c>
      <c r="V227" s="53"/>
      <c r="W227" s="52" t="str">
        <f t="shared" si="6"/>
        <v/>
      </c>
      <c r="X227" s="52">
        <f t="shared" si="7"/>
        <v>0</v>
      </c>
      <c r="Y227" s="52">
        <f t="shared" si="8"/>
        <v>0</v>
      </c>
      <c r="Z227" s="52" t="str">
        <f>IF(G227="","",IFERROR(VLOOKUP(G227,'Product_Stock_Master产品维护'!$A$2:$L992,11,FALSE),"No"))</f>
        <v/>
      </c>
      <c r="AA227" s="52" t="str">
        <f>IF(G227="","",IFERROR(VLOOKUP(G227,'Product_Stock_Master产品维护'!$A$2:$L992,12,FALSE),""))</f>
        <v/>
      </c>
      <c r="AB227" s="52" t="str">
        <f t="shared" si="11"/>
        <v/>
      </c>
      <c r="AC227" s="52">
        <f t="shared" si="12"/>
        <v>0</v>
      </c>
    </row>
    <row r="228" ht="15.75" customHeight="1">
      <c r="A228" s="163"/>
      <c r="B228" s="163"/>
      <c r="C228" s="164"/>
      <c r="D228" s="164"/>
      <c r="E228" s="164"/>
      <c r="F228" s="164"/>
      <c r="G228" s="164"/>
      <c r="H228" s="165" t="str">
        <f>IF(G228="","",IFERROR(VLOOKUP(G228,'Product_Stock_Master产品维护'!$A$2:$E992,2,FALSE()),"SKU not found"))</f>
        <v/>
      </c>
      <c r="I228" s="165" t="str">
        <f>IF(G228="","",IFERROR(VLOOKUP(G228,'Product_Stock_Master产品维护'!$A$2:$E992,3,FALSE()),"Item type not found"))</f>
        <v/>
      </c>
      <c r="J228" s="164"/>
      <c r="K228" s="164"/>
      <c r="L228" s="164"/>
      <c r="M228" s="164"/>
      <c r="N228" s="164"/>
      <c r="O228" s="165" t="str">
        <f t="shared" si="1"/>
        <v/>
      </c>
      <c r="P228" s="164"/>
      <c r="Q228" s="165" t="str">
        <f t="shared" si="9"/>
        <v/>
      </c>
      <c r="R228" s="165" t="str">
        <f t="shared" si="3"/>
        <v/>
      </c>
      <c r="S228" s="165" t="str">
        <f t="shared" si="10"/>
        <v/>
      </c>
      <c r="T228" s="165" t="str">
        <f t="shared" si="5"/>
        <v/>
      </c>
      <c r="U228" s="165" t="s">
        <v>1107</v>
      </c>
      <c r="V228" s="53"/>
      <c r="W228" s="52" t="str">
        <f t="shared" si="6"/>
        <v/>
      </c>
      <c r="X228" s="52">
        <f t="shared" si="7"/>
        <v>0</v>
      </c>
      <c r="Y228" s="52">
        <f t="shared" si="8"/>
        <v>0</v>
      </c>
      <c r="Z228" s="52" t="str">
        <f>IF(G228="","",IFERROR(VLOOKUP(G228,'Product_Stock_Master产品维护'!$A$2:$L992,11,FALSE),"No"))</f>
        <v/>
      </c>
      <c r="AA228" s="52" t="str">
        <f>IF(G228="","",IFERROR(VLOOKUP(G228,'Product_Stock_Master产品维护'!$A$2:$L992,12,FALSE),""))</f>
        <v/>
      </c>
      <c r="AB228" s="52" t="str">
        <f t="shared" si="11"/>
        <v/>
      </c>
      <c r="AC228" s="52">
        <f t="shared" si="12"/>
        <v>0</v>
      </c>
    </row>
    <row r="229" ht="15.75" customHeight="1">
      <c r="A229" s="163"/>
      <c r="B229" s="163"/>
      <c r="C229" s="164"/>
      <c r="D229" s="164"/>
      <c r="E229" s="164"/>
      <c r="F229" s="164"/>
      <c r="G229" s="164"/>
      <c r="H229" s="165" t="str">
        <f>IF(G229="","",IFERROR(VLOOKUP(G229,'Product_Stock_Master产品维护'!$A$2:$E992,2,FALSE()),"SKU not found"))</f>
        <v/>
      </c>
      <c r="I229" s="165" t="str">
        <f>IF(G229="","",IFERROR(VLOOKUP(G229,'Product_Stock_Master产品维护'!$A$2:$E992,3,FALSE()),"Item type not found"))</f>
        <v/>
      </c>
      <c r="J229" s="164"/>
      <c r="K229" s="164"/>
      <c r="L229" s="164"/>
      <c r="M229" s="164"/>
      <c r="N229" s="164"/>
      <c r="O229" s="165" t="str">
        <f t="shared" si="1"/>
        <v/>
      </c>
      <c r="P229" s="164"/>
      <c r="Q229" s="165" t="str">
        <f t="shared" si="9"/>
        <v/>
      </c>
      <c r="R229" s="165" t="str">
        <f t="shared" si="3"/>
        <v/>
      </c>
      <c r="S229" s="165" t="str">
        <f t="shared" si="10"/>
        <v/>
      </c>
      <c r="T229" s="165" t="str">
        <f t="shared" si="5"/>
        <v/>
      </c>
      <c r="U229" s="165" t="s">
        <v>1108</v>
      </c>
      <c r="V229" s="53"/>
      <c r="W229" s="52" t="str">
        <f t="shared" si="6"/>
        <v/>
      </c>
      <c r="X229" s="52">
        <f t="shared" si="7"/>
        <v>0</v>
      </c>
      <c r="Y229" s="52">
        <f t="shared" si="8"/>
        <v>0</v>
      </c>
      <c r="Z229" s="52" t="str">
        <f>IF(G229="","",IFERROR(VLOOKUP(G229,'Product_Stock_Master产品维护'!$A$2:$L992,11,FALSE),"No"))</f>
        <v/>
      </c>
      <c r="AA229" s="52" t="str">
        <f>IF(G229="","",IFERROR(VLOOKUP(G229,'Product_Stock_Master产品维护'!$A$2:$L992,12,FALSE),""))</f>
        <v/>
      </c>
      <c r="AB229" s="52" t="str">
        <f t="shared" si="11"/>
        <v/>
      </c>
      <c r="AC229" s="52">
        <f t="shared" si="12"/>
        <v>0</v>
      </c>
    </row>
    <row r="230" ht="15.75" customHeight="1">
      <c r="A230" s="163"/>
      <c r="B230" s="163"/>
      <c r="C230" s="164"/>
      <c r="D230" s="164"/>
      <c r="E230" s="164"/>
      <c r="F230" s="164"/>
      <c r="G230" s="164"/>
      <c r="H230" s="165" t="str">
        <f>IF(G230="","",IFERROR(VLOOKUP(G230,'Product_Stock_Master产品维护'!$A$2:$E992,2,FALSE()),"SKU not found"))</f>
        <v/>
      </c>
      <c r="I230" s="165" t="str">
        <f>IF(G230="","",IFERROR(VLOOKUP(G230,'Product_Stock_Master产品维护'!$A$2:$E992,3,FALSE()),"Item type not found"))</f>
        <v/>
      </c>
      <c r="J230" s="164"/>
      <c r="K230" s="164"/>
      <c r="L230" s="164"/>
      <c r="M230" s="164"/>
      <c r="N230" s="164"/>
      <c r="O230" s="165" t="str">
        <f t="shared" si="1"/>
        <v/>
      </c>
      <c r="P230" s="164"/>
      <c r="Q230" s="165" t="str">
        <f t="shared" si="9"/>
        <v/>
      </c>
      <c r="R230" s="165" t="str">
        <f t="shared" si="3"/>
        <v/>
      </c>
      <c r="S230" s="165" t="str">
        <f t="shared" si="10"/>
        <v/>
      </c>
      <c r="T230" s="165" t="str">
        <f t="shared" si="5"/>
        <v/>
      </c>
      <c r="U230" s="165" t="s">
        <v>1109</v>
      </c>
      <c r="V230" s="53"/>
      <c r="W230" s="52" t="str">
        <f t="shared" si="6"/>
        <v/>
      </c>
      <c r="X230" s="52">
        <f t="shared" si="7"/>
        <v>0</v>
      </c>
      <c r="Y230" s="52">
        <f t="shared" si="8"/>
        <v>0</v>
      </c>
      <c r="Z230" s="52" t="str">
        <f>IF(G230="","",IFERROR(VLOOKUP(G230,'Product_Stock_Master产品维护'!$A$2:$L992,11,FALSE),"No"))</f>
        <v/>
      </c>
      <c r="AA230" s="52" t="str">
        <f>IF(G230="","",IFERROR(VLOOKUP(G230,'Product_Stock_Master产品维护'!$A$2:$L992,12,FALSE),""))</f>
        <v/>
      </c>
      <c r="AB230" s="52" t="str">
        <f t="shared" si="11"/>
        <v/>
      </c>
      <c r="AC230" s="52">
        <f t="shared" si="12"/>
        <v>0</v>
      </c>
    </row>
    <row r="231" ht="15.75" customHeight="1">
      <c r="A231" s="163"/>
      <c r="B231" s="163"/>
      <c r="C231" s="164"/>
      <c r="D231" s="164"/>
      <c r="E231" s="164"/>
      <c r="F231" s="164"/>
      <c r="G231" s="164"/>
      <c r="H231" s="165" t="str">
        <f>IF(G231="","",IFERROR(VLOOKUP(G231,'Product_Stock_Master产品维护'!$A$2:$E992,2,FALSE()),"SKU not found"))</f>
        <v/>
      </c>
      <c r="I231" s="165" t="str">
        <f>IF(G231="","",IFERROR(VLOOKUP(G231,'Product_Stock_Master产品维护'!$A$2:$E992,3,FALSE()),"Item type not found"))</f>
        <v/>
      </c>
      <c r="J231" s="164"/>
      <c r="K231" s="164"/>
      <c r="L231" s="164"/>
      <c r="M231" s="164"/>
      <c r="N231" s="164"/>
      <c r="O231" s="165" t="str">
        <f t="shared" si="1"/>
        <v/>
      </c>
      <c r="P231" s="164"/>
      <c r="Q231" s="165" t="str">
        <f t="shared" si="9"/>
        <v/>
      </c>
      <c r="R231" s="165" t="str">
        <f t="shared" si="3"/>
        <v/>
      </c>
      <c r="S231" s="165" t="str">
        <f t="shared" si="10"/>
        <v/>
      </c>
      <c r="T231" s="165" t="str">
        <f t="shared" si="5"/>
        <v/>
      </c>
      <c r="U231" s="165" t="s">
        <v>1110</v>
      </c>
      <c r="V231" s="53"/>
      <c r="W231" s="52" t="str">
        <f t="shared" si="6"/>
        <v/>
      </c>
      <c r="X231" s="52">
        <f t="shared" si="7"/>
        <v>0</v>
      </c>
      <c r="Y231" s="52">
        <f t="shared" si="8"/>
        <v>0</v>
      </c>
      <c r="Z231" s="52" t="str">
        <f>IF(G231="","",IFERROR(VLOOKUP(G231,'Product_Stock_Master产品维护'!$A$2:$L992,11,FALSE),"No"))</f>
        <v/>
      </c>
      <c r="AA231" s="52" t="str">
        <f>IF(G231="","",IFERROR(VLOOKUP(G231,'Product_Stock_Master产品维护'!$A$2:$L992,12,FALSE),""))</f>
        <v/>
      </c>
      <c r="AB231" s="52" t="str">
        <f t="shared" si="11"/>
        <v/>
      </c>
      <c r="AC231" s="52">
        <f t="shared" si="12"/>
        <v>0</v>
      </c>
    </row>
    <row r="232" ht="15.75" customHeight="1">
      <c r="A232" s="163"/>
      <c r="B232" s="163"/>
      <c r="C232" s="164"/>
      <c r="D232" s="164"/>
      <c r="E232" s="164"/>
      <c r="F232" s="164"/>
      <c r="G232" s="164"/>
      <c r="H232" s="165" t="str">
        <f>IF(G232="","",IFERROR(VLOOKUP(G232,'Product_Stock_Master产品维护'!$A$2:$E992,2,FALSE()),"SKU not found"))</f>
        <v/>
      </c>
      <c r="I232" s="165" t="str">
        <f>IF(G232="","",IFERROR(VLOOKUP(G232,'Product_Stock_Master产品维护'!$A$2:$E992,3,FALSE()),"Item type not found"))</f>
        <v/>
      </c>
      <c r="J232" s="164"/>
      <c r="K232" s="164"/>
      <c r="L232" s="164"/>
      <c r="M232" s="164"/>
      <c r="N232" s="164"/>
      <c r="O232" s="165" t="str">
        <f t="shared" si="1"/>
        <v/>
      </c>
      <c r="P232" s="164"/>
      <c r="Q232" s="165" t="str">
        <f t="shared" si="9"/>
        <v/>
      </c>
      <c r="R232" s="165" t="str">
        <f t="shared" si="3"/>
        <v/>
      </c>
      <c r="S232" s="165" t="str">
        <f t="shared" si="10"/>
        <v/>
      </c>
      <c r="T232" s="165" t="str">
        <f t="shared" si="5"/>
        <v/>
      </c>
      <c r="U232" s="165" t="s">
        <v>1111</v>
      </c>
      <c r="V232" s="53"/>
      <c r="W232" s="52" t="str">
        <f t="shared" si="6"/>
        <v/>
      </c>
      <c r="X232" s="52">
        <f t="shared" si="7"/>
        <v>0</v>
      </c>
      <c r="Y232" s="52">
        <f t="shared" si="8"/>
        <v>0</v>
      </c>
      <c r="Z232" s="52" t="str">
        <f>IF(G232="","",IFERROR(VLOOKUP(G232,'Product_Stock_Master产品维护'!$A$2:$L992,11,FALSE),"No"))</f>
        <v/>
      </c>
      <c r="AA232" s="52" t="str">
        <f>IF(G232="","",IFERROR(VLOOKUP(G232,'Product_Stock_Master产品维护'!$A$2:$L992,12,FALSE),""))</f>
        <v/>
      </c>
      <c r="AB232" s="52" t="str">
        <f t="shared" si="11"/>
        <v/>
      </c>
      <c r="AC232" s="52">
        <f t="shared" si="12"/>
        <v>0</v>
      </c>
    </row>
    <row r="233" ht="15.75" customHeight="1">
      <c r="A233" s="163"/>
      <c r="B233" s="163"/>
      <c r="C233" s="164"/>
      <c r="D233" s="164"/>
      <c r="E233" s="164"/>
      <c r="F233" s="164"/>
      <c r="G233" s="164"/>
      <c r="H233" s="165" t="str">
        <f>IF(G233="","",IFERROR(VLOOKUP(G233,'Product_Stock_Master产品维护'!$A$2:$E992,2,FALSE()),"SKU not found"))</f>
        <v/>
      </c>
      <c r="I233" s="165" t="str">
        <f>IF(G233="","",IFERROR(VLOOKUP(G233,'Product_Stock_Master产品维护'!$A$2:$E992,3,FALSE()),"Item type not found"))</f>
        <v/>
      </c>
      <c r="J233" s="164"/>
      <c r="K233" s="164"/>
      <c r="L233" s="164"/>
      <c r="M233" s="164"/>
      <c r="N233" s="164"/>
      <c r="O233" s="165" t="str">
        <f t="shared" si="1"/>
        <v/>
      </c>
      <c r="P233" s="164"/>
      <c r="Q233" s="165" t="str">
        <f t="shared" si="9"/>
        <v/>
      </c>
      <c r="R233" s="165" t="str">
        <f t="shared" si="3"/>
        <v/>
      </c>
      <c r="S233" s="165" t="str">
        <f t="shared" si="10"/>
        <v/>
      </c>
      <c r="T233" s="165" t="str">
        <f t="shared" si="5"/>
        <v/>
      </c>
      <c r="U233" s="165" t="s">
        <v>1112</v>
      </c>
      <c r="V233" s="53"/>
      <c r="W233" s="52" t="str">
        <f t="shared" si="6"/>
        <v/>
      </c>
      <c r="X233" s="52">
        <f t="shared" si="7"/>
        <v>0</v>
      </c>
      <c r="Y233" s="52">
        <f t="shared" si="8"/>
        <v>0</v>
      </c>
      <c r="Z233" s="52" t="str">
        <f>IF(G233="","",IFERROR(VLOOKUP(G233,'Product_Stock_Master产品维护'!$A$2:$L992,11,FALSE),"No"))</f>
        <v/>
      </c>
      <c r="AA233" s="52" t="str">
        <f>IF(G233="","",IFERROR(VLOOKUP(G233,'Product_Stock_Master产品维护'!$A$2:$L992,12,FALSE),""))</f>
        <v/>
      </c>
      <c r="AB233" s="52" t="str">
        <f t="shared" si="11"/>
        <v/>
      </c>
      <c r="AC233" s="52">
        <f t="shared" si="12"/>
        <v>0</v>
      </c>
    </row>
    <row r="234" ht="15.75" customHeight="1">
      <c r="A234" s="163"/>
      <c r="B234" s="163"/>
      <c r="C234" s="164"/>
      <c r="D234" s="164"/>
      <c r="E234" s="164"/>
      <c r="F234" s="164"/>
      <c r="G234" s="164"/>
      <c r="H234" s="165" t="str">
        <f>IF(G234="","",IFERROR(VLOOKUP(G234,'Product_Stock_Master产品维护'!$A$2:$E992,2,FALSE()),"SKU not found"))</f>
        <v/>
      </c>
      <c r="I234" s="165" t="str">
        <f>IF(G234="","",IFERROR(VLOOKUP(G234,'Product_Stock_Master产品维护'!$A$2:$E992,3,FALSE()),"Item type not found"))</f>
        <v/>
      </c>
      <c r="J234" s="164"/>
      <c r="K234" s="164"/>
      <c r="L234" s="164"/>
      <c r="M234" s="164"/>
      <c r="N234" s="164"/>
      <c r="O234" s="165" t="str">
        <f t="shared" si="1"/>
        <v/>
      </c>
      <c r="P234" s="164"/>
      <c r="Q234" s="165" t="str">
        <f t="shared" si="9"/>
        <v/>
      </c>
      <c r="R234" s="165" t="str">
        <f t="shared" si="3"/>
        <v/>
      </c>
      <c r="S234" s="165" t="str">
        <f t="shared" si="10"/>
        <v/>
      </c>
      <c r="T234" s="165" t="str">
        <f t="shared" si="5"/>
        <v/>
      </c>
      <c r="U234" s="165" t="s">
        <v>1113</v>
      </c>
      <c r="V234" s="53"/>
      <c r="W234" s="52" t="str">
        <f t="shared" si="6"/>
        <v/>
      </c>
      <c r="X234" s="52">
        <f t="shared" si="7"/>
        <v>0</v>
      </c>
      <c r="Y234" s="52">
        <f t="shared" si="8"/>
        <v>0</v>
      </c>
      <c r="Z234" s="52" t="str">
        <f>IF(G234="","",IFERROR(VLOOKUP(G234,'Product_Stock_Master产品维护'!$A$2:$L992,11,FALSE),"No"))</f>
        <v/>
      </c>
      <c r="AA234" s="52" t="str">
        <f>IF(G234="","",IFERROR(VLOOKUP(G234,'Product_Stock_Master产品维护'!$A$2:$L992,12,FALSE),""))</f>
        <v/>
      </c>
      <c r="AB234" s="52" t="str">
        <f t="shared" si="11"/>
        <v/>
      </c>
      <c r="AC234" s="52">
        <f t="shared" si="12"/>
        <v>0</v>
      </c>
    </row>
    <row r="235" ht="15.75" customHeight="1">
      <c r="A235" s="163"/>
      <c r="B235" s="163"/>
      <c r="C235" s="164"/>
      <c r="D235" s="164"/>
      <c r="E235" s="164"/>
      <c r="F235" s="164"/>
      <c r="G235" s="164"/>
      <c r="H235" s="165" t="str">
        <f>IF(G235="","",IFERROR(VLOOKUP(G235,'Product_Stock_Master产品维护'!$A$2:$E992,2,FALSE()),"SKU not found"))</f>
        <v/>
      </c>
      <c r="I235" s="165" t="str">
        <f>IF(G235="","",IFERROR(VLOOKUP(G235,'Product_Stock_Master产品维护'!$A$2:$E992,3,FALSE()),"Item type not found"))</f>
        <v/>
      </c>
      <c r="J235" s="164"/>
      <c r="K235" s="164"/>
      <c r="L235" s="164"/>
      <c r="M235" s="164"/>
      <c r="N235" s="164"/>
      <c r="O235" s="165" t="str">
        <f t="shared" si="1"/>
        <v/>
      </c>
      <c r="P235" s="164"/>
      <c r="Q235" s="165" t="str">
        <f t="shared" si="9"/>
        <v/>
      </c>
      <c r="R235" s="165" t="str">
        <f t="shared" si="3"/>
        <v/>
      </c>
      <c r="S235" s="165" t="str">
        <f t="shared" si="10"/>
        <v/>
      </c>
      <c r="T235" s="165" t="str">
        <f t="shared" si="5"/>
        <v/>
      </c>
      <c r="U235" s="165" t="s">
        <v>1114</v>
      </c>
      <c r="V235" s="53"/>
      <c r="W235" s="52" t="str">
        <f t="shared" si="6"/>
        <v/>
      </c>
      <c r="X235" s="52">
        <f t="shared" si="7"/>
        <v>0</v>
      </c>
      <c r="Y235" s="52">
        <f t="shared" si="8"/>
        <v>0</v>
      </c>
      <c r="Z235" s="52" t="str">
        <f>IF(G235="","",IFERROR(VLOOKUP(G235,'Product_Stock_Master产品维护'!$A$2:$L992,11,FALSE),"No"))</f>
        <v/>
      </c>
      <c r="AA235" s="52" t="str">
        <f>IF(G235="","",IFERROR(VLOOKUP(G235,'Product_Stock_Master产品维护'!$A$2:$L992,12,FALSE),""))</f>
        <v/>
      </c>
      <c r="AB235" s="52" t="str">
        <f t="shared" si="11"/>
        <v/>
      </c>
      <c r="AC235" s="52">
        <f t="shared" si="12"/>
        <v>0</v>
      </c>
    </row>
    <row r="236" ht="15.75" customHeight="1">
      <c r="A236" s="163"/>
      <c r="B236" s="163"/>
      <c r="C236" s="164"/>
      <c r="D236" s="164"/>
      <c r="E236" s="164"/>
      <c r="F236" s="164"/>
      <c r="G236" s="164"/>
      <c r="H236" s="165" t="str">
        <f>IF(G236="","",IFERROR(VLOOKUP(G236,'Product_Stock_Master产品维护'!$A$2:$E992,2,FALSE()),"SKU not found"))</f>
        <v/>
      </c>
      <c r="I236" s="165" t="str">
        <f>IF(G236="","",IFERROR(VLOOKUP(G236,'Product_Stock_Master产品维护'!$A$2:$E992,3,FALSE()),"Item type not found"))</f>
        <v/>
      </c>
      <c r="J236" s="164"/>
      <c r="K236" s="164"/>
      <c r="L236" s="164"/>
      <c r="M236" s="164"/>
      <c r="N236" s="164"/>
      <c r="O236" s="165" t="str">
        <f t="shared" si="1"/>
        <v/>
      </c>
      <c r="P236" s="164"/>
      <c r="Q236" s="165" t="str">
        <f t="shared" si="9"/>
        <v/>
      </c>
      <c r="R236" s="165" t="str">
        <f t="shared" si="3"/>
        <v/>
      </c>
      <c r="S236" s="165" t="str">
        <f t="shared" si="10"/>
        <v/>
      </c>
      <c r="T236" s="165" t="str">
        <f t="shared" si="5"/>
        <v/>
      </c>
      <c r="U236" s="165" t="s">
        <v>1115</v>
      </c>
      <c r="V236" s="53"/>
      <c r="W236" s="52" t="str">
        <f t="shared" si="6"/>
        <v/>
      </c>
      <c r="X236" s="52">
        <f t="shared" si="7"/>
        <v>0</v>
      </c>
      <c r="Y236" s="52">
        <f t="shared" si="8"/>
        <v>0</v>
      </c>
      <c r="Z236" s="52" t="str">
        <f>IF(G236="","",IFERROR(VLOOKUP(G236,'Product_Stock_Master产品维护'!$A$2:$L992,11,FALSE),"No"))</f>
        <v/>
      </c>
      <c r="AA236" s="52" t="str">
        <f>IF(G236="","",IFERROR(VLOOKUP(G236,'Product_Stock_Master产品维护'!$A$2:$L992,12,FALSE),""))</f>
        <v/>
      </c>
      <c r="AB236" s="52" t="str">
        <f t="shared" si="11"/>
        <v/>
      </c>
      <c r="AC236" s="52">
        <f t="shared" si="12"/>
        <v>0</v>
      </c>
    </row>
    <row r="237" ht="15.75" customHeight="1">
      <c r="A237" s="163"/>
      <c r="B237" s="163"/>
      <c r="C237" s="164"/>
      <c r="D237" s="164"/>
      <c r="E237" s="164"/>
      <c r="F237" s="164"/>
      <c r="G237" s="164"/>
      <c r="H237" s="165" t="str">
        <f>IF(G237="","",IFERROR(VLOOKUP(G237,'Product_Stock_Master产品维护'!$A$2:$E992,2,FALSE()),"SKU not found"))</f>
        <v/>
      </c>
      <c r="I237" s="165" t="str">
        <f>IF(G237="","",IFERROR(VLOOKUP(G237,'Product_Stock_Master产品维护'!$A$2:$E992,3,FALSE()),"Item type not found"))</f>
        <v/>
      </c>
      <c r="J237" s="164"/>
      <c r="K237" s="164"/>
      <c r="L237" s="164"/>
      <c r="M237" s="164"/>
      <c r="N237" s="164"/>
      <c r="O237" s="165" t="str">
        <f t="shared" si="1"/>
        <v/>
      </c>
      <c r="P237" s="164"/>
      <c r="Q237" s="165" t="str">
        <f t="shared" si="9"/>
        <v/>
      </c>
      <c r="R237" s="165" t="str">
        <f t="shared" si="3"/>
        <v/>
      </c>
      <c r="S237" s="165" t="str">
        <f t="shared" si="10"/>
        <v/>
      </c>
      <c r="T237" s="165" t="str">
        <f t="shared" si="5"/>
        <v/>
      </c>
      <c r="U237" s="165" t="s">
        <v>1116</v>
      </c>
      <c r="V237" s="53"/>
      <c r="W237" s="52" t="str">
        <f t="shared" si="6"/>
        <v/>
      </c>
      <c r="X237" s="52">
        <f t="shared" si="7"/>
        <v>0</v>
      </c>
      <c r="Y237" s="52">
        <f t="shared" si="8"/>
        <v>0</v>
      </c>
      <c r="Z237" s="52" t="str">
        <f>IF(G237="","",IFERROR(VLOOKUP(G237,'Product_Stock_Master产品维护'!$A$2:$L992,11,FALSE),"No"))</f>
        <v/>
      </c>
      <c r="AA237" s="52" t="str">
        <f>IF(G237="","",IFERROR(VLOOKUP(G237,'Product_Stock_Master产品维护'!$A$2:$L992,12,FALSE),""))</f>
        <v/>
      </c>
      <c r="AB237" s="52" t="str">
        <f t="shared" si="11"/>
        <v/>
      </c>
      <c r="AC237" s="52">
        <f t="shared" si="12"/>
        <v>0</v>
      </c>
    </row>
    <row r="238" ht="15.75" customHeight="1">
      <c r="A238" s="163"/>
      <c r="B238" s="163"/>
      <c r="C238" s="164"/>
      <c r="D238" s="164"/>
      <c r="E238" s="164"/>
      <c r="F238" s="164"/>
      <c r="G238" s="164"/>
      <c r="H238" s="165" t="str">
        <f>IF(G238="","",IFERROR(VLOOKUP(G238,'Product_Stock_Master产品维护'!$A$2:$E992,2,FALSE()),"SKU not found"))</f>
        <v/>
      </c>
      <c r="I238" s="165" t="str">
        <f>IF(G238="","",IFERROR(VLOOKUP(G238,'Product_Stock_Master产品维护'!$A$2:$E992,3,FALSE()),"Item type not found"))</f>
        <v/>
      </c>
      <c r="J238" s="164"/>
      <c r="K238" s="164"/>
      <c r="L238" s="164"/>
      <c r="M238" s="164"/>
      <c r="N238" s="164"/>
      <c r="O238" s="165" t="str">
        <f t="shared" si="1"/>
        <v/>
      </c>
      <c r="P238" s="164"/>
      <c r="Q238" s="165" t="str">
        <f t="shared" si="9"/>
        <v/>
      </c>
      <c r="R238" s="165" t="str">
        <f t="shared" si="3"/>
        <v/>
      </c>
      <c r="S238" s="165" t="str">
        <f t="shared" si="10"/>
        <v/>
      </c>
      <c r="T238" s="165" t="str">
        <f t="shared" si="5"/>
        <v/>
      </c>
      <c r="U238" s="165" t="s">
        <v>1117</v>
      </c>
      <c r="V238" s="53"/>
      <c r="W238" s="52" t="str">
        <f t="shared" si="6"/>
        <v/>
      </c>
      <c r="X238" s="52">
        <f t="shared" si="7"/>
        <v>0</v>
      </c>
      <c r="Y238" s="52">
        <f t="shared" si="8"/>
        <v>0</v>
      </c>
      <c r="Z238" s="52" t="str">
        <f>IF(G238="","",IFERROR(VLOOKUP(G238,'Product_Stock_Master产品维护'!$A$2:$L992,11,FALSE),"No"))</f>
        <v/>
      </c>
      <c r="AA238" s="52" t="str">
        <f>IF(G238="","",IFERROR(VLOOKUP(G238,'Product_Stock_Master产品维护'!$A$2:$L992,12,FALSE),""))</f>
        <v/>
      </c>
      <c r="AB238" s="52" t="str">
        <f t="shared" si="11"/>
        <v/>
      </c>
      <c r="AC238" s="52">
        <f t="shared" si="12"/>
        <v>0</v>
      </c>
    </row>
    <row r="239" ht="15.75" customHeight="1">
      <c r="A239" s="163"/>
      <c r="B239" s="163"/>
      <c r="C239" s="164"/>
      <c r="D239" s="164"/>
      <c r="E239" s="164"/>
      <c r="F239" s="164"/>
      <c r="G239" s="164"/>
      <c r="H239" s="165" t="str">
        <f>IF(G239="","",IFERROR(VLOOKUP(G239,'Product_Stock_Master产品维护'!$A$2:$E992,2,FALSE()),"SKU not found"))</f>
        <v/>
      </c>
      <c r="I239" s="165" t="str">
        <f>IF(G239="","",IFERROR(VLOOKUP(G239,'Product_Stock_Master产品维护'!$A$2:$E992,3,FALSE()),"Item type not found"))</f>
        <v/>
      </c>
      <c r="J239" s="164"/>
      <c r="K239" s="164"/>
      <c r="L239" s="164"/>
      <c r="M239" s="164"/>
      <c r="N239" s="164"/>
      <c r="O239" s="165" t="str">
        <f t="shared" si="1"/>
        <v/>
      </c>
      <c r="P239" s="164"/>
      <c r="Q239" s="165" t="str">
        <f t="shared" si="9"/>
        <v/>
      </c>
      <c r="R239" s="165" t="str">
        <f t="shared" si="3"/>
        <v/>
      </c>
      <c r="S239" s="165" t="str">
        <f t="shared" si="10"/>
        <v/>
      </c>
      <c r="T239" s="165" t="str">
        <f t="shared" si="5"/>
        <v/>
      </c>
      <c r="U239" s="165" t="s">
        <v>1118</v>
      </c>
      <c r="V239" s="53"/>
      <c r="W239" s="52" t="str">
        <f t="shared" si="6"/>
        <v/>
      </c>
      <c r="X239" s="52">
        <f t="shared" si="7"/>
        <v>0</v>
      </c>
      <c r="Y239" s="52">
        <f t="shared" si="8"/>
        <v>0</v>
      </c>
      <c r="Z239" s="52" t="str">
        <f>IF(G239="","",IFERROR(VLOOKUP(G239,'Product_Stock_Master产品维护'!$A$2:$L992,11,FALSE),"No"))</f>
        <v/>
      </c>
      <c r="AA239" s="52" t="str">
        <f>IF(G239="","",IFERROR(VLOOKUP(G239,'Product_Stock_Master产品维护'!$A$2:$L992,12,FALSE),""))</f>
        <v/>
      </c>
      <c r="AB239" s="52" t="str">
        <f t="shared" si="11"/>
        <v/>
      </c>
      <c r="AC239" s="52">
        <f t="shared" si="12"/>
        <v>0</v>
      </c>
    </row>
    <row r="240" ht="15.75" customHeight="1">
      <c r="A240" s="163"/>
      <c r="B240" s="163"/>
      <c r="C240" s="164"/>
      <c r="D240" s="164"/>
      <c r="E240" s="164"/>
      <c r="F240" s="164"/>
      <c r="G240" s="164"/>
      <c r="H240" s="165" t="str">
        <f>IF(G240="","",IFERROR(VLOOKUP(G240,'Product_Stock_Master产品维护'!$A$2:$E992,2,FALSE()),"SKU not found"))</f>
        <v/>
      </c>
      <c r="I240" s="165" t="str">
        <f>IF(G240="","",IFERROR(VLOOKUP(G240,'Product_Stock_Master产品维护'!$A$2:$E992,3,FALSE()),"Item type not found"))</f>
        <v/>
      </c>
      <c r="J240" s="164"/>
      <c r="K240" s="164"/>
      <c r="L240" s="164"/>
      <c r="M240" s="164"/>
      <c r="N240" s="164"/>
      <c r="O240" s="165" t="str">
        <f t="shared" si="1"/>
        <v/>
      </c>
      <c r="P240" s="164"/>
      <c r="Q240" s="165" t="str">
        <f t="shared" si="9"/>
        <v/>
      </c>
      <c r="R240" s="165" t="str">
        <f t="shared" si="3"/>
        <v/>
      </c>
      <c r="S240" s="165" t="str">
        <f t="shared" si="10"/>
        <v/>
      </c>
      <c r="T240" s="165" t="str">
        <f t="shared" si="5"/>
        <v/>
      </c>
      <c r="U240" s="165" t="s">
        <v>1119</v>
      </c>
      <c r="V240" s="53"/>
      <c r="W240" s="52" t="str">
        <f t="shared" si="6"/>
        <v/>
      </c>
      <c r="X240" s="52">
        <f t="shared" si="7"/>
        <v>0</v>
      </c>
      <c r="Y240" s="52">
        <f t="shared" si="8"/>
        <v>0</v>
      </c>
      <c r="Z240" s="52" t="str">
        <f>IF(G240="","",IFERROR(VLOOKUP(G240,'Product_Stock_Master产品维护'!$A$2:$L992,11,FALSE),"No"))</f>
        <v/>
      </c>
      <c r="AA240" s="52" t="str">
        <f>IF(G240="","",IFERROR(VLOOKUP(G240,'Product_Stock_Master产品维护'!$A$2:$L992,12,FALSE),""))</f>
        <v/>
      </c>
      <c r="AB240" s="52" t="str">
        <f t="shared" si="11"/>
        <v/>
      </c>
      <c r="AC240" s="52">
        <f t="shared" si="12"/>
        <v>0</v>
      </c>
    </row>
    <row r="241" ht="15.75" customHeight="1">
      <c r="A241" s="163"/>
      <c r="B241" s="163"/>
      <c r="C241" s="164"/>
      <c r="D241" s="164"/>
      <c r="E241" s="164"/>
      <c r="F241" s="164"/>
      <c r="G241" s="164"/>
      <c r="H241" s="165" t="str">
        <f>IF(G241="","",IFERROR(VLOOKUP(G241,'Product_Stock_Master产品维护'!$A$2:$E992,2,FALSE()),"SKU not found"))</f>
        <v/>
      </c>
      <c r="I241" s="165" t="str">
        <f>IF(G241="","",IFERROR(VLOOKUP(G241,'Product_Stock_Master产品维护'!$A$2:$E992,3,FALSE()),"Item type not found"))</f>
        <v/>
      </c>
      <c r="J241" s="164"/>
      <c r="K241" s="164"/>
      <c r="L241" s="164"/>
      <c r="M241" s="164"/>
      <c r="N241" s="164"/>
      <c r="O241" s="165" t="str">
        <f t="shared" si="1"/>
        <v/>
      </c>
      <c r="P241" s="164"/>
      <c r="Q241" s="165" t="str">
        <f t="shared" si="9"/>
        <v/>
      </c>
      <c r="R241" s="165" t="str">
        <f t="shared" si="3"/>
        <v/>
      </c>
      <c r="S241" s="165" t="str">
        <f t="shared" si="10"/>
        <v/>
      </c>
      <c r="T241" s="165" t="str">
        <f t="shared" si="5"/>
        <v/>
      </c>
      <c r="U241" s="165" t="s">
        <v>1120</v>
      </c>
      <c r="V241" s="53"/>
      <c r="W241" s="52" t="str">
        <f t="shared" si="6"/>
        <v/>
      </c>
      <c r="X241" s="52">
        <f t="shared" si="7"/>
        <v>0</v>
      </c>
      <c r="Y241" s="52">
        <f t="shared" si="8"/>
        <v>0</v>
      </c>
      <c r="Z241" s="52" t="str">
        <f>IF(G241="","",IFERROR(VLOOKUP(G241,'Product_Stock_Master产品维护'!$A$2:$L992,11,FALSE),"No"))</f>
        <v/>
      </c>
      <c r="AA241" s="52" t="str">
        <f>IF(G241="","",IFERROR(VLOOKUP(G241,'Product_Stock_Master产品维护'!$A$2:$L992,12,FALSE),""))</f>
        <v/>
      </c>
      <c r="AB241" s="52" t="str">
        <f t="shared" si="11"/>
        <v/>
      </c>
      <c r="AC241" s="52">
        <f t="shared" si="12"/>
        <v>0</v>
      </c>
    </row>
    <row r="242" ht="15.75" customHeight="1">
      <c r="A242" s="163"/>
      <c r="B242" s="163"/>
      <c r="C242" s="164"/>
      <c r="D242" s="164"/>
      <c r="E242" s="164"/>
      <c r="F242" s="164"/>
      <c r="G242" s="164"/>
      <c r="H242" s="165" t="str">
        <f>IF(G242="","",IFERROR(VLOOKUP(G242,'Product_Stock_Master产品维护'!$A$2:$E992,2,FALSE()),"SKU not found"))</f>
        <v/>
      </c>
      <c r="I242" s="165" t="str">
        <f>IF(G242="","",IFERROR(VLOOKUP(G242,'Product_Stock_Master产品维护'!$A$2:$E992,3,FALSE()),"Item type not found"))</f>
        <v/>
      </c>
      <c r="J242" s="164"/>
      <c r="K242" s="164"/>
      <c r="L242" s="164"/>
      <c r="M242" s="164"/>
      <c r="N242" s="164"/>
      <c r="O242" s="165" t="str">
        <f t="shared" si="1"/>
        <v/>
      </c>
      <c r="P242" s="164"/>
      <c r="Q242" s="165" t="str">
        <f t="shared" si="9"/>
        <v/>
      </c>
      <c r="R242" s="165" t="str">
        <f t="shared" si="3"/>
        <v/>
      </c>
      <c r="S242" s="165" t="str">
        <f t="shared" si="10"/>
        <v/>
      </c>
      <c r="T242" s="165" t="str">
        <f t="shared" si="5"/>
        <v/>
      </c>
      <c r="U242" s="165" t="s">
        <v>1121</v>
      </c>
      <c r="V242" s="53"/>
      <c r="W242" s="52" t="str">
        <f t="shared" si="6"/>
        <v/>
      </c>
      <c r="X242" s="52">
        <f t="shared" si="7"/>
        <v>0</v>
      </c>
      <c r="Y242" s="52">
        <f t="shared" si="8"/>
        <v>0</v>
      </c>
      <c r="Z242" s="52" t="str">
        <f>IF(G242="","",IFERROR(VLOOKUP(G242,'Product_Stock_Master产品维护'!$A$2:$L992,11,FALSE),"No"))</f>
        <v/>
      </c>
      <c r="AA242" s="52" t="str">
        <f>IF(G242="","",IFERROR(VLOOKUP(G242,'Product_Stock_Master产品维护'!$A$2:$L992,12,FALSE),""))</f>
        <v/>
      </c>
      <c r="AB242" s="52" t="str">
        <f t="shared" si="11"/>
        <v/>
      </c>
      <c r="AC242" s="52">
        <f t="shared" si="12"/>
        <v>0</v>
      </c>
    </row>
    <row r="243" ht="15.75" customHeight="1">
      <c r="A243" s="163"/>
      <c r="B243" s="163"/>
      <c r="C243" s="164"/>
      <c r="D243" s="164"/>
      <c r="E243" s="164"/>
      <c r="F243" s="164"/>
      <c r="G243" s="164"/>
      <c r="H243" s="165" t="str">
        <f>IF(G243="","",IFERROR(VLOOKUP(G243,'Product_Stock_Master产品维护'!$A$2:$E992,2,FALSE()),"SKU not found"))</f>
        <v/>
      </c>
      <c r="I243" s="165" t="str">
        <f>IF(G243="","",IFERROR(VLOOKUP(G243,'Product_Stock_Master产品维护'!$A$2:$E992,3,FALSE()),"Item type not found"))</f>
        <v/>
      </c>
      <c r="J243" s="164"/>
      <c r="K243" s="164"/>
      <c r="L243" s="164"/>
      <c r="M243" s="164"/>
      <c r="N243" s="164"/>
      <c r="O243" s="165" t="str">
        <f t="shared" si="1"/>
        <v/>
      </c>
      <c r="P243" s="164"/>
      <c r="Q243" s="165" t="str">
        <f t="shared" si="9"/>
        <v/>
      </c>
      <c r="R243" s="165" t="str">
        <f t="shared" si="3"/>
        <v/>
      </c>
      <c r="S243" s="165" t="str">
        <f t="shared" si="10"/>
        <v/>
      </c>
      <c r="T243" s="165" t="str">
        <f t="shared" si="5"/>
        <v/>
      </c>
      <c r="U243" s="165" t="s">
        <v>1139</v>
      </c>
      <c r="V243" s="53"/>
      <c r="W243" s="52" t="str">
        <f t="shared" si="6"/>
        <v/>
      </c>
      <c r="X243" s="52">
        <f t="shared" si="7"/>
        <v>0</v>
      </c>
      <c r="Y243" s="52">
        <f t="shared" si="8"/>
        <v>0</v>
      </c>
      <c r="Z243" s="52" t="str">
        <f>IF(G243="","",IFERROR(VLOOKUP(G243,'Product_Stock_Master产品维护'!$A$2:$L992,11,FALSE),"No"))</f>
        <v/>
      </c>
      <c r="AA243" s="52" t="str">
        <f>IF(G243="","",IFERROR(VLOOKUP(G243,'Product_Stock_Master产品维护'!$A$2:$L992,12,FALSE),""))</f>
        <v/>
      </c>
      <c r="AB243" s="52" t="str">
        <f t="shared" si="11"/>
        <v/>
      </c>
      <c r="AC243" s="52">
        <f t="shared" si="12"/>
        <v>0</v>
      </c>
    </row>
    <row r="244" ht="15.75" customHeight="1">
      <c r="A244" s="163"/>
      <c r="B244" s="163"/>
      <c r="C244" s="164"/>
      <c r="D244" s="164"/>
      <c r="E244" s="164"/>
      <c r="F244" s="164"/>
      <c r="G244" s="164"/>
      <c r="H244" s="165" t="str">
        <f>IF(G244="","",IFERROR(VLOOKUP(G244,'Product_Stock_Master产品维护'!$A$2:$E992,2,FALSE()),"SKU not found"))</f>
        <v/>
      </c>
      <c r="I244" s="165" t="str">
        <f>IF(G244="","",IFERROR(VLOOKUP(G244,'Product_Stock_Master产品维护'!$A$2:$E992,3,FALSE()),"Item type not found"))</f>
        <v/>
      </c>
      <c r="J244" s="164"/>
      <c r="K244" s="164"/>
      <c r="L244" s="164"/>
      <c r="M244" s="164"/>
      <c r="N244" s="164"/>
      <c r="O244" s="165" t="str">
        <f t="shared" si="1"/>
        <v/>
      </c>
      <c r="P244" s="164"/>
      <c r="Q244" s="165" t="str">
        <f t="shared" si="9"/>
        <v/>
      </c>
      <c r="R244" s="165" t="str">
        <f t="shared" si="3"/>
        <v/>
      </c>
      <c r="S244" s="165" t="str">
        <f t="shared" si="10"/>
        <v/>
      </c>
      <c r="T244" s="165" t="str">
        <f t="shared" si="5"/>
        <v/>
      </c>
      <c r="U244" s="165" t="s">
        <v>1184</v>
      </c>
      <c r="V244" s="53"/>
      <c r="W244" s="52" t="str">
        <f t="shared" si="6"/>
        <v/>
      </c>
      <c r="X244" s="52">
        <f t="shared" si="7"/>
        <v>0</v>
      </c>
      <c r="Y244" s="52">
        <f t="shared" si="8"/>
        <v>0</v>
      </c>
      <c r="Z244" s="52" t="str">
        <f>IF(G244="","",IFERROR(VLOOKUP(G244,'Product_Stock_Master产品维护'!$A$2:$L992,11,FALSE),"No"))</f>
        <v/>
      </c>
      <c r="AA244" s="52" t="str">
        <f>IF(G244="","",IFERROR(VLOOKUP(G244,'Product_Stock_Master产品维护'!$A$2:$L992,12,FALSE),""))</f>
        <v/>
      </c>
      <c r="AB244" s="52" t="str">
        <f t="shared" si="11"/>
        <v/>
      </c>
      <c r="AC244" s="52">
        <f t="shared" si="12"/>
        <v>0</v>
      </c>
    </row>
    <row r="245" ht="15.75" customHeight="1">
      <c r="A245" s="163"/>
      <c r="B245" s="163"/>
      <c r="C245" s="164"/>
      <c r="D245" s="164"/>
      <c r="E245" s="164"/>
      <c r="F245" s="164"/>
      <c r="G245" s="164"/>
      <c r="H245" s="165" t="str">
        <f>IF(G245="","",IFERROR(VLOOKUP(G245,'Product_Stock_Master产品维护'!$A$2:$E992,2,FALSE()),"SKU not found"))</f>
        <v/>
      </c>
      <c r="I245" s="165" t="str">
        <f>IF(G245="","",IFERROR(VLOOKUP(G245,'Product_Stock_Master产品维护'!$A$2:$E992,3,FALSE()),"Item type not found"))</f>
        <v/>
      </c>
      <c r="J245" s="164"/>
      <c r="K245" s="164"/>
      <c r="L245" s="164"/>
      <c r="M245" s="164"/>
      <c r="N245" s="164"/>
      <c r="O245" s="165" t="str">
        <f t="shared" si="1"/>
        <v/>
      </c>
      <c r="P245" s="164"/>
      <c r="Q245" s="165" t="str">
        <f t="shared" si="9"/>
        <v/>
      </c>
      <c r="R245" s="165" t="str">
        <f t="shared" si="3"/>
        <v/>
      </c>
      <c r="S245" s="165" t="str">
        <f t="shared" si="10"/>
        <v/>
      </c>
      <c r="T245" s="165" t="str">
        <f t="shared" si="5"/>
        <v/>
      </c>
      <c r="U245" s="165" t="s">
        <v>1207</v>
      </c>
      <c r="V245" s="53"/>
      <c r="W245" s="52" t="str">
        <f t="shared" si="6"/>
        <v/>
      </c>
      <c r="X245" s="52">
        <f t="shared" si="7"/>
        <v>0</v>
      </c>
      <c r="Y245" s="52">
        <f t="shared" si="8"/>
        <v>0</v>
      </c>
      <c r="Z245" s="52" t="str">
        <f>IF(G245="","",IFERROR(VLOOKUP(G245,'Product_Stock_Master产品维护'!$A$2:$L992,11,FALSE),"No"))</f>
        <v/>
      </c>
      <c r="AA245" s="52" t="str">
        <f>IF(G245="","",IFERROR(VLOOKUP(G245,'Product_Stock_Master产品维护'!$A$2:$L992,12,FALSE),""))</f>
        <v/>
      </c>
      <c r="AB245" s="52" t="str">
        <f t="shared" si="11"/>
        <v/>
      </c>
      <c r="AC245" s="52">
        <f t="shared" si="12"/>
        <v>0</v>
      </c>
    </row>
    <row r="246" ht="15.75" customHeight="1">
      <c r="A246" s="163"/>
      <c r="B246" s="163"/>
      <c r="C246" s="164"/>
      <c r="D246" s="164"/>
      <c r="E246" s="164"/>
      <c r="F246" s="164"/>
      <c r="G246" s="164"/>
      <c r="H246" s="165" t="str">
        <f>IF(G246="","",IFERROR(VLOOKUP(G246,'Product_Stock_Master产品维护'!$A$2:$E992,2,FALSE()),"SKU not found"))</f>
        <v/>
      </c>
      <c r="I246" s="165" t="str">
        <f>IF(G246="","",IFERROR(VLOOKUP(G246,'Product_Stock_Master产品维护'!$A$2:$E992,3,FALSE()),"Item type not found"))</f>
        <v/>
      </c>
      <c r="J246" s="164"/>
      <c r="K246" s="164"/>
      <c r="L246" s="164"/>
      <c r="M246" s="164"/>
      <c r="N246" s="164"/>
      <c r="O246" s="165" t="str">
        <f t="shared" si="1"/>
        <v/>
      </c>
      <c r="P246" s="164"/>
      <c r="Q246" s="165" t="str">
        <f t="shared" si="9"/>
        <v/>
      </c>
      <c r="R246" s="165" t="str">
        <f t="shared" si="3"/>
        <v/>
      </c>
      <c r="S246" s="165" t="str">
        <f t="shared" si="10"/>
        <v/>
      </c>
      <c r="T246" s="165" t="str">
        <f t="shared" si="5"/>
        <v/>
      </c>
      <c r="U246" s="165" t="s">
        <v>1208</v>
      </c>
      <c r="V246" s="53"/>
      <c r="W246" s="52" t="str">
        <f t="shared" si="6"/>
        <v/>
      </c>
      <c r="X246" s="52">
        <f t="shared" si="7"/>
        <v>0</v>
      </c>
      <c r="Y246" s="52">
        <f t="shared" si="8"/>
        <v>0</v>
      </c>
      <c r="Z246" s="52" t="str">
        <f>IF(G246="","",IFERROR(VLOOKUP(G246,'Product_Stock_Master产品维护'!$A$2:$L992,11,FALSE),"No"))</f>
        <v/>
      </c>
      <c r="AA246" s="52" t="str">
        <f>IF(G246="","",IFERROR(VLOOKUP(G246,'Product_Stock_Master产品维护'!$A$2:$L992,12,FALSE),""))</f>
        <v/>
      </c>
      <c r="AB246" s="52" t="str">
        <f t="shared" si="11"/>
        <v/>
      </c>
      <c r="AC246" s="52">
        <f t="shared" si="12"/>
        <v>0</v>
      </c>
    </row>
    <row r="247" ht="15.75" customHeight="1">
      <c r="A247" s="163"/>
      <c r="B247" s="163"/>
      <c r="C247" s="164"/>
      <c r="D247" s="164"/>
      <c r="E247" s="164"/>
      <c r="F247" s="164"/>
      <c r="G247" s="164"/>
      <c r="H247" s="165" t="str">
        <f>IF(G247="","",IFERROR(VLOOKUP(G247,'Product_Stock_Master产品维护'!$A$2:$E992,2,FALSE()),"SKU not found"))</f>
        <v/>
      </c>
      <c r="I247" s="165" t="str">
        <f>IF(G247="","",IFERROR(VLOOKUP(G247,'Product_Stock_Master产品维护'!$A$2:$E992,3,FALSE()),"Item type not found"))</f>
        <v/>
      </c>
      <c r="J247" s="164"/>
      <c r="K247" s="164"/>
      <c r="L247" s="164"/>
      <c r="M247" s="164"/>
      <c r="N247" s="164"/>
      <c r="O247" s="165" t="str">
        <f t="shared" si="1"/>
        <v/>
      </c>
      <c r="P247" s="164"/>
      <c r="Q247" s="165" t="str">
        <f t="shared" si="9"/>
        <v/>
      </c>
      <c r="R247" s="165" t="str">
        <f t="shared" si="3"/>
        <v/>
      </c>
      <c r="S247" s="165" t="str">
        <f t="shared" si="10"/>
        <v/>
      </c>
      <c r="T247" s="165" t="str">
        <f t="shared" si="5"/>
        <v/>
      </c>
      <c r="U247" s="165" t="s">
        <v>1209</v>
      </c>
      <c r="V247" s="53"/>
      <c r="W247" s="52" t="str">
        <f t="shared" si="6"/>
        <v/>
      </c>
      <c r="X247" s="52">
        <f t="shared" si="7"/>
        <v>0</v>
      </c>
      <c r="Y247" s="52">
        <f t="shared" si="8"/>
        <v>0</v>
      </c>
      <c r="Z247" s="52" t="str">
        <f>IF(G247="","",IFERROR(VLOOKUP(G247,'Product_Stock_Master产品维护'!$A$2:$L992,11,FALSE),"No"))</f>
        <v/>
      </c>
      <c r="AA247" s="52" t="str">
        <f>IF(G247="","",IFERROR(VLOOKUP(G247,'Product_Stock_Master产品维护'!$A$2:$L992,12,FALSE),""))</f>
        <v/>
      </c>
      <c r="AB247" s="52" t="str">
        <f t="shared" si="11"/>
        <v/>
      </c>
      <c r="AC247" s="52">
        <f t="shared" si="12"/>
        <v>0</v>
      </c>
    </row>
    <row r="248" ht="15.75" customHeight="1">
      <c r="A248" s="163"/>
      <c r="B248" s="163"/>
      <c r="C248" s="164"/>
      <c r="D248" s="164"/>
      <c r="E248" s="164"/>
      <c r="F248" s="164"/>
      <c r="G248" s="164"/>
      <c r="H248" s="165" t="str">
        <f>IF(G248="","",IFERROR(VLOOKUP(G248,'Product_Stock_Master产品维护'!$A$2:$E992,2,FALSE()),"SKU not found"))</f>
        <v/>
      </c>
      <c r="I248" s="165" t="str">
        <f>IF(G248="","",IFERROR(VLOOKUP(G248,'Product_Stock_Master产品维护'!$A$2:$E992,3,FALSE()),"Item type not found"))</f>
        <v/>
      </c>
      <c r="J248" s="164"/>
      <c r="K248" s="164"/>
      <c r="L248" s="164"/>
      <c r="M248" s="164"/>
      <c r="N248" s="164"/>
      <c r="O248" s="165" t="str">
        <f t="shared" si="1"/>
        <v/>
      </c>
      <c r="P248" s="164"/>
      <c r="Q248" s="165" t="str">
        <f t="shared" si="9"/>
        <v/>
      </c>
      <c r="R248" s="165" t="str">
        <f t="shared" si="3"/>
        <v/>
      </c>
      <c r="S248" s="165" t="str">
        <f t="shared" si="10"/>
        <v/>
      </c>
      <c r="T248" s="165" t="str">
        <f t="shared" si="5"/>
        <v/>
      </c>
      <c r="U248" s="165" t="s">
        <v>1210</v>
      </c>
      <c r="V248" s="53"/>
      <c r="W248" s="52" t="str">
        <f t="shared" si="6"/>
        <v/>
      </c>
      <c r="X248" s="52">
        <f t="shared" si="7"/>
        <v>0</v>
      </c>
      <c r="Y248" s="52">
        <f t="shared" si="8"/>
        <v>0</v>
      </c>
      <c r="Z248" s="52" t="str">
        <f>IF(G248="","",IFERROR(VLOOKUP(G248,'Product_Stock_Master产品维护'!$A$2:$L992,11,FALSE),"No"))</f>
        <v/>
      </c>
      <c r="AA248" s="52" t="str">
        <f>IF(G248="","",IFERROR(VLOOKUP(G248,'Product_Stock_Master产品维护'!$A$2:$L992,12,FALSE),""))</f>
        <v/>
      </c>
      <c r="AB248" s="52" t="str">
        <f t="shared" si="11"/>
        <v/>
      </c>
      <c r="AC248" s="52">
        <f t="shared" si="12"/>
        <v>0</v>
      </c>
    </row>
    <row r="249" ht="15.75" customHeight="1">
      <c r="A249" s="163"/>
      <c r="B249" s="163"/>
      <c r="C249" s="164"/>
      <c r="D249" s="164"/>
      <c r="E249" s="164"/>
      <c r="F249" s="164"/>
      <c r="G249" s="164"/>
      <c r="H249" s="165" t="str">
        <f>IF(G249="","",IFERROR(VLOOKUP(G249,'Product_Stock_Master产品维护'!$A$2:$E992,2,FALSE()),"SKU not found"))</f>
        <v/>
      </c>
      <c r="I249" s="165" t="str">
        <f>IF(G249="","",IFERROR(VLOOKUP(G249,'Product_Stock_Master产品维护'!$A$2:$E992,3,FALSE()),"Item type not found"))</f>
        <v/>
      </c>
      <c r="J249" s="164"/>
      <c r="K249" s="164"/>
      <c r="L249" s="164"/>
      <c r="M249" s="164"/>
      <c r="N249" s="164"/>
      <c r="O249" s="165" t="str">
        <f t="shared" si="1"/>
        <v/>
      </c>
      <c r="P249" s="164"/>
      <c r="Q249" s="165" t="str">
        <f t="shared" si="9"/>
        <v/>
      </c>
      <c r="R249" s="165" t="str">
        <f t="shared" si="3"/>
        <v/>
      </c>
      <c r="S249" s="165" t="str">
        <f t="shared" si="10"/>
        <v/>
      </c>
      <c r="T249" s="165" t="str">
        <f t="shared" si="5"/>
        <v/>
      </c>
      <c r="U249" s="165" t="s">
        <v>1211</v>
      </c>
      <c r="V249" s="53"/>
      <c r="W249" s="52" t="str">
        <f t="shared" si="6"/>
        <v/>
      </c>
      <c r="X249" s="52">
        <f t="shared" si="7"/>
        <v>0</v>
      </c>
      <c r="Y249" s="52">
        <f t="shared" si="8"/>
        <v>0</v>
      </c>
      <c r="Z249" s="52" t="str">
        <f>IF(G249="","",IFERROR(VLOOKUP(G249,'Product_Stock_Master产品维护'!$A$2:$L992,11,FALSE),"No"))</f>
        <v/>
      </c>
      <c r="AA249" s="52" t="str">
        <f>IF(G249="","",IFERROR(VLOOKUP(G249,'Product_Stock_Master产品维护'!$A$2:$L992,12,FALSE),""))</f>
        <v/>
      </c>
      <c r="AB249" s="52" t="str">
        <f t="shared" si="11"/>
        <v/>
      </c>
      <c r="AC249" s="52">
        <f t="shared" si="12"/>
        <v>0</v>
      </c>
    </row>
    <row r="250" ht="15.75" customHeight="1">
      <c r="A250" s="163"/>
      <c r="B250" s="163"/>
      <c r="C250" s="164"/>
      <c r="D250" s="164"/>
      <c r="E250" s="164"/>
      <c r="F250" s="164"/>
      <c r="G250" s="164"/>
      <c r="H250" s="165" t="str">
        <f>IF(G250="","",IFERROR(VLOOKUP(G250,'Product_Stock_Master产品维护'!$A$2:$E992,2,FALSE()),"SKU not found"))</f>
        <v/>
      </c>
      <c r="I250" s="165" t="str">
        <f>IF(G250="","",IFERROR(VLOOKUP(G250,'Product_Stock_Master产品维护'!$A$2:$E992,3,FALSE()),"Item type not found"))</f>
        <v/>
      </c>
      <c r="J250" s="164"/>
      <c r="K250" s="164"/>
      <c r="L250" s="164"/>
      <c r="M250" s="164"/>
      <c r="N250" s="164"/>
      <c r="O250" s="165" t="str">
        <f t="shared" si="1"/>
        <v/>
      </c>
      <c r="P250" s="164"/>
      <c r="Q250" s="165" t="str">
        <f t="shared" si="9"/>
        <v/>
      </c>
      <c r="R250" s="165" t="str">
        <f t="shared" si="3"/>
        <v/>
      </c>
      <c r="S250" s="165" t="str">
        <f t="shared" si="10"/>
        <v/>
      </c>
      <c r="T250" s="165" t="str">
        <f t="shared" si="5"/>
        <v/>
      </c>
      <c r="U250" s="165" t="s">
        <v>1212</v>
      </c>
      <c r="V250" s="53"/>
      <c r="W250" s="52" t="str">
        <f t="shared" si="6"/>
        <v/>
      </c>
      <c r="X250" s="52">
        <f t="shared" si="7"/>
        <v>0</v>
      </c>
      <c r="Y250" s="52">
        <f t="shared" si="8"/>
        <v>0</v>
      </c>
      <c r="Z250" s="52" t="str">
        <f>IF(G250="","",IFERROR(VLOOKUP(G250,'Product_Stock_Master产品维护'!$A$2:$L992,11,FALSE),"No"))</f>
        <v/>
      </c>
      <c r="AA250" s="52" t="str">
        <f>IF(G250="","",IFERROR(VLOOKUP(G250,'Product_Stock_Master产品维护'!$A$2:$L992,12,FALSE),""))</f>
        <v/>
      </c>
      <c r="AB250" s="52" t="str">
        <f t="shared" si="11"/>
        <v/>
      </c>
      <c r="AC250" s="52">
        <f t="shared" si="12"/>
        <v>0</v>
      </c>
    </row>
    <row r="251" ht="15.75" customHeight="1">
      <c r="A251" s="163"/>
      <c r="B251" s="163"/>
      <c r="C251" s="164"/>
      <c r="D251" s="164"/>
      <c r="E251" s="164"/>
      <c r="F251" s="164"/>
      <c r="G251" s="164"/>
      <c r="H251" s="165" t="str">
        <f>IF(G251="","",IFERROR(VLOOKUP(G251,'Product_Stock_Master产品维护'!$A$2:$E992,2,FALSE()),"SKU not found"))</f>
        <v/>
      </c>
      <c r="I251" s="165" t="str">
        <f>IF(G251="","",IFERROR(VLOOKUP(G251,'Product_Stock_Master产品维护'!$A$2:$E992,3,FALSE()),"Item type not found"))</f>
        <v/>
      </c>
      <c r="J251" s="164"/>
      <c r="K251" s="164"/>
      <c r="L251" s="164"/>
      <c r="M251" s="164"/>
      <c r="N251" s="164"/>
      <c r="O251" s="165" t="str">
        <f t="shared" si="1"/>
        <v/>
      </c>
      <c r="P251" s="164"/>
      <c r="Q251" s="165" t="str">
        <f t="shared" si="9"/>
        <v/>
      </c>
      <c r="R251" s="165" t="str">
        <f t="shared" si="3"/>
        <v/>
      </c>
      <c r="S251" s="165" t="str">
        <f t="shared" si="10"/>
        <v/>
      </c>
      <c r="T251" s="165" t="str">
        <f t="shared" si="5"/>
        <v/>
      </c>
      <c r="U251" s="165" t="s">
        <v>1213</v>
      </c>
      <c r="V251" s="53"/>
      <c r="W251" s="52" t="str">
        <f t="shared" si="6"/>
        <v/>
      </c>
      <c r="X251" s="52">
        <f t="shared" si="7"/>
        <v>0</v>
      </c>
      <c r="Y251" s="52">
        <f t="shared" si="8"/>
        <v>0</v>
      </c>
      <c r="Z251" s="52" t="str">
        <f>IF(G251="","",IFERROR(VLOOKUP(G251,'Product_Stock_Master产品维护'!$A$2:$L992,11,FALSE),"No"))</f>
        <v/>
      </c>
      <c r="AA251" s="52" t="str">
        <f>IF(G251="","",IFERROR(VLOOKUP(G251,'Product_Stock_Master产品维护'!$A$2:$L992,12,FALSE),""))</f>
        <v/>
      </c>
      <c r="AB251" s="52" t="str">
        <f t="shared" si="11"/>
        <v/>
      </c>
      <c r="AC251" s="52">
        <f t="shared" si="12"/>
        <v>0</v>
      </c>
    </row>
    <row r="252" ht="15.75" customHeight="1">
      <c r="A252" s="163"/>
      <c r="B252" s="163"/>
      <c r="C252" s="164"/>
      <c r="D252" s="164"/>
      <c r="E252" s="164"/>
      <c r="F252" s="164"/>
      <c r="G252" s="164"/>
      <c r="H252" s="165" t="str">
        <f>IF(G252="","",IFERROR(VLOOKUP(G252,'Product_Stock_Master产品维护'!$A$2:$E992,2,FALSE()),"SKU not found"))</f>
        <v/>
      </c>
      <c r="I252" s="165" t="str">
        <f>IF(G252="","",IFERROR(VLOOKUP(G252,'Product_Stock_Master产品维护'!$A$2:$E992,3,FALSE()),"Item type not found"))</f>
        <v/>
      </c>
      <c r="J252" s="164"/>
      <c r="K252" s="164"/>
      <c r="L252" s="164"/>
      <c r="M252" s="164"/>
      <c r="N252" s="164"/>
      <c r="O252" s="165" t="str">
        <f t="shared" si="1"/>
        <v/>
      </c>
      <c r="P252" s="164"/>
      <c r="Q252" s="165" t="str">
        <f t="shared" si="9"/>
        <v/>
      </c>
      <c r="R252" s="165" t="str">
        <f t="shared" si="3"/>
        <v/>
      </c>
      <c r="S252" s="165" t="str">
        <f t="shared" si="10"/>
        <v/>
      </c>
      <c r="T252" s="165" t="str">
        <f t="shared" si="5"/>
        <v/>
      </c>
      <c r="U252" s="165" t="s">
        <v>1214</v>
      </c>
      <c r="V252" s="53"/>
      <c r="W252" s="52" t="str">
        <f t="shared" si="6"/>
        <v/>
      </c>
      <c r="X252" s="52">
        <f t="shared" si="7"/>
        <v>0</v>
      </c>
      <c r="Y252" s="52">
        <f t="shared" si="8"/>
        <v>0</v>
      </c>
      <c r="Z252" s="52" t="str">
        <f>IF(G252="","",IFERROR(VLOOKUP(G252,'Product_Stock_Master产品维护'!$A$2:$L992,11,FALSE),"No"))</f>
        <v/>
      </c>
      <c r="AA252" s="52" t="str">
        <f>IF(G252="","",IFERROR(VLOOKUP(G252,'Product_Stock_Master产品维护'!$A$2:$L992,12,FALSE),""))</f>
        <v/>
      </c>
      <c r="AB252" s="52" t="str">
        <f t="shared" si="11"/>
        <v/>
      </c>
      <c r="AC252" s="52">
        <f t="shared" si="12"/>
        <v>0</v>
      </c>
    </row>
    <row r="253" ht="15.75" customHeight="1">
      <c r="A253" s="163"/>
      <c r="B253" s="163"/>
      <c r="C253" s="164"/>
      <c r="D253" s="164"/>
      <c r="E253" s="164"/>
      <c r="F253" s="164"/>
      <c r="G253" s="164"/>
      <c r="H253" s="165" t="str">
        <f>IF(G253="","",IFERROR(VLOOKUP(G253,'Product_Stock_Master产品维护'!$A$2:$E992,2,FALSE()),"SKU not found"))</f>
        <v/>
      </c>
      <c r="I253" s="165" t="str">
        <f>IF(G253="","",IFERROR(VLOOKUP(G253,'Product_Stock_Master产品维护'!$A$2:$E992,3,FALSE()),"Item type not found"))</f>
        <v/>
      </c>
      <c r="J253" s="164"/>
      <c r="K253" s="164"/>
      <c r="L253" s="164"/>
      <c r="M253" s="164"/>
      <c r="N253" s="164"/>
      <c r="O253" s="165" t="str">
        <f t="shared" si="1"/>
        <v/>
      </c>
      <c r="P253" s="164"/>
      <c r="Q253" s="165" t="str">
        <f t="shared" si="9"/>
        <v/>
      </c>
      <c r="R253" s="165" t="str">
        <f t="shared" si="3"/>
        <v/>
      </c>
      <c r="S253" s="165" t="str">
        <f t="shared" si="10"/>
        <v/>
      </c>
      <c r="T253" s="165" t="str">
        <f t="shared" si="5"/>
        <v/>
      </c>
      <c r="U253" s="165" t="s">
        <v>1215</v>
      </c>
      <c r="V253" s="53"/>
      <c r="W253" s="52" t="str">
        <f t="shared" si="6"/>
        <v/>
      </c>
      <c r="X253" s="52">
        <f t="shared" si="7"/>
        <v>0</v>
      </c>
      <c r="Y253" s="52">
        <f t="shared" si="8"/>
        <v>0</v>
      </c>
      <c r="Z253" s="52" t="str">
        <f>IF(G253="","",IFERROR(VLOOKUP(G253,'Product_Stock_Master产品维护'!$A$2:$L992,11,FALSE),"No"))</f>
        <v/>
      </c>
      <c r="AA253" s="52" t="str">
        <f>IF(G253="","",IFERROR(VLOOKUP(G253,'Product_Stock_Master产品维护'!$A$2:$L992,12,FALSE),""))</f>
        <v/>
      </c>
      <c r="AB253" s="52" t="str">
        <f t="shared" si="11"/>
        <v/>
      </c>
      <c r="AC253" s="52">
        <f t="shared" si="12"/>
        <v>0</v>
      </c>
    </row>
    <row r="254" ht="15.75" customHeight="1">
      <c r="A254" s="163"/>
      <c r="B254" s="163"/>
      <c r="C254" s="164"/>
      <c r="D254" s="164"/>
      <c r="E254" s="164"/>
      <c r="F254" s="164"/>
      <c r="G254" s="164"/>
      <c r="H254" s="165" t="str">
        <f>IF(G254="","",IFERROR(VLOOKUP(G254,'Product_Stock_Master产品维护'!$A$2:$E992,2,FALSE()),"SKU not found"))</f>
        <v/>
      </c>
      <c r="I254" s="165" t="str">
        <f>IF(G254="","",IFERROR(VLOOKUP(G254,'Product_Stock_Master产品维护'!$A$2:$E992,3,FALSE()),"Item type not found"))</f>
        <v/>
      </c>
      <c r="J254" s="164"/>
      <c r="K254" s="164"/>
      <c r="L254" s="164"/>
      <c r="M254" s="164"/>
      <c r="N254" s="164"/>
      <c r="O254" s="165" t="str">
        <f t="shared" si="1"/>
        <v/>
      </c>
      <c r="P254" s="164"/>
      <c r="Q254" s="165" t="str">
        <f t="shared" si="9"/>
        <v/>
      </c>
      <c r="R254" s="165" t="str">
        <f t="shared" si="3"/>
        <v/>
      </c>
      <c r="S254" s="165" t="str">
        <f t="shared" si="10"/>
        <v/>
      </c>
      <c r="T254" s="165" t="str">
        <f t="shared" si="5"/>
        <v/>
      </c>
      <c r="U254" s="165" t="s">
        <v>1216</v>
      </c>
      <c r="V254" s="53"/>
      <c r="W254" s="52" t="str">
        <f t="shared" si="6"/>
        <v/>
      </c>
      <c r="X254" s="52">
        <f t="shared" si="7"/>
        <v>0</v>
      </c>
      <c r="Y254" s="52">
        <f t="shared" si="8"/>
        <v>0</v>
      </c>
      <c r="Z254" s="52" t="str">
        <f>IF(G254="","",IFERROR(VLOOKUP(G254,'Product_Stock_Master产品维护'!$A$2:$L992,11,FALSE),"No"))</f>
        <v/>
      </c>
      <c r="AA254" s="52" t="str">
        <f>IF(G254="","",IFERROR(VLOOKUP(G254,'Product_Stock_Master产品维护'!$A$2:$L992,12,FALSE),""))</f>
        <v/>
      </c>
      <c r="AB254" s="52" t="str">
        <f t="shared" si="11"/>
        <v/>
      </c>
      <c r="AC254" s="52">
        <f t="shared" si="12"/>
        <v>0</v>
      </c>
    </row>
    <row r="255" ht="15.75" customHeight="1">
      <c r="A255" s="163"/>
      <c r="B255" s="163"/>
      <c r="C255" s="164"/>
      <c r="D255" s="164"/>
      <c r="E255" s="164"/>
      <c r="F255" s="164"/>
      <c r="G255" s="164"/>
      <c r="H255" s="165" t="str">
        <f>IF(G255="","",IFERROR(VLOOKUP(G255,'Product_Stock_Master产品维护'!$A$2:$E992,2,FALSE()),"SKU not found"))</f>
        <v/>
      </c>
      <c r="I255" s="165" t="str">
        <f>IF(G255="","",IFERROR(VLOOKUP(G255,'Product_Stock_Master产品维护'!$A$2:$E992,3,FALSE()),"Item type not found"))</f>
        <v/>
      </c>
      <c r="J255" s="164"/>
      <c r="K255" s="164"/>
      <c r="L255" s="164"/>
      <c r="M255" s="164"/>
      <c r="N255" s="164"/>
      <c r="O255" s="165" t="str">
        <f t="shared" si="1"/>
        <v/>
      </c>
      <c r="P255" s="164"/>
      <c r="Q255" s="165" t="str">
        <f t="shared" si="9"/>
        <v/>
      </c>
      <c r="R255" s="165" t="str">
        <f t="shared" si="3"/>
        <v/>
      </c>
      <c r="S255" s="165" t="str">
        <f t="shared" si="10"/>
        <v/>
      </c>
      <c r="T255" s="165" t="str">
        <f t="shared" si="5"/>
        <v/>
      </c>
      <c r="U255" s="165" t="s">
        <v>1217</v>
      </c>
      <c r="V255" s="53"/>
      <c r="W255" s="52" t="str">
        <f t="shared" si="6"/>
        <v/>
      </c>
      <c r="X255" s="52">
        <f t="shared" si="7"/>
        <v>0</v>
      </c>
      <c r="Y255" s="52">
        <f t="shared" si="8"/>
        <v>0</v>
      </c>
      <c r="Z255" s="52" t="str">
        <f>IF(G255="","",IFERROR(VLOOKUP(G255,'Product_Stock_Master产品维护'!$A$2:$L992,11,FALSE),"No"))</f>
        <v/>
      </c>
      <c r="AA255" s="52" t="str">
        <f>IF(G255="","",IFERROR(VLOOKUP(G255,'Product_Stock_Master产品维护'!$A$2:$L992,12,FALSE),""))</f>
        <v/>
      </c>
      <c r="AB255" s="52" t="str">
        <f t="shared" si="11"/>
        <v/>
      </c>
      <c r="AC255" s="52">
        <f t="shared" si="12"/>
        <v>0</v>
      </c>
    </row>
    <row r="256" ht="15.75" customHeight="1">
      <c r="A256" s="163"/>
      <c r="B256" s="163"/>
      <c r="C256" s="164"/>
      <c r="D256" s="164"/>
      <c r="E256" s="164"/>
      <c r="F256" s="164"/>
      <c r="G256" s="164"/>
      <c r="H256" s="165" t="str">
        <f>IF(G256="","",IFERROR(VLOOKUP(G256,'Product_Stock_Master产品维护'!$A$2:$E992,2,FALSE()),"SKU not found"))</f>
        <v/>
      </c>
      <c r="I256" s="165" t="str">
        <f>IF(G256="","",IFERROR(VLOOKUP(G256,'Product_Stock_Master产品维护'!$A$2:$E992,3,FALSE()),"Item type not found"))</f>
        <v/>
      </c>
      <c r="J256" s="164"/>
      <c r="K256" s="164"/>
      <c r="L256" s="164"/>
      <c r="M256" s="164"/>
      <c r="N256" s="164"/>
      <c r="O256" s="165" t="str">
        <f t="shared" si="1"/>
        <v/>
      </c>
      <c r="P256" s="164"/>
      <c r="Q256" s="165" t="str">
        <f t="shared" si="9"/>
        <v/>
      </c>
      <c r="R256" s="165" t="str">
        <f t="shared" si="3"/>
        <v/>
      </c>
      <c r="S256" s="165" t="str">
        <f t="shared" si="10"/>
        <v/>
      </c>
      <c r="T256" s="165" t="str">
        <f t="shared" si="5"/>
        <v/>
      </c>
      <c r="U256" s="165" t="s">
        <v>1218</v>
      </c>
      <c r="V256" s="53"/>
      <c r="W256" s="52" t="str">
        <f t="shared" si="6"/>
        <v/>
      </c>
      <c r="X256" s="52">
        <f t="shared" si="7"/>
        <v>0</v>
      </c>
      <c r="Y256" s="52">
        <f t="shared" si="8"/>
        <v>0</v>
      </c>
      <c r="Z256" s="52" t="str">
        <f>IF(G256="","",IFERROR(VLOOKUP(G256,'Product_Stock_Master产品维护'!$A$2:$L992,11,FALSE),"No"))</f>
        <v/>
      </c>
      <c r="AA256" s="52" t="str">
        <f>IF(G256="","",IFERROR(VLOOKUP(G256,'Product_Stock_Master产品维护'!$A$2:$L992,12,FALSE),""))</f>
        <v/>
      </c>
      <c r="AB256" s="52" t="str">
        <f t="shared" si="11"/>
        <v/>
      </c>
      <c r="AC256" s="52">
        <f t="shared" si="12"/>
        <v>0</v>
      </c>
    </row>
    <row r="257" ht="15.75" customHeight="1">
      <c r="A257" s="163"/>
      <c r="B257" s="163"/>
      <c r="C257" s="164"/>
      <c r="D257" s="164"/>
      <c r="E257" s="164"/>
      <c r="F257" s="164"/>
      <c r="G257" s="164"/>
      <c r="H257" s="165" t="str">
        <f>IF(G257="","",IFERROR(VLOOKUP(G257,'Product_Stock_Master产品维护'!$A$2:$E992,2,FALSE()),"SKU not found"))</f>
        <v/>
      </c>
      <c r="I257" s="165" t="str">
        <f>IF(G257="","",IFERROR(VLOOKUP(G257,'Product_Stock_Master产品维护'!$A$2:$E992,3,FALSE()),"Item type not found"))</f>
        <v/>
      </c>
      <c r="J257" s="164"/>
      <c r="K257" s="164"/>
      <c r="L257" s="164"/>
      <c r="M257" s="164"/>
      <c r="N257" s="164"/>
      <c r="O257" s="165" t="str">
        <f t="shared" si="1"/>
        <v/>
      </c>
      <c r="P257" s="164"/>
      <c r="Q257" s="165" t="str">
        <f t="shared" si="9"/>
        <v/>
      </c>
      <c r="R257" s="165" t="str">
        <f t="shared" si="3"/>
        <v/>
      </c>
      <c r="S257" s="165" t="str">
        <f t="shared" si="10"/>
        <v/>
      </c>
      <c r="T257" s="165" t="str">
        <f t="shared" si="5"/>
        <v/>
      </c>
      <c r="U257" s="165" t="s">
        <v>1219</v>
      </c>
      <c r="V257" s="53"/>
      <c r="W257" s="52" t="str">
        <f t="shared" si="6"/>
        <v/>
      </c>
      <c r="X257" s="52">
        <f t="shared" si="7"/>
        <v>0</v>
      </c>
      <c r="Y257" s="52">
        <f t="shared" si="8"/>
        <v>0</v>
      </c>
      <c r="Z257" s="52" t="str">
        <f>IF(G257="","",IFERROR(VLOOKUP(G257,'Product_Stock_Master产品维护'!$A$2:$L992,11,FALSE),"No"))</f>
        <v/>
      </c>
      <c r="AA257" s="52" t="str">
        <f>IF(G257="","",IFERROR(VLOOKUP(G257,'Product_Stock_Master产品维护'!$A$2:$L992,12,FALSE),""))</f>
        <v/>
      </c>
      <c r="AB257" s="52" t="str">
        <f t="shared" si="11"/>
        <v/>
      </c>
      <c r="AC257" s="52">
        <f t="shared" si="12"/>
        <v>0</v>
      </c>
    </row>
    <row r="258" ht="15.75" customHeight="1">
      <c r="A258" s="163"/>
      <c r="B258" s="163"/>
      <c r="C258" s="164"/>
      <c r="D258" s="164"/>
      <c r="E258" s="164"/>
      <c r="F258" s="164"/>
      <c r="G258" s="164"/>
      <c r="H258" s="165" t="str">
        <f>IF(G258="","",IFERROR(VLOOKUP(G258,'Product_Stock_Master产品维护'!$A$2:$E992,2,FALSE()),"SKU not found"))</f>
        <v/>
      </c>
      <c r="I258" s="165" t="str">
        <f>IF(G258="","",IFERROR(VLOOKUP(G258,'Product_Stock_Master产品维护'!$A$2:$E992,3,FALSE()),"Item type not found"))</f>
        <v/>
      </c>
      <c r="J258" s="164"/>
      <c r="K258" s="164"/>
      <c r="L258" s="164"/>
      <c r="M258" s="164"/>
      <c r="N258" s="164"/>
      <c r="O258" s="165" t="str">
        <f t="shared" si="1"/>
        <v/>
      </c>
      <c r="P258" s="164"/>
      <c r="Q258" s="165" t="str">
        <f t="shared" si="9"/>
        <v/>
      </c>
      <c r="R258" s="165" t="str">
        <f t="shared" si="3"/>
        <v/>
      </c>
      <c r="S258" s="165" t="str">
        <f t="shared" si="10"/>
        <v/>
      </c>
      <c r="T258" s="165" t="str">
        <f t="shared" si="5"/>
        <v/>
      </c>
      <c r="U258" s="165" t="s">
        <v>1220</v>
      </c>
      <c r="V258" s="53"/>
      <c r="W258" s="52" t="str">
        <f t="shared" si="6"/>
        <v/>
      </c>
      <c r="X258" s="52">
        <f t="shared" si="7"/>
        <v>0</v>
      </c>
      <c r="Y258" s="52">
        <f t="shared" si="8"/>
        <v>0</v>
      </c>
      <c r="Z258" s="52" t="str">
        <f>IF(G258="","",IFERROR(VLOOKUP(G258,'Product_Stock_Master产品维护'!$A$2:$L992,11,FALSE),"No"))</f>
        <v/>
      </c>
      <c r="AA258" s="52" t="str">
        <f>IF(G258="","",IFERROR(VLOOKUP(G258,'Product_Stock_Master产品维护'!$A$2:$L992,12,FALSE),""))</f>
        <v/>
      </c>
      <c r="AB258" s="52" t="str">
        <f t="shared" si="11"/>
        <v/>
      </c>
      <c r="AC258" s="52">
        <f t="shared" si="12"/>
        <v>0</v>
      </c>
    </row>
    <row r="259" ht="15.75" customHeight="1">
      <c r="A259" s="163"/>
      <c r="B259" s="163"/>
      <c r="C259" s="164"/>
      <c r="D259" s="164"/>
      <c r="E259" s="164"/>
      <c r="F259" s="164"/>
      <c r="G259" s="164"/>
      <c r="H259" s="165" t="str">
        <f>IF(G259="","",IFERROR(VLOOKUP(G259,'Product_Stock_Master产品维护'!$A$2:$E992,2,FALSE()),"SKU not found"))</f>
        <v/>
      </c>
      <c r="I259" s="165" t="str">
        <f>IF(G259="","",IFERROR(VLOOKUP(G259,'Product_Stock_Master产品维护'!$A$2:$E992,3,FALSE()),"Item type not found"))</f>
        <v/>
      </c>
      <c r="J259" s="164"/>
      <c r="K259" s="164"/>
      <c r="L259" s="164"/>
      <c r="M259" s="164"/>
      <c r="N259" s="164"/>
      <c r="O259" s="165" t="str">
        <f t="shared" si="1"/>
        <v/>
      </c>
      <c r="P259" s="164"/>
      <c r="Q259" s="165" t="str">
        <f t="shared" si="9"/>
        <v/>
      </c>
      <c r="R259" s="165" t="str">
        <f t="shared" si="3"/>
        <v/>
      </c>
      <c r="S259" s="165" t="str">
        <f t="shared" si="10"/>
        <v/>
      </c>
      <c r="T259" s="165" t="str">
        <f t="shared" si="5"/>
        <v/>
      </c>
      <c r="U259" s="165" t="s">
        <v>1221</v>
      </c>
      <c r="V259" s="53"/>
      <c r="W259" s="52" t="str">
        <f t="shared" si="6"/>
        <v/>
      </c>
      <c r="X259" s="52">
        <f t="shared" si="7"/>
        <v>0</v>
      </c>
      <c r="Y259" s="52">
        <f t="shared" si="8"/>
        <v>0</v>
      </c>
      <c r="Z259" s="52" t="str">
        <f>IF(G259="","",IFERROR(VLOOKUP(G259,'Product_Stock_Master产品维护'!$A$2:$L992,11,FALSE),"No"))</f>
        <v/>
      </c>
      <c r="AA259" s="52" t="str">
        <f>IF(G259="","",IFERROR(VLOOKUP(G259,'Product_Stock_Master产品维护'!$A$2:$L992,12,FALSE),""))</f>
        <v/>
      </c>
      <c r="AB259" s="52" t="str">
        <f t="shared" si="11"/>
        <v/>
      </c>
      <c r="AC259" s="52">
        <f t="shared" si="12"/>
        <v>0</v>
      </c>
    </row>
    <row r="260" ht="15.75" customHeight="1">
      <c r="A260" s="163"/>
      <c r="B260" s="163"/>
      <c r="C260" s="164"/>
      <c r="D260" s="164"/>
      <c r="E260" s="164"/>
      <c r="F260" s="164"/>
      <c r="G260" s="164"/>
      <c r="H260" s="165" t="str">
        <f>IF(G260="","",IFERROR(VLOOKUP(G260,'Product_Stock_Master产品维护'!$A$2:$E992,2,FALSE()),"SKU not found"))</f>
        <v/>
      </c>
      <c r="I260" s="165" t="str">
        <f>IF(G260="","",IFERROR(VLOOKUP(G260,'Product_Stock_Master产品维护'!$A$2:$E992,3,FALSE()),"Item type not found"))</f>
        <v/>
      </c>
      <c r="J260" s="164"/>
      <c r="K260" s="164"/>
      <c r="L260" s="164"/>
      <c r="M260" s="164"/>
      <c r="N260" s="164"/>
      <c r="O260" s="165" t="str">
        <f t="shared" si="1"/>
        <v/>
      </c>
      <c r="P260" s="164"/>
      <c r="Q260" s="165" t="str">
        <f t="shared" si="9"/>
        <v/>
      </c>
      <c r="R260" s="165" t="str">
        <f t="shared" si="3"/>
        <v/>
      </c>
      <c r="S260" s="165" t="str">
        <f t="shared" si="10"/>
        <v/>
      </c>
      <c r="T260" s="165" t="str">
        <f t="shared" si="5"/>
        <v/>
      </c>
      <c r="U260" s="165" t="s">
        <v>1222</v>
      </c>
      <c r="V260" s="53"/>
      <c r="W260" s="52" t="str">
        <f t="shared" si="6"/>
        <v/>
      </c>
      <c r="X260" s="52">
        <f t="shared" si="7"/>
        <v>0</v>
      </c>
      <c r="Y260" s="52">
        <f t="shared" si="8"/>
        <v>0</v>
      </c>
      <c r="Z260" s="52" t="str">
        <f>IF(G260="","",IFERROR(VLOOKUP(G260,'Product_Stock_Master产品维护'!$A$2:$L992,11,FALSE),"No"))</f>
        <v/>
      </c>
      <c r="AA260" s="52" t="str">
        <f>IF(G260="","",IFERROR(VLOOKUP(G260,'Product_Stock_Master产品维护'!$A$2:$L992,12,FALSE),""))</f>
        <v/>
      </c>
      <c r="AB260" s="52" t="str">
        <f t="shared" si="11"/>
        <v/>
      </c>
      <c r="AC260" s="52">
        <f t="shared" si="12"/>
        <v>0</v>
      </c>
    </row>
    <row r="261" ht="15.75" customHeight="1">
      <c r="A261" s="163"/>
      <c r="B261" s="163"/>
      <c r="C261" s="164"/>
      <c r="D261" s="164"/>
      <c r="E261" s="164"/>
      <c r="F261" s="164"/>
      <c r="G261" s="164"/>
      <c r="H261" s="165" t="str">
        <f>IF(G261="","",IFERROR(VLOOKUP(G261,'Product_Stock_Master产品维护'!$A$2:$E992,2,FALSE()),"SKU not found"))</f>
        <v/>
      </c>
      <c r="I261" s="165" t="str">
        <f>IF(G261="","",IFERROR(VLOOKUP(G261,'Product_Stock_Master产品维护'!$A$2:$E992,3,FALSE()),"Item type not found"))</f>
        <v/>
      </c>
      <c r="J261" s="164"/>
      <c r="K261" s="164"/>
      <c r="L261" s="164"/>
      <c r="M261" s="164"/>
      <c r="N261" s="164"/>
      <c r="O261" s="165" t="str">
        <f t="shared" si="1"/>
        <v/>
      </c>
      <c r="P261" s="164"/>
      <c r="Q261" s="165" t="str">
        <f t="shared" si="9"/>
        <v/>
      </c>
      <c r="R261" s="165" t="str">
        <f t="shared" si="3"/>
        <v/>
      </c>
      <c r="S261" s="165" t="str">
        <f t="shared" si="10"/>
        <v/>
      </c>
      <c r="T261" s="165" t="str">
        <f t="shared" si="5"/>
        <v/>
      </c>
      <c r="U261" s="165" t="s">
        <v>1223</v>
      </c>
      <c r="V261" s="53"/>
      <c r="W261" s="52" t="str">
        <f t="shared" si="6"/>
        <v/>
      </c>
      <c r="X261" s="52">
        <f t="shared" si="7"/>
        <v>0</v>
      </c>
      <c r="Y261" s="52">
        <f t="shared" si="8"/>
        <v>0</v>
      </c>
      <c r="Z261" s="52" t="str">
        <f>IF(G261="","",IFERROR(VLOOKUP(G261,'Product_Stock_Master产品维护'!$A$2:$L992,11,FALSE),"No"))</f>
        <v/>
      </c>
      <c r="AA261" s="52" t="str">
        <f>IF(G261="","",IFERROR(VLOOKUP(G261,'Product_Stock_Master产品维护'!$A$2:$L992,12,FALSE),""))</f>
        <v/>
      </c>
      <c r="AB261" s="52" t="str">
        <f t="shared" si="11"/>
        <v/>
      </c>
      <c r="AC261" s="52">
        <f t="shared" si="12"/>
        <v>0</v>
      </c>
    </row>
    <row r="262" ht="15.75" customHeight="1">
      <c r="A262" s="163"/>
      <c r="B262" s="163"/>
      <c r="C262" s="164"/>
      <c r="D262" s="164"/>
      <c r="E262" s="164"/>
      <c r="F262" s="164"/>
      <c r="G262" s="164"/>
      <c r="H262" s="165" t="str">
        <f>IF(G262="","",IFERROR(VLOOKUP(G262,'Product_Stock_Master产品维护'!$A$2:$E992,2,FALSE()),"SKU not found"))</f>
        <v/>
      </c>
      <c r="I262" s="165" t="str">
        <f>IF(G262="","",IFERROR(VLOOKUP(G262,'Product_Stock_Master产品维护'!$A$2:$E992,3,FALSE()),"Item type not found"))</f>
        <v/>
      </c>
      <c r="J262" s="164"/>
      <c r="K262" s="164"/>
      <c r="L262" s="164"/>
      <c r="M262" s="164"/>
      <c r="N262" s="164"/>
      <c r="O262" s="165" t="str">
        <f t="shared" si="1"/>
        <v/>
      </c>
      <c r="P262" s="164"/>
      <c r="Q262" s="165" t="str">
        <f t="shared" si="9"/>
        <v/>
      </c>
      <c r="R262" s="165" t="str">
        <f t="shared" si="3"/>
        <v/>
      </c>
      <c r="S262" s="165" t="str">
        <f t="shared" si="10"/>
        <v/>
      </c>
      <c r="T262" s="165" t="str">
        <f t="shared" si="5"/>
        <v/>
      </c>
      <c r="U262" s="165" t="s">
        <v>1224</v>
      </c>
      <c r="V262" s="53"/>
      <c r="W262" s="52" t="str">
        <f t="shared" si="6"/>
        <v/>
      </c>
      <c r="X262" s="52">
        <f t="shared" si="7"/>
        <v>0</v>
      </c>
      <c r="Y262" s="52">
        <f t="shared" si="8"/>
        <v>0</v>
      </c>
      <c r="Z262" s="52" t="str">
        <f>IF(G262="","",IFERROR(VLOOKUP(G262,'Product_Stock_Master产品维护'!$A$2:$L992,11,FALSE),"No"))</f>
        <v/>
      </c>
      <c r="AA262" s="52" t="str">
        <f>IF(G262="","",IFERROR(VLOOKUP(G262,'Product_Stock_Master产品维护'!$A$2:$L992,12,FALSE),""))</f>
        <v/>
      </c>
      <c r="AB262" s="52" t="str">
        <f t="shared" si="11"/>
        <v/>
      </c>
      <c r="AC262" s="52">
        <f t="shared" si="12"/>
        <v>0</v>
      </c>
    </row>
    <row r="263" ht="15.75" customHeight="1">
      <c r="A263" s="163"/>
      <c r="B263" s="163"/>
      <c r="C263" s="164"/>
      <c r="D263" s="164"/>
      <c r="E263" s="164"/>
      <c r="F263" s="164"/>
      <c r="G263" s="164"/>
      <c r="H263" s="165" t="str">
        <f>IF(G263="","",IFERROR(VLOOKUP(G263,'Product_Stock_Master产品维护'!$A$2:$E992,2,FALSE()),"SKU not found"))</f>
        <v/>
      </c>
      <c r="I263" s="165" t="str">
        <f>IF(G263="","",IFERROR(VLOOKUP(G263,'Product_Stock_Master产品维护'!$A$2:$E992,3,FALSE()),"Item type not found"))</f>
        <v/>
      </c>
      <c r="J263" s="164"/>
      <c r="K263" s="164"/>
      <c r="L263" s="164"/>
      <c r="M263" s="164"/>
      <c r="N263" s="164"/>
      <c r="O263" s="165" t="str">
        <f t="shared" si="1"/>
        <v/>
      </c>
      <c r="P263" s="164"/>
      <c r="Q263" s="165" t="str">
        <f t="shared" si="9"/>
        <v/>
      </c>
      <c r="R263" s="165" t="str">
        <f t="shared" si="3"/>
        <v/>
      </c>
      <c r="S263" s="165" t="str">
        <f t="shared" si="10"/>
        <v/>
      </c>
      <c r="T263" s="165" t="str">
        <f t="shared" si="5"/>
        <v/>
      </c>
      <c r="U263" s="165" t="s">
        <v>1225</v>
      </c>
      <c r="V263" s="53"/>
      <c r="W263" s="52" t="str">
        <f t="shared" si="6"/>
        <v/>
      </c>
      <c r="X263" s="52">
        <f t="shared" si="7"/>
        <v>0</v>
      </c>
      <c r="Y263" s="52">
        <f t="shared" si="8"/>
        <v>0</v>
      </c>
      <c r="Z263" s="52" t="str">
        <f>IF(G263="","",IFERROR(VLOOKUP(G263,'Product_Stock_Master产品维护'!$A$2:$L992,11,FALSE),"No"))</f>
        <v/>
      </c>
      <c r="AA263" s="52" t="str">
        <f>IF(G263="","",IFERROR(VLOOKUP(G263,'Product_Stock_Master产品维护'!$A$2:$L992,12,FALSE),""))</f>
        <v/>
      </c>
      <c r="AB263" s="52" t="str">
        <f t="shared" si="11"/>
        <v/>
      </c>
      <c r="AC263" s="52">
        <f t="shared" si="12"/>
        <v>0</v>
      </c>
    </row>
    <row r="264" ht="15.75" customHeight="1">
      <c r="A264" s="163"/>
      <c r="B264" s="163"/>
      <c r="C264" s="164"/>
      <c r="D264" s="164"/>
      <c r="E264" s="164"/>
      <c r="F264" s="164"/>
      <c r="G264" s="164"/>
      <c r="H264" s="165" t="str">
        <f>IF(G264="","",IFERROR(VLOOKUP(G264,'Product_Stock_Master产品维护'!$A$2:$E992,2,FALSE()),"SKU not found"))</f>
        <v/>
      </c>
      <c r="I264" s="165" t="str">
        <f>IF(G264="","",IFERROR(VLOOKUP(G264,'Product_Stock_Master产品维护'!$A$2:$E992,3,FALSE()),"Item type not found"))</f>
        <v/>
      </c>
      <c r="J264" s="164"/>
      <c r="K264" s="164"/>
      <c r="L264" s="164"/>
      <c r="M264" s="164"/>
      <c r="N264" s="164"/>
      <c r="O264" s="165" t="str">
        <f t="shared" si="1"/>
        <v/>
      </c>
      <c r="P264" s="164"/>
      <c r="Q264" s="165" t="str">
        <f t="shared" si="9"/>
        <v/>
      </c>
      <c r="R264" s="165" t="str">
        <f t="shared" si="3"/>
        <v/>
      </c>
      <c r="S264" s="165" t="str">
        <f t="shared" si="10"/>
        <v/>
      </c>
      <c r="T264" s="165" t="str">
        <f t="shared" si="5"/>
        <v/>
      </c>
      <c r="U264" s="165" t="s">
        <v>1226</v>
      </c>
      <c r="V264" s="53"/>
      <c r="W264" s="52" t="str">
        <f t="shared" si="6"/>
        <v/>
      </c>
      <c r="X264" s="52">
        <f t="shared" si="7"/>
        <v>0</v>
      </c>
      <c r="Y264" s="52">
        <f t="shared" si="8"/>
        <v>0</v>
      </c>
      <c r="Z264" s="52" t="str">
        <f>IF(G264="","",IFERROR(VLOOKUP(G264,'Product_Stock_Master产品维护'!$A$2:$L992,11,FALSE),"No"))</f>
        <v/>
      </c>
      <c r="AA264" s="52" t="str">
        <f>IF(G264="","",IFERROR(VLOOKUP(G264,'Product_Stock_Master产品维护'!$A$2:$L992,12,FALSE),""))</f>
        <v/>
      </c>
      <c r="AB264" s="52" t="str">
        <f t="shared" si="11"/>
        <v/>
      </c>
      <c r="AC264" s="52">
        <f t="shared" si="12"/>
        <v>0</v>
      </c>
    </row>
    <row r="265" ht="15.75" customHeight="1">
      <c r="A265" s="163"/>
      <c r="B265" s="163"/>
      <c r="C265" s="164"/>
      <c r="D265" s="164"/>
      <c r="E265" s="164"/>
      <c r="F265" s="164"/>
      <c r="G265" s="164"/>
      <c r="H265" s="165" t="str">
        <f>IF(G265="","",IFERROR(VLOOKUP(G265,'Product_Stock_Master产品维护'!$A$2:$E992,2,FALSE()),"SKU not found"))</f>
        <v/>
      </c>
      <c r="I265" s="165" t="str">
        <f>IF(G265="","",IFERROR(VLOOKUP(G265,'Product_Stock_Master产品维护'!$A$2:$E992,3,FALSE()),"Item type not found"))</f>
        <v/>
      </c>
      <c r="J265" s="164"/>
      <c r="K265" s="164"/>
      <c r="L265" s="164"/>
      <c r="M265" s="164"/>
      <c r="N265" s="164"/>
      <c r="O265" s="165" t="str">
        <f t="shared" si="1"/>
        <v/>
      </c>
      <c r="P265" s="164"/>
      <c r="Q265" s="165" t="str">
        <f t="shared" si="9"/>
        <v/>
      </c>
      <c r="R265" s="165" t="str">
        <f t="shared" si="3"/>
        <v/>
      </c>
      <c r="S265" s="165" t="str">
        <f t="shared" si="10"/>
        <v/>
      </c>
      <c r="T265" s="165" t="str">
        <f t="shared" si="5"/>
        <v/>
      </c>
      <c r="U265" s="165" t="s">
        <v>1227</v>
      </c>
      <c r="V265" s="53"/>
      <c r="W265" s="52" t="str">
        <f t="shared" si="6"/>
        <v/>
      </c>
      <c r="X265" s="52">
        <f t="shared" si="7"/>
        <v>0</v>
      </c>
      <c r="Y265" s="52">
        <f t="shared" si="8"/>
        <v>0</v>
      </c>
      <c r="Z265" s="52" t="str">
        <f>IF(G265="","",IFERROR(VLOOKUP(G265,'Product_Stock_Master产品维护'!$A$2:$L992,11,FALSE),"No"))</f>
        <v/>
      </c>
      <c r="AA265" s="52" t="str">
        <f>IF(G265="","",IFERROR(VLOOKUP(G265,'Product_Stock_Master产品维护'!$A$2:$L992,12,FALSE),""))</f>
        <v/>
      </c>
      <c r="AB265" s="52" t="str">
        <f t="shared" si="11"/>
        <v/>
      </c>
      <c r="AC265" s="52">
        <f t="shared" si="12"/>
        <v>0</v>
      </c>
    </row>
    <row r="266" ht="15.75" customHeight="1">
      <c r="A266" s="163"/>
      <c r="B266" s="163"/>
      <c r="C266" s="164"/>
      <c r="D266" s="164"/>
      <c r="E266" s="164"/>
      <c r="F266" s="164"/>
      <c r="G266" s="164"/>
      <c r="H266" s="165" t="str">
        <f>IF(G266="","",IFERROR(VLOOKUP(G266,'Product_Stock_Master产品维护'!$A$2:$E992,2,FALSE()),"SKU not found"))</f>
        <v/>
      </c>
      <c r="I266" s="165" t="str">
        <f>IF(G266="","",IFERROR(VLOOKUP(G266,'Product_Stock_Master产品维护'!$A$2:$E992,3,FALSE()),"Item type not found"))</f>
        <v/>
      </c>
      <c r="J266" s="164"/>
      <c r="K266" s="164"/>
      <c r="L266" s="164"/>
      <c r="M266" s="164"/>
      <c r="N266" s="164"/>
      <c r="O266" s="165" t="str">
        <f t="shared" si="1"/>
        <v/>
      </c>
      <c r="P266" s="164"/>
      <c r="Q266" s="165" t="str">
        <f t="shared" si="9"/>
        <v/>
      </c>
      <c r="R266" s="165" t="str">
        <f t="shared" si="3"/>
        <v/>
      </c>
      <c r="S266" s="165" t="str">
        <f t="shared" si="10"/>
        <v/>
      </c>
      <c r="T266" s="165" t="str">
        <f t="shared" si="5"/>
        <v/>
      </c>
      <c r="U266" s="165" t="s">
        <v>1228</v>
      </c>
      <c r="V266" s="53"/>
      <c r="W266" s="52" t="str">
        <f t="shared" si="6"/>
        <v/>
      </c>
      <c r="X266" s="52">
        <f t="shared" si="7"/>
        <v>0</v>
      </c>
      <c r="Y266" s="52">
        <f t="shared" si="8"/>
        <v>0</v>
      </c>
      <c r="Z266" s="52" t="str">
        <f>IF(G266="","",IFERROR(VLOOKUP(G266,'Product_Stock_Master产品维护'!$A$2:$L992,11,FALSE),"No"))</f>
        <v/>
      </c>
      <c r="AA266" s="52" t="str">
        <f>IF(G266="","",IFERROR(VLOOKUP(G266,'Product_Stock_Master产品维护'!$A$2:$L992,12,FALSE),""))</f>
        <v/>
      </c>
      <c r="AB266" s="52" t="str">
        <f t="shared" si="11"/>
        <v/>
      </c>
      <c r="AC266" s="52">
        <f t="shared" si="12"/>
        <v>0</v>
      </c>
    </row>
    <row r="267" ht="15.75" customHeight="1">
      <c r="A267" s="163"/>
      <c r="B267" s="163"/>
      <c r="C267" s="164"/>
      <c r="D267" s="164"/>
      <c r="E267" s="164"/>
      <c r="F267" s="164"/>
      <c r="G267" s="164"/>
      <c r="H267" s="165" t="str">
        <f>IF(G267="","",IFERROR(VLOOKUP(G267,'Product_Stock_Master产品维护'!$A$2:$E992,2,FALSE()),"SKU not found"))</f>
        <v/>
      </c>
      <c r="I267" s="165" t="str">
        <f>IF(G267="","",IFERROR(VLOOKUP(G267,'Product_Stock_Master产品维护'!$A$2:$E992,3,FALSE()),"Item type not found"))</f>
        <v/>
      </c>
      <c r="J267" s="164"/>
      <c r="K267" s="164"/>
      <c r="L267" s="164"/>
      <c r="M267" s="164"/>
      <c r="N267" s="164"/>
      <c r="O267" s="165" t="str">
        <f t="shared" si="1"/>
        <v/>
      </c>
      <c r="P267" s="164"/>
      <c r="Q267" s="165" t="str">
        <f t="shared" si="9"/>
        <v/>
      </c>
      <c r="R267" s="165" t="str">
        <f t="shared" si="3"/>
        <v/>
      </c>
      <c r="S267" s="165" t="str">
        <f t="shared" si="10"/>
        <v/>
      </c>
      <c r="T267" s="165" t="str">
        <f t="shared" si="5"/>
        <v/>
      </c>
      <c r="U267" s="165" t="s">
        <v>1229</v>
      </c>
      <c r="V267" s="53"/>
      <c r="W267" s="52" t="str">
        <f t="shared" si="6"/>
        <v/>
      </c>
      <c r="X267" s="52">
        <f t="shared" si="7"/>
        <v>0</v>
      </c>
      <c r="Y267" s="52">
        <f t="shared" si="8"/>
        <v>0</v>
      </c>
      <c r="Z267" s="52" t="str">
        <f>IF(G267="","",IFERROR(VLOOKUP(G267,'Product_Stock_Master产品维护'!$A$2:$L992,11,FALSE),"No"))</f>
        <v/>
      </c>
      <c r="AA267" s="52" t="str">
        <f>IF(G267="","",IFERROR(VLOOKUP(G267,'Product_Stock_Master产品维护'!$A$2:$L992,12,FALSE),""))</f>
        <v/>
      </c>
      <c r="AB267" s="52" t="str">
        <f t="shared" si="11"/>
        <v/>
      </c>
      <c r="AC267" s="52">
        <f t="shared" si="12"/>
        <v>0</v>
      </c>
    </row>
    <row r="268" ht="15.75" customHeight="1">
      <c r="A268" s="163"/>
      <c r="B268" s="163"/>
      <c r="C268" s="164"/>
      <c r="D268" s="164"/>
      <c r="E268" s="164"/>
      <c r="F268" s="164"/>
      <c r="G268" s="164"/>
      <c r="H268" s="165" t="str">
        <f>IF(G268="","",IFERROR(VLOOKUP(G268,'Product_Stock_Master产品维护'!$A$2:$E992,2,FALSE()),"SKU not found"))</f>
        <v/>
      </c>
      <c r="I268" s="165" t="str">
        <f>IF(G268="","",IFERROR(VLOOKUP(G268,'Product_Stock_Master产品维护'!$A$2:$E992,3,FALSE()),"Item type not found"))</f>
        <v/>
      </c>
      <c r="J268" s="164"/>
      <c r="K268" s="164"/>
      <c r="L268" s="164"/>
      <c r="M268" s="164"/>
      <c r="N268" s="164"/>
      <c r="O268" s="165" t="str">
        <f t="shared" si="1"/>
        <v/>
      </c>
      <c r="P268" s="164"/>
      <c r="Q268" s="165" t="str">
        <f t="shared" si="9"/>
        <v/>
      </c>
      <c r="R268" s="165" t="str">
        <f t="shared" si="3"/>
        <v/>
      </c>
      <c r="S268" s="165" t="str">
        <f t="shared" si="10"/>
        <v/>
      </c>
      <c r="T268" s="165" t="str">
        <f t="shared" si="5"/>
        <v/>
      </c>
      <c r="U268" s="165" t="s">
        <v>1230</v>
      </c>
      <c r="V268" s="53"/>
      <c r="W268" s="52" t="str">
        <f t="shared" si="6"/>
        <v/>
      </c>
      <c r="X268" s="52">
        <f t="shared" si="7"/>
        <v>0</v>
      </c>
      <c r="Y268" s="52">
        <f t="shared" si="8"/>
        <v>0</v>
      </c>
      <c r="Z268" s="52" t="str">
        <f>IF(G268="","",IFERROR(VLOOKUP(G268,'Product_Stock_Master产品维护'!$A$2:$L992,11,FALSE),"No"))</f>
        <v/>
      </c>
      <c r="AA268" s="52" t="str">
        <f>IF(G268="","",IFERROR(VLOOKUP(G268,'Product_Stock_Master产品维护'!$A$2:$L992,12,FALSE),""))</f>
        <v/>
      </c>
      <c r="AB268" s="52" t="str">
        <f t="shared" si="11"/>
        <v/>
      </c>
      <c r="AC268" s="52">
        <f t="shared" si="12"/>
        <v>0</v>
      </c>
    </row>
    <row r="269" ht="15.75" customHeight="1">
      <c r="A269" s="163"/>
      <c r="B269" s="163"/>
      <c r="C269" s="164"/>
      <c r="D269" s="164"/>
      <c r="E269" s="164"/>
      <c r="F269" s="164"/>
      <c r="G269" s="164"/>
      <c r="H269" s="165" t="str">
        <f>IF(G269="","",IFERROR(VLOOKUP(G269,'Product_Stock_Master产品维护'!$A$2:$E992,2,FALSE()),"SKU not found"))</f>
        <v/>
      </c>
      <c r="I269" s="165" t="str">
        <f>IF(G269="","",IFERROR(VLOOKUP(G269,'Product_Stock_Master产品维护'!$A$2:$E992,3,FALSE()),"Item type not found"))</f>
        <v/>
      </c>
      <c r="J269" s="164"/>
      <c r="K269" s="164"/>
      <c r="L269" s="164"/>
      <c r="M269" s="164"/>
      <c r="N269" s="164"/>
      <c r="O269" s="165" t="str">
        <f t="shared" si="1"/>
        <v/>
      </c>
      <c r="P269" s="164"/>
      <c r="Q269" s="165" t="str">
        <f t="shared" si="9"/>
        <v/>
      </c>
      <c r="R269" s="165" t="str">
        <f t="shared" si="3"/>
        <v/>
      </c>
      <c r="S269" s="165" t="str">
        <f t="shared" si="10"/>
        <v/>
      </c>
      <c r="T269" s="165" t="str">
        <f t="shared" si="5"/>
        <v/>
      </c>
      <c r="U269" s="165" t="s">
        <v>1231</v>
      </c>
      <c r="V269" s="53"/>
      <c r="W269" s="52" t="str">
        <f t="shared" si="6"/>
        <v/>
      </c>
      <c r="X269" s="52">
        <f t="shared" si="7"/>
        <v>0</v>
      </c>
      <c r="Y269" s="52">
        <f t="shared" si="8"/>
        <v>0</v>
      </c>
      <c r="Z269" s="52" t="str">
        <f>IF(G269="","",IFERROR(VLOOKUP(G269,'Product_Stock_Master产品维护'!$A$2:$L992,11,FALSE),"No"))</f>
        <v/>
      </c>
      <c r="AA269" s="52" t="str">
        <f>IF(G269="","",IFERROR(VLOOKUP(G269,'Product_Stock_Master产品维护'!$A$2:$L992,12,FALSE),""))</f>
        <v/>
      </c>
      <c r="AB269" s="52" t="str">
        <f t="shared" si="11"/>
        <v/>
      </c>
      <c r="AC269" s="52">
        <f t="shared" si="12"/>
        <v>0</v>
      </c>
    </row>
    <row r="270" ht="15.75" customHeight="1">
      <c r="A270" s="163"/>
      <c r="B270" s="163"/>
      <c r="C270" s="164"/>
      <c r="D270" s="164"/>
      <c r="E270" s="164"/>
      <c r="F270" s="164"/>
      <c r="G270" s="164"/>
      <c r="H270" s="165" t="str">
        <f>IF(G270="","",IFERROR(VLOOKUP(G270,'Product_Stock_Master产品维护'!$A$2:$E992,2,FALSE()),"SKU not found"))</f>
        <v/>
      </c>
      <c r="I270" s="165" t="str">
        <f>IF(G270="","",IFERROR(VLOOKUP(G270,'Product_Stock_Master产品维护'!$A$2:$E992,3,FALSE()),"Item type not found"))</f>
        <v/>
      </c>
      <c r="J270" s="164"/>
      <c r="K270" s="164"/>
      <c r="L270" s="164"/>
      <c r="M270" s="164"/>
      <c r="N270" s="164"/>
      <c r="O270" s="165" t="str">
        <f t="shared" si="1"/>
        <v/>
      </c>
      <c r="P270" s="164"/>
      <c r="Q270" s="165" t="str">
        <f t="shared" si="9"/>
        <v/>
      </c>
      <c r="R270" s="165" t="str">
        <f t="shared" si="3"/>
        <v/>
      </c>
      <c r="S270" s="165" t="str">
        <f t="shared" si="10"/>
        <v/>
      </c>
      <c r="T270" s="165" t="str">
        <f t="shared" si="5"/>
        <v/>
      </c>
      <c r="U270" s="165" t="s">
        <v>1232</v>
      </c>
      <c r="V270" s="53"/>
      <c r="W270" s="52" t="str">
        <f t="shared" si="6"/>
        <v/>
      </c>
      <c r="X270" s="52">
        <f t="shared" si="7"/>
        <v>0</v>
      </c>
      <c r="Y270" s="52">
        <f t="shared" si="8"/>
        <v>0</v>
      </c>
      <c r="Z270" s="52" t="str">
        <f>IF(G270="","",IFERROR(VLOOKUP(G270,'Product_Stock_Master产品维护'!$A$2:$L992,11,FALSE),"No"))</f>
        <v/>
      </c>
      <c r="AA270" s="52" t="str">
        <f>IF(G270="","",IFERROR(VLOOKUP(G270,'Product_Stock_Master产品维护'!$A$2:$L992,12,FALSE),""))</f>
        <v/>
      </c>
      <c r="AB270" s="52" t="str">
        <f t="shared" si="11"/>
        <v/>
      </c>
      <c r="AC270" s="52">
        <f t="shared" si="12"/>
        <v>0</v>
      </c>
    </row>
    <row r="271" ht="15.75" customHeight="1">
      <c r="A271" s="163"/>
      <c r="B271" s="163"/>
      <c r="C271" s="164"/>
      <c r="D271" s="164"/>
      <c r="E271" s="164"/>
      <c r="F271" s="164"/>
      <c r="G271" s="164"/>
      <c r="H271" s="165" t="str">
        <f>IF(G271="","",IFERROR(VLOOKUP(G271,'Product_Stock_Master产品维护'!$A$2:$E992,2,FALSE()),"SKU not found"))</f>
        <v/>
      </c>
      <c r="I271" s="165" t="str">
        <f>IF(G271="","",IFERROR(VLOOKUP(G271,'Product_Stock_Master产品维护'!$A$2:$E992,3,FALSE()),"Item type not found"))</f>
        <v/>
      </c>
      <c r="J271" s="164"/>
      <c r="K271" s="164"/>
      <c r="L271" s="164"/>
      <c r="M271" s="164"/>
      <c r="N271" s="164"/>
      <c r="O271" s="165" t="str">
        <f t="shared" si="1"/>
        <v/>
      </c>
      <c r="P271" s="164"/>
      <c r="Q271" s="165" t="str">
        <f t="shared" si="9"/>
        <v/>
      </c>
      <c r="R271" s="165" t="str">
        <f t="shared" si="3"/>
        <v/>
      </c>
      <c r="S271" s="165" t="str">
        <f t="shared" si="10"/>
        <v/>
      </c>
      <c r="T271" s="165" t="str">
        <f t="shared" si="5"/>
        <v/>
      </c>
      <c r="U271" s="165" t="s">
        <v>1233</v>
      </c>
      <c r="V271" s="53"/>
      <c r="W271" s="52" t="str">
        <f t="shared" si="6"/>
        <v/>
      </c>
      <c r="X271" s="52">
        <f t="shared" si="7"/>
        <v>0</v>
      </c>
      <c r="Y271" s="52">
        <f t="shared" si="8"/>
        <v>0</v>
      </c>
      <c r="Z271" s="52" t="str">
        <f>IF(G271="","",IFERROR(VLOOKUP(G271,'Product_Stock_Master产品维护'!$A$2:$L992,11,FALSE),"No"))</f>
        <v/>
      </c>
      <c r="AA271" s="52" t="str">
        <f>IF(G271="","",IFERROR(VLOOKUP(G271,'Product_Stock_Master产品维护'!$A$2:$L992,12,FALSE),""))</f>
        <v/>
      </c>
      <c r="AB271" s="52" t="str">
        <f t="shared" si="11"/>
        <v/>
      </c>
      <c r="AC271" s="52">
        <f t="shared" si="12"/>
        <v>0</v>
      </c>
    </row>
    <row r="272" ht="15.75" customHeight="1">
      <c r="A272" s="163"/>
      <c r="B272" s="163"/>
      <c r="C272" s="164"/>
      <c r="D272" s="164"/>
      <c r="E272" s="164"/>
      <c r="F272" s="164"/>
      <c r="G272" s="164"/>
      <c r="H272" s="165" t="str">
        <f>IF(G272="","",IFERROR(VLOOKUP(G272,'Product_Stock_Master产品维护'!$A$2:$E992,2,FALSE()),"SKU not found"))</f>
        <v/>
      </c>
      <c r="I272" s="165" t="str">
        <f>IF(G272="","",IFERROR(VLOOKUP(G272,'Product_Stock_Master产品维护'!$A$2:$E992,3,FALSE()),"Item type not found"))</f>
        <v/>
      </c>
      <c r="J272" s="164"/>
      <c r="K272" s="164"/>
      <c r="L272" s="164"/>
      <c r="M272" s="164"/>
      <c r="N272" s="164"/>
      <c r="O272" s="165" t="str">
        <f t="shared" si="1"/>
        <v/>
      </c>
      <c r="P272" s="164"/>
      <c r="Q272" s="165" t="str">
        <f t="shared" si="9"/>
        <v/>
      </c>
      <c r="R272" s="165" t="str">
        <f t="shared" si="3"/>
        <v/>
      </c>
      <c r="S272" s="165" t="str">
        <f t="shared" si="10"/>
        <v/>
      </c>
      <c r="T272" s="165" t="str">
        <f t="shared" si="5"/>
        <v/>
      </c>
      <c r="U272" s="165" t="s">
        <v>1234</v>
      </c>
      <c r="V272" s="53"/>
      <c r="W272" s="52" t="str">
        <f t="shared" si="6"/>
        <v/>
      </c>
      <c r="X272" s="52">
        <f t="shared" si="7"/>
        <v>0</v>
      </c>
      <c r="Y272" s="52">
        <f t="shared" si="8"/>
        <v>0</v>
      </c>
      <c r="Z272" s="52" t="str">
        <f>IF(G272="","",IFERROR(VLOOKUP(G272,'Product_Stock_Master产品维护'!$A$2:$L992,11,FALSE),"No"))</f>
        <v/>
      </c>
      <c r="AA272" s="52" t="str">
        <f>IF(G272="","",IFERROR(VLOOKUP(G272,'Product_Stock_Master产品维护'!$A$2:$L992,12,FALSE),""))</f>
        <v/>
      </c>
      <c r="AB272" s="52" t="str">
        <f t="shared" si="11"/>
        <v/>
      </c>
      <c r="AC272" s="52">
        <f t="shared" si="12"/>
        <v>0</v>
      </c>
    </row>
    <row r="273" ht="15.75" customHeight="1">
      <c r="A273" s="163"/>
      <c r="B273" s="163"/>
      <c r="C273" s="164"/>
      <c r="D273" s="164"/>
      <c r="E273" s="164"/>
      <c r="F273" s="164"/>
      <c r="G273" s="164"/>
      <c r="H273" s="165" t="str">
        <f>IF(G273="","",IFERROR(VLOOKUP(G273,'Product_Stock_Master产品维护'!$A$2:$E992,2,FALSE()),"SKU not found"))</f>
        <v/>
      </c>
      <c r="I273" s="165" t="str">
        <f>IF(G273="","",IFERROR(VLOOKUP(G273,'Product_Stock_Master产品维护'!$A$2:$E992,3,FALSE()),"Item type not found"))</f>
        <v/>
      </c>
      <c r="J273" s="164"/>
      <c r="K273" s="164"/>
      <c r="L273" s="164"/>
      <c r="M273" s="164"/>
      <c r="N273" s="164"/>
      <c r="O273" s="165" t="str">
        <f t="shared" si="1"/>
        <v/>
      </c>
      <c r="P273" s="164"/>
      <c r="Q273" s="165" t="str">
        <f t="shared" si="9"/>
        <v/>
      </c>
      <c r="R273" s="165" t="str">
        <f t="shared" si="3"/>
        <v/>
      </c>
      <c r="S273" s="165" t="str">
        <f t="shared" si="10"/>
        <v/>
      </c>
      <c r="T273" s="165" t="str">
        <f t="shared" si="5"/>
        <v/>
      </c>
      <c r="U273" s="165" t="s">
        <v>1235</v>
      </c>
      <c r="V273" s="53"/>
      <c r="W273" s="52" t="str">
        <f t="shared" si="6"/>
        <v/>
      </c>
      <c r="X273" s="52">
        <f t="shared" si="7"/>
        <v>0</v>
      </c>
      <c r="Y273" s="52">
        <f t="shared" si="8"/>
        <v>0</v>
      </c>
      <c r="Z273" s="52" t="str">
        <f>IF(G273="","",IFERROR(VLOOKUP(G273,'Product_Stock_Master产品维护'!$A$2:$L992,11,FALSE),"No"))</f>
        <v/>
      </c>
      <c r="AA273" s="52" t="str">
        <f>IF(G273="","",IFERROR(VLOOKUP(G273,'Product_Stock_Master产品维护'!$A$2:$L992,12,FALSE),""))</f>
        <v/>
      </c>
      <c r="AB273" s="52" t="str">
        <f t="shared" si="11"/>
        <v/>
      </c>
      <c r="AC273" s="52">
        <f t="shared" si="12"/>
        <v>0</v>
      </c>
    </row>
    <row r="274" ht="15.75" customHeight="1">
      <c r="A274" s="163"/>
      <c r="B274" s="163"/>
      <c r="C274" s="164"/>
      <c r="D274" s="164"/>
      <c r="E274" s="164"/>
      <c r="F274" s="164"/>
      <c r="G274" s="164"/>
      <c r="H274" s="165" t="str">
        <f>IF(G274="","",IFERROR(VLOOKUP(G274,'Product_Stock_Master产品维护'!$A$2:$E992,2,FALSE()),"SKU not found"))</f>
        <v/>
      </c>
      <c r="I274" s="165" t="str">
        <f>IF(G274="","",IFERROR(VLOOKUP(G274,'Product_Stock_Master产品维护'!$A$2:$E992,3,FALSE()),"Item type not found"))</f>
        <v/>
      </c>
      <c r="J274" s="164"/>
      <c r="K274" s="164"/>
      <c r="L274" s="164"/>
      <c r="M274" s="164"/>
      <c r="N274" s="164"/>
      <c r="O274" s="165" t="str">
        <f t="shared" si="1"/>
        <v/>
      </c>
      <c r="P274" s="164"/>
      <c r="Q274" s="165" t="str">
        <f t="shared" si="9"/>
        <v/>
      </c>
      <c r="R274" s="165" t="str">
        <f t="shared" si="3"/>
        <v/>
      </c>
      <c r="S274" s="165" t="str">
        <f t="shared" si="10"/>
        <v/>
      </c>
      <c r="T274" s="165" t="str">
        <f t="shared" si="5"/>
        <v/>
      </c>
      <c r="U274" s="165" t="s">
        <v>1236</v>
      </c>
      <c r="V274" s="53"/>
      <c r="W274" s="52" t="str">
        <f t="shared" si="6"/>
        <v/>
      </c>
      <c r="X274" s="52">
        <f t="shared" si="7"/>
        <v>0</v>
      </c>
      <c r="Y274" s="52">
        <f t="shared" si="8"/>
        <v>0</v>
      </c>
      <c r="Z274" s="52" t="str">
        <f>IF(G274="","",IFERROR(VLOOKUP(G274,'Product_Stock_Master产品维护'!$A$2:$L992,11,FALSE),"No"))</f>
        <v/>
      </c>
      <c r="AA274" s="52" t="str">
        <f>IF(G274="","",IFERROR(VLOOKUP(G274,'Product_Stock_Master产品维护'!$A$2:$L992,12,FALSE),""))</f>
        <v/>
      </c>
      <c r="AB274" s="52" t="str">
        <f t="shared" si="11"/>
        <v/>
      </c>
      <c r="AC274" s="52">
        <f t="shared" si="12"/>
        <v>0</v>
      </c>
    </row>
    <row r="275" ht="15.75" customHeight="1">
      <c r="A275" s="163"/>
      <c r="B275" s="163"/>
      <c r="C275" s="164"/>
      <c r="D275" s="164"/>
      <c r="E275" s="164"/>
      <c r="F275" s="164"/>
      <c r="G275" s="164"/>
      <c r="H275" s="165" t="str">
        <f>IF(G275="","",IFERROR(VLOOKUP(G275,'Product_Stock_Master产品维护'!$A$2:$E992,2,FALSE()),"SKU not found"))</f>
        <v/>
      </c>
      <c r="I275" s="165" t="str">
        <f>IF(G275="","",IFERROR(VLOOKUP(G275,'Product_Stock_Master产品维护'!$A$2:$E992,3,FALSE()),"Item type not found"))</f>
        <v/>
      </c>
      <c r="J275" s="164"/>
      <c r="K275" s="164"/>
      <c r="L275" s="164"/>
      <c r="M275" s="164"/>
      <c r="N275" s="164"/>
      <c r="O275" s="165" t="str">
        <f t="shared" si="1"/>
        <v/>
      </c>
      <c r="P275" s="164"/>
      <c r="Q275" s="165" t="str">
        <f t="shared" si="9"/>
        <v/>
      </c>
      <c r="R275" s="165" t="str">
        <f t="shared" si="3"/>
        <v/>
      </c>
      <c r="S275" s="165" t="str">
        <f t="shared" si="10"/>
        <v/>
      </c>
      <c r="T275" s="165" t="str">
        <f t="shared" si="5"/>
        <v/>
      </c>
      <c r="U275" s="165" t="s">
        <v>1237</v>
      </c>
      <c r="V275" s="53"/>
      <c r="W275" s="52" t="str">
        <f t="shared" si="6"/>
        <v/>
      </c>
      <c r="X275" s="52">
        <f t="shared" si="7"/>
        <v>0</v>
      </c>
      <c r="Y275" s="52">
        <f t="shared" si="8"/>
        <v>0</v>
      </c>
      <c r="Z275" s="52" t="str">
        <f>IF(G275="","",IFERROR(VLOOKUP(G275,'Product_Stock_Master产品维护'!$A$2:$L992,11,FALSE),"No"))</f>
        <v/>
      </c>
      <c r="AA275" s="52" t="str">
        <f>IF(G275="","",IFERROR(VLOOKUP(G275,'Product_Stock_Master产品维护'!$A$2:$L992,12,FALSE),""))</f>
        <v/>
      </c>
      <c r="AB275" s="52" t="str">
        <f t="shared" si="11"/>
        <v/>
      </c>
      <c r="AC275" s="52">
        <f t="shared" si="12"/>
        <v>0</v>
      </c>
    </row>
    <row r="276" ht="15.75" customHeight="1">
      <c r="A276" s="163"/>
      <c r="B276" s="163"/>
      <c r="C276" s="164"/>
      <c r="D276" s="164"/>
      <c r="E276" s="164"/>
      <c r="F276" s="164"/>
      <c r="G276" s="164"/>
      <c r="H276" s="165" t="str">
        <f>IF(G276="","",IFERROR(VLOOKUP(G276,'Product_Stock_Master产品维护'!$A$2:$E992,2,FALSE()),"SKU not found"))</f>
        <v/>
      </c>
      <c r="I276" s="165" t="str">
        <f>IF(G276="","",IFERROR(VLOOKUP(G276,'Product_Stock_Master产品维护'!$A$2:$E992,3,FALSE()),"Item type not found"))</f>
        <v/>
      </c>
      <c r="J276" s="164"/>
      <c r="K276" s="164"/>
      <c r="L276" s="164"/>
      <c r="M276" s="164"/>
      <c r="N276" s="164"/>
      <c r="O276" s="165" t="str">
        <f t="shared" si="1"/>
        <v/>
      </c>
      <c r="P276" s="164"/>
      <c r="Q276" s="165" t="str">
        <f t="shared" si="9"/>
        <v/>
      </c>
      <c r="R276" s="165" t="str">
        <f t="shared" si="3"/>
        <v/>
      </c>
      <c r="S276" s="165" t="str">
        <f t="shared" si="10"/>
        <v/>
      </c>
      <c r="T276" s="165" t="str">
        <f t="shared" si="5"/>
        <v/>
      </c>
      <c r="U276" s="165" t="s">
        <v>1238</v>
      </c>
      <c r="V276" s="53"/>
      <c r="W276" s="52" t="str">
        <f t="shared" si="6"/>
        <v/>
      </c>
      <c r="X276" s="52">
        <f t="shared" si="7"/>
        <v>0</v>
      </c>
      <c r="Y276" s="52">
        <f t="shared" si="8"/>
        <v>0</v>
      </c>
      <c r="Z276" s="52" t="str">
        <f>IF(G276="","",IFERROR(VLOOKUP(G276,'Product_Stock_Master产品维护'!$A$2:$L992,11,FALSE),"No"))</f>
        <v/>
      </c>
      <c r="AA276" s="52" t="str">
        <f>IF(G276="","",IFERROR(VLOOKUP(G276,'Product_Stock_Master产品维护'!$A$2:$L992,12,FALSE),""))</f>
        <v/>
      </c>
      <c r="AB276" s="52" t="str">
        <f t="shared" si="11"/>
        <v/>
      </c>
      <c r="AC276" s="52">
        <f t="shared" si="12"/>
        <v>0</v>
      </c>
    </row>
    <row r="277" ht="15.75" customHeight="1">
      <c r="A277" s="163"/>
      <c r="B277" s="163"/>
      <c r="C277" s="164"/>
      <c r="D277" s="164"/>
      <c r="E277" s="164"/>
      <c r="F277" s="164"/>
      <c r="G277" s="164"/>
      <c r="H277" s="165" t="str">
        <f>IF(G277="","",IFERROR(VLOOKUP(G277,'Product_Stock_Master产品维护'!$A$2:$E992,2,FALSE()),"SKU not found"))</f>
        <v/>
      </c>
      <c r="I277" s="165" t="str">
        <f>IF(G277="","",IFERROR(VLOOKUP(G277,'Product_Stock_Master产品维护'!$A$2:$E992,3,FALSE()),"Item type not found"))</f>
        <v/>
      </c>
      <c r="J277" s="164"/>
      <c r="K277" s="164"/>
      <c r="L277" s="164"/>
      <c r="M277" s="164"/>
      <c r="N277" s="164"/>
      <c r="O277" s="165" t="str">
        <f t="shared" si="1"/>
        <v/>
      </c>
      <c r="P277" s="164"/>
      <c r="Q277" s="165" t="str">
        <f t="shared" si="9"/>
        <v/>
      </c>
      <c r="R277" s="165" t="str">
        <f t="shared" si="3"/>
        <v/>
      </c>
      <c r="S277" s="165" t="str">
        <f t="shared" si="10"/>
        <v/>
      </c>
      <c r="T277" s="165" t="str">
        <f t="shared" si="5"/>
        <v/>
      </c>
      <c r="U277" s="165" t="s">
        <v>1239</v>
      </c>
      <c r="V277" s="53"/>
      <c r="W277" s="52" t="str">
        <f t="shared" si="6"/>
        <v/>
      </c>
      <c r="X277" s="52">
        <f t="shared" si="7"/>
        <v>0</v>
      </c>
      <c r="Y277" s="52">
        <f t="shared" si="8"/>
        <v>0</v>
      </c>
      <c r="Z277" s="52" t="str">
        <f>IF(G277="","",IFERROR(VLOOKUP(G277,'Product_Stock_Master产品维护'!$A$2:$L992,11,FALSE),"No"))</f>
        <v/>
      </c>
      <c r="AA277" s="52" t="str">
        <f>IF(G277="","",IFERROR(VLOOKUP(G277,'Product_Stock_Master产品维护'!$A$2:$L992,12,FALSE),""))</f>
        <v/>
      </c>
      <c r="AB277" s="52" t="str">
        <f t="shared" si="11"/>
        <v/>
      </c>
      <c r="AC277" s="52">
        <f t="shared" si="12"/>
        <v>0</v>
      </c>
    </row>
    <row r="278" ht="15.75" customHeight="1">
      <c r="A278" s="163"/>
      <c r="B278" s="163"/>
      <c r="C278" s="164"/>
      <c r="D278" s="164"/>
      <c r="E278" s="164"/>
      <c r="F278" s="164"/>
      <c r="G278" s="164"/>
      <c r="H278" s="165" t="str">
        <f>IF(G278="","",IFERROR(VLOOKUP(G278,'Product_Stock_Master产品维护'!$A$2:$E992,2,FALSE()),"SKU not found"))</f>
        <v/>
      </c>
      <c r="I278" s="165" t="str">
        <f>IF(G278="","",IFERROR(VLOOKUP(G278,'Product_Stock_Master产品维护'!$A$2:$E992,3,FALSE()),"Item type not found"))</f>
        <v/>
      </c>
      <c r="J278" s="164"/>
      <c r="K278" s="164"/>
      <c r="L278" s="164"/>
      <c r="M278" s="164"/>
      <c r="N278" s="164"/>
      <c r="O278" s="165" t="str">
        <f t="shared" si="1"/>
        <v/>
      </c>
      <c r="P278" s="164"/>
      <c r="Q278" s="165" t="str">
        <f t="shared" si="9"/>
        <v/>
      </c>
      <c r="R278" s="165" t="str">
        <f t="shared" si="3"/>
        <v/>
      </c>
      <c r="S278" s="165" t="str">
        <f t="shared" si="10"/>
        <v/>
      </c>
      <c r="T278" s="165" t="str">
        <f t="shared" si="5"/>
        <v/>
      </c>
      <c r="U278" s="165" t="s">
        <v>1240</v>
      </c>
      <c r="V278" s="53"/>
      <c r="W278" s="52" t="str">
        <f t="shared" si="6"/>
        <v/>
      </c>
      <c r="X278" s="52">
        <f t="shared" si="7"/>
        <v>0</v>
      </c>
      <c r="Y278" s="52">
        <f t="shared" si="8"/>
        <v>0</v>
      </c>
      <c r="Z278" s="52" t="str">
        <f>IF(G278="","",IFERROR(VLOOKUP(G278,'Product_Stock_Master产品维护'!$A$2:$L992,11,FALSE),"No"))</f>
        <v/>
      </c>
      <c r="AA278" s="52" t="str">
        <f>IF(G278="","",IFERROR(VLOOKUP(G278,'Product_Stock_Master产品维护'!$A$2:$L992,12,FALSE),""))</f>
        <v/>
      </c>
      <c r="AB278" s="52" t="str">
        <f t="shared" si="11"/>
        <v/>
      </c>
      <c r="AC278" s="52">
        <f t="shared" si="12"/>
        <v>0</v>
      </c>
    </row>
    <row r="279" ht="15.75" customHeight="1">
      <c r="A279" s="163"/>
      <c r="B279" s="163"/>
      <c r="C279" s="164"/>
      <c r="D279" s="164"/>
      <c r="E279" s="164"/>
      <c r="F279" s="164"/>
      <c r="G279" s="164"/>
      <c r="H279" s="165" t="str">
        <f>IF(G279="","",IFERROR(VLOOKUP(G279,'Product_Stock_Master产品维护'!$A$2:$E992,2,FALSE()),"SKU not found"))</f>
        <v/>
      </c>
      <c r="I279" s="165" t="str">
        <f>IF(G279="","",IFERROR(VLOOKUP(G279,'Product_Stock_Master产品维护'!$A$2:$E992,3,FALSE()),"Item type not found"))</f>
        <v/>
      </c>
      <c r="J279" s="164"/>
      <c r="K279" s="164"/>
      <c r="L279" s="164"/>
      <c r="M279" s="164"/>
      <c r="N279" s="164"/>
      <c r="O279" s="165" t="str">
        <f t="shared" si="1"/>
        <v/>
      </c>
      <c r="P279" s="164"/>
      <c r="Q279" s="165" t="str">
        <f t="shared" si="9"/>
        <v/>
      </c>
      <c r="R279" s="165" t="str">
        <f t="shared" si="3"/>
        <v/>
      </c>
      <c r="S279" s="165" t="str">
        <f t="shared" si="10"/>
        <v/>
      </c>
      <c r="T279" s="165" t="str">
        <f t="shared" si="5"/>
        <v/>
      </c>
      <c r="U279" s="165" t="s">
        <v>1241</v>
      </c>
      <c r="V279" s="53"/>
      <c r="W279" s="52" t="str">
        <f t="shared" si="6"/>
        <v/>
      </c>
      <c r="X279" s="52">
        <f t="shared" si="7"/>
        <v>0</v>
      </c>
      <c r="Y279" s="52">
        <f t="shared" si="8"/>
        <v>0</v>
      </c>
      <c r="Z279" s="52" t="str">
        <f>IF(G279="","",IFERROR(VLOOKUP(G279,'Product_Stock_Master产品维护'!$A$2:$L992,11,FALSE),"No"))</f>
        <v/>
      </c>
      <c r="AA279" s="52" t="str">
        <f>IF(G279="","",IFERROR(VLOOKUP(G279,'Product_Stock_Master产品维护'!$A$2:$L992,12,FALSE),""))</f>
        <v/>
      </c>
      <c r="AB279" s="52" t="str">
        <f t="shared" si="11"/>
        <v/>
      </c>
      <c r="AC279" s="52">
        <f t="shared" si="12"/>
        <v>0</v>
      </c>
    </row>
    <row r="280" ht="15.75" customHeight="1">
      <c r="A280" s="163"/>
      <c r="B280" s="163"/>
      <c r="C280" s="164"/>
      <c r="D280" s="164"/>
      <c r="E280" s="164"/>
      <c r="F280" s="164"/>
      <c r="G280" s="164"/>
      <c r="H280" s="165" t="str">
        <f>IF(G280="","",IFERROR(VLOOKUP(G280,'Product_Stock_Master产品维护'!$A$2:$E992,2,FALSE()),"SKU not found"))</f>
        <v/>
      </c>
      <c r="I280" s="165" t="str">
        <f>IF(G280="","",IFERROR(VLOOKUP(G280,'Product_Stock_Master产品维护'!$A$2:$E992,3,FALSE()),"Item type not found"))</f>
        <v/>
      </c>
      <c r="J280" s="164"/>
      <c r="K280" s="164"/>
      <c r="L280" s="164"/>
      <c r="M280" s="164"/>
      <c r="N280" s="164"/>
      <c r="O280" s="165" t="str">
        <f t="shared" si="1"/>
        <v/>
      </c>
      <c r="P280" s="164"/>
      <c r="Q280" s="165" t="str">
        <f t="shared" si="9"/>
        <v/>
      </c>
      <c r="R280" s="165" t="str">
        <f t="shared" si="3"/>
        <v/>
      </c>
      <c r="S280" s="165" t="str">
        <f t="shared" si="10"/>
        <v/>
      </c>
      <c r="T280" s="165" t="str">
        <f t="shared" si="5"/>
        <v/>
      </c>
      <c r="U280" s="165" t="s">
        <v>1242</v>
      </c>
      <c r="V280" s="53"/>
      <c r="W280" s="52" t="str">
        <f t="shared" si="6"/>
        <v/>
      </c>
      <c r="X280" s="52">
        <f t="shared" si="7"/>
        <v>0</v>
      </c>
      <c r="Y280" s="52">
        <f t="shared" si="8"/>
        <v>0</v>
      </c>
      <c r="Z280" s="52" t="str">
        <f>IF(G280="","",IFERROR(VLOOKUP(G280,'Product_Stock_Master产品维护'!$A$2:$L992,11,FALSE),"No"))</f>
        <v/>
      </c>
      <c r="AA280" s="52" t="str">
        <f>IF(G280="","",IFERROR(VLOOKUP(G280,'Product_Stock_Master产品维护'!$A$2:$L992,12,FALSE),""))</f>
        <v/>
      </c>
      <c r="AB280" s="52" t="str">
        <f t="shared" si="11"/>
        <v/>
      </c>
      <c r="AC280" s="52">
        <f t="shared" si="12"/>
        <v>0</v>
      </c>
    </row>
    <row r="281" ht="15.75" customHeight="1">
      <c r="A281" s="163"/>
      <c r="B281" s="163"/>
      <c r="C281" s="164"/>
      <c r="D281" s="164"/>
      <c r="E281" s="164"/>
      <c r="F281" s="164"/>
      <c r="G281" s="164"/>
      <c r="H281" s="165" t="str">
        <f>IF(G281="","",IFERROR(VLOOKUP(G281,'Product_Stock_Master产品维护'!$A$2:$E992,2,FALSE()),"SKU not found"))</f>
        <v/>
      </c>
      <c r="I281" s="165" t="str">
        <f>IF(G281="","",IFERROR(VLOOKUP(G281,'Product_Stock_Master产品维护'!$A$2:$E992,3,FALSE()),"Item type not found"))</f>
        <v/>
      </c>
      <c r="J281" s="164"/>
      <c r="K281" s="164"/>
      <c r="L281" s="164"/>
      <c r="M281" s="164"/>
      <c r="N281" s="164"/>
      <c r="O281" s="165" t="str">
        <f t="shared" si="1"/>
        <v/>
      </c>
      <c r="P281" s="164"/>
      <c r="Q281" s="165" t="str">
        <f t="shared" si="9"/>
        <v/>
      </c>
      <c r="R281" s="165" t="str">
        <f t="shared" si="3"/>
        <v/>
      </c>
      <c r="S281" s="165" t="str">
        <f t="shared" si="10"/>
        <v/>
      </c>
      <c r="T281" s="165" t="str">
        <f t="shared" si="5"/>
        <v/>
      </c>
      <c r="U281" s="165" t="s">
        <v>1243</v>
      </c>
      <c r="V281" s="53"/>
      <c r="W281" s="52" t="str">
        <f t="shared" si="6"/>
        <v/>
      </c>
      <c r="X281" s="52">
        <f t="shared" si="7"/>
        <v>0</v>
      </c>
      <c r="Y281" s="52">
        <f t="shared" si="8"/>
        <v>0</v>
      </c>
      <c r="Z281" s="52" t="str">
        <f>IF(G281="","",IFERROR(VLOOKUP(G281,'Product_Stock_Master产品维护'!$A$2:$L992,11,FALSE),"No"))</f>
        <v/>
      </c>
      <c r="AA281" s="52" t="str">
        <f>IF(G281="","",IFERROR(VLOOKUP(G281,'Product_Stock_Master产品维护'!$A$2:$L992,12,FALSE),""))</f>
        <v/>
      </c>
      <c r="AB281" s="52" t="str">
        <f t="shared" si="11"/>
        <v/>
      </c>
      <c r="AC281" s="52">
        <f t="shared" si="12"/>
        <v>0</v>
      </c>
    </row>
    <row r="282" ht="15.75" customHeight="1">
      <c r="A282" s="163"/>
      <c r="B282" s="163"/>
      <c r="C282" s="164"/>
      <c r="D282" s="164"/>
      <c r="E282" s="164"/>
      <c r="F282" s="164"/>
      <c r="G282" s="164"/>
      <c r="H282" s="165" t="str">
        <f>IF(G282="","",IFERROR(VLOOKUP(G282,'Product_Stock_Master产品维护'!$A$2:$E992,2,FALSE()),"SKU not found"))</f>
        <v/>
      </c>
      <c r="I282" s="165" t="str">
        <f>IF(G282="","",IFERROR(VLOOKUP(G282,'Product_Stock_Master产品维护'!$A$2:$E992,3,FALSE()),"Item type not found"))</f>
        <v/>
      </c>
      <c r="J282" s="164"/>
      <c r="K282" s="164"/>
      <c r="L282" s="164"/>
      <c r="M282" s="164"/>
      <c r="N282" s="164"/>
      <c r="O282" s="165" t="str">
        <f t="shared" si="1"/>
        <v/>
      </c>
      <c r="P282" s="164"/>
      <c r="Q282" s="165" t="str">
        <f t="shared" si="9"/>
        <v/>
      </c>
      <c r="R282" s="165" t="str">
        <f t="shared" si="3"/>
        <v/>
      </c>
      <c r="S282" s="165" t="str">
        <f t="shared" si="10"/>
        <v/>
      </c>
      <c r="T282" s="165" t="str">
        <f t="shared" si="5"/>
        <v/>
      </c>
      <c r="U282" s="165" t="s">
        <v>1244</v>
      </c>
      <c r="V282" s="53"/>
      <c r="W282" s="52" t="str">
        <f t="shared" si="6"/>
        <v/>
      </c>
      <c r="X282" s="52">
        <f t="shared" si="7"/>
        <v>0</v>
      </c>
      <c r="Y282" s="52">
        <f t="shared" si="8"/>
        <v>0</v>
      </c>
      <c r="Z282" s="52" t="str">
        <f>IF(G282="","",IFERROR(VLOOKUP(G282,'Product_Stock_Master产品维护'!$A$2:$L992,11,FALSE),"No"))</f>
        <v/>
      </c>
      <c r="AA282" s="52" t="str">
        <f>IF(G282="","",IFERROR(VLOOKUP(G282,'Product_Stock_Master产品维护'!$A$2:$L992,12,FALSE),""))</f>
        <v/>
      </c>
      <c r="AB282" s="52" t="str">
        <f t="shared" si="11"/>
        <v/>
      </c>
      <c r="AC282" s="52">
        <f t="shared" si="12"/>
        <v>0</v>
      </c>
    </row>
    <row r="283" ht="15.75" customHeight="1">
      <c r="A283" s="163"/>
      <c r="B283" s="163"/>
      <c r="C283" s="164"/>
      <c r="D283" s="164"/>
      <c r="E283" s="164"/>
      <c r="F283" s="164"/>
      <c r="G283" s="164"/>
      <c r="H283" s="165" t="str">
        <f>IF(G283="","",IFERROR(VLOOKUP(G283,'Product_Stock_Master产品维护'!$A$2:$E992,2,FALSE()),"SKU not found"))</f>
        <v/>
      </c>
      <c r="I283" s="165" t="str">
        <f>IF(G283="","",IFERROR(VLOOKUP(G283,'Product_Stock_Master产品维护'!$A$2:$E992,3,FALSE()),"Item type not found"))</f>
        <v/>
      </c>
      <c r="J283" s="164"/>
      <c r="K283" s="164"/>
      <c r="L283" s="164"/>
      <c r="M283" s="164"/>
      <c r="N283" s="164"/>
      <c r="O283" s="165" t="str">
        <f t="shared" si="1"/>
        <v/>
      </c>
      <c r="P283" s="164"/>
      <c r="Q283" s="165" t="str">
        <f t="shared" si="9"/>
        <v/>
      </c>
      <c r="R283" s="165" t="str">
        <f t="shared" si="3"/>
        <v/>
      </c>
      <c r="S283" s="165" t="str">
        <f t="shared" si="10"/>
        <v/>
      </c>
      <c r="T283" s="165" t="str">
        <f t="shared" si="5"/>
        <v/>
      </c>
      <c r="U283" s="165" t="s">
        <v>1245</v>
      </c>
      <c r="V283" s="53"/>
      <c r="W283" s="52" t="str">
        <f t="shared" si="6"/>
        <v/>
      </c>
      <c r="X283" s="52">
        <f t="shared" si="7"/>
        <v>0</v>
      </c>
      <c r="Y283" s="52">
        <f t="shared" si="8"/>
        <v>0</v>
      </c>
      <c r="Z283" s="52" t="str">
        <f>IF(G283="","",IFERROR(VLOOKUP(G283,'Product_Stock_Master产品维护'!$A$2:$L992,11,FALSE),"No"))</f>
        <v/>
      </c>
      <c r="AA283" s="52" t="str">
        <f>IF(G283="","",IFERROR(VLOOKUP(G283,'Product_Stock_Master产品维护'!$A$2:$L992,12,FALSE),""))</f>
        <v/>
      </c>
      <c r="AB283" s="52" t="str">
        <f t="shared" si="11"/>
        <v/>
      </c>
      <c r="AC283" s="52">
        <f t="shared" si="12"/>
        <v>0</v>
      </c>
    </row>
    <row r="284" ht="15.75" customHeight="1">
      <c r="A284" s="163"/>
      <c r="B284" s="163"/>
      <c r="C284" s="164"/>
      <c r="D284" s="164"/>
      <c r="E284" s="164"/>
      <c r="F284" s="164"/>
      <c r="G284" s="164"/>
      <c r="H284" s="165" t="str">
        <f>IF(G284="","",IFERROR(VLOOKUP(G284,'Product_Stock_Master产品维护'!$A$2:$E992,2,FALSE()),"SKU not found"))</f>
        <v/>
      </c>
      <c r="I284" s="165" t="str">
        <f>IF(G284="","",IFERROR(VLOOKUP(G284,'Product_Stock_Master产品维护'!$A$2:$E992,3,FALSE()),"Item type not found"))</f>
        <v/>
      </c>
      <c r="J284" s="164"/>
      <c r="K284" s="164"/>
      <c r="L284" s="164"/>
      <c r="M284" s="164"/>
      <c r="N284" s="164"/>
      <c r="O284" s="165" t="str">
        <f t="shared" si="1"/>
        <v/>
      </c>
      <c r="P284" s="164"/>
      <c r="Q284" s="165" t="str">
        <f t="shared" si="9"/>
        <v/>
      </c>
      <c r="R284" s="165" t="str">
        <f t="shared" si="3"/>
        <v/>
      </c>
      <c r="S284" s="165" t="str">
        <f t="shared" si="10"/>
        <v/>
      </c>
      <c r="T284" s="165" t="str">
        <f t="shared" si="5"/>
        <v/>
      </c>
      <c r="U284" s="165" t="s">
        <v>1246</v>
      </c>
      <c r="V284" s="53"/>
      <c r="W284" s="52" t="str">
        <f t="shared" si="6"/>
        <v/>
      </c>
      <c r="X284" s="52">
        <f t="shared" si="7"/>
        <v>0</v>
      </c>
      <c r="Y284" s="52">
        <f t="shared" si="8"/>
        <v>0</v>
      </c>
      <c r="Z284" s="52" t="str">
        <f>IF(G284="","",IFERROR(VLOOKUP(G284,'Product_Stock_Master产品维护'!$A$2:$L992,11,FALSE),"No"))</f>
        <v/>
      </c>
      <c r="AA284" s="52" t="str">
        <f>IF(G284="","",IFERROR(VLOOKUP(G284,'Product_Stock_Master产品维护'!$A$2:$L992,12,FALSE),""))</f>
        <v/>
      </c>
      <c r="AB284" s="52" t="str">
        <f t="shared" si="11"/>
        <v/>
      </c>
      <c r="AC284" s="52">
        <f t="shared" si="12"/>
        <v>0</v>
      </c>
    </row>
    <row r="285" ht="15.75" customHeight="1">
      <c r="A285" s="163"/>
      <c r="B285" s="163"/>
      <c r="C285" s="164"/>
      <c r="D285" s="164"/>
      <c r="E285" s="164"/>
      <c r="F285" s="164"/>
      <c r="G285" s="164"/>
      <c r="H285" s="165" t="str">
        <f>IF(G285="","",IFERROR(VLOOKUP(G285,'Product_Stock_Master产品维护'!$A$2:$E992,2,FALSE()),"SKU not found"))</f>
        <v/>
      </c>
      <c r="I285" s="165" t="str">
        <f>IF(G285="","",IFERROR(VLOOKUP(G285,'Product_Stock_Master产品维护'!$A$2:$E992,3,FALSE()),"Item type not found"))</f>
        <v/>
      </c>
      <c r="J285" s="164"/>
      <c r="K285" s="164"/>
      <c r="L285" s="164"/>
      <c r="M285" s="164"/>
      <c r="N285" s="164"/>
      <c r="O285" s="165" t="str">
        <f t="shared" si="1"/>
        <v/>
      </c>
      <c r="P285" s="164"/>
      <c r="Q285" s="165" t="str">
        <f t="shared" si="9"/>
        <v/>
      </c>
      <c r="R285" s="165" t="str">
        <f t="shared" si="3"/>
        <v/>
      </c>
      <c r="S285" s="165" t="str">
        <f t="shared" si="10"/>
        <v/>
      </c>
      <c r="T285" s="165" t="str">
        <f t="shared" si="5"/>
        <v/>
      </c>
      <c r="U285" s="165" t="s">
        <v>1247</v>
      </c>
      <c r="V285" s="53"/>
      <c r="W285" s="52" t="str">
        <f t="shared" si="6"/>
        <v/>
      </c>
      <c r="X285" s="52">
        <f t="shared" si="7"/>
        <v>0</v>
      </c>
      <c r="Y285" s="52">
        <f t="shared" si="8"/>
        <v>0</v>
      </c>
      <c r="Z285" s="52" t="str">
        <f>IF(G285="","",IFERROR(VLOOKUP(G285,'Product_Stock_Master产品维护'!$A$2:$L992,11,FALSE),"No"))</f>
        <v/>
      </c>
      <c r="AA285" s="52" t="str">
        <f>IF(G285="","",IFERROR(VLOOKUP(G285,'Product_Stock_Master产品维护'!$A$2:$L992,12,FALSE),""))</f>
        <v/>
      </c>
      <c r="AB285" s="52" t="str">
        <f t="shared" si="11"/>
        <v/>
      </c>
      <c r="AC285" s="52">
        <f t="shared" si="12"/>
        <v>0</v>
      </c>
    </row>
    <row r="286" ht="15.75" customHeight="1">
      <c r="A286" s="163"/>
      <c r="B286" s="163"/>
      <c r="C286" s="164"/>
      <c r="D286" s="164"/>
      <c r="E286" s="164"/>
      <c r="F286" s="164"/>
      <c r="G286" s="164"/>
      <c r="H286" s="165" t="str">
        <f>IF(G286="","",IFERROR(VLOOKUP(G286,'Product_Stock_Master产品维护'!$A$2:$E992,2,FALSE()),"SKU not found"))</f>
        <v/>
      </c>
      <c r="I286" s="165" t="str">
        <f>IF(G286="","",IFERROR(VLOOKUP(G286,'Product_Stock_Master产品维护'!$A$2:$E992,3,FALSE()),"Item type not found"))</f>
        <v/>
      </c>
      <c r="J286" s="164"/>
      <c r="K286" s="164"/>
      <c r="L286" s="164"/>
      <c r="M286" s="164"/>
      <c r="N286" s="164"/>
      <c r="O286" s="165" t="str">
        <f t="shared" si="1"/>
        <v/>
      </c>
      <c r="P286" s="164"/>
      <c r="Q286" s="165" t="str">
        <f t="shared" si="9"/>
        <v/>
      </c>
      <c r="R286" s="165" t="str">
        <f t="shared" si="3"/>
        <v/>
      </c>
      <c r="S286" s="165" t="str">
        <f t="shared" si="10"/>
        <v/>
      </c>
      <c r="T286" s="165" t="str">
        <f t="shared" si="5"/>
        <v/>
      </c>
      <c r="U286" s="165" t="s">
        <v>1248</v>
      </c>
      <c r="V286" s="53"/>
      <c r="W286" s="52" t="str">
        <f t="shared" si="6"/>
        <v/>
      </c>
      <c r="X286" s="52">
        <f t="shared" si="7"/>
        <v>0</v>
      </c>
      <c r="Y286" s="52">
        <f t="shared" si="8"/>
        <v>0</v>
      </c>
      <c r="Z286" s="52" t="str">
        <f>IF(G286="","",IFERROR(VLOOKUP(G286,'Product_Stock_Master产品维护'!$A$2:$L992,11,FALSE),"No"))</f>
        <v/>
      </c>
      <c r="AA286" s="52" t="str">
        <f>IF(G286="","",IFERROR(VLOOKUP(G286,'Product_Stock_Master产品维护'!$A$2:$L992,12,FALSE),""))</f>
        <v/>
      </c>
      <c r="AB286" s="52" t="str">
        <f t="shared" si="11"/>
        <v/>
      </c>
      <c r="AC286" s="52">
        <f t="shared" si="12"/>
        <v>0</v>
      </c>
    </row>
    <row r="287" ht="15.75" customHeight="1">
      <c r="A287" s="163"/>
      <c r="B287" s="163"/>
      <c r="C287" s="164"/>
      <c r="D287" s="164"/>
      <c r="E287" s="164"/>
      <c r="F287" s="164"/>
      <c r="G287" s="164"/>
      <c r="H287" s="165" t="str">
        <f>IF(G287="","",IFERROR(VLOOKUP(G287,'Product_Stock_Master产品维护'!$A$2:$E992,2,FALSE()),"SKU not found"))</f>
        <v/>
      </c>
      <c r="I287" s="165" t="str">
        <f>IF(G287="","",IFERROR(VLOOKUP(G287,'Product_Stock_Master产品维护'!$A$2:$E992,3,FALSE()),"Item type not found"))</f>
        <v/>
      </c>
      <c r="J287" s="164"/>
      <c r="K287" s="164"/>
      <c r="L287" s="164"/>
      <c r="M287" s="164"/>
      <c r="N287" s="164"/>
      <c r="O287" s="165" t="str">
        <f t="shared" si="1"/>
        <v/>
      </c>
      <c r="P287" s="164"/>
      <c r="Q287" s="165" t="str">
        <f t="shared" si="9"/>
        <v/>
      </c>
      <c r="R287" s="165" t="str">
        <f t="shared" si="3"/>
        <v/>
      </c>
      <c r="S287" s="165" t="str">
        <f t="shared" si="10"/>
        <v/>
      </c>
      <c r="T287" s="165" t="str">
        <f t="shared" si="5"/>
        <v/>
      </c>
      <c r="U287" s="165" t="s">
        <v>1249</v>
      </c>
      <c r="V287" s="53"/>
      <c r="W287" s="52" t="str">
        <f t="shared" si="6"/>
        <v/>
      </c>
      <c r="X287" s="52">
        <f t="shared" si="7"/>
        <v>0</v>
      </c>
      <c r="Y287" s="52">
        <f t="shared" si="8"/>
        <v>0</v>
      </c>
      <c r="Z287" s="52" t="str">
        <f>IF(G287="","",IFERROR(VLOOKUP(G287,'Product_Stock_Master产品维护'!$A$2:$L992,11,FALSE),"No"))</f>
        <v/>
      </c>
      <c r="AA287" s="52" t="str">
        <f>IF(G287="","",IFERROR(VLOOKUP(G287,'Product_Stock_Master产品维护'!$A$2:$L992,12,FALSE),""))</f>
        <v/>
      </c>
      <c r="AB287" s="52" t="str">
        <f t="shared" si="11"/>
        <v/>
      </c>
      <c r="AC287" s="52">
        <f t="shared" si="12"/>
        <v>0</v>
      </c>
    </row>
    <row r="288" ht="15.75" customHeight="1">
      <c r="A288" s="163"/>
      <c r="B288" s="163"/>
      <c r="C288" s="164"/>
      <c r="D288" s="164"/>
      <c r="E288" s="164"/>
      <c r="F288" s="164"/>
      <c r="G288" s="164"/>
      <c r="H288" s="165" t="str">
        <f>IF(G288="","",IFERROR(VLOOKUP(G288,'Product_Stock_Master产品维护'!$A$2:$E992,2,FALSE()),"SKU not found"))</f>
        <v/>
      </c>
      <c r="I288" s="165" t="str">
        <f>IF(G288="","",IFERROR(VLOOKUP(G288,'Product_Stock_Master产品维护'!$A$2:$E992,3,FALSE()),"Item type not found"))</f>
        <v/>
      </c>
      <c r="J288" s="164"/>
      <c r="K288" s="164"/>
      <c r="L288" s="164"/>
      <c r="M288" s="164"/>
      <c r="N288" s="164"/>
      <c r="O288" s="165" t="str">
        <f t="shared" si="1"/>
        <v/>
      </c>
      <c r="P288" s="164"/>
      <c r="Q288" s="165" t="str">
        <f t="shared" si="9"/>
        <v/>
      </c>
      <c r="R288" s="165" t="str">
        <f t="shared" si="3"/>
        <v/>
      </c>
      <c r="S288" s="165" t="str">
        <f t="shared" si="10"/>
        <v/>
      </c>
      <c r="T288" s="165" t="str">
        <f t="shared" si="5"/>
        <v/>
      </c>
      <c r="U288" s="165" t="s">
        <v>1250</v>
      </c>
      <c r="V288" s="53"/>
      <c r="W288" s="52" t="str">
        <f t="shared" si="6"/>
        <v/>
      </c>
      <c r="X288" s="52">
        <f t="shared" si="7"/>
        <v>0</v>
      </c>
      <c r="Y288" s="52">
        <f t="shared" si="8"/>
        <v>0</v>
      </c>
      <c r="Z288" s="52" t="str">
        <f>IF(G288="","",IFERROR(VLOOKUP(G288,'Product_Stock_Master产品维护'!$A$2:$L992,11,FALSE),"No"))</f>
        <v/>
      </c>
      <c r="AA288" s="52" t="str">
        <f>IF(G288="","",IFERROR(VLOOKUP(G288,'Product_Stock_Master产品维护'!$A$2:$L992,12,FALSE),""))</f>
        <v/>
      </c>
      <c r="AB288" s="52" t="str">
        <f t="shared" si="11"/>
        <v/>
      </c>
      <c r="AC288" s="52">
        <f t="shared" si="12"/>
        <v>0</v>
      </c>
    </row>
    <row r="289" ht="15.75" customHeight="1">
      <c r="A289" s="163"/>
      <c r="B289" s="163"/>
      <c r="C289" s="164"/>
      <c r="D289" s="164"/>
      <c r="E289" s="164"/>
      <c r="F289" s="164"/>
      <c r="G289" s="164"/>
      <c r="H289" s="165" t="str">
        <f>IF(G289="","",IFERROR(VLOOKUP(G289,'Product_Stock_Master产品维护'!$A$2:$E992,2,FALSE()),"SKU not found"))</f>
        <v/>
      </c>
      <c r="I289" s="165" t="str">
        <f>IF(G289="","",IFERROR(VLOOKUP(G289,'Product_Stock_Master产品维护'!$A$2:$E992,3,FALSE()),"Item type not found"))</f>
        <v/>
      </c>
      <c r="J289" s="164"/>
      <c r="K289" s="164"/>
      <c r="L289" s="164"/>
      <c r="M289" s="164"/>
      <c r="N289" s="164"/>
      <c r="O289" s="165" t="str">
        <f t="shared" si="1"/>
        <v/>
      </c>
      <c r="P289" s="164"/>
      <c r="Q289" s="165" t="str">
        <f t="shared" si="9"/>
        <v/>
      </c>
      <c r="R289" s="165" t="str">
        <f t="shared" si="3"/>
        <v/>
      </c>
      <c r="S289" s="165" t="str">
        <f t="shared" si="10"/>
        <v/>
      </c>
      <c r="T289" s="165" t="str">
        <f t="shared" si="5"/>
        <v/>
      </c>
      <c r="U289" s="165" t="s">
        <v>1251</v>
      </c>
      <c r="V289" s="53"/>
      <c r="W289" s="52" t="str">
        <f t="shared" si="6"/>
        <v/>
      </c>
      <c r="X289" s="52">
        <f t="shared" si="7"/>
        <v>0</v>
      </c>
      <c r="Y289" s="52">
        <f t="shared" si="8"/>
        <v>0</v>
      </c>
      <c r="Z289" s="52" t="str">
        <f>IF(G289="","",IFERROR(VLOOKUP(G289,'Product_Stock_Master产品维护'!$A$2:$L992,11,FALSE),"No"))</f>
        <v/>
      </c>
      <c r="AA289" s="52" t="str">
        <f>IF(G289="","",IFERROR(VLOOKUP(G289,'Product_Stock_Master产品维护'!$A$2:$L992,12,FALSE),""))</f>
        <v/>
      </c>
      <c r="AB289" s="52" t="str">
        <f t="shared" si="11"/>
        <v/>
      </c>
      <c r="AC289" s="52">
        <f t="shared" si="12"/>
        <v>0</v>
      </c>
    </row>
    <row r="290" ht="15.75" customHeight="1">
      <c r="A290" s="163"/>
      <c r="B290" s="163"/>
      <c r="C290" s="164"/>
      <c r="D290" s="164"/>
      <c r="E290" s="164"/>
      <c r="F290" s="164"/>
      <c r="G290" s="164"/>
      <c r="H290" s="165" t="str">
        <f>IF(G290="","",IFERROR(VLOOKUP(G290,'Product_Stock_Master产品维护'!$A$2:$E992,2,FALSE()),"SKU not found"))</f>
        <v/>
      </c>
      <c r="I290" s="165" t="str">
        <f>IF(G290="","",IFERROR(VLOOKUP(G290,'Product_Stock_Master产品维护'!$A$2:$E992,3,FALSE()),"Item type not found"))</f>
        <v/>
      </c>
      <c r="J290" s="164"/>
      <c r="K290" s="164"/>
      <c r="L290" s="164"/>
      <c r="M290" s="164"/>
      <c r="N290" s="164"/>
      <c r="O290" s="165" t="str">
        <f t="shared" si="1"/>
        <v/>
      </c>
      <c r="P290" s="164"/>
      <c r="Q290" s="165" t="str">
        <f t="shared" si="9"/>
        <v/>
      </c>
      <c r="R290" s="165" t="str">
        <f t="shared" si="3"/>
        <v/>
      </c>
      <c r="S290" s="165" t="str">
        <f t="shared" si="10"/>
        <v/>
      </c>
      <c r="T290" s="165" t="str">
        <f t="shared" si="5"/>
        <v/>
      </c>
      <c r="U290" s="165" t="s">
        <v>1252</v>
      </c>
      <c r="V290" s="53"/>
      <c r="W290" s="52" t="str">
        <f t="shared" si="6"/>
        <v/>
      </c>
      <c r="X290" s="52">
        <f t="shared" si="7"/>
        <v>0</v>
      </c>
      <c r="Y290" s="52">
        <f t="shared" si="8"/>
        <v>0</v>
      </c>
      <c r="Z290" s="52" t="str">
        <f>IF(G290="","",IFERROR(VLOOKUP(G290,'Product_Stock_Master产品维护'!$A$2:$L992,11,FALSE),"No"))</f>
        <v/>
      </c>
      <c r="AA290" s="52" t="str">
        <f>IF(G290="","",IFERROR(VLOOKUP(G290,'Product_Stock_Master产品维护'!$A$2:$L992,12,FALSE),""))</f>
        <v/>
      </c>
      <c r="AB290" s="52" t="str">
        <f t="shared" si="11"/>
        <v/>
      </c>
      <c r="AC290" s="52">
        <f t="shared" si="12"/>
        <v>0</v>
      </c>
    </row>
    <row r="291" ht="15.75" customHeight="1">
      <c r="A291" s="163"/>
      <c r="B291" s="163"/>
      <c r="C291" s="164"/>
      <c r="D291" s="164"/>
      <c r="E291" s="164"/>
      <c r="F291" s="164"/>
      <c r="G291" s="164"/>
      <c r="H291" s="165" t="str">
        <f>IF(G291="","",IFERROR(VLOOKUP(G291,'Product_Stock_Master产品维护'!$A$2:$E992,2,FALSE()),"SKU not found"))</f>
        <v/>
      </c>
      <c r="I291" s="165" t="str">
        <f>IF(G291="","",IFERROR(VLOOKUP(G291,'Product_Stock_Master产品维护'!$A$2:$E992,3,FALSE()),"Item type not found"))</f>
        <v/>
      </c>
      <c r="J291" s="164"/>
      <c r="K291" s="164"/>
      <c r="L291" s="164"/>
      <c r="M291" s="164"/>
      <c r="N291" s="164"/>
      <c r="O291" s="165" t="str">
        <f t="shared" si="1"/>
        <v/>
      </c>
      <c r="P291" s="164"/>
      <c r="Q291" s="165" t="str">
        <f t="shared" si="9"/>
        <v/>
      </c>
      <c r="R291" s="165" t="str">
        <f t="shared" si="3"/>
        <v/>
      </c>
      <c r="S291" s="165" t="str">
        <f t="shared" si="10"/>
        <v/>
      </c>
      <c r="T291" s="165" t="str">
        <f t="shared" si="5"/>
        <v/>
      </c>
      <c r="U291" s="165" t="s">
        <v>1253</v>
      </c>
      <c r="V291" s="53"/>
      <c r="W291" s="52" t="str">
        <f t="shared" si="6"/>
        <v/>
      </c>
      <c r="X291" s="52">
        <f t="shared" si="7"/>
        <v>0</v>
      </c>
      <c r="Y291" s="52">
        <f t="shared" si="8"/>
        <v>0</v>
      </c>
      <c r="Z291" s="52" t="str">
        <f>IF(G291="","",IFERROR(VLOOKUP(G291,'Product_Stock_Master产品维护'!$A$2:$L992,11,FALSE),"No"))</f>
        <v/>
      </c>
      <c r="AA291" s="52" t="str">
        <f>IF(G291="","",IFERROR(VLOOKUP(G291,'Product_Stock_Master产品维护'!$A$2:$L992,12,FALSE),""))</f>
        <v/>
      </c>
      <c r="AB291" s="52" t="str">
        <f t="shared" si="11"/>
        <v/>
      </c>
      <c r="AC291" s="52">
        <f t="shared" si="12"/>
        <v>0</v>
      </c>
    </row>
    <row r="292" ht="15.75" customHeight="1">
      <c r="A292" s="163"/>
      <c r="B292" s="163"/>
      <c r="C292" s="164"/>
      <c r="D292" s="164"/>
      <c r="E292" s="164"/>
      <c r="F292" s="164"/>
      <c r="G292" s="164"/>
      <c r="H292" s="165" t="str">
        <f>IF(G292="","",IFERROR(VLOOKUP(G292,'Product_Stock_Master产品维护'!$A$2:$E992,2,FALSE()),"SKU not found"))</f>
        <v/>
      </c>
      <c r="I292" s="165" t="str">
        <f>IF(G292="","",IFERROR(VLOOKUP(G292,'Product_Stock_Master产品维护'!$A$2:$E992,3,FALSE()),"Item type not found"))</f>
        <v/>
      </c>
      <c r="J292" s="164"/>
      <c r="K292" s="164"/>
      <c r="L292" s="164"/>
      <c r="M292" s="164"/>
      <c r="N292" s="164"/>
      <c r="O292" s="165" t="str">
        <f t="shared" si="1"/>
        <v/>
      </c>
      <c r="P292" s="164"/>
      <c r="Q292" s="165" t="str">
        <f t="shared" si="9"/>
        <v/>
      </c>
      <c r="R292" s="165" t="str">
        <f t="shared" si="3"/>
        <v/>
      </c>
      <c r="S292" s="165" t="str">
        <f t="shared" si="10"/>
        <v/>
      </c>
      <c r="T292" s="165" t="str">
        <f t="shared" si="5"/>
        <v/>
      </c>
      <c r="U292" s="165" t="s">
        <v>1254</v>
      </c>
      <c r="V292" s="53"/>
      <c r="W292" s="52" t="str">
        <f t="shared" si="6"/>
        <v/>
      </c>
      <c r="X292" s="52">
        <f t="shared" si="7"/>
        <v>0</v>
      </c>
      <c r="Y292" s="52">
        <f t="shared" si="8"/>
        <v>0</v>
      </c>
      <c r="Z292" s="52" t="str">
        <f>IF(G292="","",IFERROR(VLOOKUP(G292,'Product_Stock_Master产品维护'!$A$2:$L992,11,FALSE),"No"))</f>
        <v/>
      </c>
      <c r="AA292" s="52" t="str">
        <f>IF(G292="","",IFERROR(VLOOKUP(G292,'Product_Stock_Master产品维护'!$A$2:$L992,12,FALSE),""))</f>
        <v/>
      </c>
      <c r="AB292" s="52" t="str">
        <f t="shared" si="11"/>
        <v/>
      </c>
      <c r="AC292" s="52">
        <f t="shared" si="12"/>
        <v>0</v>
      </c>
    </row>
    <row r="293" ht="15.75" customHeight="1">
      <c r="A293" s="163"/>
      <c r="B293" s="163"/>
      <c r="C293" s="164"/>
      <c r="D293" s="164"/>
      <c r="E293" s="164"/>
      <c r="F293" s="164"/>
      <c r="G293" s="164"/>
      <c r="H293" s="165" t="str">
        <f>IF(G293="","",IFERROR(VLOOKUP(G293,'Product_Stock_Master产品维护'!$A$2:$E992,2,FALSE()),"SKU not found"))</f>
        <v/>
      </c>
      <c r="I293" s="165" t="str">
        <f>IF(G293="","",IFERROR(VLOOKUP(G293,'Product_Stock_Master产品维护'!$A$2:$E992,3,FALSE()),"Item type not found"))</f>
        <v/>
      </c>
      <c r="J293" s="164"/>
      <c r="K293" s="164"/>
      <c r="L293" s="164"/>
      <c r="M293" s="164"/>
      <c r="N293" s="164"/>
      <c r="O293" s="165" t="str">
        <f t="shared" si="1"/>
        <v/>
      </c>
      <c r="P293" s="164"/>
      <c r="Q293" s="165" t="str">
        <f t="shared" si="9"/>
        <v/>
      </c>
      <c r="R293" s="165" t="str">
        <f t="shared" si="3"/>
        <v/>
      </c>
      <c r="S293" s="165" t="str">
        <f t="shared" si="10"/>
        <v/>
      </c>
      <c r="T293" s="165" t="str">
        <f t="shared" si="5"/>
        <v/>
      </c>
      <c r="U293" s="165" t="s">
        <v>1255</v>
      </c>
      <c r="V293" s="53"/>
      <c r="W293" s="52" t="str">
        <f t="shared" si="6"/>
        <v/>
      </c>
      <c r="X293" s="52">
        <f t="shared" si="7"/>
        <v>0</v>
      </c>
      <c r="Y293" s="52">
        <f t="shared" si="8"/>
        <v>0</v>
      </c>
      <c r="Z293" s="52" t="str">
        <f>IF(G293="","",IFERROR(VLOOKUP(G293,'Product_Stock_Master产品维护'!$A$2:$L992,11,FALSE),"No"))</f>
        <v/>
      </c>
      <c r="AA293" s="52" t="str">
        <f>IF(G293="","",IFERROR(VLOOKUP(G293,'Product_Stock_Master产品维护'!$A$2:$L992,12,FALSE),""))</f>
        <v/>
      </c>
      <c r="AB293" s="52" t="str">
        <f t="shared" si="11"/>
        <v/>
      </c>
      <c r="AC293" s="52">
        <f t="shared" si="12"/>
        <v>0</v>
      </c>
    </row>
    <row r="294" ht="15.75" customHeight="1">
      <c r="A294" s="163"/>
      <c r="B294" s="163"/>
      <c r="C294" s="164"/>
      <c r="D294" s="164"/>
      <c r="E294" s="164"/>
      <c r="F294" s="164"/>
      <c r="G294" s="164"/>
      <c r="H294" s="165" t="str">
        <f>IF(G294="","",IFERROR(VLOOKUP(G294,'Product_Stock_Master产品维护'!$A$2:$E992,2,FALSE()),"SKU not found"))</f>
        <v/>
      </c>
      <c r="I294" s="165" t="str">
        <f>IF(G294="","",IFERROR(VLOOKUP(G294,'Product_Stock_Master产品维护'!$A$2:$E992,3,FALSE()),"Item type not found"))</f>
        <v/>
      </c>
      <c r="J294" s="164"/>
      <c r="K294" s="164"/>
      <c r="L294" s="164"/>
      <c r="M294" s="164"/>
      <c r="N294" s="164"/>
      <c r="O294" s="165" t="str">
        <f t="shared" si="1"/>
        <v/>
      </c>
      <c r="P294" s="164"/>
      <c r="Q294" s="165" t="str">
        <f t="shared" si="9"/>
        <v/>
      </c>
      <c r="R294" s="165" t="str">
        <f t="shared" si="3"/>
        <v/>
      </c>
      <c r="S294" s="165" t="str">
        <f t="shared" si="10"/>
        <v/>
      </c>
      <c r="T294" s="165" t="str">
        <f t="shared" si="5"/>
        <v/>
      </c>
      <c r="U294" s="165" t="s">
        <v>1256</v>
      </c>
      <c r="V294" s="53"/>
      <c r="W294" s="52" t="str">
        <f t="shared" si="6"/>
        <v/>
      </c>
      <c r="X294" s="52">
        <f t="shared" si="7"/>
        <v>0</v>
      </c>
      <c r="Y294" s="52">
        <f t="shared" si="8"/>
        <v>0</v>
      </c>
      <c r="Z294" s="52" t="str">
        <f>IF(G294="","",IFERROR(VLOOKUP(G294,'Product_Stock_Master产品维护'!$A$2:$L992,11,FALSE),"No"))</f>
        <v/>
      </c>
      <c r="AA294" s="52" t="str">
        <f>IF(G294="","",IFERROR(VLOOKUP(G294,'Product_Stock_Master产品维护'!$A$2:$L992,12,FALSE),""))</f>
        <v/>
      </c>
      <c r="AB294" s="52" t="str">
        <f t="shared" si="11"/>
        <v/>
      </c>
      <c r="AC294" s="52">
        <f t="shared" si="12"/>
        <v>0</v>
      </c>
    </row>
    <row r="295" ht="15.75" customHeight="1">
      <c r="A295" s="163"/>
      <c r="B295" s="163"/>
      <c r="C295" s="164"/>
      <c r="D295" s="164"/>
      <c r="E295" s="164"/>
      <c r="F295" s="164"/>
      <c r="G295" s="164"/>
      <c r="H295" s="165" t="str">
        <f>IF(G295="","",IFERROR(VLOOKUP(G295,'Product_Stock_Master产品维护'!$A$2:$E992,2,FALSE()),"SKU not found"))</f>
        <v/>
      </c>
      <c r="I295" s="165" t="str">
        <f>IF(G295="","",IFERROR(VLOOKUP(G295,'Product_Stock_Master产品维护'!$A$2:$E992,3,FALSE()),"Item type not found"))</f>
        <v/>
      </c>
      <c r="J295" s="164"/>
      <c r="K295" s="164"/>
      <c r="L295" s="164"/>
      <c r="M295" s="164"/>
      <c r="N295" s="164"/>
      <c r="O295" s="165" t="str">
        <f t="shared" si="1"/>
        <v/>
      </c>
      <c r="P295" s="164"/>
      <c r="Q295" s="165" t="str">
        <f t="shared" si="9"/>
        <v/>
      </c>
      <c r="R295" s="165" t="str">
        <f t="shared" si="3"/>
        <v/>
      </c>
      <c r="S295" s="165" t="str">
        <f t="shared" si="10"/>
        <v/>
      </c>
      <c r="T295" s="165" t="str">
        <f t="shared" si="5"/>
        <v/>
      </c>
      <c r="U295" s="165" t="s">
        <v>1257</v>
      </c>
      <c r="V295" s="53"/>
      <c r="W295" s="52" t="str">
        <f t="shared" si="6"/>
        <v/>
      </c>
      <c r="X295" s="52">
        <f t="shared" si="7"/>
        <v>0</v>
      </c>
      <c r="Y295" s="52">
        <f t="shared" si="8"/>
        <v>0</v>
      </c>
      <c r="Z295" s="52" t="str">
        <f>IF(G295="","",IFERROR(VLOOKUP(G295,'Product_Stock_Master产品维护'!$A$2:$L992,11,FALSE),"No"))</f>
        <v/>
      </c>
      <c r="AA295" s="52" t="str">
        <f>IF(G295="","",IFERROR(VLOOKUP(G295,'Product_Stock_Master产品维护'!$A$2:$L992,12,FALSE),""))</f>
        <v/>
      </c>
      <c r="AB295" s="52" t="str">
        <f t="shared" si="11"/>
        <v/>
      </c>
      <c r="AC295" s="52">
        <f t="shared" si="12"/>
        <v>0</v>
      </c>
    </row>
    <row r="296" ht="15.75" customHeight="1">
      <c r="A296" s="163"/>
      <c r="B296" s="163"/>
      <c r="C296" s="164"/>
      <c r="D296" s="164"/>
      <c r="E296" s="164"/>
      <c r="F296" s="164"/>
      <c r="G296" s="164"/>
      <c r="H296" s="165" t="str">
        <f>IF(G296="","",IFERROR(VLOOKUP(G296,'Product_Stock_Master产品维护'!$A$2:$E992,2,FALSE()),"SKU not found"))</f>
        <v/>
      </c>
      <c r="I296" s="165" t="str">
        <f>IF(G296="","",IFERROR(VLOOKUP(G296,'Product_Stock_Master产品维护'!$A$2:$E992,3,FALSE()),"Item type not found"))</f>
        <v/>
      </c>
      <c r="J296" s="164"/>
      <c r="K296" s="164"/>
      <c r="L296" s="164"/>
      <c r="M296" s="164"/>
      <c r="N296" s="164"/>
      <c r="O296" s="165" t="str">
        <f t="shared" si="1"/>
        <v/>
      </c>
      <c r="P296" s="164"/>
      <c r="Q296" s="165" t="str">
        <f t="shared" si="9"/>
        <v/>
      </c>
      <c r="R296" s="165" t="str">
        <f t="shared" si="3"/>
        <v/>
      </c>
      <c r="S296" s="165" t="str">
        <f t="shared" si="10"/>
        <v/>
      </c>
      <c r="T296" s="165" t="str">
        <f t="shared" si="5"/>
        <v/>
      </c>
      <c r="U296" s="165" t="s">
        <v>1258</v>
      </c>
      <c r="V296" s="53"/>
      <c r="W296" s="52" t="str">
        <f t="shared" si="6"/>
        <v/>
      </c>
      <c r="X296" s="52">
        <f t="shared" si="7"/>
        <v>0</v>
      </c>
      <c r="Y296" s="52">
        <f t="shared" si="8"/>
        <v>0</v>
      </c>
      <c r="Z296" s="52" t="str">
        <f>IF(G296="","",IFERROR(VLOOKUP(G296,'Product_Stock_Master产品维护'!$A$2:$L992,11,FALSE),"No"))</f>
        <v/>
      </c>
      <c r="AA296" s="52" t="str">
        <f>IF(G296="","",IFERROR(VLOOKUP(G296,'Product_Stock_Master产品维护'!$A$2:$L992,12,FALSE),""))</f>
        <v/>
      </c>
      <c r="AB296" s="52" t="str">
        <f t="shared" si="11"/>
        <v/>
      </c>
      <c r="AC296" s="52">
        <f t="shared" si="12"/>
        <v>0</v>
      </c>
    </row>
    <row r="297" ht="15.75" customHeight="1">
      <c r="A297" s="163"/>
      <c r="B297" s="163"/>
      <c r="C297" s="164"/>
      <c r="D297" s="164"/>
      <c r="E297" s="164"/>
      <c r="F297" s="164"/>
      <c r="G297" s="164"/>
      <c r="H297" s="165" t="str">
        <f>IF(G297="","",IFERROR(VLOOKUP(G297,'Product_Stock_Master产品维护'!$A$2:$E992,2,FALSE()),"SKU not found"))</f>
        <v/>
      </c>
      <c r="I297" s="165" t="str">
        <f>IF(G297="","",IFERROR(VLOOKUP(G297,'Product_Stock_Master产品维护'!$A$2:$E992,3,FALSE()),"Item type not found"))</f>
        <v/>
      </c>
      <c r="J297" s="164"/>
      <c r="K297" s="164"/>
      <c r="L297" s="164"/>
      <c r="M297" s="164"/>
      <c r="N297" s="164"/>
      <c r="O297" s="165" t="str">
        <f t="shared" si="1"/>
        <v/>
      </c>
      <c r="P297" s="164"/>
      <c r="Q297" s="165" t="str">
        <f t="shared" si="9"/>
        <v/>
      </c>
      <c r="R297" s="165" t="str">
        <f t="shared" si="3"/>
        <v/>
      </c>
      <c r="S297" s="165" t="str">
        <f t="shared" si="10"/>
        <v/>
      </c>
      <c r="T297" s="165" t="str">
        <f t="shared" si="5"/>
        <v/>
      </c>
      <c r="U297" s="165" t="s">
        <v>1259</v>
      </c>
      <c r="V297" s="53"/>
      <c r="W297" s="52" t="str">
        <f t="shared" si="6"/>
        <v/>
      </c>
      <c r="X297" s="52">
        <f t="shared" si="7"/>
        <v>0</v>
      </c>
      <c r="Y297" s="52">
        <f t="shared" si="8"/>
        <v>0</v>
      </c>
      <c r="Z297" s="52" t="str">
        <f>IF(G297="","",IFERROR(VLOOKUP(G297,'Product_Stock_Master产品维护'!$A$2:$L992,11,FALSE),"No"))</f>
        <v/>
      </c>
      <c r="AA297" s="52" t="str">
        <f>IF(G297="","",IFERROR(VLOOKUP(G297,'Product_Stock_Master产品维护'!$A$2:$L992,12,FALSE),""))</f>
        <v/>
      </c>
      <c r="AB297" s="52" t="str">
        <f t="shared" si="11"/>
        <v/>
      </c>
      <c r="AC297" s="52">
        <f t="shared" si="12"/>
        <v>0</v>
      </c>
    </row>
    <row r="298" ht="15.75" customHeight="1">
      <c r="A298" s="163"/>
      <c r="B298" s="163"/>
      <c r="C298" s="164"/>
      <c r="D298" s="164"/>
      <c r="E298" s="164"/>
      <c r="F298" s="164"/>
      <c r="G298" s="164"/>
      <c r="H298" s="165" t="str">
        <f>IF(G298="","",IFERROR(VLOOKUP(G298,'Product_Stock_Master产品维护'!$A$2:$E992,2,FALSE()),"SKU not found"))</f>
        <v/>
      </c>
      <c r="I298" s="165" t="str">
        <f>IF(G298="","",IFERROR(VLOOKUP(G298,'Product_Stock_Master产品维护'!$A$2:$E992,3,FALSE()),"Item type not found"))</f>
        <v/>
      </c>
      <c r="J298" s="164"/>
      <c r="K298" s="164"/>
      <c r="L298" s="164"/>
      <c r="M298" s="164"/>
      <c r="N298" s="164"/>
      <c r="O298" s="165" t="str">
        <f t="shared" si="1"/>
        <v/>
      </c>
      <c r="P298" s="164"/>
      <c r="Q298" s="165" t="str">
        <f t="shared" si="9"/>
        <v/>
      </c>
      <c r="R298" s="165" t="str">
        <f t="shared" si="3"/>
        <v/>
      </c>
      <c r="S298" s="165" t="str">
        <f t="shared" si="10"/>
        <v/>
      </c>
      <c r="T298" s="165" t="str">
        <f t="shared" si="5"/>
        <v/>
      </c>
      <c r="U298" s="165" t="s">
        <v>1260</v>
      </c>
      <c r="V298" s="53"/>
      <c r="W298" s="52" t="str">
        <f t="shared" si="6"/>
        <v/>
      </c>
      <c r="X298" s="52">
        <f t="shared" si="7"/>
        <v>0</v>
      </c>
      <c r="Y298" s="52">
        <f t="shared" si="8"/>
        <v>0</v>
      </c>
      <c r="Z298" s="52" t="str">
        <f>IF(G298="","",IFERROR(VLOOKUP(G298,'Product_Stock_Master产品维护'!$A$2:$L992,11,FALSE),"No"))</f>
        <v/>
      </c>
      <c r="AA298" s="52" t="str">
        <f>IF(G298="","",IFERROR(VLOOKUP(G298,'Product_Stock_Master产品维护'!$A$2:$L992,12,FALSE),""))</f>
        <v/>
      </c>
      <c r="AB298" s="52" t="str">
        <f t="shared" si="11"/>
        <v/>
      </c>
      <c r="AC298" s="52">
        <f t="shared" si="12"/>
        <v>0</v>
      </c>
    </row>
    <row r="299" ht="15.75" customHeight="1">
      <c r="A299" s="163"/>
      <c r="B299" s="163"/>
      <c r="C299" s="164"/>
      <c r="D299" s="164"/>
      <c r="E299" s="164"/>
      <c r="F299" s="164"/>
      <c r="G299" s="164"/>
      <c r="H299" s="165" t="str">
        <f>IF(G299="","",IFERROR(VLOOKUP(G299,'Product_Stock_Master产品维护'!$A$2:$E992,2,FALSE()),"SKU not found"))</f>
        <v/>
      </c>
      <c r="I299" s="165" t="str">
        <f>IF(G299="","",IFERROR(VLOOKUP(G299,'Product_Stock_Master产品维护'!$A$2:$E992,3,FALSE()),"Item type not found"))</f>
        <v/>
      </c>
      <c r="J299" s="164"/>
      <c r="K299" s="164"/>
      <c r="L299" s="164"/>
      <c r="M299" s="164"/>
      <c r="N299" s="164"/>
      <c r="O299" s="165" t="str">
        <f t="shared" si="1"/>
        <v/>
      </c>
      <c r="P299" s="164"/>
      <c r="Q299" s="165" t="str">
        <f t="shared" si="9"/>
        <v/>
      </c>
      <c r="R299" s="165" t="str">
        <f t="shared" si="3"/>
        <v/>
      </c>
      <c r="S299" s="165" t="str">
        <f t="shared" si="10"/>
        <v/>
      </c>
      <c r="T299" s="165" t="str">
        <f t="shared" si="5"/>
        <v/>
      </c>
      <c r="U299" s="165" t="s">
        <v>1261</v>
      </c>
      <c r="V299" s="53"/>
      <c r="W299" s="52" t="str">
        <f t="shared" si="6"/>
        <v/>
      </c>
      <c r="X299" s="52">
        <f t="shared" si="7"/>
        <v>0</v>
      </c>
      <c r="Y299" s="52">
        <f t="shared" si="8"/>
        <v>0</v>
      </c>
      <c r="Z299" s="52" t="str">
        <f>IF(G299="","",IFERROR(VLOOKUP(G299,'Product_Stock_Master产品维护'!$A$2:$L992,11,FALSE),"No"))</f>
        <v/>
      </c>
      <c r="AA299" s="52" t="str">
        <f>IF(G299="","",IFERROR(VLOOKUP(G299,'Product_Stock_Master产品维护'!$A$2:$L992,12,FALSE),""))</f>
        <v/>
      </c>
      <c r="AB299" s="52" t="str">
        <f t="shared" si="11"/>
        <v/>
      </c>
      <c r="AC299" s="52">
        <f t="shared" si="12"/>
        <v>0</v>
      </c>
    </row>
    <row r="300" ht="15.75" customHeight="1">
      <c r="A300" s="163"/>
      <c r="B300" s="163"/>
      <c r="C300" s="164"/>
      <c r="D300" s="164"/>
      <c r="E300" s="164"/>
      <c r="F300" s="164"/>
      <c r="G300" s="164"/>
      <c r="H300" s="165" t="str">
        <f>IF(G300="","",IFERROR(VLOOKUP(G300,'Product_Stock_Master产品维护'!$A$2:$E992,2,FALSE()),"SKU not found"))</f>
        <v/>
      </c>
      <c r="I300" s="165" t="str">
        <f>IF(G300="","",IFERROR(VLOOKUP(G300,'Product_Stock_Master产品维护'!$A$2:$E992,3,FALSE()),"Item type not found"))</f>
        <v/>
      </c>
      <c r="J300" s="164"/>
      <c r="K300" s="164"/>
      <c r="L300" s="164"/>
      <c r="M300" s="164"/>
      <c r="N300" s="164"/>
      <c r="O300" s="165" t="str">
        <f t="shared" si="1"/>
        <v/>
      </c>
      <c r="P300" s="164"/>
      <c r="Q300" s="165" t="str">
        <f t="shared" si="9"/>
        <v/>
      </c>
      <c r="R300" s="165" t="str">
        <f t="shared" si="3"/>
        <v/>
      </c>
      <c r="S300" s="165" t="str">
        <f t="shared" si="10"/>
        <v/>
      </c>
      <c r="T300" s="165" t="str">
        <f t="shared" si="5"/>
        <v/>
      </c>
      <c r="U300" s="165" t="s">
        <v>1262</v>
      </c>
      <c r="V300" s="53"/>
      <c r="W300" s="52" t="str">
        <f t="shared" si="6"/>
        <v/>
      </c>
      <c r="X300" s="52">
        <f t="shared" si="7"/>
        <v>0</v>
      </c>
      <c r="Y300" s="52">
        <f t="shared" si="8"/>
        <v>0</v>
      </c>
      <c r="Z300" s="52" t="str">
        <f>IF(G300="","",IFERROR(VLOOKUP(G300,'Product_Stock_Master产品维护'!$A$2:$L992,11,FALSE),"No"))</f>
        <v/>
      </c>
      <c r="AA300" s="52" t="str">
        <f>IF(G300="","",IFERROR(VLOOKUP(G300,'Product_Stock_Master产品维护'!$A$2:$L992,12,FALSE),""))</f>
        <v/>
      </c>
      <c r="AB300" s="52" t="str">
        <f t="shared" si="11"/>
        <v/>
      </c>
      <c r="AC300" s="52">
        <f t="shared" si="12"/>
        <v>0</v>
      </c>
    </row>
    <row r="301" ht="15.75" customHeight="1">
      <c r="A301" s="163"/>
      <c r="B301" s="163"/>
      <c r="C301" s="164"/>
      <c r="D301" s="164"/>
      <c r="E301" s="164"/>
      <c r="F301" s="164"/>
      <c r="G301" s="164"/>
      <c r="H301" s="165" t="str">
        <f>IF(G301="","",IFERROR(VLOOKUP(G301,'Product_Stock_Master产品维护'!$A$2:$E992,2,FALSE()),"SKU not found"))</f>
        <v/>
      </c>
      <c r="I301" s="165" t="str">
        <f>IF(G301="","",IFERROR(VLOOKUP(G301,'Product_Stock_Master产品维护'!$A$2:$E992,3,FALSE()),"Item type not found"))</f>
        <v/>
      </c>
      <c r="J301" s="164"/>
      <c r="K301" s="164"/>
      <c r="L301" s="164"/>
      <c r="M301" s="164"/>
      <c r="N301" s="164"/>
      <c r="O301" s="165" t="str">
        <f t="shared" si="1"/>
        <v/>
      </c>
      <c r="P301" s="164"/>
      <c r="Q301" s="165" t="str">
        <f t="shared" si="9"/>
        <v/>
      </c>
      <c r="R301" s="165" t="str">
        <f t="shared" si="3"/>
        <v/>
      </c>
      <c r="S301" s="165" t="str">
        <f t="shared" si="10"/>
        <v/>
      </c>
      <c r="T301" s="165" t="str">
        <f t="shared" si="5"/>
        <v/>
      </c>
      <c r="U301" s="165" t="s">
        <v>1263</v>
      </c>
      <c r="V301" s="53"/>
      <c r="W301" s="52" t="str">
        <f t="shared" si="6"/>
        <v/>
      </c>
      <c r="X301" s="52">
        <f t="shared" si="7"/>
        <v>0</v>
      </c>
      <c r="Y301" s="52">
        <f t="shared" si="8"/>
        <v>0</v>
      </c>
      <c r="Z301" s="52" t="str">
        <f>IF(G301="","",IFERROR(VLOOKUP(G301,'Product_Stock_Master产品维护'!$A$2:$L992,11,FALSE),"No"))</f>
        <v/>
      </c>
      <c r="AA301" s="52" t="str">
        <f>IF(G301="","",IFERROR(VLOOKUP(G301,'Product_Stock_Master产品维护'!$A$2:$L992,12,FALSE),""))</f>
        <v/>
      </c>
      <c r="AB301" s="52" t="str">
        <f t="shared" si="11"/>
        <v/>
      </c>
      <c r="AC301" s="52">
        <f t="shared" si="12"/>
        <v>0</v>
      </c>
    </row>
    <row r="302" ht="15.75" customHeight="1">
      <c r="A302" s="163"/>
      <c r="B302" s="163"/>
      <c r="C302" s="164"/>
      <c r="D302" s="164"/>
      <c r="E302" s="164"/>
      <c r="F302" s="164"/>
      <c r="G302" s="164"/>
      <c r="H302" s="165" t="str">
        <f>IF(G302="","",IFERROR(VLOOKUP(G302,'Product_Stock_Master产品维护'!$A$2:$E992,2,FALSE()),"SKU not found"))</f>
        <v/>
      </c>
      <c r="I302" s="165" t="str">
        <f>IF(G302="","",IFERROR(VLOOKUP(G302,'Product_Stock_Master产品维护'!$A$2:$E992,3,FALSE()),"Item type not found"))</f>
        <v/>
      </c>
      <c r="J302" s="164"/>
      <c r="K302" s="164"/>
      <c r="L302" s="164"/>
      <c r="M302" s="164"/>
      <c r="N302" s="164"/>
      <c r="O302" s="165" t="str">
        <f t="shared" si="1"/>
        <v/>
      </c>
      <c r="P302" s="164"/>
      <c r="Q302" s="165" t="str">
        <f t="shared" si="9"/>
        <v/>
      </c>
      <c r="R302" s="165" t="str">
        <f t="shared" si="3"/>
        <v/>
      </c>
      <c r="S302" s="165" t="str">
        <f t="shared" si="10"/>
        <v/>
      </c>
      <c r="T302" s="165" t="str">
        <f t="shared" si="5"/>
        <v/>
      </c>
      <c r="U302" s="165" t="s">
        <v>1264</v>
      </c>
      <c r="V302" s="53"/>
      <c r="W302" s="52" t="str">
        <f t="shared" si="6"/>
        <v/>
      </c>
      <c r="X302" s="52">
        <f t="shared" si="7"/>
        <v>0</v>
      </c>
      <c r="Y302" s="52">
        <f t="shared" si="8"/>
        <v>0</v>
      </c>
      <c r="Z302" s="52" t="str">
        <f>IF(G302="","",IFERROR(VLOOKUP(G302,'Product_Stock_Master产品维护'!$A$2:$L992,11,FALSE),"No"))</f>
        <v/>
      </c>
      <c r="AA302" s="52" t="str">
        <f>IF(G302="","",IFERROR(VLOOKUP(G302,'Product_Stock_Master产品维护'!$A$2:$L992,12,FALSE),""))</f>
        <v/>
      </c>
      <c r="AB302" s="52" t="str">
        <f t="shared" si="11"/>
        <v/>
      </c>
      <c r="AC302" s="52">
        <f t="shared" si="12"/>
        <v>0</v>
      </c>
    </row>
    <row r="303" ht="15.75" customHeight="1">
      <c r="A303" s="163"/>
      <c r="B303" s="163"/>
      <c r="C303" s="164"/>
      <c r="D303" s="164"/>
      <c r="E303" s="164"/>
      <c r="F303" s="164"/>
      <c r="G303" s="164"/>
      <c r="H303" s="165" t="str">
        <f>IF(G303="","",IFERROR(VLOOKUP(G303,'Product_Stock_Master产品维护'!$A$2:$E992,2,FALSE()),"SKU not found"))</f>
        <v/>
      </c>
      <c r="I303" s="165" t="str">
        <f>IF(G303="","",IFERROR(VLOOKUP(G303,'Product_Stock_Master产品维护'!$A$2:$E992,3,FALSE()),"Item type not found"))</f>
        <v/>
      </c>
      <c r="J303" s="164"/>
      <c r="K303" s="164"/>
      <c r="L303" s="164"/>
      <c r="M303" s="164"/>
      <c r="N303" s="164"/>
      <c r="O303" s="165" t="str">
        <f t="shared" si="1"/>
        <v/>
      </c>
      <c r="P303" s="164"/>
      <c r="Q303" s="165" t="str">
        <f t="shared" si="9"/>
        <v/>
      </c>
      <c r="R303" s="165" t="str">
        <f t="shared" si="3"/>
        <v/>
      </c>
      <c r="S303" s="165" t="str">
        <f t="shared" si="10"/>
        <v/>
      </c>
      <c r="T303" s="165" t="str">
        <f t="shared" si="5"/>
        <v/>
      </c>
      <c r="U303" s="165" t="s">
        <v>1265</v>
      </c>
      <c r="V303" s="53"/>
      <c r="W303" s="52" t="str">
        <f t="shared" si="6"/>
        <v/>
      </c>
      <c r="X303" s="52">
        <f t="shared" si="7"/>
        <v>0</v>
      </c>
      <c r="Y303" s="52">
        <f t="shared" si="8"/>
        <v>0</v>
      </c>
      <c r="Z303" s="52" t="str">
        <f>IF(G303="","",IFERROR(VLOOKUP(G303,'Product_Stock_Master产品维护'!$A$2:$L992,11,FALSE),"No"))</f>
        <v/>
      </c>
      <c r="AA303" s="52" t="str">
        <f>IF(G303="","",IFERROR(VLOOKUP(G303,'Product_Stock_Master产品维护'!$A$2:$L992,12,FALSE),""))</f>
        <v/>
      </c>
      <c r="AB303" s="52" t="str">
        <f t="shared" si="11"/>
        <v/>
      </c>
      <c r="AC303" s="52">
        <f t="shared" si="12"/>
        <v>0</v>
      </c>
    </row>
    <row r="304" ht="15.75" customHeight="1">
      <c r="A304" s="163"/>
      <c r="B304" s="163"/>
      <c r="C304" s="164"/>
      <c r="D304" s="164"/>
      <c r="E304" s="164"/>
      <c r="F304" s="164"/>
      <c r="G304" s="164"/>
      <c r="H304" s="165" t="str">
        <f>IF(G304="","",IFERROR(VLOOKUP(G304,'Product_Stock_Master产品维护'!$A$2:$E992,2,FALSE()),"SKU not found"))</f>
        <v/>
      </c>
      <c r="I304" s="165" t="str">
        <f>IF(G304="","",IFERROR(VLOOKUP(G304,'Product_Stock_Master产品维护'!$A$2:$E992,3,FALSE()),"Item type not found"))</f>
        <v/>
      </c>
      <c r="J304" s="164"/>
      <c r="K304" s="164"/>
      <c r="L304" s="164"/>
      <c r="M304" s="164"/>
      <c r="N304" s="164"/>
      <c r="O304" s="165" t="str">
        <f t="shared" si="1"/>
        <v/>
      </c>
      <c r="P304" s="164"/>
      <c r="Q304" s="165" t="str">
        <f t="shared" si="9"/>
        <v/>
      </c>
      <c r="R304" s="165" t="str">
        <f t="shared" si="3"/>
        <v/>
      </c>
      <c r="S304" s="165" t="str">
        <f t="shared" si="10"/>
        <v/>
      </c>
      <c r="T304" s="165" t="str">
        <f t="shared" si="5"/>
        <v/>
      </c>
      <c r="U304" s="165" t="s">
        <v>1266</v>
      </c>
      <c r="V304" s="53"/>
      <c r="W304" s="52" t="str">
        <f t="shared" si="6"/>
        <v/>
      </c>
      <c r="X304" s="52">
        <f t="shared" si="7"/>
        <v>0</v>
      </c>
      <c r="Y304" s="52">
        <f t="shared" si="8"/>
        <v>0</v>
      </c>
      <c r="Z304" s="52" t="str">
        <f>IF(G304="","",IFERROR(VLOOKUP(G304,'Product_Stock_Master产品维护'!$A$2:$L992,11,FALSE),"No"))</f>
        <v/>
      </c>
      <c r="AA304" s="52" t="str">
        <f>IF(G304="","",IFERROR(VLOOKUP(G304,'Product_Stock_Master产品维护'!$A$2:$L992,12,FALSE),""))</f>
        <v/>
      </c>
      <c r="AB304" s="52" t="str">
        <f t="shared" si="11"/>
        <v/>
      </c>
      <c r="AC304" s="52">
        <f t="shared" si="12"/>
        <v>0</v>
      </c>
    </row>
    <row r="305" ht="15.75" customHeight="1">
      <c r="A305" s="163"/>
      <c r="B305" s="163"/>
      <c r="C305" s="164"/>
      <c r="D305" s="164"/>
      <c r="E305" s="164"/>
      <c r="F305" s="164"/>
      <c r="G305" s="164"/>
      <c r="H305" s="165" t="str">
        <f>IF(G305="","",IFERROR(VLOOKUP(G305,'Product_Stock_Master产品维护'!$A$2:$E992,2,FALSE()),"SKU not found"))</f>
        <v/>
      </c>
      <c r="I305" s="165" t="str">
        <f>IF(G305="","",IFERROR(VLOOKUP(G305,'Product_Stock_Master产品维护'!$A$2:$E992,3,FALSE()),"Item type not found"))</f>
        <v/>
      </c>
      <c r="J305" s="164"/>
      <c r="K305" s="164"/>
      <c r="L305" s="164"/>
      <c r="M305" s="164"/>
      <c r="N305" s="164"/>
      <c r="O305" s="165" t="str">
        <f t="shared" si="1"/>
        <v/>
      </c>
      <c r="P305" s="164"/>
      <c r="Q305" s="165" t="str">
        <f t="shared" si="9"/>
        <v/>
      </c>
      <c r="R305" s="165" t="str">
        <f t="shared" si="3"/>
        <v/>
      </c>
      <c r="S305" s="165" t="str">
        <f t="shared" si="10"/>
        <v/>
      </c>
      <c r="T305" s="165" t="str">
        <f t="shared" si="5"/>
        <v/>
      </c>
      <c r="U305" s="165" t="s">
        <v>1267</v>
      </c>
      <c r="V305" s="53"/>
      <c r="W305" s="52" t="str">
        <f t="shared" si="6"/>
        <v/>
      </c>
      <c r="X305" s="52">
        <f t="shared" si="7"/>
        <v>0</v>
      </c>
      <c r="Y305" s="52">
        <f t="shared" si="8"/>
        <v>0</v>
      </c>
      <c r="Z305" s="52" t="str">
        <f>IF(G305="","",IFERROR(VLOOKUP(G305,'Product_Stock_Master产品维护'!$A$2:$L992,11,FALSE),"No"))</f>
        <v/>
      </c>
      <c r="AA305" s="52" t="str">
        <f>IF(G305="","",IFERROR(VLOOKUP(G305,'Product_Stock_Master产品维护'!$A$2:$L992,12,FALSE),""))</f>
        <v/>
      </c>
      <c r="AB305" s="52" t="str">
        <f t="shared" si="11"/>
        <v/>
      </c>
      <c r="AC305" s="52">
        <f t="shared" si="12"/>
        <v>0</v>
      </c>
    </row>
    <row r="306" ht="15.75" customHeight="1">
      <c r="A306" s="163"/>
      <c r="B306" s="163"/>
      <c r="C306" s="164"/>
      <c r="D306" s="164"/>
      <c r="E306" s="164"/>
      <c r="F306" s="164"/>
      <c r="G306" s="164"/>
      <c r="H306" s="165" t="str">
        <f>IF(G306="","",IFERROR(VLOOKUP(G306,'Product_Stock_Master产品维护'!$A$2:$E992,2,FALSE()),"SKU not found"))</f>
        <v/>
      </c>
      <c r="I306" s="165" t="str">
        <f>IF(G306="","",IFERROR(VLOOKUP(G306,'Product_Stock_Master产品维护'!$A$2:$E992,3,FALSE()),"Item type not found"))</f>
        <v/>
      </c>
      <c r="J306" s="164"/>
      <c r="K306" s="164"/>
      <c r="L306" s="164"/>
      <c r="M306" s="164"/>
      <c r="N306" s="164"/>
      <c r="O306" s="165" t="str">
        <f t="shared" si="1"/>
        <v/>
      </c>
      <c r="P306" s="164"/>
      <c r="Q306" s="165" t="str">
        <f t="shared" si="9"/>
        <v/>
      </c>
      <c r="R306" s="165" t="str">
        <f t="shared" si="3"/>
        <v/>
      </c>
      <c r="S306" s="165" t="str">
        <f t="shared" si="10"/>
        <v/>
      </c>
      <c r="T306" s="165" t="str">
        <f t="shared" si="5"/>
        <v/>
      </c>
      <c r="U306" s="165" t="s">
        <v>1268</v>
      </c>
      <c r="V306" s="53"/>
      <c r="W306" s="52" t="str">
        <f t="shared" si="6"/>
        <v/>
      </c>
      <c r="X306" s="52">
        <f t="shared" si="7"/>
        <v>0</v>
      </c>
      <c r="Y306" s="52">
        <f t="shared" si="8"/>
        <v>0</v>
      </c>
      <c r="Z306" s="52" t="str">
        <f>IF(G306="","",IFERROR(VLOOKUP(G306,'Product_Stock_Master产品维护'!$A$2:$L992,11,FALSE),"No"))</f>
        <v/>
      </c>
      <c r="AA306" s="52" t="str">
        <f>IF(G306="","",IFERROR(VLOOKUP(G306,'Product_Stock_Master产品维护'!$A$2:$L992,12,FALSE),""))</f>
        <v/>
      </c>
      <c r="AB306" s="52" t="str">
        <f t="shared" si="11"/>
        <v/>
      </c>
      <c r="AC306" s="52">
        <f t="shared" si="12"/>
        <v>0</v>
      </c>
    </row>
    <row r="307" ht="15.75" customHeight="1">
      <c r="A307" s="163"/>
      <c r="B307" s="163"/>
      <c r="C307" s="164"/>
      <c r="D307" s="164"/>
      <c r="E307" s="164"/>
      <c r="F307" s="164"/>
      <c r="G307" s="164"/>
      <c r="H307" s="165" t="str">
        <f>IF(G307="","",IFERROR(VLOOKUP(G307,'Product_Stock_Master产品维护'!$A$2:$E992,2,FALSE()),"SKU not found"))</f>
        <v/>
      </c>
      <c r="I307" s="165" t="str">
        <f>IF(G307="","",IFERROR(VLOOKUP(G307,'Product_Stock_Master产品维护'!$A$2:$E992,3,FALSE()),"Item type not found"))</f>
        <v/>
      </c>
      <c r="J307" s="164"/>
      <c r="K307" s="164"/>
      <c r="L307" s="164"/>
      <c r="M307" s="164"/>
      <c r="N307" s="164"/>
      <c r="O307" s="165" t="str">
        <f t="shared" si="1"/>
        <v/>
      </c>
      <c r="P307" s="164"/>
      <c r="Q307" s="165" t="str">
        <f t="shared" si="9"/>
        <v/>
      </c>
      <c r="R307" s="165" t="str">
        <f t="shared" si="3"/>
        <v/>
      </c>
      <c r="S307" s="165" t="str">
        <f t="shared" si="10"/>
        <v/>
      </c>
      <c r="T307" s="165" t="str">
        <f t="shared" si="5"/>
        <v/>
      </c>
      <c r="U307" s="165" t="s">
        <v>1269</v>
      </c>
      <c r="V307" s="53"/>
      <c r="W307" s="52" t="str">
        <f t="shared" si="6"/>
        <v/>
      </c>
      <c r="X307" s="52">
        <f t="shared" si="7"/>
        <v>0</v>
      </c>
      <c r="Y307" s="52">
        <f t="shared" si="8"/>
        <v>0</v>
      </c>
      <c r="Z307" s="52" t="str">
        <f>IF(G307="","",IFERROR(VLOOKUP(G307,'Product_Stock_Master产品维护'!$A$2:$L992,11,FALSE),"No"))</f>
        <v/>
      </c>
      <c r="AA307" s="52" t="str">
        <f>IF(G307="","",IFERROR(VLOOKUP(G307,'Product_Stock_Master产品维护'!$A$2:$L992,12,FALSE),""))</f>
        <v/>
      </c>
      <c r="AB307" s="52" t="str">
        <f t="shared" si="11"/>
        <v/>
      </c>
      <c r="AC307" s="52">
        <f t="shared" si="12"/>
        <v>0</v>
      </c>
    </row>
    <row r="308" ht="15.75" customHeight="1">
      <c r="A308" s="163"/>
      <c r="B308" s="163"/>
      <c r="C308" s="164"/>
      <c r="D308" s="164"/>
      <c r="E308" s="164"/>
      <c r="F308" s="164"/>
      <c r="G308" s="164"/>
      <c r="H308" s="165" t="str">
        <f>IF(G308="","",IFERROR(VLOOKUP(G308,'Product_Stock_Master产品维护'!$A$2:$E992,2,FALSE()),"SKU not found"))</f>
        <v/>
      </c>
      <c r="I308" s="165" t="str">
        <f>IF(G308="","",IFERROR(VLOOKUP(G308,'Product_Stock_Master产品维护'!$A$2:$E992,3,FALSE()),"Item type not found"))</f>
        <v/>
      </c>
      <c r="J308" s="164"/>
      <c r="K308" s="164"/>
      <c r="L308" s="164"/>
      <c r="M308" s="164"/>
      <c r="N308" s="164"/>
      <c r="O308" s="165" t="str">
        <f t="shared" si="1"/>
        <v/>
      </c>
      <c r="P308" s="164"/>
      <c r="Q308" s="165" t="str">
        <f t="shared" si="9"/>
        <v/>
      </c>
      <c r="R308" s="165" t="str">
        <f t="shared" si="3"/>
        <v/>
      </c>
      <c r="S308" s="165" t="str">
        <f t="shared" si="10"/>
        <v/>
      </c>
      <c r="T308" s="165" t="str">
        <f t="shared" si="5"/>
        <v/>
      </c>
      <c r="U308" s="165" t="s">
        <v>1270</v>
      </c>
      <c r="V308" s="53"/>
      <c r="W308" s="52" t="str">
        <f t="shared" si="6"/>
        <v/>
      </c>
      <c r="X308" s="52">
        <f t="shared" si="7"/>
        <v>0</v>
      </c>
      <c r="Y308" s="52">
        <f t="shared" si="8"/>
        <v>0</v>
      </c>
      <c r="Z308" s="52" t="str">
        <f>IF(G308="","",IFERROR(VLOOKUP(G308,'Product_Stock_Master产品维护'!$A$2:$L992,11,FALSE),"No"))</f>
        <v/>
      </c>
      <c r="AA308" s="52" t="str">
        <f>IF(G308="","",IFERROR(VLOOKUP(G308,'Product_Stock_Master产品维护'!$A$2:$L992,12,FALSE),""))</f>
        <v/>
      </c>
      <c r="AB308" s="52" t="str">
        <f t="shared" si="11"/>
        <v/>
      </c>
      <c r="AC308" s="52">
        <f t="shared" si="12"/>
        <v>0</v>
      </c>
    </row>
    <row r="309" ht="15.75" customHeight="1">
      <c r="A309" s="163"/>
      <c r="B309" s="163"/>
      <c r="C309" s="164"/>
      <c r="D309" s="164"/>
      <c r="E309" s="164"/>
      <c r="F309" s="164"/>
      <c r="G309" s="164"/>
      <c r="H309" s="165" t="str">
        <f>IF(G309="","",IFERROR(VLOOKUP(G309,'Product_Stock_Master产品维护'!$A$2:$E992,2,FALSE()),"SKU not found"))</f>
        <v/>
      </c>
      <c r="I309" s="165" t="str">
        <f>IF(G309="","",IFERROR(VLOOKUP(G309,'Product_Stock_Master产品维护'!$A$2:$E992,3,FALSE()),"Item type not found"))</f>
        <v/>
      </c>
      <c r="J309" s="164"/>
      <c r="K309" s="164"/>
      <c r="L309" s="164"/>
      <c r="M309" s="164"/>
      <c r="N309" s="164"/>
      <c r="O309" s="165" t="str">
        <f t="shared" si="1"/>
        <v/>
      </c>
      <c r="P309" s="164"/>
      <c r="Q309" s="165" t="str">
        <f t="shared" si="9"/>
        <v/>
      </c>
      <c r="R309" s="165" t="str">
        <f t="shared" si="3"/>
        <v/>
      </c>
      <c r="S309" s="165" t="str">
        <f t="shared" si="10"/>
        <v/>
      </c>
      <c r="T309" s="165" t="str">
        <f t="shared" si="5"/>
        <v/>
      </c>
      <c r="U309" s="165" t="s">
        <v>1271</v>
      </c>
      <c r="V309" s="53"/>
      <c r="W309" s="52" t="str">
        <f t="shared" si="6"/>
        <v/>
      </c>
      <c r="X309" s="52">
        <f t="shared" si="7"/>
        <v>0</v>
      </c>
      <c r="Y309" s="52">
        <f t="shared" si="8"/>
        <v>0</v>
      </c>
      <c r="Z309" s="52" t="str">
        <f>IF(G309="","",IFERROR(VLOOKUP(G309,'Product_Stock_Master产品维护'!$A$2:$L992,11,FALSE),"No"))</f>
        <v/>
      </c>
      <c r="AA309" s="52" t="str">
        <f>IF(G309="","",IFERROR(VLOOKUP(G309,'Product_Stock_Master产品维护'!$A$2:$L992,12,FALSE),""))</f>
        <v/>
      </c>
      <c r="AB309" s="52" t="str">
        <f t="shared" si="11"/>
        <v/>
      </c>
      <c r="AC309" s="52">
        <f t="shared" si="12"/>
        <v>0</v>
      </c>
    </row>
    <row r="310" ht="15.75" customHeight="1">
      <c r="A310" s="163"/>
      <c r="B310" s="163"/>
      <c r="C310" s="164"/>
      <c r="D310" s="164"/>
      <c r="E310" s="164"/>
      <c r="F310" s="164"/>
      <c r="G310" s="164"/>
      <c r="H310" s="165" t="str">
        <f>IF(G310="","",IFERROR(VLOOKUP(G310,'Product_Stock_Master产品维护'!$A$2:$E992,2,FALSE()),"SKU not found"))</f>
        <v/>
      </c>
      <c r="I310" s="165" t="str">
        <f>IF(G310="","",IFERROR(VLOOKUP(G310,'Product_Stock_Master产品维护'!$A$2:$E992,3,FALSE()),"Item type not found"))</f>
        <v/>
      </c>
      <c r="J310" s="164"/>
      <c r="K310" s="164"/>
      <c r="L310" s="164"/>
      <c r="M310" s="164"/>
      <c r="N310" s="164"/>
      <c r="O310" s="165" t="str">
        <f t="shared" si="1"/>
        <v/>
      </c>
      <c r="P310" s="164"/>
      <c r="Q310" s="165" t="str">
        <f t="shared" si="9"/>
        <v/>
      </c>
      <c r="R310" s="165" t="str">
        <f t="shared" si="3"/>
        <v/>
      </c>
      <c r="S310" s="165" t="str">
        <f t="shared" si="10"/>
        <v/>
      </c>
      <c r="T310" s="165" t="str">
        <f t="shared" si="5"/>
        <v/>
      </c>
      <c r="U310" s="165" t="s">
        <v>1272</v>
      </c>
      <c r="V310" s="53"/>
      <c r="W310" s="52" t="str">
        <f t="shared" si="6"/>
        <v/>
      </c>
      <c r="X310" s="52">
        <f t="shared" si="7"/>
        <v>0</v>
      </c>
      <c r="Y310" s="52">
        <f t="shared" si="8"/>
        <v>0</v>
      </c>
      <c r="Z310" s="52" t="str">
        <f>IF(G310="","",IFERROR(VLOOKUP(G310,'Product_Stock_Master产品维护'!$A$2:$L992,11,FALSE),"No"))</f>
        <v/>
      </c>
      <c r="AA310" s="52" t="str">
        <f>IF(G310="","",IFERROR(VLOOKUP(G310,'Product_Stock_Master产品维护'!$A$2:$L992,12,FALSE),""))</f>
        <v/>
      </c>
      <c r="AB310" s="52" t="str">
        <f t="shared" si="11"/>
        <v/>
      </c>
      <c r="AC310" s="52">
        <f t="shared" si="12"/>
        <v>0</v>
      </c>
    </row>
    <row r="311" ht="15.75" customHeight="1">
      <c r="A311" s="163"/>
      <c r="B311" s="163"/>
      <c r="C311" s="164"/>
      <c r="D311" s="164"/>
      <c r="E311" s="164"/>
      <c r="F311" s="164"/>
      <c r="G311" s="164"/>
      <c r="H311" s="165" t="str">
        <f>IF(G311="","",IFERROR(VLOOKUP(G311,'Product_Stock_Master产品维护'!$A$2:$E992,2,FALSE()),"SKU not found"))</f>
        <v/>
      </c>
      <c r="I311" s="165" t="str">
        <f>IF(G311="","",IFERROR(VLOOKUP(G311,'Product_Stock_Master产品维护'!$A$2:$E992,3,FALSE()),"Item type not found"))</f>
        <v/>
      </c>
      <c r="J311" s="164"/>
      <c r="K311" s="164"/>
      <c r="L311" s="164"/>
      <c r="M311" s="164"/>
      <c r="N311" s="164"/>
      <c r="O311" s="165" t="str">
        <f t="shared" si="1"/>
        <v/>
      </c>
      <c r="P311" s="164"/>
      <c r="Q311" s="165" t="str">
        <f t="shared" si="9"/>
        <v/>
      </c>
      <c r="R311" s="165" t="str">
        <f t="shared" si="3"/>
        <v/>
      </c>
      <c r="S311" s="165" t="str">
        <f t="shared" si="10"/>
        <v/>
      </c>
      <c r="T311" s="165" t="str">
        <f t="shared" si="5"/>
        <v/>
      </c>
      <c r="U311" s="165" t="s">
        <v>1273</v>
      </c>
      <c r="V311" s="53"/>
      <c r="W311" s="52" t="str">
        <f t="shared" si="6"/>
        <v/>
      </c>
      <c r="X311" s="52">
        <f t="shared" si="7"/>
        <v>0</v>
      </c>
      <c r="Y311" s="52">
        <f t="shared" si="8"/>
        <v>0</v>
      </c>
      <c r="Z311" s="52" t="str">
        <f>IF(G311="","",IFERROR(VLOOKUP(G311,'Product_Stock_Master产品维护'!$A$2:$L992,11,FALSE),"No"))</f>
        <v/>
      </c>
      <c r="AA311" s="52" t="str">
        <f>IF(G311="","",IFERROR(VLOOKUP(G311,'Product_Stock_Master产品维护'!$A$2:$L992,12,FALSE),""))</f>
        <v/>
      </c>
      <c r="AB311" s="52" t="str">
        <f t="shared" si="11"/>
        <v/>
      </c>
      <c r="AC311" s="52">
        <f t="shared" si="12"/>
        <v>0</v>
      </c>
    </row>
    <row r="312" ht="15.75" customHeight="1">
      <c r="A312" s="163"/>
      <c r="B312" s="163"/>
      <c r="C312" s="164"/>
      <c r="D312" s="164"/>
      <c r="E312" s="164"/>
      <c r="F312" s="164"/>
      <c r="G312" s="164"/>
      <c r="H312" s="165" t="str">
        <f>IF(G312="","",IFERROR(VLOOKUP(G312,'Product_Stock_Master产品维护'!$A$2:$E992,2,FALSE()),"SKU not found"))</f>
        <v/>
      </c>
      <c r="I312" s="165" t="str">
        <f>IF(G312="","",IFERROR(VLOOKUP(G312,'Product_Stock_Master产品维护'!$A$2:$E992,3,FALSE()),"Item type not found"))</f>
        <v/>
      </c>
      <c r="J312" s="164"/>
      <c r="K312" s="164"/>
      <c r="L312" s="164"/>
      <c r="M312" s="164"/>
      <c r="N312" s="164"/>
      <c r="O312" s="165" t="str">
        <f t="shared" si="1"/>
        <v/>
      </c>
      <c r="P312" s="164"/>
      <c r="Q312" s="165" t="str">
        <f t="shared" si="9"/>
        <v/>
      </c>
      <c r="R312" s="165" t="str">
        <f t="shared" si="3"/>
        <v/>
      </c>
      <c r="S312" s="165" t="str">
        <f t="shared" si="10"/>
        <v/>
      </c>
      <c r="T312" s="165" t="str">
        <f t="shared" si="5"/>
        <v/>
      </c>
      <c r="U312" s="165" t="s">
        <v>1274</v>
      </c>
      <c r="V312" s="53"/>
      <c r="W312" s="52" t="str">
        <f t="shared" si="6"/>
        <v/>
      </c>
      <c r="X312" s="52">
        <f t="shared" si="7"/>
        <v>0</v>
      </c>
      <c r="Y312" s="52">
        <f t="shared" si="8"/>
        <v>0</v>
      </c>
      <c r="Z312" s="52" t="str">
        <f>IF(G312="","",IFERROR(VLOOKUP(G312,'Product_Stock_Master产品维护'!$A$2:$L992,11,FALSE),"No"))</f>
        <v/>
      </c>
      <c r="AA312" s="52" t="str">
        <f>IF(G312="","",IFERROR(VLOOKUP(G312,'Product_Stock_Master产品维护'!$A$2:$L992,12,FALSE),""))</f>
        <v/>
      </c>
      <c r="AB312" s="52" t="str">
        <f t="shared" si="11"/>
        <v/>
      </c>
      <c r="AC312" s="52">
        <f t="shared" si="12"/>
        <v>0</v>
      </c>
    </row>
    <row r="313" ht="15.75" customHeight="1">
      <c r="A313" s="163"/>
      <c r="B313" s="163"/>
      <c r="C313" s="164"/>
      <c r="D313" s="164"/>
      <c r="E313" s="164"/>
      <c r="F313" s="164"/>
      <c r="G313" s="164"/>
      <c r="H313" s="165" t="str">
        <f>IF(G313="","",IFERROR(VLOOKUP(G313,'Product_Stock_Master产品维护'!$A$2:$E992,2,FALSE()),"SKU not found"))</f>
        <v/>
      </c>
      <c r="I313" s="165" t="str">
        <f>IF(G313="","",IFERROR(VLOOKUP(G313,'Product_Stock_Master产品维护'!$A$2:$E992,3,FALSE()),"Item type not found"))</f>
        <v/>
      </c>
      <c r="J313" s="164"/>
      <c r="K313" s="164"/>
      <c r="L313" s="164"/>
      <c r="M313" s="164"/>
      <c r="N313" s="164"/>
      <c r="O313" s="165" t="str">
        <f t="shared" si="1"/>
        <v/>
      </c>
      <c r="P313" s="164"/>
      <c r="Q313" s="165" t="str">
        <f t="shared" si="9"/>
        <v/>
      </c>
      <c r="R313" s="165" t="str">
        <f t="shared" si="3"/>
        <v/>
      </c>
      <c r="S313" s="165" t="str">
        <f t="shared" si="10"/>
        <v/>
      </c>
      <c r="T313" s="165" t="str">
        <f t="shared" si="5"/>
        <v/>
      </c>
      <c r="U313" s="165" t="s">
        <v>1275</v>
      </c>
      <c r="V313" s="53"/>
      <c r="W313" s="52" t="str">
        <f t="shared" si="6"/>
        <v/>
      </c>
      <c r="X313" s="52">
        <f t="shared" si="7"/>
        <v>0</v>
      </c>
      <c r="Y313" s="52">
        <f t="shared" si="8"/>
        <v>0</v>
      </c>
      <c r="Z313" s="52" t="str">
        <f>IF(G313="","",IFERROR(VLOOKUP(G313,'Product_Stock_Master产品维护'!$A$2:$L992,11,FALSE),"No"))</f>
        <v/>
      </c>
      <c r="AA313" s="52" t="str">
        <f>IF(G313="","",IFERROR(VLOOKUP(G313,'Product_Stock_Master产品维护'!$A$2:$L992,12,FALSE),""))</f>
        <v/>
      </c>
      <c r="AB313" s="52" t="str">
        <f t="shared" si="11"/>
        <v/>
      </c>
      <c r="AC313" s="52">
        <f t="shared" si="12"/>
        <v>0</v>
      </c>
    </row>
    <row r="314" ht="15.75" customHeight="1">
      <c r="A314" s="163"/>
      <c r="B314" s="163"/>
      <c r="C314" s="164"/>
      <c r="D314" s="164"/>
      <c r="E314" s="164"/>
      <c r="F314" s="164"/>
      <c r="G314" s="164"/>
      <c r="H314" s="165" t="str">
        <f>IF(G314="","",IFERROR(VLOOKUP(G314,'Product_Stock_Master产品维护'!$A$2:$E992,2,FALSE()),"SKU not found"))</f>
        <v/>
      </c>
      <c r="I314" s="165" t="str">
        <f>IF(G314="","",IFERROR(VLOOKUP(G314,'Product_Stock_Master产品维护'!$A$2:$E992,3,FALSE()),"Item type not found"))</f>
        <v/>
      </c>
      <c r="J314" s="164"/>
      <c r="K314" s="164"/>
      <c r="L314" s="164"/>
      <c r="M314" s="164"/>
      <c r="N314" s="164"/>
      <c r="O314" s="165" t="str">
        <f t="shared" si="1"/>
        <v/>
      </c>
      <c r="P314" s="164"/>
      <c r="Q314" s="165" t="str">
        <f t="shared" si="9"/>
        <v/>
      </c>
      <c r="R314" s="165" t="str">
        <f t="shared" si="3"/>
        <v/>
      </c>
      <c r="S314" s="165" t="str">
        <f t="shared" si="10"/>
        <v/>
      </c>
      <c r="T314" s="165" t="str">
        <f t="shared" si="5"/>
        <v/>
      </c>
      <c r="U314" s="165" t="s">
        <v>1276</v>
      </c>
      <c r="V314" s="53"/>
      <c r="W314" s="52" t="str">
        <f t="shared" si="6"/>
        <v/>
      </c>
      <c r="X314" s="52">
        <f t="shared" si="7"/>
        <v>0</v>
      </c>
      <c r="Y314" s="52">
        <f t="shared" si="8"/>
        <v>0</v>
      </c>
      <c r="Z314" s="52" t="str">
        <f>IF(G314="","",IFERROR(VLOOKUP(G314,'Product_Stock_Master产品维护'!$A$2:$L992,11,FALSE),"No"))</f>
        <v/>
      </c>
      <c r="AA314" s="52" t="str">
        <f>IF(G314="","",IFERROR(VLOOKUP(G314,'Product_Stock_Master产品维护'!$A$2:$L992,12,FALSE),""))</f>
        <v/>
      </c>
      <c r="AB314" s="52" t="str">
        <f t="shared" si="11"/>
        <v/>
      </c>
      <c r="AC314" s="52">
        <f t="shared" si="12"/>
        <v>0</v>
      </c>
    </row>
    <row r="315" ht="15.75" customHeight="1">
      <c r="A315" s="163"/>
      <c r="B315" s="163"/>
      <c r="C315" s="164"/>
      <c r="D315" s="164"/>
      <c r="E315" s="164"/>
      <c r="F315" s="164"/>
      <c r="G315" s="164"/>
      <c r="H315" s="165" t="str">
        <f>IF(G315="","",IFERROR(VLOOKUP(G315,'Product_Stock_Master产品维护'!$A$2:$E992,2,FALSE()),"SKU not found"))</f>
        <v/>
      </c>
      <c r="I315" s="165" t="str">
        <f>IF(G315="","",IFERROR(VLOOKUP(G315,'Product_Stock_Master产品维护'!$A$2:$E992,3,FALSE()),"Item type not found"))</f>
        <v/>
      </c>
      <c r="J315" s="164"/>
      <c r="K315" s="164"/>
      <c r="L315" s="164"/>
      <c r="M315" s="164"/>
      <c r="N315" s="164"/>
      <c r="O315" s="165" t="str">
        <f t="shared" si="1"/>
        <v/>
      </c>
      <c r="P315" s="164"/>
      <c r="Q315" s="165" t="str">
        <f t="shared" si="9"/>
        <v/>
      </c>
      <c r="R315" s="165" t="str">
        <f t="shared" si="3"/>
        <v/>
      </c>
      <c r="S315" s="165" t="str">
        <f t="shared" si="10"/>
        <v/>
      </c>
      <c r="T315" s="165" t="str">
        <f t="shared" si="5"/>
        <v/>
      </c>
      <c r="U315" s="165" t="s">
        <v>1277</v>
      </c>
      <c r="V315" s="53"/>
      <c r="W315" s="52" t="str">
        <f t="shared" si="6"/>
        <v/>
      </c>
      <c r="X315" s="52">
        <f t="shared" si="7"/>
        <v>0</v>
      </c>
      <c r="Y315" s="52">
        <f t="shared" si="8"/>
        <v>0</v>
      </c>
      <c r="Z315" s="52" t="str">
        <f>IF(G315="","",IFERROR(VLOOKUP(G315,'Product_Stock_Master产品维护'!$A$2:$L992,11,FALSE),"No"))</f>
        <v/>
      </c>
      <c r="AA315" s="52" t="str">
        <f>IF(G315="","",IFERROR(VLOOKUP(G315,'Product_Stock_Master产品维护'!$A$2:$L992,12,FALSE),""))</f>
        <v/>
      </c>
      <c r="AB315" s="52" t="str">
        <f t="shared" si="11"/>
        <v/>
      </c>
      <c r="AC315" s="52">
        <f t="shared" si="12"/>
        <v>0</v>
      </c>
    </row>
    <row r="316" ht="15.75" customHeight="1">
      <c r="A316" s="163"/>
      <c r="B316" s="163"/>
      <c r="C316" s="164"/>
      <c r="D316" s="164"/>
      <c r="E316" s="164"/>
      <c r="F316" s="164"/>
      <c r="G316" s="164"/>
      <c r="H316" s="165" t="str">
        <f>IF(G316="","",IFERROR(VLOOKUP(G316,'Product_Stock_Master产品维护'!$A$2:$E992,2,FALSE()),"SKU not found"))</f>
        <v/>
      </c>
      <c r="I316" s="165" t="str">
        <f>IF(G316="","",IFERROR(VLOOKUP(G316,'Product_Stock_Master产品维护'!$A$2:$E992,3,FALSE()),"Item type not found"))</f>
        <v/>
      </c>
      <c r="J316" s="164"/>
      <c r="K316" s="164"/>
      <c r="L316" s="164"/>
      <c r="M316" s="164"/>
      <c r="N316" s="164"/>
      <c r="O316" s="165" t="str">
        <f t="shared" si="1"/>
        <v/>
      </c>
      <c r="P316" s="164"/>
      <c r="Q316" s="165" t="str">
        <f t="shared" si="9"/>
        <v/>
      </c>
      <c r="R316" s="165" t="str">
        <f t="shared" si="3"/>
        <v/>
      </c>
      <c r="S316" s="165" t="str">
        <f t="shared" si="10"/>
        <v/>
      </c>
      <c r="T316" s="165" t="str">
        <f t="shared" si="5"/>
        <v/>
      </c>
      <c r="U316" s="165" t="s">
        <v>1278</v>
      </c>
      <c r="V316" s="53"/>
      <c r="W316" s="52" t="str">
        <f t="shared" si="6"/>
        <v/>
      </c>
      <c r="X316" s="52">
        <f t="shared" si="7"/>
        <v>0</v>
      </c>
      <c r="Y316" s="52">
        <f t="shared" si="8"/>
        <v>0</v>
      </c>
      <c r="Z316" s="52" t="str">
        <f>IF(G316="","",IFERROR(VLOOKUP(G316,'Product_Stock_Master产品维护'!$A$2:$L992,11,FALSE),"No"))</f>
        <v/>
      </c>
      <c r="AA316" s="52" t="str">
        <f>IF(G316="","",IFERROR(VLOOKUP(G316,'Product_Stock_Master产品维护'!$A$2:$L992,12,FALSE),""))</f>
        <v/>
      </c>
      <c r="AB316" s="52" t="str">
        <f t="shared" si="11"/>
        <v/>
      </c>
      <c r="AC316" s="52">
        <f t="shared" si="12"/>
        <v>0</v>
      </c>
    </row>
    <row r="317" ht="15.75" customHeight="1">
      <c r="A317" s="163"/>
      <c r="B317" s="163"/>
      <c r="C317" s="164"/>
      <c r="D317" s="164"/>
      <c r="E317" s="164"/>
      <c r="F317" s="164"/>
      <c r="G317" s="164"/>
      <c r="H317" s="165" t="str">
        <f>IF(G317="","",IFERROR(VLOOKUP(G317,'Product_Stock_Master产品维护'!$A$2:$E992,2,FALSE()),"SKU not found"))</f>
        <v/>
      </c>
      <c r="I317" s="165" t="str">
        <f>IF(G317="","",IFERROR(VLOOKUP(G317,'Product_Stock_Master产品维护'!$A$2:$E992,3,FALSE()),"Item type not found"))</f>
        <v/>
      </c>
      <c r="J317" s="164"/>
      <c r="K317" s="164"/>
      <c r="L317" s="164"/>
      <c r="M317" s="164"/>
      <c r="N317" s="164"/>
      <c r="O317" s="165" t="str">
        <f t="shared" si="1"/>
        <v/>
      </c>
      <c r="P317" s="164"/>
      <c r="Q317" s="165" t="str">
        <f t="shared" si="9"/>
        <v/>
      </c>
      <c r="R317" s="165" t="str">
        <f t="shared" si="3"/>
        <v/>
      </c>
      <c r="S317" s="165" t="str">
        <f t="shared" si="10"/>
        <v/>
      </c>
      <c r="T317" s="165" t="str">
        <f t="shared" si="5"/>
        <v/>
      </c>
      <c r="U317" s="165" t="s">
        <v>1279</v>
      </c>
      <c r="V317" s="53"/>
      <c r="W317" s="52" t="str">
        <f t="shared" si="6"/>
        <v/>
      </c>
      <c r="X317" s="52">
        <f t="shared" si="7"/>
        <v>0</v>
      </c>
      <c r="Y317" s="52">
        <f t="shared" si="8"/>
        <v>0</v>
      </c>
      <c r="Z317" s="52" t="str">
        <f>IF(G317="","",IFERROR(VLOOKUP(G317,'Product_Stock_Master产品维护'!$A$2:$L992,11,FALSE),"No"))</f>
        <v/>
      </c>
      <c r="AA317" s="52" t="str">
        <f>IF(G317="","",IFERROR(VLOOKUP(G317,'Product_Stock_Master产品维护'!$A$2:$L992,12,FALSE),""))</f>
        <v/>
      </c>
      <c r="AB317" s="52" t="str">
        <f t="shared" si="11"/>
        <v/>
      </c>
      <c r="AC317" s="52">
        <f t="shared" si="12"/>
        <v>0</v>
      </c>
    </row>
    <row r="318" ht="15.75" customHeight="1">
      <c r="A318" s="163"/>
      <c r="B318" s="163"/>
      <c r="C318" s="164"/>
      <c r="D318" s="164"/>
      <c r="E318" s="164"/>
      <c r="F318" s="164"/>
      <c r="G318" s="164"/>
      <c r="H318" s="165" t="str">
        <f>IF(G318="","",IFERROR(VLOOKUP(G318,'Product_Stock_Master产品维护'!$A$2:$E992,2,FALSE()),"SKU not found"))</f>
        <v/>
      </c>
      <c r="I318" s="165" t="str">
        <f>IF(G318="","",IFERROR(VLOOKUP(G318,'Product_Stock_Master产品维护'!$A$2:$E992,3,FALSE()),"Item type not found"))</f>
        <v/>
      </c>
      <c r="J318" s="164"/>
      <c r="K318" s="164"/>
      <c r="L318" s="164"/>
      <c r="M318" s="164"/>
      <c r="N318" s="164"/>
      <c r="O318" s="165" t="str">
        <f t="shared" si="1"/>
        <v/>
      </c>
      <c r="P318" s="164"/>
      <c r="Q318" s="165" t="str">
        <f t="shared" si="9"/>
        <v/>
      </c>
      <c r="R318" s="165" t="str">
        <f t="shared" si="3"/>
        <v/>
      </c>
      <c r="S318" s="165" t="str">
        <f t="shared" si="10"/>
        <v/>
      </c>
      <c r="T318" s="165" t="str">
        <f t="shared" si="5"/>
        <v/>
      </c>
      <c r="U318" s="165" t="s">
        <v>1280</v>
      </c>
      <c r="V318" s="53"/>
      <c r="W318" s="52" t="str">
        <f t="shared" si="6"/>
        <v/>
      </c>
      <c r="X318" s="52">
        <f t="shared" si="7"/>
        <v>0</v>
      </c>
      <c r="Y318" s="52">
        <f t="shared" si="8"/>
        <v>0</v>
      </c>
      <c r="Z318" s="52" t="str">
        <f>IF(G318="","",IFERROR(VLOOKUP(G318,'Product_Stock_Master产品维护'!$A$2:$L992,11,FALSE),"No"))</f>
        <v/>
      </c>
      <c r="AA318" s="52" t="str">
        <f>IF(G318="","",IFERROR(VLOOKUP(G318,'Product_Stock_Master产品维护'!$A$2:$L992,12,FALSE),""))</f>
        <v/>
      </c>
      <c r="AB318" s="52" t="str">
        <f t="shared" si="11"/>
        <v/>
      </c>
      <c r="AC318" s="52">
        <f t="shared" si="12"/>
        <v>0</v>
      </c>
    </row>
    <row r="319" ht="15.75" customHeight="1">
      <c r="A319" s="163"/>
      <c r="B319" s="163"/>
      <c r="C319" s="164"/>
      <c r="D319" s="164"/>
      <c r="E319" s="164"/>
      <c r="F319" s="164"/>
      <c r="G319" s="164"/>
      <c r="H319" s="165" t="str">
        <f>IF(G319="","",IFERROR(VLOOKUP(G319,'Product_Stock_Master产品维护'!$A$2:$E992,2,FALSE()),"SKU not found"))</f>
        <v/>
      </c>
      <c r="I319" s="165" t="str">
        <f>IF(G319="","",IFERROR(VLOOKUP(G319,'Product_Stock_Master产品维护'!$A$2:$E992,3,FALSE()),"Item type not found"))</f>
        <v/>
      </c>
      <c r="J319" s="164"/>
      <c r="K319" s="164"/>
      <c r="L319" s="164"/>
      <c r="M319" s="164"/>
      <c r="N319" s="164"/>
      <c r="O319" s="165" t="str">
        <f t="shared" si="1"/>
        <v/>
      </c>
      <c r="P319" s="164"/>
      <c r="Q319" s="165" t="str">
        <f t="shared" si="9"/>
        <v/>
      </c>
      <c r="R319" s="165" t="str">
        <f t="shared" si="3"/>
        <v/>
      </c>
      <c r="S319" s="165" t="str">
        <f t="shared" si="10"/>
        <v/>
      </c>
      <c r="T319" s="165" t="str">
        <f t="shared" si="5"/>
        <v/>
      </c>
      <c r="U319" s="165" t="s">
        <v>1281</v>
      </c>
      <c r="V319" s="53"/>
      <c r="W319" s="52" t="str">
        <f t="shared" si="6"/>
        <v/>
      </c>
      <c r="X319" s="52">
        <f t="shared" si="7"/>
        <v>0</v>
      </c>
      <c r="Y319" s="52">
        <f t="shared" si="8"/>
        <v>0</v>
      </c>
      <c r="Z319" s="52" t="str">
        <f>IF(G319="","",IFERROR(VLOOKUP(G319,'Product_Stock_Master产品维护'!$A$2:$L992,11,FALSE),"No"))</f>
        <v/>
      </c>
      <c r="AA319" s="52" t="str">
        <f>IF(G319="","",IFERROR(VLOOKUP(G319,'Product_Stock_Master产品维护'!$A$2:$L992,12,FALSE),""))</f>
        <v/>
      </c>
      <c r="AB319" s="52" t="str">
        <f t="shared" si="11"/>
        <v/>
      </c>
      <c r="AC319" s="52">
        <f t="shared" si="12"/>
        <v>0</v>
      </c>
    </row>
    <row r="320" ht="15.75" customHeight="1">
      <c r="A320" s="163"/>
      <c r="B320" s="163"/>
      <c r="C320" s="164"/>
      <c r="D320" s="164"/>
      <c r="E320" s="164"/>
      <c r="F320" s="164"/>
      <c r="G320" s="164"/>
      <c r="H320" s="165" t="str">
        <f>IF(G320="","",IFERROR(VLOOKUP(G320,'Product_Stock_Master产品维护'!$A$2:$E992,2,FALSE()),"SKU not found"))</f>
        <v/>
      </c>
      <c r="I320" s="165" t="str">
        <f>IF(G320="","",IFERROR(VLOOKUP(G320,'Product_Stock_Master产品维护'!$A$2:$E992,3,FALSE()),"Item type not found"))</f>
        <v/>
      </c>
      <c r="J320" s="164"/>
      <c r="K320" s="164"/>
      <c r="L320" s="164"/>
      <c r="M320" s="164"/>
      <c r="N320" s="164"/>
      <c r="O320" s="165" t="str">
        <f t="shared" si="1"/>
        <v/>
      </c>
      <c r="P320" s="164"/>
      <c r="Q320" s="165" t="str">
        <f t="shared" si="9"/>
        <v/>
      </c>
      <c r="R320" s="165" t="str">
        <f t="shared" si="3"/>
        <v/>
      </c>
      <c r="S320" s="165" t="str">
        <f t="shared" si="10"/>
        <v/>
      </c>
      <c r="T320" s="165" t="str">
        <f t="shared" si="5"/>
        <v/>
      </c>
      <c r="U320" s="165" t="s">
        <v>1282</v>
      </c>
      <c r="V320" s="53"/>
      <c r="W320" s="52" t="str">
        <f t="shared" si="6"/>
        <v/>
      </c>
      <c r="X320" s="52">
        <f t="shared" si="7"/>
        <v>0</v>
      </c>
      <c r="Y320" s="52">
        <f t="shared" si="8"/>
        <v>0</v>
      </c>
      <c r="Z320" s="52" t="str">
        <f>IF(G320="","",IFERROR(VLOOKUP(G320,'Product_Stock_Master产品维护'!$A$2:$L992,11,FALSE),"No"))</f>
        <v/>
      </c>
      <c r="AA320" s="52" t="str">
        <f>IF(G320="","",IFERROR(VLOOKUP(G320,'Product_Stock_Master产品维护'!$A$2:$L992,12,FALSE),""))</f>
        <v/>
      </c>
      <c r="AB320" s="52" t="str">
        <f t="shared" si="11"/>
        <v/>
      </c>
      <c r="AC320" s="52">
        <f t="shared" si="12"/>
        <v>0</v>
      </c>
    </row>
    <row r="321" ht="15.75" customHeight="1">
      <c r="A321" s="163"/>
      <c r="B321" s="163"/>
      <c r="C321" s="164"/>
      <c r="D321" s="164"/>
      <c r="E321" s="164"/>
      <c r="F321" s="164"/>
      <c r="G321" s="164"/>
      <c r="H321" s="165" t="str">
        <f>IF(G321="","",IFERROR(VLOOKUP(G321,'Product_Stock_Master产品维护'!$A$2:$E992,2,FALSE()),"SKU not found"))</f>
        <v/>
      </c>
      <c r="I321" s="165" t="str">
        <f>IF(G321="","",IFERROR(VLOOKUP(G321,'Product_Stock_Master产品维护'!$A$2:$E992,3,FALSE()),"Item type not found"))</f>
        <v/>
      </c>
      <c r="J321" s="164"/>
      <c r="K321" s="164"/>
      <c r="L321" s="164"/>
      <c r="M321" s="164"/>
      <c r="N321" s="164"/>
      <c r="O321" s="165" t="str">
        <f t="shared" si="1"/>
        <v/>
      </c>
      <c r="P321" s="164"/>
      <c r="Q321" s="165" t="str">
        <f t="shared" si="9"/>
        <v/>
      </c>
      <c r="R321" s="165" t="str">
        <f t="shared" si="3"/>
        <v/>
      </c>
      <c r="S321" s="165" t="str">
        <f t="shared" si="10"/>
        <v/>
      </c>
      <c r="T321" s="165" t="str">
        <f t="shared" si="5"/>
        <v/>
      </c>
      <c r="U321" s="165" t="s">
        <v>1283</v>
      </c>
      <c r="V321" s="53"/>
      <c r="W321" s="52" t="str">
        <f t="shared" si="6"/>
        <v/>
      </c>
      <c r="X321" s="52">
        <f t="shared" si="7"/>
        <v>0</v>
      </c>
      <c r="Y321" s="52">
        <f t="shared" si="8"/>
        <v>0</v>
      </c>
      <c r="Z321" s="52" t="str">
        <f>IF(G321="","",IFERROR(VLOOKUP(G321,'Product_Stock_Master产品维护'!$A$2:$L992,11,FALSE),"No"))</f>
        <v/>
      </c>
      <c r="AA321" s="52" t="str">
        <f>IF(G321="","",IFERROR(VLOOKUP(G321,'Product_Stock_Master产品维护'!$A$2:$L992,12,FALSE),""))</f>
        <v/>
      </c>
      <c r="AB321" s="52" t="str">
        <f t="shared" si="11"/>
        <v/>
      </c>
      <c r="AC321" s="52">
        <f t="shared" si="12"/>
        <v>0</v>
      </c>
    </row>
    <row r="322" ht="15.75" customHeight="1">
      <c r="A322" s="163"/>
      <c r="B322" s="163"/>
      <c r="C322" s="164"/>
      <c r="D322" s="164"/>
      <c r="E322" s="164"/>
      <c r="F322" s="164"/>
      <c r="G322" s="164"/>
      <c r="H322" s="165" t="str">
        <f>IF(G322="","",IFERROR(VLOOKUP(G322,'Product_Stock_Master产品维护'!$A$2:$E992,2,FALSE()),"SKU not found"))</f>
        <v/>
      </c>
      <c r="I322" s="165" t="str">
        <f>IF(G322="","",IFERROR(VLOOKUP(G322,'Product_Stock_Master产品维护'!$A$2:$E992,3,FALSE()),"Item type not found"))</f>
        <v/>
      </c>
      <c r="J322" s="164"/>
      <c r="K322" s="164"/>
      <c r="L322" s="164"/>
      <c r="M322" s="164"/>
      <c r="N322" s="164"/>
      <c r="O322" s="165" t="str">
        <f t="shared" si="1"/>
        <v/>
      </c>
      <c r="P322" s="164"/>
      <c r="Q322" s="165" t="str">
        <f t="shared" si="9"/>
        <v/>
      </c>
      <c r="R322" s="165" t="str">
        <f t="shared" si="3"/>
        <v/>
      </c>
      <c r="S322" s="165" t="str">
        <f t="shared" si="10"/>
        <v/>
      </c>
      <c r="T322" s="165" t="str">
        <f t="shared" si="5"/>
        <v/>
      </c>
      <c r="U322" s="165" t="s">
        <v>1284</v>
      </c>
      <c r="V322" s="53"/>
      <c r="W322" s="52" t="str">
        <f t="shared" si="6"/>
        <v/>
      </c>
      <c r="X322" s="52">
        <f t="shared" si="7"/>
        <v>0</v>
      </c>
      <c r="Y322" s="52">
        <f t="shared" si="8"/>
        <v>0</v>
      </c>
      <c r="Z322" s="52" t="str">
        <f>IF(G322="","",IFERROR(VLOOKUP(G322,'Product_Stock_Master产品维护'!$A$2:$L992,11,FALSE),"No"))</f>
        <v/>
      </c>
      <c r="AA322" s="52" t="str">
        <f>IF(G322="","",IFERROR(VLOOKUP(G322,'Product_Stock_Master产品维护'!$A$2:$L992,12,FALSE),""))</f>
        <v/>
      </c>
      <c r="AB322" s="52" t="str">
        <f t="shared" si="11"/>
        <v/>
      </c>
      <c r="AC322" s="52">
        <f t="shared" si="12"/>
        <v>0</v>
      </c>
    </row>
    <row r="323" ht="15.75" customHeight="1">
      <c r="A323" s="163"/>
      <c r="B323" s="163"/>
      <c r="C323" s="164"/>
      <c r="D323" s="164"/>
      <c r="E323" s="164"/>
      <c r="F323" s="164"/>
      <c r="G323" s="164"/>
      <c r="H323" s="165" t="str">
        <f>IF(G323="","",IFERROR(VLOOKUP(G323,'Product_Stock_Master产品维护'!$A$2:$E992,2,FALSE()),"SKU not found"))</f>
        <v/>
      </c>
      <c r="I323" s="165" t="str">
        <f>IF(G323="","",IFERROR(VLOOKUP(G323,'Product_Stock_Master产品维护'!$A$2:$E992,3,FALSE()),"Item type not found"))</f>
        <v/>
      </c>
      <c r="J323" s="164"/>
      <c r="K323" s="164"/>
      <c r="L323" s="164"/>
      <c r="M323" s="164"/>
      <c r="N323" s="164"/>
      <c r="O323" s="165" t="str">
        <f t="shared" si="1"/>
        <v/>
      </c>
      <c r="P323" s="164"/>
      <c r="Q323" s="165" t="str">
        <f t="shared" si="9"/>
        <v/>
      </c>
      <c r="R323" s="165" t="str">
        <f t="shared" si="3"/>
        <v/>
      </c>
      <c r="S323" s="165" t="str">
        <f t="shared" si="10"/>
        <v/>
      </c>
      <c r="T323" s="165" t="str">
        <f t="shared" si="5"/>
        <v/>
      </c>
      <c r="U323" s="165" t="s">
        <v>1285</v>
      </c>
      <c r="V323" s="53"/>
      <c r="W323" s="52" t="str">
        <f t="shared" si="6"/>
        <v/>
      </c>
      <c r="X323" s="52">
        <f t="shared" si="7"/>
        <v>0</v>
      </c>
      <c r="Y323" s="52">
        <f t="shared" si="8"/>
        <v>0</v>
      </c>
      <c r="Z323" s="52" t="str">
        <f>IF(G323="","",IFERROR(VLOOKUP(G323,'Product_Stock_Master产品维护'!$A$2:$L992,11,FALSE),"No"))</f>
        <v/>
      </c>
      <c r="AA323" s="52" t="str">
        <f>IF(G323="","",IFERROR(VLOOKUP(G323,'Product_Stock_Master产品维护'!$A$2:$L992,12,FALSE),""))</f>
        <v/>
      </c>
      <c r="AB323" s="52" t="str">
        <f t="shared" si="11"/>
        <v/>
      </c>
      <c r="AC323" s="52">
        <f t="shared" si="12"/>
        <v>0</v>
      </c>
    </row>
    <row r="324" ht="15.75" customHeight="1">
      <c r="A324" s="163"/>
      <c r="B324" s="163"/>
      <c r="C324" s="164"/>
      <c r="D324" s="164"/>
      <c r="E324" s="164"/>
      <c r="F324" s="164"/>
      <c r="G324" s="164"/>
      <c r="H324" s="165" t="str">
        <f>IF(G324="","",IFERROR(VLOOKUP(G324,'Product_Stock_Master产品维护'!$A$2:$E992,2,FALSE()),"SKU not found"))</f>
        <v/>
      </c>
      <c r="I324" s="165" t="str">
        <f>IF(G324="","",IFERROR(VLOOKUP(G324,'Product_Stock_Master产品维护'!$A$2:$E992,3,FALSE()),"Item type not found"))</f>
        <v/>
      </c>
      <c r="J324" s="164"/>
      <c r="K324" s="164"/>
      <c r="L324" s="164"/>
      <c r="M324" s="164"/>
      <c r="N324" s="164"/>
      <c r="O324" s="165" t="str">
        <f t="shared" si="1"/>
        <v/>
      </c>
      <c r="P324" s="164"/>
      <c r="Q324" s="165" t="str">
        <f t="shared" si="9"/>
        <v/>
      </c>
      <c r="R324" s="165" t="str">
        <f t="shared" si="3"/>
        <v/>
      </c>
      <c r="S324" s="165" t="str">
        <f t="shared" si="10"/>
        <v/>
      </c>
      <c r="T324" s="165" t="str">
        <f t="shared" si="5"/>
        <v/>
      </c>
      <c r="U324" s="165" t="s">
        <v>1286</v>
      </c>
      <c r="V324" s="53"/>
      <c r="W324" s="52" t="str">
        <f t="shared" si="6"/>
        <v/>
      </c>
      <c r="X324" s="52">
        <f t="shared" si="7"/>
        <v>0</v>
      </c>
      <c r="Y324" s="52">
        <f t="shared" si="8"/>
        <v>0</v>
      </c>
      <c r="Z324" s="52" t="str">
        <f>IF(G324="","",IFERROR(VLOOKUP(G324,'Product_Stock_Master产品维护'!$A$2:$L992,11,FALSE),"No"))</f>
        <v/>
      </c>
      <c r="AA324" s="52" t="str">
        <f>IF(G324="","",IFERROR(VLOOKUP(G324,'Product_Stock_Master产品维护'!$A$2:$L992,12,FALSE),""))</f>
        <v/>
      </c>
      <c r="AB324" s="52" t="str">
        <f t="shared" si="11"/>
        <v/>
      </c>
      <c r="AC324" s="52">
        <f t="shared" si="12"/>
        <v>0</v>
      </c>
    </row>
    <row r="325" ht="15.75" customHeight="1">
      <c r="A325" s="163"/>
      <c r="B325" s="163"/>
      <c r="C325" s="164"/>
      <c r="D325" s="164"/>
      <c r="E325" s="164"/>
      <c r="F325" s="164"/>
      <c r="G325" s="164"/>
      <c r="H325" s="165" t="str">
        <f>IF(G325="","",IFERROR(VLOOKUP(G325,'Product_Stock_Master产品维护'!$A$2:$E992,2,FALSE()),"SKU not found"))</f>
        <v/>
      </c>
      <c r="I325" s="165" t="str">
        <f>IF(G325="","",IFERROR(VLOOKUP(G325,'Product_Stock_Master产品维护'!$A$2:$E992,3,FALSE()),"Item type not found"))</f>
        <v/>
      </c>
      <c r="J325" s="164"/>
      <c r="K325" s="164"/>
      <c r="L325" s="164"/>
      <c r="M325" s="164"/>
      <c r="N325" s="164"/>
      <c r="O325" s="165" t="str">
        <f t="shared" si="1"/>
        <v/>
      </c>
      <c r="P325" s="164"/>
      <c r="Q325" s="165" t="str">
        <f t="shared" si="9"/>
        <v/>
      </c>
      <c r="R325" s="165" t="str">
        <f t="shared" si="3"/>
        <v/>
      </c>
      <c r="S325" s="165" t="str">
        <f t="shared" si="10"/>
        <v/>
      </c>
      <c r="T325" s="165" t="str">
        <f t="shared" si="5"/>
        <v/>
      </c>
      <c r="U325" s="165" t="s">
        <v>1287</v>
      </c>
      <c r="V325" s="53"/>
      <c r="W325" s="52" t="str">
        <f t="shared" si="6"/>
        <v/>
      </c>
      <c r="X325" s="52">
        <f t="shared" si="7"/>
        <v>0</v>
      </c>
      <c r="Y325" s="52">
        <f t="shared" si="8"/>
        <v>0</v>
      </c>
      <c r="Z325" s="52" t="str">
        <f>IF(G325="","",IFERROR(VLOOKUP(G325,'Product_Stock_Master产品维护'!$A$2:$L992,11,FALSE),"No"))</f>
        <v/>
      </c>
      <c r="AA325" s="52" t="str">
        <f>IF(G325="","",IFERROR(VLOOKUP(G325,'Product_Stock_Master产品维护'!$A$2:$L992,12,FALSE),""))</f>
        <v/>
      </c>
      <c r="AB325" s="52" t="str">
        <f t="shared" si="11"/>
        <v/>
      </c>
      <c r="AC325" s="52">
        <f t="shared" si="12"/>
        <v>0</v>
      </c>
    </row>
    <row r="326" ht="15.75" customHeight="1">
      <c r="A326" s="163"/>
      <c r="B326" s="163"/>
      <c r="C326" s="164"/>
      <c r="D326" s="164"/>
      <c r="E326" s="164"/>
      <c r="F326" s="164"/>
      <c r="G326" s="164"/>
      <c r="H326" s="165" t="str">
        <f>IF(G326="","",IFERROR(VLOOKUP(G326,'Product_Stock_Master产品维护'!$A$2:$E992,2,FALSE()),"SKU not found"))</f>
        <v/>
      </c>
      <c r="I326" s="165" t="str">
        <f>IF(G326="","",IFERROR(VLOOKUP(G326,'Product_Stock_Master产品维护'!$A$2:$E992,3,FALSE()),"Item type not found"))</f>
        <v/>
      </c>
      <c r="J326" s="164"/>
      <c r="K326" s="164"/>
      <c r="L326" s="164"/>
      <c r="M326" s="164"/>
      <c r="N326" s="164"/>
      <c r="O326" s="165" t="str">
        <f t="shared" si="1"/>
        <v/>
      </c>
      <c r="P326" s="164"/>
      <c r="Q326" s="165" t="str">
        <f t="shared" si="9"/>
        <v/>
      </c>
      <c r="R326" s="165" t="str">
        <f t="shared" si="3"/>
        <v/>
      </c>
      <c r="S326" s="165" t="str">
        <f t="shared" si="10"/>
        <v/>
      </c>
      <c r="T326" s="165" t="str">
        <f t="shared" si="5"/>
        <v/>
      </c>
      <c r="U326" s="165" t="s">
        <v>1288</v>
      </c>
      <c r="V326" s="53"/>
      <c r="W326" s="52" t="str">
        <f t="shared" si="6"/>
        <v/>
      </c>
      <c r="X326" s="52">
        <f t="shared" si="7"/>
        <v>0</v>
      </c>
      <c r="Y326" s="52">
        <f t="shared" si="8"/>
        <v>0</v>
      </c>
      <c r="Z326" s="52" t="str">
        <f>IF(G326="","",IFERROR(VLOOKUP(G326,'Product_Stock_Master产品维护'!$A$2:$L992,11,FALSE),"No"))</f>
        <v/>
      </c>
      <c r="AA326" s="52" t="str">
        <f>IF(G326="","",IFERROR(VLOOKUP(G326,'Product_Stock_Master产品维护'!$A$2:$L992,12,FALSE),""))</f>
        <v/>
      </c>
      <c r="AB326" s="52" t="str">
        <f t="shared" si="11"/>
        <v/>
      </c>
      <c r="AC326" s="52">
        <f t="shared" si="12"/>
        <v>0</v>
      </c>
    </row>
    <row r="327" ht="15.75" customHeight="1">
      <c r="A327" s="163"/>
      <c r="B327" s="163"/>
      <c r="C327" s="164"/>
      <c r="D327" s="164"/>
      <c r="E327" s="164"/>
      <c r="F327" s="164"/>
      <c r="G327" s="164"/>
      <c r="H327" s="165" t="str">
        <f>IF(G327="","",IFERROR(VLOOKUP(G327,'Product_Stock_Master产品维护'!$A$2:$E992,2,FALSE()),"SKU not found"))</f>
        <v/>
      </c>
      <c r="I327" s="165" t="str">
        <f>IF(G327="","",IFERROR(VLOOKUP(G327,'Product_Stock_Master产品维护'!$A$2:$E992,3,FALSE()),"Item type not found"))</f>
        <v/>
      </c>
      <c r="J327" s="164"/>
      <c r="K327" s="164"/>
      <c r="L327" s="164"/>
      <c r="M327" s="164"/>
      <c r="N327" s="164"/>
      <c r="O327" s="165" t="str">
        <f t="shared" si="1"/>
        <v/>
      </c>
      <c r="P327" s="164"/>
      <c r="Q327" s="165" t="str">
        <f t="shared" si="9"/>
        <v/>
      </c>
      <c r="R327" s="165" t="str">
        <f t="shared" si="3"/>
        <v/>
      </c>
      <c r="S327" s="165" t="str">
        <f t="shared" si="10"/>
        <v/>
      </c>
      <c r="T327" s="165" t="str">
        <f t="shared" si="5"/>
        <v/>
      </c>
      <c r="U327" s="165" t="s">
        <v>1289</v>
      </c>
      <c r="V327" s="53"/>
      <c r="W327" s="52" t="str">
        <f t="shared" si="6"/>
        <v/>
      </c>
      <c r="X327" s="52">
        <f t="shared" si="7"/>
        <v>0</v>
      </c>
      <c r="Y327" s="52">
        <f t="shared" si="8"/>
        <v>0</v>
      </c>
      <c r="Z327" s="52" t="str">
        <f>IF(G327="","",IFERROR(VLOOKUP(G327,'Product_Stock_Master产品维护'!$A$2:$L992,11,FALSE),"No"))</f>
        <v/>
      </c>
      <c r="AA327" s="52" t="str">
        <f>IF(G327="","",IFERROR(VLOOKUP(G327,'Product_Stock_Master产品维护'!$A$2:$L992,12,FALSE),""))</f>
        <v/>
      </c>
      <c r="AB327" s="52" t="str">
        <f t="shared" si="11"/>
        <v/>
      </c>
      <c r="AC327" s="52">
        <f t="shared" si="12"/>
        <v>0</v>
      </c>
    </row>
    <row r="328" ht="15.75" customHeight="1">
      <c r="A328" s="163"/>
      <c r="B328" s="163"/>
      <c r="C328" s="164"/>
      <c r="D328" s="164"/>
      <c r="E328" s="164"/>
      <c r="F328" s="164"/>
      <c r="G328" s="164"/>
      <c r="H328" s="165" t="str">
        <f>IF(G328="","",IFERROR(VLOOKUP(G328,'Product_Stock_Master产品维护'!$A$2:$E992,2,FALSE()),"SKU not found"))</f>
        <v/>
      </c>
      <c r="I328" s="165" t="str">
        <f>IF(G328="","",IFERROR(VLOOKUP(G328,'Product_Stock_Master产品维护'!$A$2:$E992,3,FALSE()),"Item type not found"))</f>
        <v/>
      </c>
      <c r="J328" s="164"/>
      <c r="K328" s="164"/>
      <c r="L328" s="164"/>
      <c r="M328" s="164"/>
      <c r="N328" s="164"/>
      <c r="O328" s="165" t="str">
        <f t="shared" si="1"/>
        <v/>
      </c>
      <c r="P328" s="164"/>
      <c r="Q328" s="165" t="str">
        <f t="shared" si="9"/>
        <v/>
      </c>
      <c r="R328" s="165" t="str">
        <f t="shared" si="3"/>
        <v/>
      </c>
      <c r="S328" s="165" t="str">
        <f t="shared" si="10"/>
        <v/>
      </c>
      <c r="T328" s="165" t="str">
        <f t="shared" si="5"/>
        <v/>
      </c>
      <c r="U328" s="165" t="s">
        <v>1290</v>
      </c>
      <c r="V328" s="53"/>
      <c r="W328" s="52" t="str">
        <f t="shared" si="6"/>
        <v/>
      </c>
      <c r="X328" s="52">
        <f t="shared" si="7"/>
        <v>0</v>
      </c>
      <c r="Y328" s="52">
        <f t="shared" si="8"/>
        <v>0</v>
      </c>
      <c r="Z328" s="52" t="str">
        <f>IF(G328="","",IFERROR(VLOOKUP(G328,'Product_Stock_Master产品维护'!$A$2:$L992,11,FALSE),"No"))</f>
        <v/>
      </c>
      <c r="AA328" s="52" t="str">
        <f>IF(G328="","",IFERROR(VLOOKUP(G328,'Product_Stock_Master产品维护'!$A$2:$L992,12,FALSE),""))</f>
        <v/>
      </c>
      <c r="AB328" s="52" t="str">
        <f t="shared" si="11"/>
        <v/>
      </c>
      <c r="AC328" s="52">
        <f t="shared" si="12"/>
        <v>0</v>
      </c>
    </row>
    <row r="329" ht="15.75" customHeight="1">
      <c r="A329" s="163"/>
      <c r="B329" s="163"/>
      <c r="C329" s="164"/>
      <c r="D329" s="164"/>
      <c r="E329" s="164"/>
      <c r="F329" s="164"/>
      <c r="G329" s="164"/>
      <c r="H329" s="165" t="str">
        <f>IF(G329="","",IFERROR(VLOOKUP(G329,'Product_Stock_Master产品维护'!$A$2:$E992,2,FALSE()),"SKU not found"))</f>
        <v/>
      </c>
      <c r="I329" s="165" t="str">
        <f>IF(G329="","",IFERROR(VLOOKUP(G329,'Product_Stock_Master产品维护'!$A$2:$E992,3,FALSE()),"Item type not found"))</f>
        <v/>
      </c>
      <c r="J329" s="164"/>
      <c r="K329" s="164"/>
      <c r="L329" s="164"/>
      <c r="M329" s="164"/>
      <c r="N329" s="164"/>
      <c r="O329" s="165" t="str">
        <f t="shared" si="1"/>
        <v/>
      </c>
      <c r="P329" s="164"/>
      <c r="Q329" s="165" t="str">
        <f t="shared" si="9"/>
        <v/>
      </c>
      <c r="R329" s="165" t="str">
        <f t="shared" si="3"/>
        <v/>
      </c>
      <c r="S329" s="165" t="str">
        <f t="shared" si="10"/>
        <v/>
      </c>
      <c r="T329" s="165" t="str">
        <f t="shared" si="5"/>
        <v/>
      </c>
      <c r="U329" s="165" t="s">
        <v>1291</v>
      </c>
      <c r="V329" s="53"/>
      <c r="W329" s="52" t="str">
        <f t="shared" si="6"/>
        <v/>
      </c>
      <c r="X329" s="52">
        <f t="shared" si="7"/>
        <v>0</v>
      </c>
      <c r="Y329" s="52">
        <f t="shared" si="8"/>
        <v>0</v>
      </c>
      <c r="Z329" s="52" t="str">
        <f>IF(G329="","",IFERROR(VLOOKUP(G329,'Product_Stock_Master产品维护'!$A$2:$L992,11,FALSE),"No"))</f>
        <v/>
      </c>
      <c r="AA329" s="52" t="str">
        <f>IF(G329="","",IFERROR(VLOOKUP(G329,'Product_Stock_Master产品维护'!$A$2:$L992,12,FALSE),""))</f>
        <v/>
      </c>
      <c r="AB329" s="52" t="str">
        <f t="shared" si="11"/>
        <v/>
      </c>
      <c r="AC329" s="52">
        <f t="shared" si="12"/>
        <v>0</v>
      </c>
    </row>
    <row r="330" ht="15.75" customHeight="1">
      <c r="A330" s="163"/>
      <c r="B330" s="163"/>
      <c r="C330" s="164"/>
      <c r="D330" s="164"/>
      <c r="E330" s="164"/>
      <c r="F330" s="164"/>
      <c r="G330" s="164"/>
      <c r="H330" s="165" t="str">
        <f>IF(G330="","",IFERROR(VLOOKUP(G330,'Product_Stock_Master产品维护'!$A$2:$E992,2,FALSE()),"SKU not found"))</f>
        <v/>
      </c>
      <c r="I330" s="165" t="str">
        <f>IF(G330="","",IFERROR(VLOOKUP(G330,'Product_Stock_Master产品维护'!$A$2:$E992,3,FALSE()),"Item type not found"))</f>
        <v/>
      </c>
      <c r="J330" s="164"/>
      <c r="K330" s="164"/>
      <c r="L330" s="164"/>
      <c r="M330" s="164"/>
      <c r="N330" s="164"/>
      <c r="O330" s="165" t="str">
        <f t="shared" si="1"/>
        <v/>
      </c>
      <c r="P330" s="164"/>
      <c r="Q330" s="165" t="str">
        <f t="shared" si="9"/>
        <v/>
      </c>
      <c r="R330" s="165" t="str">
        <f t="shared" si="3"/>
        <v/>
      </c>
      <c r="S330" s="165" t="str">
        <f t="shared" si="10"/>
        <v/>
      </c>
      <c r="T330" s="165" t="str">
        <f t="shared" si="5"/>
        <v/>
      </c>
      <c r="U330" s="165" t="s">
        <v>1292</v>
      </c>
      <c r="V330" s="53"/>
      <c r="W330" s="52" t="str">
        <f t="shared" si="6"/>
        <v/>
      </c>
      <c r="X330" s="52">
        <f t="shared" si="7"/>
        <v>0</v>
      </c>
      <c r="Y330" s="52">
        <f t="shared" si="8"/>
        <v>0</v>
      </c>
      <c r="Z330" s="52" t="str">
        <f>IF(G330="","",IFERROR(VLOOKUP(G330,'Product_Stock_Master产品维护'!$A$2:$L992,11,FALSE),"No"))</f>
        <v/>
      </c>
      <c r="AA330" s="52" t="str">
        <f>IF(G330="","",IFERROR(VLOOKUP(G330,'Product_Stock_Master产品维护'!$A$2:$L992,12,FALSE),""))</f>
        <v/>
      </c>
      <c r="AB330" s="52" t="str">
        <f t="shared" si="11"/>
        <v/>
      </c>
      <c r="AC330" s="52">
        <f t="shared" si="12"/>
        <v>0</v>
      </c>
    </row>
    <row r="331" ht="15.75" customHeight="1">
      <c r="A331" s="163"/>
      <c r="B331" s="163"/>
      <c r="C331" s="164"/>
      <c r="D331" s="164"/>
      <c r="E331" s="164"/>
      <c r="F331" s="164"/>
      <c r="G331" s="164"/>
      <c r="H331" s="165" t="str">
        <f>IF(G331="","",IFERROR(VLOOKUP(G331,'Product_Stock_Master产品维护'!$A$2:$E992,2,FALSE()),"SKU not found"))</f>
        <v/>
      </c>
      <c r="I331" s="165" t="str">
        <f>IF(G331="","",IFERROR(VLOOKUP(G331,'Product_Stock_Master产品维护'!$A$2:$E992,3,FALSE()),"Item type not found"))</f>
        <v/>
      </c>
      <c r="J331" s="164"/>
      <c r="K331" s="164"/>
      <c r="L331" s="164"/>
      <c r="M331" s="164"/>
      <c r="N331" s="164"/>
      <c r="O331" s="165" t="str">
        <f t="shared" si="1"/>
        <v/>
      </c>
      <c r="P331" s="164"/>
      <c r="Q331" s="165" t="str">
        <f t="shared" si="9"/>
        <v/>
      </c>
      <c r="R331" s="165" t="str">
        <f t="shared" si="3"/>
        <v/>
      </c>
      <c r="S331" s="165" t="str">
        <f t="shared" si="10"/>
        <v/>
      </c>
      <c r="T331" s="165" t="str">
        <f t="shared" si="5"/>
        <v/>
      </c>
      <c r="U331" s="165" t="s">
        <v>1293</v>
      </c>
      <c r="V331" s="53"/>
      <c r="W331" s="52" t="str">
        <f t="shared" si="6"/>
        <v/>
      </c>
      <c r="X331" s="52">
        <f t="shared" si="7"/>
        <v>0</v>
      </c>
      <c r="Y331" s="52">
        <f t="shared" si="8"/>
        <v>0</v>
      </c>
      <c r="Z331" s="52" t="str">
        <f>IF(G331="","",IFERROR(VLOOKUP(G331,'Product_Stock_Master产品维护'!$A$2:$L992,11,FALSE),"No"))</f>
        <v/>
      </c>
      <c r="AA331" s="52" t="str">
        <f>IF(G331="","",IFERROR(VLOOKUP(G331,'Product_Stock_Master产品维护'!$A$2:$L992,12,FALSE),""))</f>
        <v/>
      </c>
      <c r="AB331" s="52" t="str">
        <f t="shared" si="11"/>
        <v/>
      </c>
      <c r="AC331" s="52">
        <f t="shared" si="12"/>
        <v>0</v>
      </c>
    </row>
    <row r="332" ht="15.75" customHeight="1">
      <c r="A332" s="163"/>
      <c r="B332" s="163"/>
      <c r="C332" s="164"/>
      <c r="D332" s="164"/>
      <c r="E332" s="164"/>
      <c r="F332" s="164"/>
      <c r="G332" s="164"/>
      <c r="H332" s="165" t="str">
        <f>IF(G332="","",IFERROR(VLOOKUP(G332,'Product_Stock_Master产品维护'!$A$2:$E992,2,FALSE()),"SKU not found"))</f>
        <v/>
      </c>
      <c r="I332" s="165" t="str">
        <f>IF(G332="","",IFERROR(VLOOKUP(G332,'Product_Stock_Master产品维护'!$A$2:$E992,3,FALSE()),"Item type not found"))</f>
        <v/>
      </c>
      <c r="J332" s="164"/>
      <c r="K332" s="164"/>
      <c r="L332" s="164"/>
      <c r="M332" s="164"/>
      <c r="N332" s="164"/>
      <c r="O332" s="165" t="str">
        <f t="shared" si="1"/>
        <v/>
      </c>
      <c r="P332" s="164"/>
      <c r="Q332" s="165" t="str">
        <f t="shared" si="9"/>
        <v/>
      </c>
      <c r="R332" s="165" t="str">
        <f t="shared" si="3"/>
        <v/>
      </c>
      <c r="S332" s="165" t="str">
        <f t="shared" si="10"/>
        <v/>
      </c>
      <c r="T332" s="165" t="str">
        <f t="shared" si="5"/>
        <v/>
      </c>
      <c r="U332" s="165" t="s">
        <v>1294</v>
      </c>
      <c r="V332" s="53"/>
      <c r="W332" s="52" t="str">
        <f t="shared" si="6"/>
        <v/>
      </c>
      <c r="X332" s="52">
        <f t="shared" si="7"/>
        <v>0</v>
      </c>
      <c r="Y332" s="52">
        <f t="shared" si="8"/>
        <v>0</v>
      </c>
      <c r="Z332" s="52" t="str">
        <f>IF(G332="","",IFERROR(VLOOKUP(G332,'Product_Stock_Master产品维护'!$A$2:$L992,11,FALSE),"No"))</f>
        <v/>
      </c>
      <c r="AA332" s="52" t="str">
        <f>IF(G332="","",IFERROR(VLOOKUP(G332,'Product_Stock_Master产品维护'!$A$2:$L992,12,FALSE),""))</f>
        <v/>
      </c>
      <c r="AB332" s="52" t="str">
        <f t="shared" si="11"/>
        <v/>
      </c>
      <c r="AC332" s="52">
        <f t="shared" si="12"/>
        <v>0</v>
      </c>
    </row>
    <row r="333" ht="15.75" customHeight="1">
      <c r="A333" s="163"/>
      <c r="B333" s="163"/>
      <c r="C333" s="164"/>
      <c r="D333" s="164"/>
      <c r="E333" s="164"/>
      <c r="F333" s="164"/>
      <c r="G333" s="164"/>
      <c r="H333" s="165" t="str">
        <f>IF(G333="","",IFERROR(VLOOKUP(G333,'Product_Stock_Master产品维护'!$A$2:$E992,2,FALSE()),"SKU not found"))</f>
        <v/>
      </c>
      <c r="I333" s="165" t="str">
        <f>IF(G333="","",IFERROR(VLOOKUP(G333,'Product_Stock_Master产品维护'!$A$2:$E992,3,FALSE()),"Item type not found"))</f>
        <v/>
      </c>
      <c r="J333" s="164"/>
      <c r="K333" s="164"/>
      <c r="L333" s="164"/>
      <c r="M333" s="164"/>
      <c r="N333" s="164"/>
      <c r="O333" s="165" t="str">
        <f t="shared" si="1"/>
        <v/>
      </c>
      <c r="P333" s="164"/>
      <c r="Q333" s="165" t="str">
        <f t="shared" si="9"/>
        <v/>
      </c>
      <c r="R333" s="165" t="str">
        <f t="shared" si="3"/>
        <v/>
      </c>
      <c r="S333" s="165" t="str">
        <f t="shared" si="10"/>
        <v/>
      </c>
      <c r="T333" s="165" t="str">
        <f t="shared" si="5"/>
        <v/>
      </c>
      <c r="U333" s="165" t="s">
        <v>1295</v>
      </c>
      <c r="V333" s="53"/>
      <c r="W333" s="52" t="str">
        <f t="shared" si="6"/>
        <v/>
      </c>
      <c r="X333" s="52">
        <f t="shared" si="7"/>
        <v>0</v>
      </c>
      <c r="Y333" s="52">
        <f t="shared" si="8"/>
        <v>0</v>
      </c>
      <c r="Z333" s="52" t="str">
        <f>IF(G333="","",IFERROR(VLOOKUP(G333,'Product_Stock_Master产品维护'!$A$2:$L992,11,FALSE),"No"))</f>
        <v/>
      </c>
      <c r="AA333" s="52" t="str">
        <f>IF(G333="","",IFERROR(VLOOKUP(G333,'Product_Stock_Master产品维护'!$A$2:$L992,12,FALSE),""))</f>
        <v/>
      </c>
      <c r="AB333" s="52" t="str">
        <f t="shared" si="11"/>
        <v/>
      </c>
      <c r="AC333" s="52">
        <f t="shared" si="12"/>
        <v>0</v>
      </c>
    </row>
    <row r="334" ht="15.75" customHeight="1">
      <c r="A334" s="163"/>
      <c r="B334" s="163"/>
      <c r="C334" s="164"/>
      <c r="D334" s="164"/>
      <c r="E334" s="164"/>
      <c r="F334" s="164"/>
      <c r="G334" s="164"/>
      <c r="H334" s="165" t="str">
        <f>IF(G334="","",IFERROR(VLOOKUP(G334,'Product_Stock_Master产品维护'!$A$2:$E992,2,FALSE()),"SKU not found"))</f>
        <v/>
      </c>
      <c r="I334" s="165" t="str">
        <f>IF(G334="","",IFERROR(VLOOKUP(G334,'Product_Stock_Master产品维护'!$A$2:$E992,3,FALSE()),"Item type not found"))</f>
        <v/>
      </c>
      <c r="J334" s="164"/>
      <c r="K334" s="164"/>
      <c r="L334" s="164"/>
      <c r="M334" s="164"/>
      <c r="N334" s="164"/>
      <c r="O334" s="165" t="str">
        <f t="shared" si="1"/>
        <v/>
      </c>
      <c r="P334" s="164"/>
      <c r="Q334" s="165" t="str">
        <f t="shared" si="9"/>
        <v/>
      </c>
      <c r="R334" s="165" t="str">
        <f t="shared" si="3"/>
        <v/>
      </c>
      <c r="S334" s="165" t="str">
        <f t="shared" si="10"/>
        <v/>
      </c>
      <c r="T334" s="165" t="str">
        <f t="shared" si="5"/>
        <v/>
      </c>
      <c r="U334" s="165" t="s">
        <v>1296</v>
      </c>
      <c r="V334" s="53"/>
      <c r="W334" s="52" t="str">
        <f t="shared" si="6"/>
        <v/>
      </c>
      <c r="X334" s="52">
        <f t="shared" si="7"/>
        <v>0</v>
      </c>
      <c r="Y334" s="52">
        <f t="shared" si="8"/>
        <v>0</v>
      </c>
      <c r="Z334" s="52" t="str">
        <f>IF(G334="","",IFERROR(VLOOKUP(G334,'Product_Stock_Master产品维护'!$A$2:$L992,11,FALSE),"No"))</f>
        <v/>
      </c>
      <c r="AA334" s="52" t="str">
        <f>IF(G334="","",IFERROR(VLOOKUP(G334,'Product_Stock_Master产品维护'!$A$2:$L992,12,FALSE),""))</f>
        <v/>
      </c>
      <c r="AB334" s="52" t="str">
        <f t="shared" si="11"/>
        <v/>
      </c>
      <c r="AC334" s="52">
        <f t="shared" si="12"/>
        <v>0</v>
      </c>
    </row>
    <row r="335" ht="15.75" customHeight="1">
      <c r="A335" s="163"/>
      <c r="B335" s="163"/>
      <c r="C335" s="164"/>
      <c r="D335" s="164"/>
      <c r="E335" s="164"/>
      <c r="F335" s="164"/>
      <c r="G335" s="164"/>
      <c r="H335" s="165" t="str">
        <f>IF(G335="","",IFERROR(VLOOKUP(G335,'Product_Stock_Master产品维护'!$A$2:$E992,2,FALSE()),"SKU not found"))</f>
        <v/>
      </c>
      <c r="I335" s="165" t="str">
        <f>IF(G335="","",IFERROR(VLOOKUP(G335,'Product_Stock_Master产品维护'!$A$2:$E992,3,FALSE()),"Item type not found"))</f>
        <v/>
      </c>
      <c r="J335" s="164"/>
      <c r="K335" s="164"/>
      <c r="L335" s="164"/>
      <c r="M335" s="164"/>
      <c r="N335" s="164"/>
      <c r="O335" s="165" t="str">
        <f t="shared" si="1"/>
        <v/>
      </c>
      <c r="P335" s="164"/>
      <c r="Q335" s="165" t="str">
        <f t="shared" si="9"/>
        <v/>
      </c>
      <c r="R335" s="165" t="str">
        <f t="shared" si="3"/>
        <v/>
      </c>
      <c r="S335" s="165" t="str">
        <f t="shared" si="10"/>
        <v/>
      </c>
      <c r="T335" s="165" t="str">
        <f t="shared" si="5"/>
        <v/>
      </c>
      <c r="U335" s="165" t="s">
        <v>1297</v>
      </c>
      <c r="V335" s="53"/>
      <c r="W335" s="52" t="str">
        <f t="shared" si="6"/>
        <v/>
      </c>
      <c r="X335" s="52">
        <f t="shared" si="7"/>
        <v>0</v>
      </c>
      <c r="Y335" s="52">
        <f t="shared" si="8"/>
        <v>0</v>
      </c>
      <c r="Z335" s="52" t="str">
        <f>IF(G335="","",IFERROR(VLOOKUP(G335,'Product_Stock_Master产品维护'!$A$2:$L992,11,FALSE),"No"))</f>
        <v/>
      </c>
      <c r="AA335" s="52" t="str">
        <f>IF(G335="","",IFERROR(VLOOKUP(G335,'Product_Stock_Master产品维护'!$A$2:$L992,12,FALSE),""))</f>
        <v/>
      </c>
      <c r="AB335" s="52" t="str">
        <f t="shared" si="11"/>
        <v/>
      </c>
      <c r="AC335" s="52">
        <f t="shared" si="12"/>
        <v>0</v>
      </c>
    </row>
    <row r="336" ht="15.75" customHeight="1">
      <c r="A336" s="163"/>
      <c r="B336" s="163"/>
      <c r="C336" s="164"/>
      <c r="D336" s="164"/>
      <c r="E336" s="164"/>
      <c r="F336" s="164"/>
      <c r="G336" s="164"/>
      <c r="H336" s="165" t="str">
        <f>IF(G336="","",IFERROR(VLOOKUP(G336,'Product_Stock_Master产品维护'!$A$2:$E992,2,FALSE()),"SKU not found"))</f>
        <v/>
      </c>
      <c r="I336" s="165" t="str">
        <f>IF(G336="","",IFERROR(VLOOKUP(G336,'Product_Stock_Master产品维护'!$A$2:$E992,3,FALSE()),"Item type not found"))</f>
        <v/>
      </c>
      <c r="J336" s="164"/>
      <c r="K336" s="164"/>
      <c r="L336" s="164"/>
      <c r="M336" s="164"/>
      <c r="N336" s="164"/>
      <c r="O336" s="165" t="str">
        <f t="shared" si="1"/>
        <v/>
      </c>
      <c r="P336" s="164"/>
      <c r="Q336" s="165" t="str">
        <f t="shared" si="9"/>
        <v/>
      </c>
      <c r="R336" s="165" t="str">
        <f t="shared" si="3"/>
        <v/>
      </c>
      <c r="S336" s="165" t="str">
        <f t="shared" si="10"/>
        <v/>
      </c>
      <c r="T336" s="165" t="str">
        <f t="shared" si="5"/>
        <v/>
      </c>
      <c r="U336" s="165" t="s">
        <v>1298</v>
      </c>
      <c r="V336" s="53"/>
      <c r="W336" s="52" t="str">
        <f t="shared" si="6"/>
        <v/>
      </c>
      <c r="X336" s="52">
        <f t="shared" si="7"/>
        <v>0</v>
      </c>
      <c r="Y336" s="52">
        <f t="shared" si="8"/>
        <v>0</v>
      </c>
      <c r="Z336" s="52" t="str">
        <f>IF(G336="","",IFERROR(VLOOKUP(G336,'Product_Stock_Master产品维护'!$A$2:$L992,11,FALSE),"No"))</f>
        <v/>
      </c>
      <c r="AA336" s="52" t="str">
        <f>IF(G336="","",IFERROR(VLOOKUP(G336,'Product_Stock_Master产品维护'!$A$2:$L992,12,FALSE),""))</f>
        <v/>
      </c>
      <c r="AB336" s="52" t="str">
        <f t="shared" si="11"/>
        <v/>
      </c>
      <c r="AC336" s="52">
        <f t="shared" si="12"/>
        <v>0</v>
      </c>
    </row>
    <row r="337" ht="15.75" customHeight="1">
      <c r="A337" s="163"/>
      <c r="B337" s="163"/>
      <c r="C337" s="164"/>
      <c r="D337" s="164"/>
      <c r="E337" s="164"/>
      <c r="F337" s="164"/>
      <c r="G337" s="164"/>
      <c r="H337" s="165" t="str">
        <f>IF(G337="","",IFERROR(VLOOKUP(G337,'Product_Stock_Master产品维护'!$A$2:$E992,2,FALSE()),"SKU not found"))</f>
        <v/>
      </c>
      <c r="I337" s="165" t="str">
        <f>IF(G337="","",IFERROR(VLOOKUP(G337,'Product_Stock_Master产品维护'!$A$2:$E992,3,FALSE()),"Item type not found"))</f>
        <v/>
      </c>
      <c r="J337" s="164"/>
      <c r="K337" s="164"/>
      <c r="L337" s="164"/>
      <c r="M337" s="164"/>
      <c r="N337" s="164"/>
      <c r="O337" s="165" t="str">
        <f t="shared" si="1"/>
        <v/>
      </c>
      <c r="P337" s="164"/>
      <c r="Q337" s="165" t="str">
        <f t="shared" si="9"/>
        <v/>
      </c>
      <c r="R337" s="165" t="str">
        <f t="shared" si="3"/>
        <v/>
      </c>
      <c r="S337" s="165" t="str">
        <f t="shared" si="10"/>
        <v/>
      </c>
      <c r="T337" s="165" t="str">
        <f t="shared" si="5"/>
        <v/>
      </c>
      <c r="U337" s="165" t="s">
        <v>1299</v>
      </c>
      <c r="V337" s="53"/>
      <c r="W337" s="52" t="str">
        <f t="shared" si="6"/>
        <v/>
      </c>
      <c r="X337" s="52">
        <f t="shared" si="7"/>
        <v>0</v>
      </c>
      <c r="Y337" s="52">
        <f t="shared" si="8"/>
        <v>0</v>
      </c>
      <c r="Z337" s="52" t="str">
        <f>IF(G337="","",IFERROR(VLOOKUP(G337,'Product_Stock_Master产品维护'!$A$2:$L992,11,FALSE),"No"))</f>
        <v/>
      </c>
      <c r="AA337" s="52" t="str">
        <f>IF(G337="","",IFERROR(VLOOKUP(G337,'Product_Stock_Master产品维护'!$A$2:$L992,12,FALSE),""))</f>
        <v/>
      </c>
      <c r="AB337" s="52" t="str">
        <f t="shared" si="11"/>
        <v/>
      </c>
      <c r="AC337" s="52">
        <f t="shared" si="12"/>
        <v>0</v>
      </c>
    </row>
    <row r="338" ht="15.75" customHeight="1">
      <c r="A338" s="163"/>
      <c r="B338" s="163"/>
      <c r="C338" s="164"/>
      <c r="D338" s="164"/>
      <c r="E338" s="164"/>
      <c r="F338" s="164"/>
      <c r="G338" s="164"/>
      <c r="H338" s="165" t="str">
        <f>IF(G338="","",IFERROR(VLOOKUP(G338,'Product_Stock_Master产品维护'!$A$2:$E992,2,FALSE()),"SKU not found"))</f>
        <v/>
      </c>
      <c r="I338" s="165" t="str">
        <f>IF(G338="","",IFERROR(VLOOKUP(G338,'Product_Stock_Master产品维护'!$A$2:$E992,3,FALSE()),"Item type not found"))</f>
        <v/>
      </c>
      <c r="J338" s="164"/>
      <c r="K338" s="164"/>
      <c r="L338" s="164"/>
      <c r="M338" s="164"/>
      <c r="N338" s="164"/>
      <c r="O338" s="165" t="str">
        <f t="shared" si="1"/>
        <v/>
      </c>
      <c r="P338" s="164"/>
      <c r="Q338" s="165" t="str">
        <f t="shared" si="9"/>
        <v/>
      </c>
      <c r="R338" s="165" t="str">
        <f t="shared" si="3"/>
        <v/>
      </c>
      <c r="S338" s="165" t="str">
        <f t="shared" si="10"/>
        <v/>
      </c>
      <c r="T338" s="165" t="str">
        <f t="shared" si="5"/>
        <v/>
      </c>
      <c r="U338" s="165" t="s">
        <v>1300</v>
      </c>
      <c r="V338" s="53"/>
      <c r="W338" s="52" t="str">
        <f t="shared" si="6"/>
        <v/>
      </c>
      <c r="X338" s="52">
        <f t="shared" si="7"/>
        <v>0</v>
      </c>
      <c r="Y338" s="52">
        <f t="shared" si="8"/>
        <v>0</v>
      </c>
      <c r="Z338" s="52" t="str">
        <f>IF(G338="","",IFERROR(VLOOKUP(G338,'Product_Stock_Master产品维护'!$A$2:$L992,11,FALSE),"No"))</f>
        <v/>
      </c>
      <c r="AA338" s="52" t="str">
        <f>IF(G338="","",IFERROR(VLOOKUP(G338,'Product_Stock_Master产品维护'!$A$2:$L992,12,FALSE),""))</f>
        <v/>
      </c>
      <c r="AB338" s="52" t="str">
        <f t="shared" si="11"/>
        <v/>
      </c>
      <c r="AC338" s="52">
        <f t="shared" si="12"/>
        <v>0</v>
      </c>
    </row>
    <row r="339" ht="15.75" customHeight="1">
      <c r="A339" s="163"/>
      <c r="B339" s="163"/>
      <c r="C339" s="164"/>
      <c r="D339" s="164"/>
      <c r="E339" s="164"/>
      <c r="F339" s="164"/>
      <c r="G339" s="164"/>
      <c r="H339" s="165" t="str">
        <f>IF(G339="","",IFERROR(VLOOKUP(G339,'Product_Stock_Master产品维护'!$A$2:$E992,2,FALSE()),"SKU not found"))</f>
        <v/>
      </c>
      <c r="I339" s="165" t="str">
        <f>IF(G339="","",IFERROR(VLOOKUP(G339,'Product_Stock_Master产品维护'!$A$2:$E992,3,FALSE()),"Item type not found"))</f>
        <v/>
      </c>
      <c r="J339" s="164"/>
      <c r="K339" s="164"/>
      <c r="L339" s="164"/>
      <c r="M339" s="164"/>
      <c r="N339" s="164"/>
      <c r="O339" s="165" t="str">
        <f t="shared" si="1"/>
        <v/>
      </c>
      <c r="P339" s="164"/>
      <c r="Q339" s="165" t="str">
        <f t="shared" si="9"/>
        <v/>
      </c>
      <c r="R339" s="165" t="str">
        <f t="shared" si="3"/>
        <v/>
      </c>
      <c r="S339" s="165" t="str">
        <f t="shared" si="10"/>
        <v/>
      </c>
      <c r="T339" s="165" t="str">
        <f t="shared" si="5"/>
        <v/>
      </c>
      <c r="U339" s="165" t="s">
        <v>1301</v>
      </c>
      <c r="V339" s="53"/>
      <c r="W339" s="52" t="str">
        <f t="shared" si="6"/>
        <v/>
      </c>
      <c r="X339" s="52">
        <f t="shared" si="7"/>
        <v>0</v>
      </c>
      <c r="Y339" s="52">
        <f t="shared" si="8"/>
        <v>0</v>
      </c>
      <c r="Z339" s="52" t="str">
        <f>IF(G339="","",IFERROR(VLOOKUP(G339,'Product_Stock_Master产品维护'!$A$2:$L992,11,FALSE),"No"))</f>
        <v/>
      </c>
      <c r="AA339" s="52" t="str">
        <f>IF(G339="","",IFERROR(VLOOKUP(G339,'Product_Stock_Master产品维护'!$A$2:$L992,12,FALSE),""))</f>
        <v/>
      </c>
      <c r="AB339" s="52" t="str">
        <f t="shared" si="11"/>
        <v/>
      </c>
      <c r="AC339" s="52">
        <f t="shared" si="12"/>
        <v>0</v>
      </c>
    </row>
    <row r="340" ht="15.75" customHeight="1">
      <c r="A340" s="163"/>
      <c r="B340" s="163"/>
      <c r="C340" s="164"/>
      <c r="D340" s="164"/>
      <c r="E340" s="164"/>
      <c r="F340" s="164"/>
      <c r="G340" s="164"/>
      <c r="H340" s="165" t="str">
        <f>IF(G340="","",IFERROR(VLOOKUP(G340,'Product_Stock_Master产品维护'!$A$2:$E992,2,FALSE()),"SKU not found"))</f>
        <v/>
      </c>
      <c r="I340" s="165" t="str">
        <f>IF(G340="","",IFERROR(VLOOKUP(G340,'Product_Stock_Master产品维护'!$A$2:$E992,3,FALSE()),"Item type not found"))</f>
        <v/>
      </c>
      <c r="J340" s="164"/>
      <c r="K340" s="164"/>
      <c r="L340" s="164"/>
      <c r="M340" s="164"/>
      <c r="N340" s="164"/>
      <c r="O340" s="165" t="str">
        <f t="shared" si="1"/>
        <v/>
      </c>
      <c r="P340" s="164"/>
      <c r="Q340" s="165" t="str">
        <f t="shared" si="9"/>
        <v/>
      </c>
      <c r="R340" s="165" t="str">
        <f t="shared" si="3"/>
        <v/>
      </c>
      <c r="S340" s="165" t="str">
        <f t="shared" si="10"/>
        <v/>
      </c>
      <c r="T340" s="165" t="str">
        <f t="shared" si="5"/>
        <v/>
      </c>
      <c r="U340" s="165" t="s">
        <v>1302</v>
      </c>
      <c r="V340" s="53"/>
      <c r="W340" s="52" t="str">
        <f t="shared" si="6"/>
        <v/>
      </c>
      <c r="X340" s="52">
        <f t="shared" si="7"/>
        <v>0</v>
      </c>
      <c r="Y340" s="52">
        <f t="shared" si="8"/>
        <v>0</v>
      </c>
      <c r="Z340" s="52" t="str">
        <f>IF(G340="","",IFERROR(VLOOKUP(G340,'Product_Stock_Master产品维护'!$A$2:$L992,11,FALSE),"No"))</f>
        <v/>
      </c>
      <c r="AA340" s="52" t="str">
        <f>IF(G340="","",IFERROR(VLOOKUP(G340,'Product_Stock_Master产品维护'!$A$2:$L992,12,FALSE),""))</f>
        <v/>
      </c>
      <c r="AB340" s="52" t="str">
        <f t="shared" si="11"/>
        <v/>
      </c>
      <c r="AC340" s="52">
        <f t="shared" si="12"/>
        <v>0</v>
      </c>
    </row>
    <row r="341" ht="15.75" customHeight="1">
      <c r="A341" s="163"/>
      <c r="B341" s="163"/>
      <c r="C341" s="164"/>
      <c r="D341" s="164"/>
      <c r="E341" s="164"/>
      <c r="F341" s="164"/>
      <c r="G341" s="164"/>
      <c r="H341" s="165" t="str">
        <f>IF(G341="","",IFERROR(VLOOKUP(G341,'Product_Stock_Master产品维护'!$A$2:$E992,2,FALSE()),"SKU not found"))</f>
        <v/>
      </c>
      <c r="I341" s="165" t="str">
        <f>IF(G341="","",IFERROR(VLOOKUP(G341,'Product_Stock_Master产品维护'!$A$2:$E992,3,FALSE()),"Item type not found"))</f>
        <v/>
      </c>
      <c r="J341" s="164"/>
      <c r="K341" s="164"/>
      <c r="L341" s="164"/>
      <c r="M341" s="164"/>
      <c r="N341" s="164"/>
      <c r="O341" s="165" t="str">
        <f t="shared" si="1"/>
        <v/>
      </c>
      <c r="P341" s="164"/>
      <c r="Q341" s="165" t="str">
        <f t="shared" si="9"/>
        <v/>
      </c>
      <c r="R341" s="165" t="str">
        <f t="shared" si="3"/>
        <v/>
      </c>
      <c r="S341" s="165" t="str">
        <f t="shared" si="10"/>
        <v/>
      </c>
      <c r="T341" s="165" t="str">
        <f t="shared" si="5"/>
        <v/>
      </c>
      <c r="U341" s="165" t="s">
        <v>1303</v>
      </c>
      <c r="V341" s="53"/>
      <c r="W341" s="52" t="str">
        <f t="shared" si="6"/>
        <v/>
      </c>
      <c r="X341" s="52">
        <f t="shared" si="7"/>
        <v>0</v>
      </c>
      <c r="Y341" s="52">
        <f t="shared" si="8"/>
        <v>0</v>
      </c>
      <c r="Z341" s="52" t="str">
        <f>IF(G341="","",IFERROR(VLOOKUP(G341,'Product_Stock_Master产品维护'!$A$2:$L992,11,FALSE),"No"))</f>
        <v/>
      </c>
      <c r="AA341" s="52" t="str">
        <f>IF(G341="","",IFERROR(VLOOKUP(G341,'Product_Stock_Master产品维护'!$A$2:$L992,12,FALSE),""))</f>
        <v/>
      </c>
      <c r="AB341" s="52" t="str">
        <f t="shared" si="11"/>
        <v/>
      </c>
      <c r="AC341" s="52">
        <f t="shared" si="12"/>
        <v>0</v>
      </c>
    </row>
    <row r="342" ht="15.75" customHeight="1">
      <c r="A342" s="163"/>
      <c r="B342" s="163"/>
      <c r="C342" s="164"/>
      <c r="D342" s="164"/>
      <c r="E342" s="164"/>
      <c r="F342" s="164"/>
      <c r="G342" s="164"/>
      <c r="H342" s="165" t="str">
        <f>IF(G342="","",IFERROR(VLOOKUP(G342,'Product_Stock_Master产品维护'!$A$2:$E992,2,FALSE()),"SKU not found"))</f>
        <v/>
      </c>
      <c r="I342" s="165" t="str">
        <f>IF(G342="","",IFERROR(VLOOKUP(G342,'Product_Stock_Master产品维护'!$A$2:$E992,3,FALSE()),"Item type not found"))</f>
        <v/>
      </c>
      <c r="J342" s="164"/>
      <c r="K342" s="164"/>
      <c r="L342" s="164"/>
      <c r="M342" s="164"/>
      <c r="N342" s="164"/>
      <c r="O342" s="165" t="str">
        <f t="shared" si="1"/>
        <v/>
      </c>
      <c r="P342" s="164"/>
      <c r="Q342" s="165" t="str">
        <f t="shared" si="9"/>
        <v/>
      </c>
      <c r="R342" s="165" t="str">
        <f t="shared" si="3"/>
        <v/>
      </c>
      <c r="S342" s="165" t="str">
        <f t="shared" si="10"/>
        <v/>
      </c>
      <c r="T342" s="165" t="str">
        <f t="shared" si="5"/>
        <v/>
      </c>
      <c r="U342" s="165" t="s">
        <v>1304</v>
      </c>
      <c r="V342" s="53"/>
      <c r="W342" s="52" t="str">
        <f t="shared" si="6"/>
        <v/>
      </c>
      <c r="X342" s="52">
        <f t="shared" si="7"/>
        <v>0</v>
      </c>
      <c r="Y342" s="52">
        <f t="shared" si="8"/>
        <v>0</v>
      </c>
      <c r="Z342" s="52" t="str">
        <f>IF(G342="","",IFERROR(VLOOKUP(G342,'Product_Stock_Master产品维护'!$A$2:$L992,11,FALSE),"No"))</f>
        <v/>
      </c>
      <c r="AA342" s="52" t="str">
        <f>IF(G342="","",IFERROR(VLOOKUP(G342,'Product_Stock_Master产品维护'!$A$2:$L992,12,FALSE),""))</f>
        <v/>
      </c>
      <c r="AB342" s="52" t="str">
        <f t="shared" si="11"/>
        <v/>
      </c>
      <c r="AC342" s="52">
        <f t="shared" si="12"/>
        <v>0</v>
      </c>
    </row>
    <row r="343" ht="15.75" customHeight="1">
      <c r="A343" s="163"/>
      <c r="B343" s="163"/>
      <c r="C343" s="164"/>
      <c r="D343" s="164"/>
      <c r="E343" s="164"/>
      <c r="F343" s="164"/>
      <c r="G343" s="164"/>
      <c r="H343" s="165" t="str">
        <f>IF(G343="","",IFERROR(VLOOKUP(G343,'Product_Stock_Master产品维护'!$A$2:$E992,2,FALSE()),"SKU not found"))</f>
        <v/>
      </c>
      <c r="I343" s="165" t="str">
        <f>IF(G343="","",IFERROR(VLOOKUP(G343,'Product_Stock_Master产品维护'!$A$2:$E992,3,FALSE()),"Item type not found"))</f>
        <v/>
      </c>
      <c r="J343" s="164"/>
      <c r="K343" s="164"/>
      <c r="L343" s="164"/>
      <c r="M343" s="164"/>
      <c r="N343" s="164"/>
      <c r="O343" s="165" t="str">
        <f t="shared" si="1"/>
        <v/>
      </c>
      <c r="P343" s="164"/>
      <c r="Q343" s="165" t="str">
        <f t="shared" si="9"/>
        <v/>
      </c>
      <c r="R343" s="165" t="str">
        <f t="shared" si="3"/>
        <v/>
      </c>
      <c r="S343" s="165" t="str">
        <f t="shared" si="10"/>
        <v/>
      </c>
      <c r="T343" s="165" t="str">
        <f t="shared" si="5"/>
        <v/>
      </c>
      <c r="U343" s="165" t="s">
        <v>1305</v>
      </c>
      <c r="V343" s="53"/>
      <c r="W343" s="52" t="str">
        <f t="shared" si="6"/>
        <v/>
      </c>
      <c r="X343" s="52">
        <f t="shared" si="7"/>
        <v>0</v>
      </c>
      <c r="Y343" s="52">
        <f t="shared" si="8"/>
        <v>0</v>
      </c>
      <c r="Z343" s="52" t="str">
        <f>IF(G343="","",IFERROR(VLOOKUP(G343,'Product_Stock_Master产品维护'!$A$2:$L992,11,FALSE),"No"))</f>
        <v/>
      </c>
      <c r="AA343" s="52" t="str">
        <f>IF(G343="","",IFERROR(VLOOKUP(G343,'Product_Stock_Master产品维护'!$A$2:$L992,12,FALSE),""))</f>
        <v/>
      </c>
      <c r="AB343" s="52" t="str">
        <f t="shared" si="11"/>
        <v/>
      </c>
      <c r="AC343" s="52">
        <f t="shared" si="12"/>
        <v>0</v>
      </c>
    </row>
    <row r="344" ht="15.75" customHeight="1">
      <c r="A344" s="163"/>
      <c r="B344" s="163"/>
      <c r="C344" s="164"/>
      <c r="D344" s="164"/>
      <c r="E344" s="164"/>
      <c r="F344" s="164"/>
      <c r="G344" s="164"/>
      <c r="H344" s="165" t="str">
        <f>IF(G344="","",IFERROR(VLOOKUP(G344,'Product_Stock_Master产品维护'!$A$2:$E992,2,FALSE()),"SKU not found"))</f>
        <v/>
      </c>
      <c r="I344" s="165" t="str">
        <f>IF(G344="","",IFERROR(VLOOKUP(G344,'Product_Stock_Master产品维护'!$A$2:$E992,3,FALSE()),"Item type not found"))</f>
        <v/>
      </c>
      <c r="J344" s="164"/>
      <c r="K344" s="164"/>
      <c r="L344" s="164"/>
      <c r="M344" s="164"/>
      <c r="N344" s="164"/>
      <c r="O344" s="165" t="str">
        <f t="shared" si="1"/>
        <v/>
      </c>
      <c r="P344" s="164"/>
      <c r="Q344" s="165" t="str">
        <f t="shared" si="9"/>
        <v/>
      </c>
      <c r="R344" s="165" t="str">
        <f t="shared" si="3"/>
        <v/>
      </c>
      <c r="S344" s="165" t="str">
        <f t="shared" si="10"/>
        <v/>
      </c>
      <c r="T344" s="165" t="str">
        <f t="shared" si="5"/>
        <v/>
      </c>
      <c r="U344" s="165" t="s">
        <v>1306</v>
      </c>
      <c r="V344" s="53"/>
      <c r="W344" s="52" t="str">
        <f t="shared" si="6"/>
        <v/>
      </c>
      <c r="X344" s="52">
        <f t="shared" si="7"/>
        <v>0</v>
      </c>
      <c r="Y344" s="52">
        <f t="shared" si="8"/>
        <v>0</v>
      </c>
      <c r="Z344" s="52" t="str">
        <f>IF(G344="","",IFERROR(VLOOKUP(G344,'Product_Stock_Master产品维护'!$A$2:$L992,11,FALSE),"No"))</f>
        <v/>
      </c>
      <c r="AA344" s="52" t="str">
        <f>IF(G344="","",IFERROR(VLOOKUP(G344,'Product_Stock_Master产品维护'!$A$2:$L992,12,FALSE),""))</f>
        <v/>
      </c>
      <c r="AB344" s="52" t="str">
        <f t="shared" si="11"/>
        <v/>
      </c>
      <c r="AC344" s="52">
        <f t="shared" si="12"/>
        <v>0</v>
      </c>
    </row>
    <row r="345" ht="15.75" customHeight="1">
      <c r="A345" s="163"/>
      <c r="B345" s="163"/>
      <c r="C345" s="164"/>
      <c r="D345" s="164"/>
      <c r="E345" s="164"/>
      <c r="F345" s="164"/>
      <c r="G345" s="164"/>
      <c r="H345" s="165" t="str">
        <f>IF(G345="","",IFERROR(VLOOKUP(G345,'Product_Stock_Master产品维护'!$A$2:$E992,2,FALSE()),"SKU not found"))</f>
        <v/>
      </c>
      <c r="I345" s="165" t="str">
        <f>IF(G345="","",IFERROR(VLOOKUP(G345,'Product_Stock_Master产品维护'!$A$2:$E992,3,FALSE()),"Item type not found"))</f>
        <v/>
      </c>
      <c r="J345" s="164"/>
      <c r="K345" s="164"/>
      <c r="L345" s="164"/>
      <c r="M345" s="164"/>
      <c r="N345" s="164"/>
      <c r="O345" s="165" t="str">
        <f t="shared" si="1"/>
        <v/>
      </c>
      <c r="P345" s="164"/>
      <c r="Q345" s="165" t="str">
        <f t="shared" si="9"/>
        <v/>
      </c>
      <c r="R345" s="165" t="str">
        <f t="shared" si="3"/>
        <v/>
      </c>
      <c r="S345" s="165" t="str">
        <f t="shared" si="10"/>
        <v/>
      </c>
      <c r="T345" s="165" t="str">
        <f t="shared" si="5"/>
        <v/>
      </c>
      <c r="U345" s="165" t="s">
        <v>1307</v>
      </c>
      <c r="V345" s="53"/>
      <c r="W345" s="52" t="str">
        <f t="shared" si="6"/>
        <v/>
      </c>
      <c r="X345" s="52">
        <f t="shared" si="7"/>
        <v>0</v>
      </c>
      <c r="Y345" s="52">
        <f t="shared" si="8"/>
        <v>0</v>
      </c>
      <c r="Z345" s="52" t="str">
        <f>IF(G345="","",IFERROR(VLOOKUP(G345,'Product_Stock_Master产品维护'!$A$2:$L992,11,FALSE),"No"))</f>
        <v/>
      </c>
      <c r="AA345" s="52" t="str">
        <f>IF(G345="","",IFERROR(VLOOKUP(G345,'Product_Stock_Master产品维护'!$A$2:$L992,12,FALSE),""))</f>
        <v/>
      </c>
      <c r="AB345" s="52" t="str">
        <f t="shared" si="11"/>
        <v/>
      </c>
      <c r="AC345" s="52">
        <f t="shared" si="12"/>
        <v>0</v>
      </c>
    </row>
    <row r="346" ht="15.75" customHeight="1">
      <c r="A346" s="163"/>
      <c r="B346" s="163"/>
      <c r="C346" s="164"/>
      <c r="D346" s="164"/>
      <c r="E346" s="164"/>
      <c r="F346" s="164"/>
      <c r="G346" s="164"/>
      <c r="H346" s="165" t="str">
        <f>IF(G346="","",IFERROR(VLOOKUP(G346,'Product_Stock_Master产品维护'!$A$2:$E992,2,FALSE()),"SKU not found"))</f>
        <v/>
      </c>
      <c r="I346" s="165" t="str">
        <f>IF(G346="","",IFERROR(VLOOKUP(G346,'Product_Stock_Master产品维护'!$A$2:$E992,3,FALSE()),"Item type not found"))</f>
        <v/>
      </c>
      <c r="J346" s="164"/>
      <c r="K346" s="164"/>
      <c r="L346" s="164"/>
      <c r="M346" s="164"/>
      <c r="N346" s="164"/>
      <c r="O346" s="165" t="str">
        <f t="shared" si="1"/>
        <v/>
      </c>
      <c r="P346" s="164"/>
      <c r="Q346" s="165" t="str">
        <f t="shared" si="9"/>
        <v/>
      </c>
      <c r="R346" s="165" t="str">
        <f t="shared" si="3"/>
        <v/>
      </c>
      <c r="S346" s="165" t="str">
        <f t="shared" si="10"/>
        <v/>
      </c>
      <c r="T346" s="165" t="str">
        <f t="shared" si="5"/>
        <v/>
      </c>
      <c r="U346" s="165" t="s">
        <v>1308</v>
      </c>
      <c r="V346" s="53"/>
      <c r="W346" s="52" t="str">
        <f t="shared" si="6"/>
        <v/>
      </c>
      <c r="X346" s="52">
        <f t="shared" si="7"/>
        <v>0</v>
      </c>
      <c r="Y346" s="52">
        <f t="shared" si="8"/>
        <v>0</v>
      </c>
      <c r="Z346" s="52" t="str">
        <f>IF(G346="","",IFERROR(VLOOKUP(G346,'Product_Stock_Master产品维护'!$A$2:$L992,11,FALSE),"No"))</f>
        <v/>
      </c>
      <c r="AA346" s="52" t="str">
        <f>IF(G346="","",IFERROR(VLOOKUP(G346,'Product_Stock_Master产品维护'!$A$2:$L992,12,FALSE),""))</f>
        <v/>
      </c>
      <c r="AB346" s="52" t="str">
        <f t="shared" si="11"/>
        <v/>
      </c>
      <c r="AC346" s="52">
        <f t="shared" si="12"/>
        <v>0</v>
      </c>
    </row>
    <row r="347" ht="15.75" customHeight="1">
      <c r="A347" s="163"/>
      <c r="B347" s="163"/>
      <c r="C347" s="164"/>
      <c r="D347" s="164"/>
      <c r="E347" s="164"/>
      <c r="F347" s="164"/>
      <c r="G347" s="164"/>
      <c r="H347" s="165" t="str">
        <f>IF(G347="","",IFERROR(VLOOKUP(G347,'Product_Stock_Master产品维护'!$A$2:$E992,2,FALSE()),"SKU not found"))</f>
        <v/>
      </c>
      <c r="I347" s="165" t="str">
        <f>IF(G347="","",IFERROR(VLOOKUP(G347,'Product_Stock_Master产品维护'!$A$2:$E992,3,FALSE()),"Item type not found"))</f>
        <v/>
      </c>
      <c r="J347" s="164"/>
      <c r="K347" s="164"/>
      <c r="L347" s="164"/>
      <c r="M347" s="164"/>
      <c r="N347" s="164"/>
      <c r="O347" s="165" t="str">
        <f t="shared" si="1"/>
        <v/>
      </c>
      <c r="P347" s="164"/>
      <c r="Q347" s="165" t="str">
        <f t="shared" si="9"/>
        <v/>
      </c>
      <c r="R347" s="165" t="str">
        <f t="shared" si="3"/>
        <v/>
      </c>
      <c r="S347" s="165" t="str">
        <f t="shared" si="10"/>
        <v/>
      </c>
      <c r="T347" s="165" t="str">
        <f t="shared" si="5"/>
        <v/>
      </c>
      <c r="U347" s="165" t="s">
        <v>1309</v>
      </c>
      <c r="V347" s="53"/>
      <c r="W347" s="52" t="str">
        <f t="shared" si="6"/>
        <v/>
      </c>
      <c r="X347" s="52">
        <f t="shared" si="7"/>
        <v>0</v>
      </c>
      <c r="Y347" s="52">
        <f t="shared" si="8"/>
        <v>0</v>
      </c>
      <c r="Z347" s="52" t="str">
        <f>IF(G347="","",IFERROR(VLOOKUP(G347,'Product_Stock_Master产品维护'!$A$2:$L992,11,FALSE),"No"))</f>
        <v/>
      </c>
      <c r="AA347" s="52" t="str">
        <f>IF(G347="","",IFERROR(VLOOKUP(G347,'Product_Stock_Master产品维护'!$A$2:$L992,12,FALSE),""))</f>
        <v/>
      </c>
      <c r="AB347" s="52" t="str">
        <f t="shared" si="11"/>
        <v/>
      </c>
      <c r="AC347" s="52">
        <f t="shared" si="12"/>
        <v>0</v>
      </c>
    </row>
    <row r="348" ht="15.75" customHeight="1">
      <c r="A348" s="163"/>
      <c r="B348" s="163"/>
      <c r="C348" s="164"/>
      <c r="D348" s="164"/>
      <c r="E348" s="164"/>
      <c r="F348" s="164"/>
      <c r="G348" s="164"/>
      <c r="H348" s="165" t="str">
        <f>IF(G348="","",IFERROR(VLOOKUP(G348,'Product_Stock_Master产品维护'!$A$2:$E992,2,FALSE()),"SKU not found"))</f>
        <v/>
      </c>
      <c r="I348" s="165" t="str">
        <f>IF(G348="","",IFERROR(VLOOKUP(G348,'Product_Stock_Master产品维护'!$A$2:$E992,3,FALSE()),"Item type not found"))</f>
        <v/>
      </c>
      <c r="J348" s="164"/>
      <c r="K348" s="164"/>
      <c r="L348" s="164"/>
      <c r="M348" s="164"/>
      <c r="N348" s="164"/>
      <c r="O348" s="165" t="str">
        <f t="shared" si="1"/>
        <v/>
      </c>
      <c r="P348" s="164"/>
      <c r="Q348" s="165" t="str">
        <f t="shared" si="9"/>
        <v/>
      </c>
      <c r="R348" s="165" t="str">
        <f t="shared" si="3"/>
        <v/>
      </c>
      <c r="S348" s="165" t="str">
        <f t="shared" si="10"/>
        <v/>
      </c>
      <c r="T348" s="165" t="str">
        <f t="shared" si="5"/>
        <v/>
      </c>
      <c r="U348" s="165" t="s">
        <v>1310</v>
      </c>
      <c r="V348" s="53"/>
      <c r="W348" s="52" t="str">
        <f t="shared" si="6"/>
        <v/>
      </c>
      <c r="X348" s="52">
        <f t="shared" si="7"/>
        <v>0</v>
      </c>
      <c r="Y348" s="52">
        <f t="shared" si="8"/>
        <v>0</v>
      </c>
      <c r="Z348" s="52" t="str">
        <f>IF(G348="","",IFERROR(VLOOKUP(G348,'Product_Stock_Master产品维护'!$A$2:$L992,11,FALSE),"No"))</f>
        <v/>
      </c>
      <c r="AA348" s="52" t="str">
        <f>IF(G348="","",IFERROR(VLOOKUP(G348,'Product_Stock_Master产品维护'!$A$2:$L992,12,FALSE),""))</f>
        <v/>
      </c>
      <c r="AB348" s="52" t="str">
        <f t="shared" si="11"/>
        <v/>
      </c>
      <c r="AC348" s="52">
        <f t="shared" si="12"/>
        <v>0</v>
      </c>
    </row>
    <row r="349" ht="15.75" customHeight="1">
      <c r="A349" s="163"/>
      <c r="B349" s="163"/>
      <c r="C349" s="164"/>
      <c r="D349" s="164"/>
      <c r="E349" s="164"/>
      <c r="F349" s="164"/>
      <c r="G349" s="164"/>
      <c r="H349" s="165" t="str">
        <f>IF(G349="","",IFERROR(VLOOKUP(G349,'Product_Stock_Master产品维护'!$A$2:$E992,2,FALSE()),"SKU not found"))</f>
        <v/>
      </c>
      <c r="I349" s="165" t="str">
        <f>IF(G349="","",IFERROR(VLOOKUP(G349,'Product_Stock_Master产品维护'!$A$2:$E992,3,FALSE()),"Item type not found"))</f>
        <v/>
      </c>
      <c r="J349" s="164"/>
      <c r="K349" s="164"/>
      <c r="L349" s="164"/>
      <c r="M349" s="164"/>
      <c r="N349" s="164"/>
      <c r="O349" s="165" t="str">
        <f t="shared" si="1"/>
        <v/>
      </c>
      <c r="P349" s="164"/>
      <c r="Q349" s="165" t="str">
        <f t="shared" si="9"/>
        <v/>
      </c>
      <c r="R349" s="165" t="str">
        <f t="shared" si="3"/>
        <v/>
      </c>
      <c r="S349" s="165" t="str">
        <f t="shared" si="10"/>
        <v/>
      </c>
      <c r="T349" s="165" t="str">
        <f t="shared" si="5"/>
        <v/>
      </c>
      <c r="U349" s="165" t="s">
        <v>1311</v>
      </c>
      <c r="V349" s="53"/>
      <c r="W349" s="52" t="str">
        <f t="shared" si="6"/>
        <v/>
      </c>
      <c r="X349" s="52">
        <f t="shared" si="7"/>
        <v>0</v>
      </c>
      <c r="Y349" s="52">
        <f t="shared" si="8"/>
        <v>0</v>
      </c>
      <c r="Z349" s="52" t="str">
        <f>IF(G349="","",IFERROR(VLOOKUP(G349,'Product_Stock_Master产品维护'!$A$2:$L992,11,FALSE),"No"))</f>
        <v/>
      </c>
      <c r="AA349" s="52" t="str">
        <f>IF(G349="","",IFERROR(VLOOKUP(G349,'Product_Stock_Master产品维护'!$A$2:$L992,12,FALSE),""))</f>
        <v/>
      </c>
      <c r="AB349" s="52" t="str">
        <f t="shared" si="11"/>
        <v/>
      </c>
      <c r="AC349" s="52">
        <f t="shared" si="12"/>
        <v>0</v>
      </c>
    </row>
    <row r="350" ht="15.75" customHeight="1">
      <c r="A350" s="163"/>
      <c r="B350" s="163"/>
      <c r="C350" s="164"/>
      <c r="D350" s="164"/>
      <c r="E350" s="164"/>
      <c r="F350" s="164"/>
      <c r="G350" s="164"/>
      <c r="H350" s="165" t="str">
        <f>IF(G350="","",IFERROR(VLOOKUP(G350,'Product_Stock_Master产品维护'!$A$2:$E992,2,FALSE()),"SKU not found"))</f>
        <v/>
      </c>
      <c r="I350" s="165" t="str">
        <f>IF(G350="","",IFERROR(VLOOKUP(G350,'Product_Stock_Master产品维护'!$A$2:$E992,3,FALSE()),"Item type not found"))</f>
        <v/>
      </c>
      <c r="J350" s="164"/>
      <c r="K350" s="164"/>
      <c r="L350" s="164"/>
      <c r="M350" s="164"/>
      <c r="N350" s="164"/>
      <c r="O350" s="165" t="str">
        <f t="shared" si="1"/>
        <v/>
      </c>
      <c r="P350" s="164"/>
      <c r="Q350" s="165" t="str">
        <f t="shared" si="9"/>
        <v/>
      </c>
      <c r="R350" s="165" t="str">
        <f t="shared" si="3"/>
        <v/>
      </c>
      <c r="S350" s="165" t="str">
        <f t="shared" si="10"/>
        <v/>
      </c>
      <c r="T350" s="165" t="str">
        <f t="shared" si="5"/>
        <v/>
      </c>
      <c r="U350" s="165" t="s">
        <v>1312</v>
      </c>
      <c r="V350" s="53"/>
      <c r="W350" s="52" t="str">
        <f t="shared" si="6"/>
        <v/>
      </c>
      <c r="X350" s="52">
        <f t="shared" si="7"/>
        <v>0</v>
      </c>
      <c r="Y350" s="52">
        <f t="shared" si="8"/>
        <v>0</v>
      </c>
      <c r="Z350" s="52" t="str">
        <f>IF(G350="","",IFERROR(VLOOKUP(G350,'Product_Stock_Master产品维护'!$A$2:$L992,11,FALSE),"No"))</f>
        <v/>
      </c>
      <c r="AA350" s="52" t="str">
        <f>IF(G350="","",IFERROR(VLOOKUP(G350,'Product_Stock_Master产品维护'!$A$2:$L992,12,FALSE),""))</f>
        <v/>
      </c>
      <c r="AB350" s="52" t="str">
        <f t="shared" si="11"/>
        <v/>
      </c>
      <c r="AC350" s="52">
        <f t="shared" si="12"/>
        <v>0</v>
      </c>
    </row>
    <row r="351" ht="15.75" customHeight="1">
      <c r="A351" s="163"/>
      <c r="B351" s="163"/>
      <c r="C351" s="164"/>
      <c r="D351" s="164"/>
      <c r="E351" s="164"/>
      <c r="F351" s="164"/>
      <c r="G351" s="164"/>
      <c r="H351" s="165" t="str">
        <f>IF(G351="","",IFERROR(VLOOKUP(G351,'Product_Stock_Master产品维护'!$A$2:$E992,2,FALSE()),"SKU not found"))</f>
        <v/>
      </c>
      <c r="I351" s="165" t="str">
        <f>IF(G351="","",IFERROR(VLOOKUP(G351,'Product_Stock_Master产品维护'!$A$2:$E992,3,FALSE()),"Item type not found"))</f>
        <v/>
      </c>
      <c r="J351" s="164"/>
      <c r="K351" s="164"/>
      <c r="L351" s="164"/>
      <c r="M351" s="164"/>
      <c r="N351" s="164"/>
      <c r="O351" s="165" t="str">
        <f t="shared" si="1"/>
        <v/>
      </c>
      <c r="P351" s="164"/>
      <c r="Q351" s="165" t="str">
        <f t="shared" si="9"/>
        <v/>
      </c>
      <c r="R351" s="165" t="str">
        <f t="shared" si="3"/>
        <v/>
      </c>
      <c r="S351" s="165" t="str">
        <f t="shared" si="10"/>
        <v/>
      </c>
      <c r="T351" s="165" t="str">
        <f t="shared" si="5"/>
        <v/>
      </c>
      <c r="U351" s="165" t="s">
        <v>1313</v>
      </c>
      <c r="V351" s="53"/>
      <c r="W351" s="52" t="str">
        <f t="shared" si="6"/>
        <v/>
      </c>
      <c r="X351" s="52">
        <f t="shared" si="7"/>
        <v>0</v>
      </c>
      <c r="Y351" s="52">
        <f t="shared" si="8"/>
        <v>0</v>
      </c>
      <c r="Z351" s="52" t="str">
        <f>IF(G351="","",IFERROR(VLOOKUP(G351,'Product_Stock_Master产品维护'!$A$2:$L992,11,FALSE),"No"))</f>
        <v/>
      </c>
      <c r="AA351" s="52" t="str">
        <f>IF(G351="","",IFERROR(VLOOKUP(G351,'Product_Stock_Master产品维护'!$A$2:$L992,12,FALSE),""))</f>
        <v/>
      </c>
      <c r="AB351" s="52" t="str">
        <f t="shared" si="11"/>
        <v/>
      </c>
      <c r="AC351" s="52">
        <f t="shared" si="12"/>
        <v>0</v>
      </c>
    </row>
    <row r="352" ht="15.75" customHeight="1">
      <c r="A352" s="163"/>
      <c r="B352" s="163"/>
      <c r="C352" s="164"/>
      <c r="D352" s="164"/>
      <c r="E352" s="164"/>
      <c r="F352" s="164"/>
      <c r="G352" s="164"/>
      <c r="H352" s="165" t="str">
        <f>IF(G352="","",IFERROR(VLOOKUP(G352,'Product_Stock_Master产品维护'!$A$2:$E992,2,FALSE()),"SKU not found"))</f>
        <v/>
      </c>
      <c r="I352" s="165" t="str">
        <f>IF(G352="","",IFERROR(VLOOKUP(G352,'Product_Stock_Master产品维护'!$A$2:$E992,3,FALSE()),"Item type not found"))</f>
        <v/>
      </c>
      <c r="J352" s="164"/>
      <c r="K352" s="164"/>
      <c r="L352" s="164"/>
      <c r="M352" s="164"/>
      <c r="N352" s="164"/>
      <c r="O352" s="165" t="str">
        <f t="shared" si="1"/>
        <v/>
      </c>
      <c r="P352" s="164"/>
      <c r="Q352" s="165" t="str">
        <f t="shared" si="9"/>
        <v/>
      </c>
      <c r="R352" s="165" t="str">
        <f t="shared" si="3"/>
        <v/>
      </c>
      <c r="S352" s="165" t="str">
        <f t="shared" si="10"/>
        <v/>
      </c>
      <c r="T352" s="165" t="str">
        <f t="shared" si="5"/>
        <v/>
      </c>
      <c r="U352" s="165" t="s">
        <v>1314</v>
      </c>
      <c r="V352" s="53"/>
      <c r="W352" s="52" t="str">
        <f t="shared" si="6"/>
        <v/>
      </c>
      <c r="X352" s="52">
        <f t="shared" si="7"/>
        <v>0</v>
      </c>
      <c r="Y352" s="52">
        <f t="shared" si="8"/>
        <v>0</v>
      </c>
      <c r="Z352" s="52" t="str">
        <f>IF(G352="","",IFERROR(VLOOKUP(G352,'Product_Stock_Master产品维护'!$A$2:$L992,11,FALSE),"No"))</f>
        <v/>
      </c>
      <c r="AA352" s="52" t="str">
        <f>IF(G352="","",IFERROR(VLOOKUP(G352,'Product_Stock_Master产品维护'!$A$2:$L992,12,FALSE),""))</f>
        <v/>
      </c>
      <c r="AB352" s="52" t="str">
        <f t="shared" si="11"/>
        <v/>
      </c>
      <c r="AC352" s="52">
        <f t="shared" si="12"/>
        <v>0</v>
      </c>
    </row>
    <row r="353" ht="15.75" customHeight="1">
      <c r="A353" s="163"/>
      <c r="B353" s="163"/>
      <c r="C353" s="164"/>
      <c r="D353" s="164"/>
      <c r="E353" s="164"/>
      <c r="F353" s="164"/>
      <c r="G353" s="164"/>
      <c r="H353" s="165" t="str">
        <f>IF(G353="","",IFERROR(VLOOKUP(G353,'Product_Stock_Master产品维护'!$A$2:$E992,2,FALSE()),"SKU not found"))</f>
        <v/>
      </c>
      <c r="I353" s="165" t="str">
        <f>IF(G353="","",IFERROR(VLOOKUP(G353,'Product_Stock_Master产品维护'!$A$2:$E992,3,FALSE()),"Item type not found"))</f>
        <v/>
      </c>
      <c r="J353" s="164"/>
      <c r="K353" s="164"/>
      <c r="L353" s="164"/>
      <c r="M353" s="164"/>
      <c r="N353" s="164"/>
      <c r="O353" s="165" t="str">
        <f t="shared" si="1"/>
        <v/>
      </c>
      <c r="P353" s="164"/>
      <c r="Q353" s="165" t="str">
        <f t="shared" si="9"/>
        <v/>
      </c>
      <c r="R353" s="165" t="str">
        <f t="shared" si="3"/>
        <v/>
      </c>
      <c r="S353" s="165" t="str">
        <f t="shared" si="10"/>
        <v/>
      </c>
      <c r="T353" s="165" t="str">
        <f t="shared" si="5"/>
        <v/>
      </c>
      <c r="U353" s="165" t="s">
        <v>1315</v>
      </c>
      <c r="V353" s="53"/>
      <c r="W353" s="52" t="str">
        <f t="shared" si="6"/>
        <v/>
      </c>
      <c r="X353" s="52">
        <f t="shared" si="7"/>
        <v>0</v>
      </c>
      <c r="Y353" s="52">
        <f t="shared" si="8"/>
        <v>0</v>
      </c>
      <c r="Z353" s="52" t="str">
        <f>IF(G353="","",IFERROR(VLOOKUP(G353,'Product_Stock_Master产品维护'!$A$2:$L992,11,FALSE),"No"))</f>
        <v/>
      </c>
      <c r="AA353" s="52" t="str">
        <f>IF(G353="","",IFERROR(VLOOKUP(G353,'Product_Stock_Master产品维护'!$A$2:$L992,12,FALSE),""))</f>
        <v/>
      </c>
      <c r="AB353" s="52" t="str">
        <f t="shared" si="11"/>
        <v/>
      </c>
      <c r="AC353" s="52">
        <f t="shared" si="12"/>
        <v>0</v>
      </c>
    </row>
    <row r="354" ht="15.75" customHeight="1">
      <c r="A354" s="163"/>
      <c r="B354" s="163"/>
      <c r="C354" s="164"/>
      <c r="D354" s="164"/>
      <c r="E354" s="164"/>
      <c r="F354" s="164"/>
      <c r="G354" s="164"/>
      <c r="H354" s="165" t="str">
        <f>IF(G354="","",IFERROR(VLOOKUP(G354,'Product_Stock_Master产品维护'!$A$2:$E992,2,FALSE()),"SKU not found"))</f>
        <v/>
      </c>
      <c r="I354" s="165" t="str">
        <f>IF(G354="","",IFERROR(VLOOKUP(G354,'Product_Stock_Master产品维护'!$A$2:$E992,3,FALSE()),"Item type not found"))</f>
        <v/>
      </c>
      <c r="J354" s="164"/>
      <c r="K354" s="164"/>
      <c r="L354" s="164"/>
      <c r="M354" s="164"/>
      <c r="N354" s="164"/>
      <c r="O354" s="165" t="str">
        <f t="shared" si="1"/>
        <v/>
      </c>
      <c r="P354" s="164"/>
      <c r="Q354" s="165" t="str">
        <f t="shared" si="9"/>
        <v/>
      </c>
      <c r="R354" s="165" t="str">
        <f t="shared" si="3"/>
        <v/>
      </c>
      <c r="S354" s="165" t="str">
        <f t="shared" si="10"/>
        <v/>
      </c>
      <c r="T354" s="165" t="str">
        <f t="shared" si="5"/>
        <v/>
      </c>
      <c r="U354" s="165" t="s">
        <v>1316</v>
      </c>
      <c r="V354" s="53"/>
      <c r="W354" s="52" t="str">
        <f t="shared" si="6"/>
        <v/>
      </c>
      <c r="X354" s="52">
        <f t="shared" si="7"/>
        <v>0</v>
      </c>
      <c r="Y354" s="52">
        <f t="shared" si="8"/>
        <v>0</v>
      </c>
      <c r="Z354" s="52" t="str">
        <f>IF(G354="","",IFERROR(VLOOKUP(G354,'Product_Stock_Master产品维护'!$A$2:$L992,11,FALSE),"No"))</f>
        <v/>
      </c>
      <c r="AA354" s="52" t="str">
        <f>IF(G354="","",IFERROR(VLOOKUP(G354,'Product_Stock_Master产品维护'!$A$2:$L992,12,FALSE),""))</f>
        <v/>
      </c>
      <c r="AB354" s="52" t="str">
        <f t="shared" si="11"/>
        <v/>
      </c>
      <c r="AC354" s="52">
        <f t="shared" si="12"/>
        <v>0</v>
      </c>
    </row>
    <row r="355" ht="15.75" customHeight="1">
      <c r="A355" s="163"/>
      <c r="B355" s="163"/>
      <c r="C355" s="164"/>
      <c r="D355" s="164"/>
      <c r="E355" s="164"/>
      <c r="F355" s="164"/>
      <c r="G355" s="164"/>
      <c r="H355" s="165" t="str">
        <f>IF(G355="","",IFERROR(VLOOKUP(G355,'Product_Stock_Master产品维护'!$A$2:$E992,2,FALSE()),"SKU not found"))</f>
        <v/>
      </c>
      <c r="I355" s="165" t="str">
        <f>IF(G355="","",IFERROR(VLOOKUP(G355,'Product_Stock_Master产品维护'!$A$2:$E992,3,FALSE()),"Item type not found"))</f>
        <v/>
      </c>
      <c r="J355" s="164"/>
      <c r="K355" s="164"/>
      <c r="L355" s="164"/>
      <c r="M355" s="164"/>
      <c r="N355" s="164"/>
      <c r="O355" s="165" t="str">
        <f t="shared" si="1"/>
        <v/>
      </c>
      <c r="P355" s="164"/>
      <c r="Q355" s="165" t="str">
        <f t="shared" si="9"/>
        <v/>
      </c>
      <c r="R355" s="165" t="str">
        <f t="shared" si="3"/>
        <v/>
      </c>
      <c r="S355" s="165" t="str">
        <f t="shared" si="10"/>
        <v/>
      </c>
      <c r="T355" s="165" t="str">
        <f t="shared" si="5"/>
        <v/>
      </c>
      <c r="U355" s="165" t="s">
        <v>1317</v>
      </c>
      <c r="V355" s="53"/>
      <c r="W355" s="52" t="str">
        <f t="shared" si="6"/>
        <v/>
      </c>
      <c r="X355" s="52">
        <f t="shared" si="7"/>
        <v>0</v>
      </c>
      <c r="Y355" s="52">
        <f t="shared" si="8"/>
        <v>0</v>
      </c>
      <c r="Z355" s="52" t="str">
        <f>IF(G355="","",IFERROR(VLOOKUP(G355,'Product_Stock_Master产品维护'!$A$2:$L992,11,FALSE),"No"))</f>
        <v/>
      </c>
      <c r="AA355" s="52" t="str">
        <f>IF(G355="","",IFERROR(VLOOKUP(G355,'Product_Stock_Master产品维护'!$A$2:$L992,12,FALSE),""))</f>
        <v/>
      </c>
      <c r="AB355" s="52" t="str">
        <f t="shared" si="11"/>
        <v/>
      </c>
      <c r="AC355" s="52">
        <f t="shared" si="12"/>
        <v>0</v>
      </c>
    </row>
    <row r="356" ht="15.75" customHeight="1">
      <c r="A356" s="163"/>
      <c r="B356" s="163"/>
      <c r="C356" s="164"/>
      <c r="D356" s="164"/>
      <c r="E356" s="164"/>
      <c r="F356" s="164"/>
      <c r="G356" s="164"/>
      <c r="H356" s="165" t="str">
        <f>IF(G356="","",IFERROR(VLOOKUP(G356,'Product_Stock_Master产品维护'!$A$2:$E992,2,FALSE()),"SKU not found"))</f>
        <v/>
      </c>
      <c r="I356" s="165" t="str">
        <f>IF(G356="","",IFERROR(VLOOKUP(G356,'Product_Stock_Master产品维护'!$A$2:$E992,3,FALSE()),"Item type not found"))</f>
        <v/>
      </c>
      <c r="J356" s="164"/>
      <c r="K356" s="164"/>
      <c r="L356" s="164"/>
      <c r="M356" s="164"/>
      <c r="N356" s="164"/>
      <c r="O356" s="165" t="str">
        <f t="shared" si="1"/>
        <v/>
      </c>
      <c r="P356" s="164"/>
      <c r="Q356" s="165" t="str">
        <f t="shared" si="9"/>
        <v/>
      </c>
      <c r="R356" s="165" t="str">
        <f t="shared" si="3"/>
        <v/>
      </c>
      <c r="S356" s="165" t="str">
        <f t="shared" si="10"/>
        <v/>
      </c>
      <c r="T356" s="165" t="str">
        <f t="shared" si="5"/>
        <v/>
      </c>
      <c r="U356" s="165" t="s">
        <v>1318</v>
      </c>
      <c r="V356" s="53"/>
      <c r="W356" s="52" t="str">
        <f t="shared" si="6"/>
        <v/>
      </c>
      <c r="X356" s="52">
        <f t="shared" si="7"/>
        <v>0</v>
      </c>
      <c r="Y356" s="52">
        <f t="shared" si="8"/>
        <v>0</v>
      </c>
      <c r="Z356" s="52" t="str">
        <f>IF(G356="","",IFERROR(VLOOKUP(G356,'Product_Stock_Master产品维护'!$A$2:$L992,11,FALSE),"No"))</f>
        <v/>
      </c>
      <c r="AA356" s="52" t="str">
        <f>IF(G356="","",IFERROR(VLOOKUP(G356,'Product_Stock_Master产品维护'!$A$2:$L992,12,FALSE),""))</f>
        <v/>
      </c>
      <c r="AB356" s="52" t="str">
        <f t="shared" si="11"/>
        <v/>
      </c>
      <c r="AC356" s="52">
        <f t="shared" si="12"/>
        <v>0</v>
      </c>
    </row>
    <row r="357" ht="15.75" customHeight="1">
      <c r="A357" s="163"/>
      <c r="B357" s="163"/>
      <c r="C357" s="164"/>
      <c r="D357" s="164"/>
      <c r="E357" s="164"/>
      <c r="F357" s="164"/>
      <c r="G357" s="164"/>
      <c r="H357" s="165" t="str">
        <f>IF(G357="","",IFERROR(VLOOKUP(G357,'Product_Stock_Master产品维护'!$A$2:$E992,2,FALSE()),"SKU not found"))</f>
        <v/>
      </c>
      <c r="I357" s="165" t="str">
        <f>IF(G357="","",IFERROR(VLOOKUP(G357,'Product_Stock_Master产品维护'!$A$2:$E992,3,FALSE()),"Item type not found"))</f>
        <v/>
      </c>
      <c r="J357" s="164"/>
      <c r="K357" s="164"/>
      <c r="L357" s="164"/>
      <c r="M357" s="164"/>
      <c r="N357" s="164"/>
      <c r="O357" s="165" t="str">
        <f t="shared" si="1"/>
        <v/>
      </c>
      <c r="P357" s="164"/>
      <c r="Q357" s="165" t="str">
        <f t="shared" si="9"/>
        <v/>
      </c>
      <c r="R357" s="165" t="str">
        <f t="shared" si="3"/>
        <v/>
      </c>
      <c r="S357" s="165" t="str">
        <f t="shared" si="10"/>
        <v/>
      </c>
      <c r="T357" s="165" t="str">
        <f t="shared" si="5"/>
        <v/>
      </c>
      <c r="U357" s="165" t="s">
        <v>1319</v>
      </c>
      <c r="V357" s="53"/>
      <c r="W357" s="52" t="str">
        <f t="shared" si="6"/>
        <v/>
      </c>
      <c r="X357" s="52">
        <f t="shared" si="7"/>
        <v>0</v>
      </c>
      <c r="Y357" s="52">
        <f t="shared" si="8"/>
        <v>0</v>
      </c>
      <c r="Z357" s="52" t="str">
        <f>IF(G357="","",IFERROR(VLOOKUP(G357,'Product_Stock_Master产品维护'!$A$2:$L992,11,FALSE),"No"))</f>
        <v/>
      </c>
      <c r="AA357" s="52" t="str">
        <f>IF(G357="","",IFERROR(VLOOKUP(G357,'Product_Stock_Master产品维护'!$A$2:$L992,12,FALSE),""))</f>
        <v/>
      </c>
      <c r="AB357" s="52" t="str">
        <f t="shared" si="11"/>
        <v/>
      </c>
      <c r="AC357" s="52">
        <f t="shared" si="12"/>
        <v>0</v>
      </c>
    </row>
    <row r="358" ht="15.75" customHeight="1">
      <c r="A358" s="163"/>
      <c r="B358" s="163"/>
      <c r="C358" s="164"/>
      <c r="D358" s="164"/>
      <c r="E358" s="164"/>
      <c r="F358" s="164"/>
      <c r="G358" s="164"/>
      <c r="H358" s="165" t="str">
        <f>IF(G358="","",IFERROR(VLOOKUP(G358,'Product_Stock_Master产品维护'!$A$2:$E992,2,FALSE()),"SKU not found"))</f>
        <v/>
      </c>
      <c r="I358" s="165" t="str">
        <f>IF(G358="","",IFERROR(VLOOKUP(G358,'Product_Stock_Master产品维护'!$A$2:$E992,3,FALSE()),"Item type not found"))</f>
        <v/>
      </c>
      <c r="J358" s="164"/>
      <c r="K358" s="164"/>
      <c r="L358" s="164"/>
      <c r="M358" s="164"/>
      <c r="N358" s="164"/>
      <c r="O358" s="165" t="str">
        <f t="shared" si="1"/>
        <v/>
      </c>
      <c r="P358" s="164"/>
      <c r="Q358" s="165" t="str">
        <f t="shared" si="9"/>
        <v/>
      </c>
      <c r="R358" s="165" t="str">
        <f t="shared" si="3"/>
        <v/>
      </c>
      <c r="S358" s="165" t="str">
        <f t="shared" si="10"/>
        <v/>
      </c>
      <c r="T358" s="165" t="str">
        <f t="shared" si="5"/>
        <v/>
      </c>
      <c r="U358" s="165" t="s">
        <v>1320</v>
      </c>
      <c r="V358" s="53"/>
      <c r="W358" s="52" t="str">
        <f t="shared" si="6"/>
        <v/>
      </c>
      <c r="X358" s="52">
        <f t="shared" si="7"/>
        <v>0</v>
      </c>
      <c r="Y358" s="52">
        <f t="shared" si="8"/>
        <v>0</v>
      </c>
      <c r="Z358" s="52" t="str">
        <f>IF(G358="","",IFERROR(VLOOKUP(G358,'Product_Stock_Master产品维护'!$A$2:$L992,11,FALSE),"No"))</f>
        <v/>
      </c>
      <c r="AA358" s="52" t="str">
        <f>IF(G358="","",IFERROR(VLOOKUP(G358,'Product_Stock_Master产品维护'!$A$2:$L992,12,FALSE),""))</f>
        <v/>
      </c>
      <c r="AB358" s="52" t="str">
        <f t="shared" si="11"/>
        <v/>
      </c>
      <c r="AC358" s="52">
        <f t="shared" si="12"/>
        <v>0</v>
      </c>
    </row>
    <row r="359" ht="15.75" customHeight="1">
      <c r="A359" s="163"/>
      <c r="B359" s="163"/>
      <c r="C359" s="164"/>
      <c r="D359" s="164"/>
      <c r="E359" s="164"/>
      <c r="F359" s="164"/>
      <c r="G359" s="164"/>
      <c r="H359" s="165" t="str">
        <f>IF(G359="","",IFERROR(VLOOKUP(G359,'Product_Stock_Master产品维护'!$A$2:$E992,2,FALSE()),"SKU not found"))</f>
        <v/>
      </c>
      <c r="I359" s="165" t="str">
        <f>IF(G359="","",IFERROR(VLOOKUP(G359,'Product_Stock_Master产品维护'!$A$2:$E992,3,FALSE()),"Item type not found"))</f>
        <v/>
      </c>
      <c r="J359" s="164"/>
      <c r="K359" s="164"/>
      <c r="L359" s="164"/>
      <c r="M359" s="164"/>
      <c r="N359" s="164"/>
      <c r="O359" s="165" t="str">
        <f t="shared" si="1"/>
        <v/>
      </c>
      <c r="P359" s="164"/>
      <c r="Q359" s="165" t="str">
        <f t="shared" si="9"/>
        <v/>
      </c>
      <c r="R359" s="165" t="str">
        <f t="shared" si="3"/>
        <v/>
      </c>
      <c r="S359" s="165" t="str">
        <f t="shared" si="10"/>
        <v/>
      </c>
      <c r="T359" s="165" t="str">
        <f t="shared" si="5"/>
        <v/>
      </c>
      <c r="U359" s="165" t="s">
        <v>1321</v>
      </c>
      <c r="V359" s="53"/>
      <c r="W359" s="52" t="str">
        <f t="shared" si="6"/>
        <v/>
      </c>
      <c r="X359" s="52">
        <f t="shared" si="7"/>
        <v>0</v>
      </c>
      <c r="Y359" s="52">
        <f t="shared" si="8"/>
        <v>0</v>
      </c>
      <c r="Z359" s="52" t="str">
        <f>IF(G359="","",IFERROR(VLOOKUP(G359,'Product_Stock_Master产品维护'!$A$2:$L992,11,FALSE),"No"))</f>
        <v/>
      </c>
      <c r="AA359" s="52" t="str">
        <f>IF(G359="","",IFERROR(VLOOKUP(G359,'Product_Stock_Master产品维护'!$A$2:$L992,12,FALSE),""))</f>
        <v/>
      </c>
      <c r="AB359" s="52" t="str">
        <f t="shared" si="11"/>
        <v/>
      </c>
      <c r="AC359" s="52">
        <f t="shared" si="12"/>
        <v>0</v>
      </c>
    </row>
    <row r="360" ht="15.75" customHeight="1">
      <c r="A360" s="163"/>
      <c r="B360" s="163"/>
      <c r="C360" s="164"/>
      <c r="D360" s="164"/>
      <c r="E360" s="164"/>
      <c r="F360" s="164"/>
      <c r="G360" s="164"/>
      <c r="H360" s="165" t="str">
        <f>IF(G360="","",IFERROR(VLOOKUP(G360,'Product_Stock_Master产品维护'!$A$2:$E992,2,FALSE()),"SKU not found"))</f>
        <v/>
      </c>
      <c r="I360" s="165" t="str">
        <f>IF(G360="","",IFERROR(VLOOKUP(G360,'Product_Stock_Master产品维护'!$A$2:$E992,3,FALSE()),"Item type not found"))</f>
        <v/>
      </c>
      <c r="J360" s="164"/>
      <c r="K360" s="164"/>
      <c r="L360" s="164"/>
      <c r="M360" s="164"/>
      <c r="N360" s="164"/>
      <c r="O360" s="165" t="str">
        <f t="shared" si="1"/>
        <v/>
      </c>
      <c r="P360" s="164"/>
      <c r="Q360" s="165" t="str">
        <f t="shared" si="9"/>
        <v/>
      </c>
      <c r="R360" s="165" t="str">
        <f t="shared" si="3"/>
        <v/>
      </c>
      <c r="S360" s="165" t="str">
        <f t="shared" si="10"/>
        <v/>
      </c>
      <c r="T360" s="165" t="str">
        <f t="shared" si="5"/>
        <v/>
      </c>
      <c r="U360" s="165" t="s">
        <v>1322</v>
      </c>
      <c r="V360" s="53"/>
      <c r="W360" s="52" t="str">
        <f t="shared" si="6"/>
        <v/>
      </c>
      <c r="X360" s="52">
        <f t="shared" si="7"/>
        <v>0</v>
      </c>
      <c r="Y360" s="52">
        <f t="shared" si="8"/>
        <v>0</v>
      </c>
      <c r="Z360" s="52" t="str">
        <f>IF(G360="","",IFERROR(VLOOKUP(G360,'Product_Stock_Master产品维护'!$A$2:$L992,11,FALSE),"No"))</f>
        <v/>
      </c>
      <c r="AA360" s="52" t="str">
        <f>IF(G360="","",IFERROR(VLOOKUP(G360,'Product_Stock_Master产品维护'!$A$2:$L992,12,FALSE),""))</f>
        <v/>
      </c>
      <c r="AB360" s="52" t="str">
        <f t="shared" si="11"/>
        <v/>
      </c>
      <c r="AC360" s="52">
        <f t="shared" si="12"/>
        <v>0</v>
      </c>
    </row>
    <row r="361" ht="15.75" customHeight="1">
      <c r="A361" s="163"/>
      <c r="B361" s="163"/>
      <c r="C361" s="164"/>
      <c r="D361" s="164"/>
      <c r="E361" s="164"/>
      <c r="F361" s="164"/>
      <c r="G361" s="164"/>
      <c r="H361" s="165" t="str">
        <f>IF(G361="","",IFERROR(VLOOKUP(G361,'Product_Stock_Master产品维护'!$A$2:$E992,2,FALSE()),"SKU not found"))</f>
        <v/>
      </c>
      <c r="I361" s="165" t="str">
        <f>IF(G361="","",IFERROR(VLOOKUP(G361,'Product_Stock_Master产品维护'!$A$2:$E992,3,FALSE()),"Item type not found"))</f>
        <v/>
      </c>
      <c r="J361" s="164"/>
      <c r="K361" s="164"/>
      <c r="L361" s="164"/>
      <c r="M361" s="164"/>
      <c r="N361" s="164"/>
      <c r="O361" s="165" t="str">
        <f t="shared" si="1"/>
        <v/>
      </c>
      <c r="P361" s="164"/>
      <c r="Q361" s="165" t="str">
        <f t="shared" si="9"/>
        <v/>
      </c>
      <c r="R361" s="165" t="str">
        <f t="shared" si="3"/>
        <v/>
      </c>
      <c r="S361" s="165" t="str">
        <f t="shared" si="10"/>
        <v/>
      </c>
      <c r="T361" s="165" t="str">
        <f t="shared" si="5"/>
        <v/>
      </c>
      <c r="U361" s="165" t="s">
        <v>1323</v>
      </c>
      <c r="V361" s="53"/>
      <c r="W361" s="52" t="str">
        <f t="shared" si="6"/>
        <v/>
      </c>
      <c r="X361" s="52">
        <f t="shared" si="7"/>
        <v>0</v>
      </c>
      <c r="Y361" s="52">
        <f t="shared" si="8"/>
        <v>0</v>
      </c>
      <c r="Z361" s="52" t="str">
        <f>IF(G361="","",IFERROR(VLOOKUP(G361,'Product_Stock_Master产品维护'!$A$2:$L992,11,FALSE),"No"))</f>
        <v/>
      </c>
      <c r="AA361" s="52" t="str">
        <f>IF(G361="","",IFERROR(VLOOKUP(G361,'Product_Stock_Master产品维护'!$A$2:$L992,12,FALSE),""))</f>
        <v/>
      </c>
      <c r="AB361" s="52" t="str">
        <f t="shared" si="11"/>
        <v/>
      </c>
      <c r="AC361" s="52">
        <f t="shared" si="12"/>
        <v>0</v>
      </c>
    </row>
    <row r="362" ht="15.75" customHeight="1">
      <c r="A362" s="163"/>
      <c r="B362" s="163"/>
      <c r="C362" s="164"/>
      <c r="D362" s="164"/>
      <c r="E362" s="164"/>
      <c r="F362" s="164"/>
      <c r="G362" s="164"/>
      <c r="H362" s="165" t="str">
        <f>IF(G362="","",IFERROR(VLOOKUP(G362,'Product_Stock_Master产品维护'!$A$2:$E992,2,FALSE()),"SKU not found"))</f>
        <v/>
      </c>
      <c r="I362" s="165" t="str">
        <f>IF(G362="","",IFERROR(VLOOKUP(G362,'Product_Stock_Master产品维护'!$A$2:$E992,3,FALSE()),"Item type not found"))</f>
        <v/>
      </c>
      <c r="J362" s="164"/>
      <c r="K362" s="164"/>
      <c r="L362" s="164"/>
      <c r="M362" s="164"/>
      <c r="N362" s="164"/>
      <c r="O362" s="165" t="str">
        <f t="shared" si="1"/>
        <v/>
      </c>
      <c r="P362" s="164"/>
      <c r="Q362" s="165" t="str">
        <f t="shared" si="9"/>
        <v/>
      </c>
      <c r="R362" s="165" t="str">
        <f t="shared" si="3"/>
        <v/>
      </c>
      <c r="S362" s="165" t="str">
        <f t="shared" si="10"/>
        <v/>
      </c>
      <c r="T362" s="165" t="str">
        <f t="shared" si="5"/>
        <v/>
      </c>
      <c r="U362" s="165" t="s">
        <v>1324</v>
      </c>
      <c r="V362" s="53"/>
      <c r="W362" s="52" t="str">
        <f t="shared" si="6"/>
        <v/>
      </c>
      <c r="X362" s="52">
        <f t="shared" si="7"/>
        <v>0</v>
      </c>
      <c r="Y362" s="52">
        <f t="shared" si="8"/>
        <v>0</v>
      </c>
      <c r="Z362" s="52" t="str">
        <f>IF(G362="","",IFERROR(VLOOKUP(G362,'Product_Stock_Master产品维护'!$A$2:$L992,11,FALSE),"No"))</f>
        <v/>
      </c>
      <c r="AA362" s="52" t="str">
        <f>IF(G362="","",IFERROR(VLOOKUP(G362,'Product_Stock_Master产品维护'!$A$2:$L992,12,FALSE),""))</f>
        <v/>
      </c>
      <c r="AB362" s="52" t="str">
        <f t="shared" si="11"/>
        <v/>
      </c>
      <c r="AC362" s="52">
        <f t="shared" si="12"/>
        <v>0</v>
      </c>
    </row>
    <row r="363" ht="15.75" customHeight="1">
      <c r="A363" s="163"/>
      <c r="B363" s="163"/>
      <c r="C363" s="164"/>
      <c r="D363" s="164"/>
      <c r="E363" s="164"/>
      <c r="F363" s="164"/>
      <c r="G363" s="164"/>
      <c r="H363" s="165" t="str">
        <f>IF(G363="","",IFERROR(VLOOKUP(G363,'Product_Stock_Master产品维护'!$A$2:$E992,2,FALSE()),"SKU not found"))</f>
        <v/>
      </c>
      <c r="I363" s="165" t="str">
        <f>IF(G363="","",IFERROR(VLOOKUP(G363,'Product_Stock_Master产品维护'!$A$2:$E992,3,FALSE()),"Item type not found"))</f>
        <v/>
      </c>
      <c r="J363" s="164"/>
      <c r="K363" s="164"/>
      <c r="L363" s="164"/>
      <c r="M363" s="164"/>
      <c r="N363" s="164"/>
      <c r="O363" s="165" t="str">
        <f t="shared" si="1"/>
        <v/>
      </c>
      <c r="P363" s="164"/>
      <c r="Q363" s="165" t="str">
        <f t="shared" si="9"/>
        <v/>
      </c>
      <c r="R363" s="165" t="str">
        <f t="shared" si="3"/>
        <v/>
      </c>
      <c r="S363" s="165" t="str">
        <f t="shared" si="10"/>
        <v/>
      </c>
      <c r="T363" s="165" t="str">
        <f t="shared" si="5"/>
        <v/>
      </c>
      <c r="U363" s="165" t="s">
        <v>1325</v>
      </c>
      <c r="V363" s="53"/>
      <c r="W363" s="52" t="str">
        <f t="shared" si="6"/>
        <v/>
      </c>
      <c r="X363" s="52">
        <f t="shared" si="7"/>
        <v>0</v>
      </c>
      <c r="Y363" s="52">
        <f t="shared" si="8"/>
        <v>0</v>
      </c>
      <c r="Z363" s="52" t="str">
        <f>IF(G363="","",IFERROR(VLOOKUP(G363,'Product_Stock_Master产品维护'!$A$2:$L992,11,FALSE),"No"))</f>
        <v/>
      </c>
      <c r="AA363" s="52" t="str">
        <f>IF(G363="","",IFERROR(VLOOKUP(G363,'Product_Stock_Master产品维护'!$A$2:$L992,12,FALSE),""))</f>
        <v/>
      </c>
      <c r="AB363" s="52" t="str">
        <f t="shared" si="11"/>
        <v/>
      </c>
      <c r="AC363" s="52">
        <f t="shared" si="12"/>
        <v>0</v>
      </c>
    </row>
    <row r="364" ht="15.75" customHeight="1">
      <c r="A364" s="163"/>
      <c r="B364" s="163"/>
      <c r="C364" s="164"/>
      <c r="D364" s="164"/>
      <c r="E364" s="164"/>
      <c r="F364" s="164"/>
      <c r="G364" s="164"/>
      <c r="H364" s="165" t="str">
        <f>IF(G364="","",IFERROR(VLOOKUP(G364,'Product_Stock_Master产品维护'!$A$2:$E992,2,FALSE()),"SKU not found"))</f>
        <v/>
      </c>
      <c r="I364" s="165" t="str">
        <f>IF(G364="","",IFERROR(VLOOKUP(G364,'Product_Stock_Master产品维护'!$A$2:$E992,3,FALSE()),"Item type not found"))</f>
        <v/>
      </c>
      <c r="J364" s="164"/>
      <c r="K364" s="164"/>
      <c r="L364" s="164"/>
      <c r="M364" s="164"/>
      <c r="N364" s="164"/>
      <c r="O364" s="165" t="str">
        <f t="shared" si="1"/>
        <v/>
      </c>
      <c r="P364" s="164"/>
      <c r="Q364" s="165" t="str">
        <f t="shared" si="9"/>
        <v/>
      </c>
      <c r="R364" s="165" t="str">
        <f t="shared" si="3"/>
        <v/>
      </c>
      <c r="S364" s="165" t="str">
        <f t="shared" si="10"/>
        <v/>
      </c>
      <c r="T364" s="165" t="str">
        <f t="shared" si="5"/>
        <v/>
      </c>
      <c r="U364" s="165" t="s">
        <v>1326</v>
      </c>
      <c r="V364" s="53"/>
      <c r="W364" s="52" t="str">
        <f t="shared" si="6"/>
        <v/>
      </c>
      <c r="X364" s="52">
        <f t="shared" si="7"/>
        <v>0</v>
      </c>
      <c r="Y364" s="52">
        <f t="shared" si="8"/>
        <v>0</v>
      </c>
      <c r="Z364" s="52" t="str">
        <f>IF(G364="","",IFERROR(VLOOKUP(G364,'Product_Stock_Master产品维护'!$A$2:$L992,11,FALSE),"No"))</f>
        <v/>
      </c>
      <c r="AA364" s="52" t="str">
        <f>IF(G364="","",IFERROR(VLOOKUP(G364,'Product_Stock_Master产品维护'!$A$2:$L992,12,FALSE),""))</f>
        <v/>
      </c>
      <c r="AB364" s="52" t="str">
        <f t="shared" si="11"/>
        <v/>
      </c>
      <c r="AC364" s="52">
        <f t="shared" si="12"/>
        <v>0</v>
      </c>
    </row>
    <row r="365" ht="15.75" customHeight="1">
      <c r="A365" s="163"/>
      <c r="B365" s="163"/>
      <c r="C365" s="164"/>
      <c r="D365" s="164"/>
      <c r="E365" s="164"/>
      <c r="F365" s="164"/>
      <c r="G365" s="164"/>
      <c r="H365" s="165" t="str">
        <f>IF(G365="","",IFERROR(VLOOKUP(G365,'Product_Stock_Master产品维护'!$A$2:$E992,2,FALSE()),"SKU not found"))</f>
        <v/>
      </c>
      <c r="I365" s="165" t="str">
        <f>IF(G365="","",IFERROR(VLOOKUP(G365,'Product_Stock_Master产品维护'!$A$2:$E992,3,FALSE()),"Item type not found"))</f>
        <v/>
      </c>
      <c r="J365" s="164"/>
      <c r="K365" s="164"/>
      <c r="L365" s="164"/>
      <c r="M365" s="164"/>
      <c r="N365" s="164"/>
      <c r="O365" s="165" t="str">
        <f t="shared" si="1"/>
        <v/>
      </c>
      <c r="P365" s="164"/>
      <c r="Q365" s="165" t="str">
        <f t="shared" si="9"/>
        <v/>
      </c>
      <c r="R365" s="165" t="str">
        <f t="shared" si="3"/>
        <v/>
      </c>
      <c r="S365" s="165" t="str">
        <f t="shared" si="10"/>
        <v/>
      </c>
      <c r="T365" s="165" t="str">
        <f t="shared" si="5"/>
        <v/>
      </c>
      <c r="U365" s="165" t="s">
        <v>1327</v>
      </c>
      <c r="V365" s="53"/>
      <c r="W365" s="52" t="str">
        <f t="shared" si="6"/>
        <v/>
      </c>
      <c r="X365" s="52">
        <f t="shared" si="7"/>
        <v>0</v>
      </c>
      <c r="Y365" s="52">
        <f t="shared" si="8"/>
        <v>0</v>
      </c>
      <c r="Z365" s="52" t="str">
        <f>IF(G365="","",IFERROR(VLOOKUP(G365,'Product_Stock_Master产品维护'!$A$2:$L992,11,FALSE),"No"))</f>
        <v/>
      </c>
      <c r="AA365" s="52" t="str">
        <f>IF(G365="","",IFERROR(VLOOKUP(G365,'Product_Stock_Master产品维护'!$A$2:$L992,12,FALSE),""))</f>
        <v/>
      </c>
      <c r="AB365" s="52" t="str">
        <f t="shared" si="11"/>
        <v/>
      </c>
      <c r="AC365" s="52">
        <f t="shared" si="12"/>
        <v>0</v>
      </c>
    </row>
    <row r="366" ht="15.75" customHeight="1">
      <c r="A366" s="163"/>
      <c r="B366" s="163"/>
      <c r="C366" s="164"/>
      <c r="D366" s="164"/>
      <c r="E366" s="164"/>
      <c r="F366" s="164"/>
      <c r="G366" s="164"/>
      <c r="H366" s="165" t="str">
        <f>IF(G366="","",IFERROR(VLOOKUP(G366,'Product_Stock_Master产品维护'!$A$2:$E992,2,FALSE()),"SKU not found"))</f>
        <v/>
      </c>
      <c r="I366" s="165" t="str">
        <f>IF(G366="","",IFERROR(VLOOKUP(G366,'Product_Stock_Master产品维护'!$A$2:$E992,3,FALSE()),"Item type not found"))</f>
        <v/>
      </c>
      <c r="J366" s="164"/>
      <c r="K366" s="164"/>
      <c r="L366" s="164"/>
      <c r="M366" s="164"/>
      <c r="N366" s="164"/>
      <c r="O366" s="165" t="str">
        <f t="shared" si="1"/>
        <v/>
      </c>
      <c r="P366" s="164"/>
      <c r="Q366" s="165" t="str">
        <f t="shared" si="9"/>
        <v/>
      </c>
      <c r="R366" s="165" t="str">
        <f t="shared" si="3"/>
        <v/>
      </c>
      <c r="S366" s="165" t="str">
        <f t="shared" si="10"/>
        <v/>
      </c>
      <c r="T366" s="165" t="str">
        <f t="shared" si="5"/>
        <v/>
      </c>
      <c r="U366" s="165" t="s">
        <v>1328</v>
      </c>
      <c r="V366" s="53"/>
      <c r="W366" s="52" t="str">
        <f t="shared" si="6"/>
        <v/>
      </c>
      <c r="X366" s="52">
        <f t="shared" si="7"/>
        <v>0</v>
      </c>
      <c r="Y366" s="52">
        <f t="shared" si="8"/>
        <v>0</v>
      </c>
      <c r="Z366" s="52" t="str">
        <f>IF(G366="","",IFERROR(VLOOKUP(G366,'Product_Stock_Master产品维护'!$A$2:$L992,11,FALSE),"No"))</f>
        <v/>
      </c>
      <c r="AA366" s="52" t="str">
        <f>IF(G366="","",IFERROR(VLOOKUP(G366,'Product_Stock_Master产品维护'!$A$2:$L992,12,FALSE),""))</f>
        <v/>
      </c>
      <c r="AB366" s="52" t="str">
        <f t="shared" si="11"/>
        <v/>
      </c>
      <c r="AC366" s="52">
        <f t="shared" si="12"/>
        <v>0</v>
      </c>
    </row>
    <row r="367" ht="15.75" customHeight="1">
      <c r="A367" s="163"/>
      <c r="B367" s="163"/>
      <c r="C367" s="164"/>
      <c r="D367" s="164"/>
      <c r="E367" s="164"/>
      <c r="F367" s="164"/>
      <c r="G367" s="164"/>
      <c r="H367" s="165" t="str">
        <f>IF(G367="","",IFERROR(VLOOKUP(G367,'Product_Stock_Master产品维护'!$A$2:$E992,2,FALSE()),"SKU not found"))</f>
        <v/>
      </c>
      <c r="I367" s="165" t="str">
        <f>IF(G367="","",IFERROR(VLOOKUP(G367,'Product_Stock_Master产品维护'!$A$2:$E992,3,FALSE()),"Item type not found"))</f>
        <v/>
      </c>
      <c r="J367" s="164"/>
      <c r="K367" s="164"/>
      <c r="L367" s="164"/>
      <c r="M367" s="164"/>
      <c r="N367" s="164"/>
      <c r="O367" s="165" t="str">
        <f t="shared" si="1"/>
        <v/>
      </c>
      <c r="P367" s="164"/>
      <c r="Q367" s="165" t="str">
        <f t="shared" si="9"/>
        <v/>
      </c>
      <c r="R367" s="165" t="str">
        <f t="shared" si="3"/>
        <v/>
      </c>
      <c r="S367" s="165" t="str">
        <f t="shared" si="10"/>
        <v/>
      </c>
      <c r="T367" s="165" t="str">
        <f t="shared" si="5"/>
        <v/>
      </c>
      <c r="U367" s="165" t="s">
        <v>1329</v>
      </c>
      <c r="V367" s="53"/>
      <c r="W367" s="52" t="str">
        <f t="shared" si="6"/>
        <v/>
      </c>
      <c r="X367" s="52">
        <f t="shared" si="7"/>
        <v>0</v>
      </c>
      <c r="Y367" s="52">
        <f t="shared" si="8"/>
        <v>0</v>
      </c>
      <c r="Z367" s="52" t="str">
        <f>IF(G367="","",IFERROR(VLOOKUP(G367,'Product_Stock_Master产品维护'!$A$2:$L992,11,FALSE),"No"))</f>
        <v/>
      </c>
      <c r="AA367" s="52" t="str">
        <f>IF(G367="","",IFERROR(VLOOKUP(G367,'Product_Stock_Master产品维护'!$A$2:$L992,12,FALSE),""))</f>
        <v/>
      </c>
      <c r="AB367" s="52" t="str">
        <f t="shared" si="11"/>
        <v/>
      </c>
      <c r="AC367" s="52">
        <f t="shared" si="12"/>
        <v>0</v>
      </c>
    </row>
    <row r="368" ht="15.75" customHeight="1">
      <c r="A368" s="163"/>
      <c r="B368" s="163"/>
      <c r="C368" s="164"/>
      <c r="D368" s="164"/>
      <c r="E368" s="164"/>
      <c r="F368" s="164"/>
      <c r="G368" s="164"/>
      <c r="H368" s="165" t="str">
        <f>IF(G368="","",IFERROR(VLOOKUP(G368,'Product_Stock_Master产品维护'!$A$2:$E992,2,FALSE()),"SKU not found"))</f>
        <v/>
      </c>
      <c r="I368" s="165" t="str">
        <f>IF(G368="","",IFERROR(VLOOKUP(G368,'Product_Stock_Master产品维护'!$A$2:$E992,3,FALSE()),"Item type not found"))</f>
        <v/>
      </c>
      <c r="J368" s="164"/>
      <c r="K368" s="164"/>
      <c r="L368" s="164"/>
      <c r="M368" s="164"/>
      <c r="N368" s="164"/>
      <c r="O368" s="165" t="str">
        <f t="shared" si="1"/>
        <v/>
      </c>
      <c r="P368" s="164"/>
      <c r="Q368" s="165" t="str">
        <f t="shared" si="9"/>
        <v/>
      </c>
      <c r="R368" s="165" t="str">
        <f t="shared" si="3"/>
        <v/>
      </c>
      <c r="S368" s="165" t="str">
        <f t="shared" si="10"/>
        <v/>
      </c>
      <c r="T368" s="165" t="str">
        <f t="shared" si="5"/>
        <v/>
      </c>
      <c r="U368" s="165" t="s">
        <v>1330</v>
      </c>
      <c r="V368" s="53"/>
      <c r="W368" s="52" t="str">
        <f t="shared" si="6"/>
        <v/>
      </c>
      <c r="X368" s="52">
        <f t="shared" si="7"/>
        <v>0</v>
      </c>
      <c r="Y368" s="52">
        <f t="shared" si="8"/>
        <v>0</v>
      </c>
      <c r="Z368" s="52" t="str">
        <f>IF(G368="","",IFERROR(VLOOKUP(G368,'Product_Stock_Master产品维护'!$A$2:$L992,11,FALSE),"No"))</f>
        <v/>
      </c>
      <c r="AA368" s="52" t="str">
        <f>IF(G368="","",IFERROR(VLOOKUP(G368,'Product_Stock_Master产品维护'!$A$2:$L992,12,FALSE),""))</f>
        <v/>
      </c>
      <c r="AB368" s="52" t="str">
        <f t="shared" si="11"/>
        <v/>
      </c>
      <c r="AC368" s="52">
        <f t="shared" si="12"/>
        <v>0</v>
      </c>
    </row>
    <row r="369" ht="15.75" customHeight="1">
      <c r="A369" s="163"/>
      <c r="B369" s="163"/>
      <c r="C369" s="164"/>
      <c r="D369" s="164"/>
      <c r="E369" s="164"/>
      <c r="F369" s="164"/>
      <c r="G369" s="164"/>
      <c r="H369" s="165" t="str">
        <f>IF(G369="","",IFERROR(VLOOKUP(G369,'Product_Stock_Master产品维护'!$A$2:$E992,2,FALSE()),"SKU not found"))</f>
        <v/>
      </c>
      <c r="I369" s="165" t="str">
        <f>IF(G369="","",IFERROR(VLOOKUP(G369,'Product_Stock_Master产品维护'!$A$2:$E992,3,FALSE()),"Item type not found"))</f>
        <v/>
      </c>
      <c r="J369" s="164"/>
      <c r="K369" s="164"/>
      <c r="L369" s="164"/>
      <c r="M369" s="164"/>
      <c r="N369" s="164"/>
      <c r="O369" s="165" t="str">
        <f t="shared" si="1"/>
        <v/>
      </c>
      <c r="P369" s="164"/>
      <c r="Q369" s="165" t="str">
        <f t="shared" si="9"/>
        <v/>
      </c>
      <c r="R369" s="165" t="str">
        <f t="shared" si="3"/>
        <v/>
      </c>
      <c r="S369" s="165" t="str">
        <f t="shared" si="10"/>
        <v/>
      </c>
      <c r="T369" s="165" t="str">
        <f t="shared" si="5"/>
        <v/>
      </c>
      <c r="U369" s="165" t="s">
        <v>1331</v>
      </c>
      <c r="V369" s="53"/>
      <c r="W369" s="52" t="str">
        <f t="shared" si="6"/>
        <v/>
      </c>
      <c r="X369" s="52">
        <f t="shared" si="7"/>
        <v>0</v>
      </c>
      <c r="Y369" s="52">
        <f t="shared" si="8"/>
        <v>0</v>
      </c>
      <c r="Z369" s="52" t="str">
        <f>IF(G369="","",IFERROR(VLOOKUP(G369,'Product_Stock_Master产品维护'!$A$2:$L992,11,FALSE),"No"))</f>
        <v/>
      </c>
      <c r="AA369" s="52" t="str">
        <f>IF(G369="","",IFERROR(VLOOKUP(G369,'Product_Stock_Master产品维护'!$A$2:$L992,12,FALSE),""))</f>
        <v/>
      </c>
      <c r="AB369" s="52" t="str">
        <f t="shared" si="11"/>
        <v/>
      </c>
      <c r="AC369" s="52">
        <f t="shared" si="12"/>
        <v>0</v>
      </c>
    </row>
    <row r="370" ht="15.75" customHeight="1">
      <c r="A370" s="163"/>
      <c r="B370" s="163"/>
      <c r="C370" s="164"/>
      <c r="D370" s="164"/>
      <c r="E370" s="164"/>
      <c r="F370" s="164"/>
      <c r="G370" s="164"/>
      <c r="H370" s="165" t="str">
        <f>IF(G370="","",IFERROR(VLOOKUP(G370,'Product_Stock_Master产品维护'!$A$2:$E992,2,FALSE()),"SKU not found"))</f>
        <v/>
      </c>
      <c r="I370" s="165" t="str">
        <f>IF(G370="","",IFERROR(VLOOKUP(G370,'Product_Stock_Master产品维护'!$A$2:$E992,3,FALSE()),"Item type not found"))</f>
        <v/>
      </c>
      <c r="J370" s="164"/>
      <c r="K370" s="164"/>
      <c r="L370" s="164"/>
      <c r="M370" s="164"/>
      <c r="N370" s="164"/>
      <c r="O370" s="165" t="str">
        <f t="shared" si="1"/>
        <v/>
      </c>
      <c r="P370" s="164"/>
      <c r="Q370" s="165" t="str">
        <f t="shared" si="9"/>
        <v/>
      </c>
      <c r="R370" s="165" t="str">
        <f t="shared" si="3"/>
        <v/>
      </c>
      <c r="S370" s="165" t="str">
        <f t="shared" si="10"/>
        <v/>
      </c>
      <c r="T370" s="165" t="str">
        <f t="shared" si="5"/>
        <v/>
      </c>
      <c r="U370" s="165" t="s">
        <v>1332</v>
      </c>
      <c r="V370" s="53"/>
      <c r="W370" s="52" t="str">
        <f t="shared" si="6"/>
        <v/>
      </c>
      <c r="X370" s="52">
        <f t="shared" si="7"/>
        <v>0</v>
      </c>
      <c r="Y370" s="52">
        <f t="shared" si="8"/>
        <v>0</v>
      </c>
      <c r="Z370" s="52" t="str">
        <f>IF(G370="","",IFERROR(VLOOKUP(G370,'Product_Stock_Master产品维护'!$A$2:$L992,11,FALSE),"No"))</f>
        <v/>
      </c>
      <c r="AA370" s="52" t="str">
        <f>IF(G370="","",IFERROR(VLOOKUP(G370,'Product_Stock_Master产品维护'!$A$2:$L992,12,FALSE),""))</f>
        <v/>
      </c>
      <c r="AB370" s="52" t="str">
        <f t="shared" si="11"/>
        <v/>
      </c>
      <c r="AC370" s="52">
        <f t="shared" si="12"/>
        <v>0</v>
      </c>
    </row>
    <row r="371" ht="15.75" customHeight="1">
      <c r="A371" s="163"/>
      <c r="B371" s="163"/>
      <c r="C371" s="164"/>
      <c r="D371" s="164"/>
      <c r="E371" s="164"/>
      <c r="F371" s="164"/>
      <c r="G371" s="164"/>
      <c r="H371" s="165" t="str">
        <f>IF(G371="","",IFERROR(VLOOKUP(G371,'Product_Stock_Master产品维护'!$A$2:$E992,2,FALSE()),"SKU not found"))</f>
        <v/>
      </c>
      <c r="I371" s="165" t="str">
        <f>IF(G371="","",IFERROR(VLOOKUP(G371,'Product_Stock_Master产品维护'!$A$2:$E992,3,FALSE()),"Item type not found"))</f>
        <v/>
      </c>
      <c r="J371" s="164"/>
      <c r="K371" s="164"/>
      <c r="L371" s="164"/>
      <c r="M371" s="164"/>
      <c r="N371" s="164"/>
      <c r="O371" s="165" t="str">
        <f t="shared" si="1"/>
        <v/>
      </c>
      <c r="P371" s="164"/>
      <c r="Q371" s="165" t="str">
        <f t="shared" si="9"/>
        <v/>
      </c>
      <c r="R371" s="165" t="str">
        <f t="shared" si="3"/>
        <v/>
      </c>
      <c r="S371" s="165" t="str">
        <f t="shared" si="10"/>
        <v/>
      </c>
      <c r="T371" s="165" t="str">
        <f t="shared" si="5"/>
        <v/>
      </c>
      <c r="U371" s="165" t="s">
        <v>1333</v>
      </c>
      <c r="V371" s="53"/>
      <c r="W371" s="52" t="str">
        <f t="shared" si="6"/>
        <v/>
      </c>
      <c r="X371" s="52">
        <f t="shared" si="7"/>
        <v>0</v>
      </c>
      <c r="Y371" s="52">
        <f t="shared" si="8"/>
        <v>0</v>
      </c>
      <c r="Z371" s="52" t="str">
        <f>IF(G371="","",IFERROR(VLOOKUP(G371,'Product_Stock_Master产品维护'!$A$2:$L992,11,FALSE),"No"))</f>
        <v/>
      </c>
      <c r="AA371" s="52" t="str">
        <f>IF(G371="","",IFERROR(VLOOKUP(G371,'Product_Stock_Master产品维护'!$A$2:$L992,12,FALSE),""))</f>
        <v/>
      </c>
      <c r="AB371" s="52" t="str">
        <f t="shared" si="11"/>
        <v/>
      </c>
      <c r="AC371" s="52">
        <f t="shared" si="12"/>
        <v>0</v>
      </c>
    </row>
    <row r="372" ht="15.75" customHeight="1">
      <c r="A372" s="163"/>
      <c r="B372" s="163"/>
      <c r="C372" s="164"/>
      <c r="D372" s="164"/>
      <c r="E372" s="164"/>
      <c r="F372" s="164"/>
      <c r="G372" s="164"/>
      <c r="H372" s="165" t="str">
        <f>IF(G372="","",IFERROR(VLOOKUP(G372,'Product_Stock_Master产品维护'!$A$2:$E992,2,FALSE()),"SKU not found"))</f>
        <v/>
      </c>
      <c r="I372" s="165" t="str">
        <f>IF(G372="","",IFERROR(VLOOKUP(G372,'Product_Stock_Master产品维护'!$A$2:$E992,3,FALSE()),"Item type not found"))</f>
        <v/>
      </c>
      <c r="J372" s="164"/>
      <c r="K372" s="164"/>
      <c r="L372" s="164"/>
      <c r="M372" s="164"/>
      <c r="N372" s="164"/>
      <c r="O372" s="165" t="str">
        <f t="shared" si="1"/>
        <v/>
      </c>
      <c r="P372" s="164"/>
      <c r="Q372" s="165" t="str">
        <f t="shared" si="9"/>
        <v/>
      </c>
      <c r="R372" s="165" t="str">
        <f t="shared" si="3"/>
        <v/>
      </c>
      <c r="S372" s="165" t="str">
        <f t="shared" si="10"/>
        <v/>
      </c>
      <c r="T372" s="165" t="str">
        <f t="shared" si="5"/>
        <v/>
      </c>
      <c r="U372" s="165" t="s">
        <v>1334</v>
      </c>
      <c r="V372" s="53"/>
      <c r="W372" s="52" t="str">
        <f t="shared" si="6"/>
        <v/>
      </c>
      <c r="X372" s="52">
        <f t="shared" si="7"/>
        <v>0</v>
      </c>
      <c r="Y372" s="52">
        <f t="shared" si="8"/>
        <v>0</v>
      </c>
      <c r="Z372" s="52" t="str">
        <f>IF(G372="","",IFERROR(VLOOKUP(G372,'Product_Stock_Master产品维护'!$A$2:$L992,11,FALSE),"No"))</f>
        <v/>
      </c>
      <c r="AA372" s="52" t="str">
        <f>IF(G372="","",IFERROR(VLOOKUP(G372,'Product_Stock_Master产品维护'!$A$2:$L992,12,FALSE),""))</f>
        <v/>
      </c>
      <c r="AB372" s="52" t="str">
        <f t="shared" si="11"/>
        <v/>
      </c>
      <c r="AC372" s="52">
        <f t="shared" si="12"/>
        <v>0</v>
      </c>
    </row>
    <row r="373" ht="15.75" customHeight="1">
      <c r="A373" s="163"/>
      <c r="B373" s="163"/>
      <c r="C373" s="164"/>
      <c r="D373" s="164"/>
      <c r="E373" s="164"/>
      <c r="F373" s="164"/>
      <c r="G373" s="164"/>
      <c r="H373" s="165" t="str">
        <f>IF(G373="","",IFERROR(VLOOKUP(G373,'Product_Stock_Master产品维护'!$A$2:$E992,2,FALSE()),"SKU not found"))</f>
        <v/>
      </c>
      <c r="I373" s="165" t="str">
        <f>IF(G373="","",IFERROR(VLOOKUP(G373,'Product_Stock_Master产品维护'!$A$2:$E992,3,FALSE()),"Item type not found"))</f>
        <v/>
      </c>
      <c r="J373" s="164"/>
      <c r="K373" s="164"/>
      <c r="L373" s="164"/>
      <c r="M373" s="164"/>
      <c r="N373" s="164"/>
      <c r="O373" s="165" t="str">
        <f t="shared" si="1"/>
        <v/>
      </c>
      <c r="P373" s="164"/>
      <c r="Q373" s="165" t="str">
        <f t="shared" si="9"/>
        <v/>
      </c>
      <c r="R373" s="165" t="str">
        <f t="shared" si="3"/>
        <v/>
      </c>
      <c r="S373" s="165" t="str">
        <f t="shared" si="10"/>
        <v/>
      </c>
      <c r="T373" s="165" t="str">
        <f t="shared" si="5"/>
        <v/>
      </c>
      <c r="U373" s="165" t="s">
        <v>1335</v>
      </c>
      <c r="V373" s="53"/>
      <c r="W373" s="52" t="str">
        <f t="shared" si="6"/>
        <v/>
      </c>
      <c r="X373" s="52">
        <f t="shared" si="7"/>
        <v>0</v>
      </c>
      <c r="Y373" s="52">
        <f t="shared" si="8"/>
        <v>0</v>
      </c>
      <c r="Z373" s="52" t="str">
        <f>IF(G373="","",IFERROR(VLOOKUP(G373,'Product_Stock_Master产品维护'!$A$2:$L992,11,FALSE),"No"))</f>
        <v/>
      </c>
      <c r="AA373" s="52" t="str">
        <f>IF(G373="","",IFERROR(VLOOKUP(G373,'Product_Stock_Master产品维护'!$A$2:$L992,12,FALSE),""))</f>
        <v/>
      </c>
      <c r="AB373" s="52" t="str">
        <f t="shared" si="11"/>
        <v/>
      </c>
      <c r="AC373" s="52">
        <f t="shared" si="12"/>
        <v>0</v>
      </c>
    </row>
    <row r="374" ht="15.75" customHeight="1">
      <c r="A374" s="163"/>
      <c r="B374" s="163"/>
      <c r="C374" s="164"/>
      <c r="D374" s="164"/>
      <c r="E374" s="164"/>
      <c r="F374" s="164"/>
      <c r="G374" s="164"/>
      <c r="H374" s="165" t="str">
        <f>IF(G374="","",IFERROR(VLOOKUP(G374,'Product_Stock_Master产品维护'!$A$2:$E992,2,FALSE()),"SKU not found"))</f>
        <v/>
      </c>
      <c r="I374" s="165" t="str">
        <f>IF(G374="","",IFERROR(VLOOKUP(G374,'Product_Stock_Master产品维护'!$A$2:$E992,3,FALSE()),"Item type not found"))</f>
        <v/>
      </c>
      <c r="J374" s="164"/>
      <c r="K374" s="164"/>
      <c r="L374" s="164"/>
      <c r="M374" s="164"/>
      <c r="N374" s="164"/>
      <c r="O374" s="165" t="str">
        <f t="shared" si="1"/>
        <v/>
      </c>
      <c r="P374" s="164"/>
      <c r="Q374" s="165" t="str">
        <f t="shared" si="9"/>
        <v/>
      </c>
      <c r="R374" s="165" t="str">
        <f t="shared" si="3"/>
        <v/>
      </c>
      <c r="S374" s="165" t="str">
        <f t="shared" si="10"/>
        <v/>
      </c>
      <c r="T374" s="165" t="str">
        <f t="shared" si="5"/>
        <v/>
      </c>
      <c r="U374" s="165" t="s">
        <v>1336</v>
      </c>
      <c r="V374" s="53"/>
      <c r="W374" s="52" t="str">
        <f t="shared" si="6"/>
        <v/>
      </c>
      <c r="X374" s="52">
        <f t="shared" si="7"/>
        <v>0</v>
      </c>
      <c r="Y374" s="52">
        <f t="shared" si="8"/>
        <v>0</v>
      </c>
      <c r="Z374" s="52" t="str">
        <f>IF(G374="","",IFERROR(VLOOKUP(G374,'Product_Stock_Master产品维护'!$A$2:$L992,11,FALSE),"No"))</f>
        <v/>
      </c>
      <c r="AA374" s="52" t="str">
        <f>IF(G374="","",IFERROR(VLOOKUP(G374,'Product_Stock_Master产品维护'!$A$2:$L992,12,FALSE),""))</f>
        <v/>
      </c>
      <c r="AB374" s="52" t="str">
        <f t="shared" si="11"/>
        <v/>
      </c>
      <c r="AC374" s="52">
        <f t="shared" si="12"/>
        <v>0</v>
      </c>
    </row>
    <row r="375" ht="15.75" customHeight="1">
      <c r="A375" s="163"/>
      <c r="B375" s="163"/>
      <c r="C375" s="164"/>
      <c r="D375" s="164"/>
      <c r="E375" s="164"/>
      <c r="F375" s="164"/>
      <c r="G375" s="164"/>
      <c r="H375" s="165" t="str">
        <f>IF(G375="","",IFERROR(VLOOKUP(G375,'Product_Stock_Master产品维护'!$A$2:$E992,2,FALSE()),"SKU not found"))</f>
        <v/>
      </c>
      <c r="I375" s="165" t="str">
        <f>IF(G375="","",IFERROR(VLOOKUP(G375,'Product_Stock_Master产品维护'!$A$2:$E992,3,FALSE()),"Item type not found"))</f>
        <v/>
      </c>
      <c r="J375" s="164"/>
      <c r="K375" s="164"/>
      <c r="L375" s="164"/>
      <c r="M375" s="164"/>
      <c r="N375" s="164"/>
      <c r="O375" s="165" t="str">
        <f t="shared" si="1"/>
        <v/>
      </c>
      <c r="P375" s="164"/>
      <c r="Q375" s="165" t="str">
        <f t="shared" si="9"/>
        <v/>
      </c>
      <c r="R375" s="165" t="str">
        <f t="shared" si="3"/>
        <v/>
      </c>
      <c r="S375" s="165" t="str">
        <f t="shared" si="10"/>
        <v/>
      </c>
      <c r="T375" s="165" t="str">
        <f t="shared" si="5"/>
        <v/>
      </c>
      <c r="U375" s="165" t="s">
        <v>1337</v>
      </c>
      <c r="V375" s="53"/>
      <c r="W375" s="52" t="str">
        <f t="shared" si="6"/>
        <v/>
      </c>
      <c r="X375" s="52">
        <f t="shared" si="7"/>
        <v>0</v>
      </c>
      <c r="Y375" s="52">
        <f t="shared" si="8"/>
        <v>0</v>
      </c>
      <c r="Z375" s="52" t="str">
        <f>IF(G375="","",IFERROR(VLOOKUP(G375,'Product_Stock_Master产品维护'!$A$2:$L992,11,FALSE),"No"))</f>
        <v/>
      </c>
      <c r="AA375" s="52" t="str">
        <f>IF(G375="","",IFERROR(VLOOKUP(G375,'Product_Stock_Master产品维护'!$A$2:$L992,12,FALSE),""))</f>
        <v/>
      </c>
      <c r="AB375" s="52" t="str">
        <f t="shared" si="11"/>
        <v/>
      </c>
      <c r="AC375" s="52">
        <f t="shared" si="12"/>
        <v>0</v>
      </c>
    </row>
    <row r="376" ht="15.75" customHeight="1">
      <c r="A376" s="163"/>
      <c r="B376" s="163"/>
      <c r="C376" s="164"/>
      <c r="D376" s="164"/>
      <c r="E376" s="164"/>
      <c r="F376" s="164"/>
      <c r="G376" s="164"/>
      <c r="H376" s="165" t="str">
        <f>IF(G376="","",IFERROR(VLOOKUP(G376,'Product_Stock_Master产品维护'!$A$2:$E992,2,FALSE()),"SKU not found"))</f>
        <v/>
      </c>
      <c r="I376" s="165" t="str">
        <f>IF(G376="","",IFERROR(VLOOKUP(G376,'Product_Stock_Master产品维护'!$A$2:$E992,3,FALSE()),"Item type not found"))</f>
        <v/>
      </c>
      <c r="J376" s="164"/>
      <c r="K376" s="164"/>
      <c r="L376" s="164"/>
      <c r="M376" s="164"/>
      <c r="N376" s="164"/>
      <c r="O376" s="165" t="str">
        <f t="shared" si="1"/>
        <v/>
      </c>
      <c r="P376" s="164"/>
      <c r="Q376" s="165" t="str">
        <f t="shared" si="9"/>
        <v/>
      </c>
      <c r="R376" s="165" t="str">
        <f t="shared" si="3"/>
        <v/>
      </c>
      <c r="S376" s="165" t="str">
        <f t="shared" si="10"/>
        <v/>
      </c>
      <c r="T376" s="165" t="str">
        <f t="shared" si="5"/>
        <v/>
      </c>
      <c r="U376" s="165" t="s">
        <v>1338</v>
      </c>
      <c r="V376" s="53"/>
      <c r="W376" s="52" t="str">
        <f t="shared" si="6"/>
        <v/>
      </c>
      <c r="X376" s="52">
        <f t="shared" si="7"/>
        <v>0</v>
      </c>
      <c r="Y376" s="52">
        <f t="shared" si="8"/>
        <v>0</v>
      </c>
      <c r="Z376" s="52" t="str">
        <f>IF(G376="","",IFERROR(VLOOKUP(G376,'Product_Stock_Master产品维护'!$A$2:$L992,11,FALSE),"No"))</f>
        <v/>
      </c>
      <c r="AA376" s="52" t="str">
        <f>IF(G376="","",IFERROR(VLOOKUP(G376,'Product_Stock_Master产品维护'!$A$2:$L992,12,FALSE),""))</f>
        <v/>
      </c>
      <c r="AB376" s="52" t="str">
        <f t="shared" si="11"/>
        <v/>
      </c>
      <c r="AC376" s="52">
        <f t="shared" si="12"/>
        <v>0</v>
      </c>
    </row>
    <row r="377" ht="15.75" customHeight="1">
      <c r="A377" s="163"/>
      <c r="B377" s="163"/>
      <c r="C377" s="164"/>
      <c r="D377" s="164"/>
      <c r="E377" s="164"/>
      <c r="F377" s="164"/>
      <c r="G377" s="164"/>
      <c r="H377" s="165" t="str">
        <f>IF(G377="","",IFERROR(VLOOKUP(G377,'Product_Stock_Master产品维护'!$A$2:$E992,2,FALSE()),"SKU not found"))</f>
        <v/>
      </c>
      <c r="I377" s="165" t="str">
        <f>IF(G377="","",IFERROR(VLOOKUP(G377,'Product_Stock_Master产品维护'!$A$2:$E992,3,FALSE()),"Item type not found"))</f>
        <v/>
      </c>
      <c r="J377" s="164"/>
      <c r="K377" s="164"/>
      <c r="L377" s="164"/>
      <c r="M377" s="164"/>
      <c r="N377" s="164"/>
      <c r="O377" s="165" t="str">
        <f t="shared" si="1"/>
        <v/>
      </c>
      <c r="P377" s="164"/>
      <c r="Q377" s="165" t="str">
        <f t="shared" si="9"/>
        <v/>
      </c>
      <c r="R377" s="165" t="str">
        <f t="shared" si="3"/>
        <v/>
      </c>
      <c r="S377" s="165" t="str">
        <f t="shared" si="10"/>
        <v/>
      </c>
      <c r="T377" s="165" t="str">
        <f t="shared" si="5"/>
        <v/>
      </c>
      <c r="U377" s="165" t="s">
        <v>1339</v>
      </c>
      <c r="V377" s="53"/>
      <c r="W377" s="52" t="str">
        <f t="shared" si="6"/>
        <v/>
      </c>
      <c r="X377" s="52">
        <f t="shared" si="7"/>
        <v>0</v>
      </c>
      <c r="Y377" s="52">
        <f t="shared" si="8"/>
        <v>0</v>
      </c>
      <c r="Z377" s="52" t="str">
        <f>IF(G377="","",IFERROR(VLOOKUP(G377,'Product_Stock_Master产品维护'!$A$2:$L992,11,FALSE),"No"))</f>
        <v/>
      </c>
      <c r="AA377" s="52" t="str">
        <f>IF(G377="","",IFERROR(VLOOKUP(G377,'Product_Stock_Master产品维护'!$A$2:$L992,12,FALSE),""))</f>
        <v/>
      </c>
      <c r="AB377" s="52" t="str">
        <f t="shared" si="11"/>
        <v/>
      </c>
      <c r="AC377" s="52">
        <f t="shared" si="12"/>
        <v>0</v>
      </c>
    </row>
    <row r="378" ht="15.75" customHeight="1">
      <c r="A378" s="163"/>
      <c r="B378" s="163"/>
      <c r="C378" s="164"/>
      <c r="D378" s="164"/>
      <c r="E378" s="164"/>
      <c r="F378" s="164"/>
      <c r="G378" s="164"/>
      <c r="H378" s="165" t="str">
        <f>IF(G378="","",IFERROR(VLOOKUP(G378,'Product_Stock_Master产品维护'!$A$2:$E992,2,FALSE()),"SKU not found"))</f>
        <v/>
      </c>
      <c r="I378" s="165" t="str">
        <f>IF(G378="","",IFERROR(VLOOKUP(G378,'Product_Stock_Master产品维护'!$A$2:$E992,3,FALSE()),"Item type not found"))</f>
        <v/>
      </c>
      <c r="J378" s="164"/>
      <c r="K378" s="164"/>
      <c r="L378" s="164"/>
      <c r="M378" s="164"/>
      <c r="N378" s="164"/>
      <c r="O378" s="165" t="str">
        <f t="shared" si="1"/>
        <v/>
      </c>
      <c r="P378" s="164"/>
      <c r="Q378" s="165" t="str">
        <f t="shared" si="9"/>
        <v/>
      </c>
      <c r="R378" s="165" t="str">
        <f t="shared" si="3"/>
        <v/>
      </c>
      <c r="S378" s="165" t="str">
        <f t="shared" si="10"/>
        <v/>
      </c>
      <c r="T378" s="165" t="str">
        <f t="shared" si="5"/>
        <v/>
      </c>
      <c r="U378" s="165" t="s">
        <v>1340</v>
      </c>
      <c r="V378" s="53"/>
      <c r="W378" s="52" t="str">
        <f t="shared" si="6"/>
        <v/>
      </c>
      <c r="X378" s="52">
        <f t="shared" si="7"/>
        <v>0</v>
      </c>
      <c r="Y378" s="52">
        <f t="shared" si="8"/>
        <v>0</v>
      </c>
      <c r="Z378" s="52" t="str">
        <f>IF(G378="","",IFERROR(VLOOKUP(G378,'Product_Stock_Master产品维护'!$A$2:$L992,11,FALSE),"No"))</f>
        <v/>
      </c>
      <c r="AA378" s="52" t="str">
        <f>IF(G378="","",IFERROR(VLOOKUP(G378,'Product_Stock_Master产品维护'!$A$2:$L992,12,FALSE),""))</f>
        <v/>
      </c>
      <c r="AB378" s="52" t="str">
        <f t="shared" si="11"/>
        <v/>
      </c>
      <c r="AC378" s="52">
        <f t="shared" si="12"/>
        <v>0</v>
      </c>
    </row>
    <row r="379" ht="15.75" customHeight="1">
      <c r="A379" s="163"/>
      <c r="B379" s="163"/>
      <c r="C379" s="164"/>
      <c r="D379" s="164"/>
      <c r="E379" s="164"/>
      <c r="F379" s="164"/>
      <c r="G379" s="164"/>
      <c r="H379" s="165" t="str">
        <f>IF(G379="","",IFERROR(VLOOKUP(G379,'Product_Stock_Master产品维护'!$A$2:$E992,2,FALSE()),"SKU not found"))</f>
        <v/>
      </c>
      <c r="I379" s="165" t="str">
        <f>IF(G379="","",IFERROR(VLOOKUP(G379,'Product_Stock_Master产品维护'!$A$2:$E992,3,FALSE()),"Item type not found"))</f>
        <v/>
      </c>
      <c r="J379" s="164"/>
      <c r="K379" s="164"/>
      <c r="L379" s="164"/>
      <c r="M379" s="164"/>
      <c r="N379" s="164"/>
      <c r="O379" s="165" t="str">
        <f t="shared" si="1"/>
        <v/>
      </c>
      <c r="P379" s="164"/>
      <c r="Q379" s="165" t="str">
        <f t="shared" si="9"/>
        <v/>
      </c>
      <c r="R379" s="165" t="str">
        <f t="shared" si="3"/>
        <v/>
      </c>
      <c r="S379" s="165" t="str">
        <f t="shared" si="10"/>
        <v/>
      </c>
      <c r="T379" s="165" t="str">
        <f t="shared" si="5"/>
        <v/>
      </c>
      <c r="U379" s="165" t="s">
        <v>1341</v>
      </c>
      <c r="V379" s="53"/>
      <c r="W379" s="52" t="str">
        <f t="shared" si="6"/>
        <v/>
      </c>
      <c r="X379" s="52">
        <f t="shared" si="7"/>
        <v>0</v>
      </c>
      <c r="Y379" s="52">
        <f t="shared" si="8"/>
        <v>0</v>
      </c>
      <c r="Z379" s="52" t="str">
        <f>IF(G379="","",IFERROR(VLOOKUP(G379,'Product_Stock_Master产品维护'!$A$2:$L992,11,FALSE),"No"))</f>
        <v/>
      </c>
      <c r="AA379" s="52" t="str">
        <f>IF(G379="","",IFERROR(VLOOKUP(G379,'Product_Stock_Master产品维护'!$A$2:$L992,12,FALSE),""))</f>
        <v/>
      </c>
      <c r="AB379" s="52" t="str">
        <f t="shared" si="11"/>
        <v/>
      </c>
      <c r="AC379" s="52">
        <f t="shared" si="12"/>
        <v>0</v>
      </c>
    </row>
    <row r="380" ht="15.75" customHeight="1">
      <c r="A380" s="163"/>
      <c r="B380" s="163"/>
      <c r="C380" s="164"/>
      <c r="D380" s="164"/>
      <c r="E380" s="164"/>
      <c r="F380" s="164"/>
      <c r="G380" s="164"/>
      <c r="H380" s="165" t="str">
        <f>IF(G380="","",IFERROR(VLOOKUP(G380,'Product_Stock_Master产品维护'!$A$2:$E992,2,FALSE()),"SKU not found"))</f>
        <v/>
      </c>
      <c r="I380" s="165" t="str">
        <f>IF(G380="","",IFERROR(VLOOKUP(G380,'Product_Stock_Master产品维护'!$A$2:$E992,3,FALSE()),"Item type not found"))</f>
        <v/>
      </c>
      <c r="J380" s="164"/>
      <c r="K380" s="164"/>
      <c r="L380" s="164"/>
      <c r="M380" s="164"/>
      <c r="N380" s="164"/>
      <c r="O380" s="165" t="str">
        <f t="shared" si="1"/>
        <v/>
      </c>
      <c r="P380" s="164"/>
      <c r="Q380" s="165" t="str">
        <f t="shared" si="9"/>
        <v/>
      </c>
      <c r="R380" s="165" t="str">
        <f t="shared" si="3"/>
        <v/>
      </c>
      <c r="S380" s="165" t="str">
        <f t="shared" si="10"/>
        <v/>
      </c>
      <c r="T380" s="165" t="str">
        <f t="shared" si="5"/>
        <v/>
      </c>
      <c r="U380" s="165" t="s">
        <v>1342</v>
      </c>
      <c r="V380" s="53"/>
      <c r="W380" s="52" t="str">
        <f t="shared" si="6"/>
        <v/>
      </c>
      <c r="X380" s="52">
        <f t="shared" si="7"/>
        <v>0</v>
      </c>
      <c r="Y380" s="52">
        <f t="shared" si="8"/>
        <v>0</v>
      </c>
      <c r="Z380" s="52" t="str">
        <f>IF(G380="","",IFERROR(VLOOKUP(G380,'Product_Stock_Master产品维护'!$A$2:$L992,11,FALSE),"No"))</f>
        <v/>
      </c>
      <c r="AA380" s="52" t="str">
        <f>IF(G380="","",IFERROR(VLOOKUP(G380,'Product_Stock_Master产品维护'!$A$2:$L992,12,FALSE),""))</f>
        <v/>
      </c>
      <c r="AB380" s="52" t="str">
        <f t="shared" si="11"/>
        <v/>
      </c>
      <c r="AC380" s="52">
        <f t="shared" si="12"/>
        <v>0</v>
      </c>
    </row>
    <row r="381" ht="15.75" customHeight="1">
      <c r="A381" s="163"/>
      <c r="B381" s="163"/>
      <c r="C381" s="164"/>
      <c r="D381" s="164"/>
      <c r="E381" s="164"/>
      <c r="F381" s="164"/>
      <c r="G381" s="164"/>
      <c r="H381" s="165" t="str">
        <f>IF(G381="","",IFERROR(VLOOKUP(G381,'Product_Stock_Master产品维护'!$A$2:$E992,2,FALSE()),"SKU not found"))</f>
        <v/>
      </c>
      <c r="I381" s="165" t="str">
        <f>IF(G381="","",IFERROR(VLOOKUP(G381,'Product_Stock_Master产品维护'!$A$2:$E992,3,FALSE()),"Item type not found"))</f>
        <v/>
      </c>
      <c r="J381" s="164"/>
      <c r="K381" s="164"/>
      <c r="L381" s="164"/>
      <c r="M381" s="164"/>
      <c r="N381" s="164"/>
      <c r="O381" s="165" t="str">
        <f t="shared" si="1"/>
        <v/>
      </c>
      <c r="P381" s="164"/>
      <c r="Q381" s="165" t="str">
        <f t="shared" si="9"/>
        <v/>
      </c>
      <c r="R381" s="165" t="str">
        <f t="shared" si="3"/>
        <v/>
      </c>
      <c r="S381" s="165" t="str">
        <f t="shared" si="10"/>
        <v/>
      </c>
      <c r="T381" s="165" t="str">
        <f t="shared" si="5"/>
        <v/>
      </c>
      <c r="U381" s="165" t="s">
        <v>1343</v>
      </c>
      <c r="V381" s="53"/>
      <c r="W381" s="52" t="str">
        <f t="shared" si="6"/>
        <v/>
      </c>
      <c r="X381" s="52">
        <f t="shared" si="7"/>
        <v>0</v>
      </c>
      <c r="Y381" s="52">
        <f t="shared" si="8"/>
        <v>0</v>
      </c>
      <c r="Z381" s="52" t="str">
        <f>IF(G381="","",IFERROR(VLOOKUP(G381,'Product_Stock_Master产品维护'!$A$2:$L992,11,FALSE),"No"))</f>
        <v/>
      </c>
      <c r="AA381" s="52" t="str">
        <f>IF(G381="","",IFERROR(VLOOKUP(G381,'Product_Stock_Master产品维护'!$A$2:$L992,12,FALSE),""))</f>
        <v/>
      </c>
      <c r="AB381" s="52" t="str">
        <f t="shared" si="11"/>
        <v/>
      </c>
      <c r="AC381" s="52">
        <f t="shared" si="12"/>
        <v>0</v>
      </c>
    </row>
    <row r="382" ht="15.75" customHeight="1">
      <c r="A382" s="163"/>
      <c r="B382" s="163"/>
      <c r="C382" s="164"/>
      <c r="D382" s="164"/>
      <c r="E382" s="164"/>
      <c r="F382" s="164"/>
      <c r="G382" s="164"/>
      <c r="H382" s="165" t="str">
        <f>IF(G382="","",IFERROR(VLOOKUP(G382,'Product_Stock_Master产品维护'!$A$2:$E992,2,FALSE()),"SKU not found"))</f>
        <v/>
      </c>
      <c r="I382" s="165" t="str">
        <f>IF(G382="","",IFERROR(VLOOKUP(G382,'Product_Stock_Master产品维护'!$A$2:$E992,3,FALSE()),"Item type not found"))</f>
        <v/>
      </c>
      <c r="J382" s="164"/>
      <c r="K382" s="164"/>
      <c r="L382" s="164"/>
      <c r="M382" s="164"/>
      <c r="N382" s="164"/>
      <c r="O382" s="165" t="str">
        <f t="shared" si="1"/>
        <v/>
      </c>
      <c r="P382" s="164"/>
      <c r="Q382" s="165" t="str">
        <f t="shared" si="9"/>
        <v/>
      </c>
      <c r="R382" s="165" t="str">
        <f t="shared" si="3"/>
        <v/>
      </c>
      <c r="S382" s="165" t="str">
        <f t="shared" si="10"/>
        <v/>
      </c>
      <c r="T382" s="165" t="str">
        <f t="shared" si="5"/>
        <v/>
      </c>
      <c r="U382" s="165" t="s">
        <v>1344</v>
      </c>
      <c r="V382" s="53"/>
      <c r="W382" s="52" t="str">
        <f t="shared" si="6"/>
        <v/>
      </c>
      <c r="X382" s="52">
        <f t="shared" si="7"/>
        <v>0</v>
      </c>
      <c r="Y382" s="52">
        <f t="shared" si="8"/>
        <v>0</v>
      </c>
      <c r="Z382" s="52" t="str">
        <f>IF(G382="","",IFERROR(VLOOKUP(G382,'Product_Stock_Master产品维护'!$A$2:$L992,11,FALSE),"No"))</f>
        <v/>
      </c>
      <c r="AA382" s="52" t="str">
        <f>IF(G382="","",IFERROR(VLOOKUP(G382,'Product_Stock_Master产品维护'!$A$2:$L992,12,FALSE),""))</f>
        <v/>
      </c>
      <c r="AB382" s="52" t="str">
        <f t="shared" si="11"/>
        <v/>
      </c>
      <c r="AC382" s="52">
        <f t="shared" si="12"/>
        <v>0</v>
      </c>
    </row>
    <row r="383" ht="15.75" customHeight="1">
      <c r="A383" s="163"/>
      <c r="B383" s="163"/>
      <c r="C383" s="164"/>
      <c r="D383" s="164"/>
      <c r="E383" s="164"/>
      <c r="F383" s="164"/>
      <c r="G383" s="164"/>
      <c r="H383" s="165" t="str">
        <f>IF(G383="","",IFERROR(VLOOKUP(G383,'Product_Stock_Master产品维护'!$A$2:$E992,2,FALSE()),"SKU not found"))</f>
        <v/>
      </c>
      <c r="I383" s="165" t="str">
        <f>IF(G383="","",IFERROR(VLOOKUP(G383,'Product_Stock_Master产品维护'!$A$2:$E992,3,FALSE()),"Item type not found"))</f>
        <v/>
      </c>
      <c r="J383" s="164"/>
      <c r="K383" s="164"/>
      <c r="L383" s="164"/>
      <c r="M383" s="164"/>
      <c r="N383" s="164"/>
      <c r="O383" s="165" t="str">
        <f t="shared" si="1"/>
        <v/>
      </c>
      <c r="P383" s="164"/>
      <c r="Q383" s="165" t="str">
        <f t="shared" si="9"/>
        <v/>
      </c>
      <c r="R383" s="165" t="str">
        <f t="shared" si="3"/>
        <v/>
      </c>
      <c r="S383" s="165" t="str">
        <f t="shared" si="10"/>
        <v/>
      </c>
      <c r="T383" s="165" t="str">
        <f t="shared" si="5"/>
        <v/>
      </c>
      <c r="U383" s="165" t="s">
        <v>1345</v>
      </c>
      <c r="V383" s="53"/>
      <c r="W383" s="52" t="str">
        <f t="shared" si="6"/>
        <v/>
      </c>
      <c r="X383" s="52">
        <f t="shared" si="7"/>
        <v>0</v>
      </c>
      <c r="Y383" s="52">
        <f t="shared" si="8"/>
        <v>0</v>
      </c>
      <c r="Z383" s="52" t="str">
        <f>IF(G383="","",IFERROR(VLOOKUP(G383,'Product_Stock_Master产品维护'!$A$2:$L992,11,FALSE),"No"))</f>
        <v/>
      </c>
      <c r="AA383" s="52" t="str">
        <f>IF(G383="","",IFERROR(VLOOKUP(G383,'Product_Stock_Master产品维护'!$A$2:$L992,12,FALSE),""))</f>
        <v/>
      </c>
      <c r="AB383" s="52" t="str">
        <f t="shared" si="11"/>
        <v/>
      </c>
      <c r="AC383" s="52">
        <f t="shared" si="12"/>
        <v>0</v>
      </c>
    </row>
    <row r="384" ht="15.75" customHeight="1">
      <c r="A384" s="163"/>
      <c r="B384" s="163"/>
      <c r="C384" s="164"/>
      <c r="D384" s="164"/>
      <c r="E384" s="164"/>
      <c r="F384" s="164"/>
      <c r="G384" s="164"/>
      <c r="H384" s="165" t="str">
        <f>IF(G384="","",IFERROR(VLOOKUP(G384,'Product_Stock_Master产品维护'!$A$2:$E992,2,FALSE()),"SKU not found"))</f>
        <v/>
      </c>
      <c r="I384" s="165" t="str">
        <f>IF(G384="","",IFERROR(VLOOKUP(G384,'Product_Stock_Master产品维护'!$A$2:$E992,3,FALSE()),"Item type not found"))</f>
        <v/>
      </c>
      <c r="J384" s="164"/>
      <c r="K384" s="164"/>
      <c r="L384" s="164"/>
      <c r="M384" s="164"/>
      <c r="N384" s="164"/>
      <c r="O384" s="165" t="str">
        <f t="shared" si="1"/>
        <v/>
      </c>
      <c r="P384" s="164"/>
      <c r="Q384" s="165" t="str">
        <f t="shared" si="9"/>
        <v/>
      </c>
      <c r="R384" s="165" t="str">
        <f t="shared" si="3"/>
        <v/>
      </c>
      <c r="S384" s="165" t="str">
        <f t="shared" si="10"/>
        <v/>
      </c>
      <c r="T384" s="165" t="str">
        <f t="shared" si="5"/>
        <v/>
      </c>
      <c r="U384" s="165" t="s">
        <v>1346</v>
      </c>
      <c r="V384" s="53"/>
      <c r="W384" s="52" t="str">
        <f t="shared" si="6"/>
        <v/>
      </c>
      <c r="X384" s="52">
        <f t="shared" si="7"/>
        <v>0</v>
      </c>
      <c r="Y384" s="52">
        <f t="shared" si="8"/>
        <v>0</v>
      </c>
      <c r="Z384" s="52" t="str">
        <f>IF(G384="","",IFERROR(VLOOKUP(G384,'Product_Stock_Master产品维护'!$A$2:$L992,11,FALSE),"No"))</f>
        <v/>
      </c>
      <c r="AA384" s="52" t="str">
        <f>IF(G384="","",IFERROR(VLOOKUP(G384,'Product_Stock_Master产品维护'!$A$2:$L992,12,FALSE),""))</f>
        <v/>
      </c>
      <c r="AB384" s="52" t="str">
        <f t="shared" si="11"/>
        <v/>
      </c>
      <c r="AC384" s="52">
        <f t="shared" si="12"/>
        <v>0</v>
      </c>
    </row>
    <row r="385" ht="15.75" customHeight="1">
      <c r="A385" s="163"/>
      <c r="B385" s="163"/>
      <c r="C385" s="164"/>
      <c r="D385" s="164"/>
      <c r="E385" s="164"/>
      <c r="F385" s="164"/>
      <c r="G385" s="164"/>
      <c r="H385" s="165" t="str">
        <f>IF(G385="","",IFERROR(VLOOKUP(G385,'Product_Stock_Master产品维护'!$A$2:$E992,2,FALSE()),"SKU not found"))</f>
        <v/>
      </c>
      <c r="I385" s="165" t="str">
        <f>IF(G385="","",IFERROR(VLOOKUP(G385,'Product_Stock_Master产品维护'!$A$2:$E992,3,FALSE()),"Item type not found"))</f>
        <v/>
      </c>
      <c r="J385" s="164"/>
      <c r="K385" s="164"/>
      <c r="L385" s="164"/>
      <c r="M385" s="164"/>
      <c r="N385" s="164"/>
      <c r="O385" s="165" t="str">
        <f t="shared" si="1"/>
        <v/>
      </c>
      <c r="P385" s="164"/>
      <c r="Q385" s="165" t="str">
        <f t="shared" si="9"/>
        <v/>
      </c>
      <c r="R385" s="165" t="str">
        <f t="shared" si="3"/>
        <v/>
      </c>
      <c r="S385" s="165" t="str">
        <f t="shared" si="10"/>
        <v/>
      </c>
      <c r="T385" s="165" t="str">
        <f t="shared" si="5"/>
        <v/>
      </c>
      <c r="U385" s="165" t="s">
        <v>1347</v>
      </c>
      <c r="V385" s="53"/>
      <c r="W385" s="52" t="str">
        <f t="shared" si="6"/>
        <v/>
      </c>
      <c r="X385" s="52">
        <f t="shared" si="7"/>
        <v>0</v>
      </c>
      <c r="Y385" s="52">
        <f t="shared" si="8"/>
        <v>0</v>
      </c>
      <c r="Z385" s="52" t="str">
        <f>IF(G385="","",IFERROR(VLOOKUP(G385,'Product_Stock_Master产品维护'!$A$2:$L992,11,FALSE),"No"))</f>
        <v/>
      </c>
      <c r="AA385" s="52" t="str">
        <f>IF(G385="","",IFERROR(VLOOKUP(G385,'Product_Stock_Master产品维护'!$A$2:$L992,12,FALSE),""))</f>
        <v/>
      </c>
      <c r="AB385" s="52" t="str">
        <f t="shared" si="11"/>
        <v/>
      </c>
      <c r="AC385" s="52">
        <f t="shared" si="12"/>
        <v>0</v>
      </c>
    </row>
    <row r="386" ht="15.75" customHeight="1">
      <c r="A386" s="163"/>
      <c r="B386" s="163"/>
      <c r="C386" s="164"/>
      <c r="D386" s="164"/>
      <c r="E386" s="164"/>
      <c r="F386" s="164"/>
      <c r="G386" s="164"/>
      <c r="H386" s="165" t="str">
        <f>IF(G386="","",IFERROR(VLOOKUP(G386,'Product_Stock_Master产品维护'!$A$2:$E992,2,FALSE()),"SKU not found"))</f>
        <v/>
      </c>
      <c r="I386" s="165" t="str">
        <f>IF(G386="","",IFERROR(VLOOKUP(G386,'Product_Stock_Master产品维护'!$A$2:$E992,3,FALSE()),"Item type not found"))</f>
        <v/>
      </c>
      <c r="J386" s="164"/>
      <c r="K386" s="164"/>
      <c r="L386" s="164"/>
      <c r="M386" s="164"/>
      <c r="N386" s="164"/>
      <c r="O386" s="165" t="str">
        <f t="shared" si="1"/>
        <v/>
      </c>
      <c r="P386" s="164"/>
      <c r="Q386" s="165" t="str">
        <f t="shared" si="9"/>
        <v/>
      </c>
      <c r="R386" s="165" t="str">
        <f t="shared" si="3"/>
        <v/>
      </c>
      <c r="S386" s="165" t="str">
        <f t="shared" si="10"/>
        <v/>
      </c>
      <c r="T386" s="165" t="str">
        <f t="shared" si="5"/>
        <v/>
      </c>
      <c r="U386" s="165" t="s">
        <v>1348</v>
      </c>
      <c r="V386" s="53"/>
      <c r="W386" s="52" t="str">
        <f t="shared" si="6"/>
        <v/>
      </c>
      <c r="X386" s="52">
        <f t="shared" si="7"/>
        <v>0</v>
      </c>
      <c r="Y386" s="52">
        <f t="shared" si="8"/>
        <v>0</v>
      </c>
      <c r="Z386" s="52" t="str">
        <f>IF(G386="","",IFERROR(VLOOKUP(G386,'Product_Stock_Master产品维护'!$A$2:$L992,11,FALSE),"No"))</f>
        <v/>
      </c>
      <c r="AA386" s="52" t="str">
        <f>IF(G386="","",IFERROR(VLOOKUP(G386,'Product_Stock_Master产品维护'!$A$2:$L992,12,FALSE),""))</f>
        <v/>
      </c>
      <c r="AB386" s="52" t="str">
        <f t="shared" si="11"/>
        <v/>
      </c>
      <c r="AC386" s="52">
        <f t="shared" si="12"/>
        <v>0</v>
      </c>
    </row>
    <row r="387" ht="15.75" customHeight="1">
      <c r="A387" s="163"/>
      <c r="B387" s="163"/>
      <c r="C387" s="164"/>
      <c r="D387" s="164"/>
      <c r="E387" s="164"/>
      <c r="F387" s="164"/>
      <c r="G387" s="164"/>
      <c r="H387" s="165" t="str">
        <f>IF(G387="","",IFERROR(VLOOKUP(G387,'Product_Stock_Master产品维护'!$A$2:$E992,2,FALSE()),"SKU not found"))</f>
        <v/>
      </c>
      <c r="I387" s="165" t="str">
        <f>IF(G387="","",IFERROR(VLOOKUP(G387,'Product_Stock_Master产品维护'!$A$2:$E992,3,FALSE()),"Item type not found"))</f>
        <v/>
      </c>
      <c r="J387" s="164"/>
      <c r="K387" s="164"/>
      <c r="L387" s="164"/>
      <c r="M387" s="164"/>
      <c r="N387" s="164"/>
      <c r="O387" s="165" t="str">
        <f t="shared" si="1"/>
        <v/>
      </c>
      <c r="P387" s="164"/>
      <c r="Q387" s="165" t="str">
        <f t="shared" si="9"/>
        <v/>
      </c>
      <c r="R387" s="165" t="str">
        <f t="shared" si="3"/>
        <v/>
      </c>
      <c r="S387" s="165" t="str">
        <f t="shared" si="10"/>
        <v/>
      </c>
      <c r="T387" s="165" t="str">
        <f t="shared" si="5"/>
        <v/>
      </c>
      <c r="U387" s="165" t="s">
        <v>1349</v>
      </c>
      <c r="V387" s="53"/>
      <c r="W387" s="52" t="str">
        <f t="shared" si="6"/>
        <v/>
      </c>
      <c r="X387" s="52">
        <f t="shared" si="7"/>
        <v>0</v>
      </c>
      <c r="Y387" s="52">
        <f t="shared" si="8"/>
        <v>0</v>
      </c>
      <c r="Z387" s="52" t="str">
        <f>IF(G387="","",IFERROR(VLOOKUP(G387,'Product_Stock_Master产品维护'!$A$2:$L992,11,FALSE),"No"))</f>
        <v/>
      </c>
      <c r="AA387" s="52" t="str">
        <f>IF(G387="","",IFERROR(VLOOKUP(G387,'Product_Stock_Master产品维护'!$A$2:$L992,12,FALSE),""))</f>
        <v/>
      </c>
      <c r="AB387" s="52" t="str">
        <f t="shared" si="11"/>
        <v/>
      </c>
      <c r="AC387" s="52">
        <f t="shared" si="12"/>
        <v>0</v>
      </c>
    </row>
    <row r="388" ht="15.75" customHeight="1">
      <c r="A388" s="163"/>
      <c r="B388" s="163"/>
      <c r="C388" s="164"/>
      <c r="D388" s="164"/>
      <c r="E388" s="164"/>
      <c r="F388" s="164"/>
      <c r="G388" s="164"/>
      <c r="H388" s="165" t="str">
        <f>IF(G388="","",IFERROR(VLOOKUP(G388,'Product_Stock_Master产品维护'!$A$2:$E992,2,FALSE()),"SKU not found"))</f>
        <v/>
      </c>
      <c r="I388" s="165" t="str">
        <f>IF(G388="","",IFERROR(VLOOKUP(G388,'Product_Stock_Master产品维护'!$A$2:$E992,3,FALSE()),"Item type not found"))</f>
        <v/>
      </c>
      <c r="J388" s="164"/>
      <c r="K388" s="164"/>
      <c r="L388" s="164"/>
      <c r="M388" s="164"/>
      <c r="N388" s="164"/>
      <c r="O388" s="165" t="str">
        <f t="shared" si="1"/>
        <v/>
      </c>
      <c r="P388" s="164"/>
      <c r="Q388" s="165" t="str">
        <f t="shared" si="9"/>
        <v/>
      </c>
      <c r="R388" s="165" t="str">
        <f t="shared" si="3"/>
        <v/>
      </c>
      <c r="S388" s="165" t="str">
        <f t="shared" si="10"/>
        <v/>
      </c>
      <c r="T388" s="165" t="str">
        <f t="shared" si="5"/>
        <v/>
      </c>
      <c r="U388" s="165" t="s">
        <v>1350</v>
      </c>
      <c r="V388" s="53"/>
      <c r="W388" s="52" t="str">
        <f t="shared" si="6"/>
        <v/>
      </c>
      <c r="X388" s="52">
        <f t="shared" si="7"/>
        <v>0</v>
      </c>
      <c r="Y388" s="52">
        <f t="shared" si="8"/>
        <v>0</v>
      </c>
      <c r="Z388" s="52" t="str">
        <f>IF(G388="","",IFERROR(VLOOKUP(G388,'Product_Stock_Master产品维护'!$A$2:$L992,11,FALSE),"No"))</f>
        <v/>
      </c>
      <c r="AA388" s="52" t="str">
        <f>IF(G388="","",IFERROR(VLOOKUP(G388,'Product_Stock_Master产品维护'!$A$2:$L992,12,FALSE),""))</f>
        <v/>
      </c>
      <c r="AB388" s="52" t="str">
        <f t="shared" si="11"/>
        <v/>
      </c>
      <c r="AC388" s="52">
        <f t="shared" si="12"/>
        <v>0</v>
      </c>
    </row>
    <row r="389" ht="15.75" customHeight="1">
      <c r="A389" s="163"/>
      <c r="B389" s="163"/>
      <c r="C389" s="164"/>
      <c r="D389" s="164"/>
      <c r="E389" s="164"/>
      <c r="F389" s="164"/>
      <c r="G389" s="164"/>
      <c r="H389" s="165" t="str">
        <f>IF(G389="","",IFERROR(VLOOKUP(G389,'Product_Stock_Master产品维护'!$A$2:$E992,2,FALSE()),"SKU not found"))</f>
        <v/>
      </c>
      <c r="I389" s="165" t="str">
        <f>IF(G389="","",IFERROR(VLOOKUP(G389,'Product_Stock_Master产品维护'!$A$2:$E992,3,FALSE()),"Item type not found"))</f>
        <v/>
      </c>
      <c r="J389" s="164"/>
      <c r="K389" s="164"/>
      <c r="L389" s="164"/>
      <c r="M389" s="164"/>
      <c r="N389" s="164"/>
      <c r="O389" s="165" t="str">
        <f t="shared" si="1"/>
        <v/>
      </c>
      <c r="P389" s="164"/>
      <c r="Q389" s="165" t="str">
        <f t="shared" si="9"/>
        <v/>
      </c>
      <c r="R389" s="165" t="str">
        <f t="shared" si="3"/>
        <v/>
      </c>
      <c r="S389" s="165" t="str">
        <f t="shared" si="10"/>
        <v/>
      </c>
      <c r="T389" s="165" t="str">
        <f t="shared" si="5"/>
        <v/>
      </c>
      <c r="U389" s="165" t="s">
        <v>1351</v>
      </c>
      <c r="V389" s="53"/>
      <c r="W389" s="52" t="str">
        <f t="shared" si="6"/>
        <v/>
      </c>
      <c r="X389" s="52">
        <f t="shared" si="7"/>
        <v>0</v>
      </c>
      <c r="Y389" s="52">
        <f t="shared" si="8"/>
        <v>0</v>
      </c>
      <c r="Z389" s="52" t="str">
        <f>IF(G389="","",IFERROR(VLOOKUP(G389,'Product_Stock_Master产品维护'!$A$2:$L992,11,FALSE),"No"))</f>
        <v/>
      </c>
      <c r="AA389" s="52" t="str">
        <f>IF(G389="","",IFERROR(VLOOKUP(G389,'Product_Stock_Master产品维护'!$A$2:$L992,12,FALSE),""))</f>
        <v/>
      </c>
      <c r="AB389" s="52" t="str">
        <f t="shared" si="11"/>
        <v/>
      </c>
      <c r="AC389" s="52">
        <f t="shared" si="12"/>
        <v>0</v>
      </c>
    </row>
    <row r="390" ht="15.75" customHeight="1">
      <c r="A390" s="163"/>
      <c r="B390" s="163"/>
      <c r="C390" s="164"/>
      <c r="D390" s="164"/>
      <c r="E390" s="164"/>
      <c r="F390" s="164"/>
      <c r="G390" s="164"/>
      <c r="H390" s="165" t="str">
        <f>IF(G390="","",IFERROR(VLOOKUP(G390,'Product_Stock_Master产品维护'!$A$2:$E992,2,FALSE()),"SKU not found"))</f>
        <v/>
      </c>
      <c r="I390" s="165" t="str">
        <f>IF(G390="","",IFERROR(VLOOKUP(G390,'Product_Stock_Master产品维护'!$A$2:$E992,3,FALSE()),"Item type not found"))</f>
        <v/>
      </c>
      <c r="J390" s="164"/>
      <c r="K390" s="164"/>
      <c r="L390" s="164"/>
      <c r="M390" s="164"/>
      <c r="N390" s="164"/>
      <c r="O390" s="165" t="str">
        <f t="shared" si="1"/>
        <v/>
      </c>
      <c r="P390" s="164"/>
      <c r="Q390" s="165" t="str">
        <f t="shared" si="9"/>
        <v/>
      </c>
      <c r="R390" s="165" t="str">
        <f t="shared" si="3"/>
        <v/>
      </c>
      <c r="S390" s="165" t="str">
        <f t="shared" si="10"/>
        <v/>
      </c>
      <c r="T390" s="165" t="str">
        <f t="shared" si="5"/>
        <v/>
      </c>
      <c r="U390" s="165" t="s">
        <v>1352</v>
      </c>
      <c r="V390" s="53"/>
      <c r="W390" s="52" t="str">
        <f t="shared" si="6"/>
        <v/>
      </c>
      <c r="X390" s="52">
        <f t="shared" si="7"/>
        <v>0</v>
      </c>
      <c r="Y390" s="52">
        <f t="shared" si="8"/>
        <v>0</v>
      </c>
      <c r="Z390" s="52" t="str">
        <f>IF(G390="","",IFERROR(VLOOKUP(G390,'Product_Stock_Master产品维护'!$A$2:$L992,11,FALSE),"No"))</f>
        <v/>
      </c>
      <c r="AA390" s="52" t="str">
        <f>IF(G390="","",IFERROR(VLOOKUP(G390,'Product_Stock_Master产品维护'!$A$2:$L992,12,FALSE),""))</f>
        <v/>
      </c>
      <c r="AB390" s="52" t="str">
        <f t="shared" si="11"/>
        <v/>
      </c>
      <c r="AC390" s="52">
        <f t="shared" si="12"/>
        <v>0</v>
      </c>
    </row>
    <row r="391" ht="15.75" customHeight="1">
      <c r="A391" s="163"/>
      <c r="B391" s="163"/>
      <c r="C391" s="164"/>
      <c r="D391" s="164"/>
      <c r="E391" s="164"/>
      <c r="F391" s="164"/>
      <c r="G391" s="164"/>
      <c r="H391" s="165" t="str">
        <f>IF(G391="","",IFERROR(VLOOKUP(G391,'Product_Stock_Master产品维护'!$A$2:$E992,2,FALSE()),"SKU not found"))</f>
        <v/>
      </c>
      <c r="I391" s="165" t="str">
        <f>IF(G391="","",IFERROR(VLOOKUP(G391,'Product_Stock_Master产品维护'!$A$2:$E992,3,FALSE()),"Item type not found"))</f>
        <v/>
      </c>
      <c r="J391" s="164"/>
      <c r="K391" s="164"/>
      <c r="L391" s="164"/>
      <c r="M391" s="164"/>
      <c r="N391" s="164"/>
      <c r="O391" s="165" t="str">
        <f t="shared" si="1"/>
        <v/>
      </c>
      <c r="P391" s="164"/>
      <c r="Q391" s="165" t="str">
        <f t="shared" si="9"/>
        <v/>
      </c>
      <c r="R391" s="165" t="str">
        <f t="shared" si="3"/>
        <v/>
      </c>
      <c r="S391" s="165" t="str">
        <f t="shared" si="10"/>
        <v/>
      </c>
      <c r="T391" s="165" t="str">
        <f t="shared" si="5"/>
        <v/>
      </c>
      <c r="U391" s="165" t="s">
        <v>1353</v>
      </c>
      <c r="V391" s="53"/>
      <c r="W391" s="52" t="str">
        <f t="shared" si="6"/>
        <v/>
      </c>
      <c r="X391" s="52">
        <f t="shared" si="7"/>
        <v>0</v>
      </c>
      <c r="Y391" s="52">
        <f t="shared" si="8"/>
        <v>0</v>
      </c>
      <c r="Z391" s="52" t="str">
        <f>IF(G391="","",IFERROR(VLOOKUP(G391,'Product_Stock_Master产品维护'!$A$2:$L992,11,FALSE),"No"))</f>
        <v/>
      </c>
      <c r="AA391" s="52" t="str">
        <f>IF(G391="","",IFERROR(VLOOKUP(G391,'Product_Stock_Master产品维护'!$A$2:$L992,12,FALSE),""))</f>
        <v/>
      </c>
      <c r="AB391" s="52" t="str">
        <f t="shared" si="11"/>
        <v/>
      </c>
      <c r="AC391" s="52">
        <f t="shared" si="12"/>
        <v>0</v>
      </c>
    </row>
    <row r="392" ht="15.75" customHeight="1">
      <c r="A392" s="163"/>
      <c r="B392" s="163"/>
      <c r="C392" s="164"/>
      <c r="D392" s="164"/>
      <c r="E392" s="164"/>
      <c r="F392" s="164"/>
      <c r="G392" s="164"/>
      <c r="H392" s="165" t="str">
        <f>IF(G392="","",IFERROR(VLOOKUP(G392,'Product_Stock_Master产品维护'!$A$2:$E992,2,FALSE()),"SKU not found"))</f>
        <v/>
      </c>
      <c r="I392" s="165" t="str">
        <f>IF(G392="","",IFERROR(VLOOKUP(G392,'Product_Stock_Master产品维护'!$A$2:$E992,3,FALSE()),"Item type not found"))</f>
        <v/>
      </c>
      <c r="J392" s="164"/>
      <c r="K392" s="164"/>
      <c r="L392" s="164"/>
      <c r="M392" s="164"/>
      <c r="N392" s="164"/>
      <c r="O392" s="165" t="str">
        <f t="shared" si="1"/>
        <v/>
      </c>
      <c r="P392" s="164"/>
      <c r="Q392" s="165" t="str">
        <f t="shared" si="9"/>
        <v/>
      </c>
      <c r="R392" s="165" t="str">
        <f t="shared" si="3"/>
        <v/>
      </c>
      <c r="S392" s="165" t="str">
        <f t="shared" si="10"/>
        <v/>
      </c>
      <c r="T392" s="165" t="str">
        <f t="shared" si="5"/>
        <v/>
      </c>
      <c r="U392" s="165" t="s">
        <v>1354</v>
      </c>
      <c r="V392" s="53"/>
      <c r="W392" s="52" t="str">
        <f t="shared" si="6"/>
        <v/>
      </c>
      <c r="X392" s="52">
        <f t="shared" si="7"/>
        <v>0</v>
      </c>
      <c r="Y392" s="52">
        <f t="shared" si="8"/>
        <v>0</v>
      </c>
      <c r="Z392" s="52" t="str">
        <f>IF(G392="","",IFERROR(VLOOKUP(G392,'Product_Stock_Master产品维护'!$A$2:$L992,11,FALSE),"No"))</f>
        <v/>
      </c>
      <c r="AA392" s="52" t="str">
        <f>IF(G392="","",IFERROR(VLOOKUP(G392,'Product_Stock_Master产品维护'!$A$2:$L992,12,FALSE),""))</f>
        <v/>
      </c>
      <c r="AB392" s="52" t="str">
        <f t="shared" si="11"/>
        <v/>
      </c>
      <c r="AC392" s="52">
        <f t="shared" si="12"/>
        <v>0</v>
      </c>
    </row>
    <row r="393" ht="15.75" customHeight="1">
      <c r="A393" s="163"/>
      <c r="B393" s="163"/>
      <c r="C393" s="164"/>
      <c r="D393" s="164"/>
      <c r="E393" s="164"/>
      <c r="F393" s="164"/>
      <c r="G393" s="164"/>
      <c r="H393" s="165" t="str">
        <f>IF(G393="","",IFERROR(VLOOKUP(G393,'Product_Stock_Master产品维护'!$A$2:$E992,2,FALSE()),"SKU not found"))</f>
        <v/>
      </c>
      <c r="I393" s="165" t="str">
        <f>IF(G393="","",IFERROR(VLOOKUP(G393,'Product_Stock_Master产品维护'!$A$2:$E992,3,FALSE()),"Item type not found"))</f>
        <v/>
      </c>
      <c r="J393" s="164"/>
      <c r="K393" s="164"/>
      <c r="L393" s="164"/>
      <c r="M393" s="164"/>
      <c r="N393" s="164"/>
      <c r="O393" s="165" t="str">
        <f t="shared" si="1"/>
        <v/>
      </c>
      <c r="P393" s="164"/>
      <c r="Q393" s="165" t="str">
        <f t="shared" si="9"/>
        <v/>
      </c>
      <c r="R393" s="165" t="str">
        <f t="shared" si="3"/>
        <v/>
      </c>
      <c r="S393" s="165" t="str">
        <f t="shared" si="10"/>
        <v/>
      </c>
      <c r="T393" s="165" t="str">
        <f t="shared" si="5"/>
        <v/>
      </c>
      <c r="U393" s="165" t="s">
        <v>1355</v>
      </c>
      <c r="V393" s="53"/>
      <c r="W393" s="52" t="str">
        <f t="shared" si="6"/>
        <v/>
      </c>
      <c r="X393" s="52">
        <f t="shared" si="7"/>
        <v>0</v>
      </c>
      <c r="Y393" s="52">
        <f t="shared" si="8"/>
        <v>0</v>
      </c>
      <c r="Z393" s="52" t="str">
        <f>IF(G393="","",IFERROR(VLOOKUP(G393,'Product_Stock_Master产品维护'!$A$2:$L992,11,FALSE),"No"))</f>
        <v/>
      </c>
      <c r="AA393" s="52" t="str">
        <f>IF(G393="","",IFERROR(VLOOKUP(G393,'Product_Stock_Master产品维护'!$A$2:$L992,12,FALSE),""))</f>
        <v/>
      </c>
      <c r="AB393" s="52" t="str">
        <f t="shared" si="11"/>
        <v/>
      </c>
      <c r="AC393" s="52">
        <f t="shared" si="12"/>
        <v>0</v>
      </c>
    </row>
    <row r="394" ht="15.75" customHeight="1">
      <c r="A394" s="163"/>
      <c r="B394" s="163"/>
      <c r="C394" s="164"/>
      <c r="D394" s="164"/>
      <c r="E394" s="164"/>
      <c r="F394" s="164"/>
      <c r="G394" s="164"/>
      <c r="H394" s="165" t="str">
        <f>IF(G394="","",IFERROR(VLOOKUP(G394,'Product_Stock_Master产品维护'!$A$2:$E992,2,FALSE()),"SKU not found"))</f>
        <v/>
      </c>
      <c r="I394" s="165" t="str">
        <f>IF(G394="","",IFERROR(VLOOKUP(G394,'Product_Stock_Master产品维护'!$A$2:$E992,3,FALSE()),"Item type not found"))</f>
        <v/>
      </c>
      <c r="J394" s="164"/>
      <c r="K394" s="164"/>
      <c r="L394" s="164"/>
      <c r="M394" s="164"/>
      <c r="N394" s="164"/>
      <c r="O394" s="165" t="str">
        <f t="shared" si="1"/>
        <v/>
      </c>
      <c r="P394" s="164"/>
      <c r="Q394" s="165" t="str">
        <f t="shared" si="9"/>
        <v/>
      </c>
      <c r="R394" s="165" t="str">
        <f t="shared" si="3"/>
        <v/>
      </c>
      <c r="S394" s="165" t="str">
        <f t="shared" si="10"/>
        <v/>
      </c>
      <c r="T394" s="165" t="str">
        <f t="shared" si="5"/>
        <v/>
      </c>
      <c r="U394" s="165" t="s">
        <v>1356</v>
      </c>
      <c r="V394" s="53"/>
      <c r="W394" s="52" t="str">
        <f t="shared" si="6"/>
        <v/>
      </c>
      <c r="X394" s="52">
        <f t="shared" si="7"/>
        <v>0</v>
      </c>
      <c r="Y394" s="52">
        <f t="shared" si="8"/>
        <v>0</v>
      </c>
      <c r="Z394" s="52" t="str">
        <f>IF(G394="","",IFERROR(VLOOKUP(G394,'Product_Stock_Master产品维护'!$A$2:$L992,11,FALSE),"No"))</f>
        <v/>
      </c>
      <c r="AA394" s="52" t="str">
        <f>IF(G394="","",IFERROR(VLOOKUP(G394,'Product_Stock_Master产品维护'!$A$2:$L992,12,FALSE),""))</f>
        <v/>
      </c>
      <c r="AB394" s="52" t="str">
        <f t="shared" si="11"/>
        <v/>
      </c>
      <c r="AC394" s="52">
        <f t="shared" si="12"/>
        <v>0</v>
      </c>
    </row>
    <row r="395" ht="15.75" customHeight="1">
      <c r="A395" s="163"/>
      <c r="B395" s="163"/>
      <c r="C395" s="164"/>
      <c r="D395" s="164"/>
      <c r="E395" s="164"/>
      <c r="F395" s="164"/>
      <c r="G395" s="164"/>
      <c r="H395" s="165" t="str">
        <f>IF(G395="","",IFERROR(VLOOKUP(G395,'Product_Stock_Master产品维护'!$A$2:$E992,2,FALSE()),"SKU not found"))</f>
        <v/>
      </c>
      <c r="I395" s="165" t="str">
        <f>IF(G395="","",IFERROR(VLOOKUP(G395,'Product_Stock_Master产品维护'!$A$2:$E992,3,FALSE()),"Item type not found"))</f>
        <v/>
      </c>
      <c r="J395" s="164"/>
      <c r="K395" s="164"/>
      <c r="L395" s="164"/>
      <c r="M395" s="164"/>
      <c r="N395" s="164"/>
      <c r="O395" s="165" t="str">
        <f t="shared" si="1"/>
        <v/>
      </c>
      <c r="P395" s="164"/>
      <c r="Q395" s="165" t="str">
        <f t="shared" si="9"/>
        <v/>
      </c>
      <c r="R395" s="165" t="str">
        <f t="shared" si="3"/>
        <v/>
      </c>
      <c r="S395" s="165" t="str">
        <f t="shared" si="10"/>
        <v/>
      </c>
      <c r="T395" s="165" t="str">
        <f t="shared" si="5"/>
        <v/>
      </c>
      <c r="U395" s="165" t="s">
        <v>1357</v>
      </c>
      <c r="V395" s="53"/>
      <c r="W395" s="52" t="str">
        <f t="shared" si="6"/>
        <v/>
      </c>
      <c r="X395" s="52">
        <f t="shared" si="7"/>
        <v>0</v>
      </c>
      <c r="Y395" s="52">
        <f t="shared" si="8"/>
        <v>0</v>
      </c>
      <c r="Z395" s="52" t="str">
        <f>IF(G395="","",IFERROR(VLOOKUP(G395,'Product_Stock_Master产品维护'!$A$2:$L992,11,FALSE),"No"))</f>
        <v/>
      </c>
      <c r="AA395" s="52" t="str">
        <f>IF(G395="","",IFERROR(VLOOKUP(G395,'Product_Stock_Master产品维护'!$A$2:$L992,12,FALSE),""))</f>
        <v/>
      </c>
      <c r="AB395" s="52" t="str">
        <f t="shared" si="11"/>
        <v/>
      </c>
      <c r="AC395" s="52">
        <f t="shared" si="12"/>
        <v>0</v>
      </c>
    </row>
    <row r="396" ht="15.75" customHeight="1">
      <c r="A396" s="163"/>
      <c r="B396" s="163"/>
      <c r="C396" s="164"/>
      <c r="D396" s="164"/>
      <c r="E396" s="164"/>
      <c r="F396" s="164"/>
      <c r="G396" s="164"/>
      <c r="H396" s="165" t="str">
        <f>IF(G396="","",IFERROR(VLOOKUP(G396,'Product_Stock_Master产品维护'!$A$2:$E992,2,FALSE()),"SKU not found"))</f>
        <v/>
      </c>
      <c r="I396" s="165" t="str">
        <f>IF(G396="","",IFERROR(VLOOKUP(G396,'Product_Stock_Master产品维护'!$A$2:$E992,3,FALSE()),"Item type not found"))</f>
        <v/>
      </c>
      <c r="J396" s="164"/>
      <c r="K396" s="164"/>
      <c r="L396" s="164"/>
      <c r="M396" s="164"/>
      <c r="N396" s="164"/>
      <c r="O396" s="165" t="str">
        <f t="shared" si="1"/>
        <v/>
      </c>
      <c r="P396" s="164"/>
      <c r="Q396" s="165" t="str">
        <f t="shared" si="9"/>
        <v/>
      </c>
      <c r="R396" s="165" t="str">
        <f t="shared" si="3"/>
        <v/>
      </c>
      <c r="S396" s="165" t="str">
        <f t="shared" si="10"/>
        <v/>
      </c>
      <c r="T396" s="165" t="str">
        <f t="shared" si="5"/>
        <v/>
      </c>
      <c r="U396" s="165" t="s">
        <v>1358</v>
      </c>
      <c r="V396" s="53"/>
      <c r="W396" s="52" t="str">
        <f t="shared" si="6"/>
        <v/>
      </c>
      <c r="X396" s="52">
        <f t="shared" si="7"/>
        <v>0</v>
      </c>
      <c r="Y396" s="52">
        <f t="shared" si="8"/>
        <v>0</v>
      </c>
      <c r="Z396" s="52" t="str">
        <f>IF(G396="","",IFERROR(VLOOKUP(G396,'Product_Stock_Master产品维护'!$A$2:$L992,11,FALSE),"No"))</f>
        <v/>
      </c>
      <c r="AA396" s="52" t="str">
        <f>IF(G396="","",IFERROR(VLOOKUP(G396,'Product_Stock_Master产品维护'!$A$2:$L992,12,FALSE),""))</f>
        <v/>
      </c>
      <c r="AB396" s="52" t="str">
        <f t="shared" si="11"/>
        <v/>
      </c>
      <c r="AC396" s="52">
        <f t="shared" si="12"/>
        <v>0</v>
      </c>
    </row>
    <row r="397" ht="15.75" customHeight="1">
      <c r="A397" s="163"/>
      <c r="B397" s="163"/>
      <c r="C397" s="164"/>
      <c r="D397" s="164"/>
      <c r="E397" s="164"/>
      <c r="F397" s="164"/>
      <c r="G397" s="164"/>
      <c r="H397" s="165" t="str">
        <f>IF(G397="","",IFERROR(VLOOKUP(G397,'Product_Stock_Master产品维护'!$A$2:$E992,2,FALSE()),"SKU not found"))</f>
        <v/>
      </c>
      <c r="I397" s="165" t="str">
        <f>IF(G397="","",IFERROR(VLOOKUP(G397,'Product_Stock_Master产品维护'!$A$2:$E992,3,FALSE()),"Item type not found"))</f>
        <v/>
      </c>
      <c r="J397" s="164"/>
      <c r="K397" s="164"/>
      <c r="L397" s="164"/>
      <c r="M397" s="164"/>
      <c r="N397" s="164"/>
      <c r="O397" s="165" t="str">
        <f t="shared" si="1"/>
        <v/>
      </c>
      <c r="P397" s="164"/>
      <c r="Q397" s="165" t="str">
        <f t="shared" si="9"/>
        <v/>
      </c>
      <c r="R397" s="165" t="str">
        <f t="shared" si="3"/>
        <v/>
      </c>
      <c r="S397" s="165" t="str">
        <f t="shared" si="10"/>
        <v/>
      </c>
      <c r="T397" s="165" t="str">
        <f t="shared" si="5"/>
        <v/>
      </c>
      <c r="U397" s="165" t="s">
        <v>1359</v>
      </c>
      <c r="V397" s="53"/>
      <c r="W397" s="52" t="str">
        <f t="shared" si="6"/>
        <v/>
      </c>
      <c r="X397" s="52">
        <f t="shared" si="7"/>
        <v>0</v>
      </c>
      <c r="Y397" s="52">
        <f t="shared" si="8"/>
        <v>0</v>
      </c>
      <c r="Z397" s="52" t="str">
        <f>IF(G397="","",IFERROR(VLOOKUP(G397,'Product_Stock_Master产品维护'!$A$2:$L992,11,FALSE),"No"))</f>
        <v/>
      </c>
      <c r="AA397" s="52" t="str">
        <f>IF(G397="","",IFERROR(VLOOKUP(G397,'Product_Stock_Master产品维护'!$A$2:$L992,12,FALSE),""))</f>
        <v/>
      </c>
      <c r="AB397" s="52" t="str">
        <f t="shared" si="11"/>
        <v/>
      </c>
      <c r="AC397" s="52">
        <f t="shared" si="12"/>
        <v>0</v>
      </c>
    </row>
    <row r="398" ht="15.75" customHeight="1">
      <c r="A398" s="163"/>
      <c r="B398" s="163"/>
      <c r="C398" s="164"/>
      <c r="D398" s="164"/>
      <c r="E398" s="164"/>
      <c r="F398" s="164"/>
      <c r="G398" s="164"/>
      <c r="H398" s="165" t="str">
        <f>IF(G398="","",IFERROR(VLOOKUP(G398,'Product_Stock_Master产品维护'!$A$2:$E992,2,FALSE()),"SKU not found"))</f>
        <v/>
      </c>
      <c r="I398" s="165" t="str">
        <f>IF(G398="","",IFERROR(VLOOKUP(G398,'Product_Stock_Master产品维护'!$A$2:$E992,3,FALSE()),"Item type not found"))</f>
        <v/>
      </c>
      <c r="J398" s="164"/>
      <c r="K398" s="164"/>
      <c r="L398" s="164"/>
      <c r="M398" s="164"/>
      <c r="N398" s="164"/>
      <c r="O398" s="165" t="str">
        <f t="shared" si="1"/>
        <v/>
      </c>
      <c r="P398" s="164"/>
      <c r="Q398" s="165" t="str">
        <f t="shared" si="9"/>
        <v/>
      </c>
      <c r="R398" s="165" t="str">
        <f t="shared" si="3"/>
        <v/>
      </c>
      <c r="S398" s="165" t="str">
        <f t="shared" si="10"/>
        <v/>
      </c>
      <c r="T398" s="165" t="str">
        <f t="shared" si="5"/>
        <v/>
      </c>
      <c r="U398" s="165" t="s">
        <v>1360</v>
      </c>
      <c r="V398" s="53"/>
      <c r="W398" s="52" t="str">
        <f t="shared" si="6"/>
        <v/>
      </c>
      <c r="X398" s="52">
        <f t="shared" si="7"/>
        <v>0</v>
      </c>
      <c r="Y398" s="52">
        <f t="shared" si="8"/>
        <v>0</v>
      </c>
      <c r="Z398" s="52" t="str">
        <f>IF(G398="","",IFERROR(VLOOKUP(G398,'Product_Stock_Master产品维护'!$A$2:$L992,11,FALSE),"No"))</f>
        <v/>
      </c>
      <c r="AA398" s="52" t="str">
        <f>IF(G398="","",IFERROR(VLOOKUP(G398,'Product_Stock_Master产品维护'!$A$2:$L992,12,FALSE),""))</f>
        <v/>
      </c>
      <c r="AB398" s="52" t="str">
        <f t="shared" si="11"/>
        <v/>
      </c>
      <c r="AC398" s="52">
        <f t="shared" si="12"/>
        <v>0</v>
      </c>
    </row>
    <row r="399" ht="15.75" customHeight="1">
      <c r="A399" s="163"/>
      <c r="B399" s="163"/>
      <c r="C399" s="164"/>
      <c r="D399" s="164"/>
      <c r="E399" s="164"/>
      <c r="F399" s="164"/>
      <c r="G399" s="164"/>
      <c r="H399" s="165" t="str">
        <f>IF(G399="","",IFERROR(VLOOKUP(G399,'Product_Stock_Master产品维护'!$A$2:$E992,2,FALSE()),"SKU not found"))</f>
        <v/>
      </c>
      <c r="I399" s="165" t="str">
        <f>IF(G399="","",IFERROR(VLOOKUP(G399,'Product_Stock_Master产品维护'!$A$2:$E992,3,FALSE()),"Item type not found"))</f>
        <v/>
      </c>
      <c r="J399" s="164"/>
      <c r="K399" s="164"/>
      <c r="L399" s="164"/>
      <c r="M399" s="164"/>
      <c r="N399" s="164"/>
      <c r="O399" s="165" t="str">
        <f t="shared" si="1"/>
        <v/>
      </c>
      <c r="P399" s="164"/>
      <c r="Q399" s="165" t="str">
        <f t="shared" si="9"/>
        <v/>
      </c>
      <c r="R399" s="165" t="str">
        <f t="shared" si="3"/>
        <v/>
      </c>
      <c r="S399" s="165" t="str">
        <f t="shared" si="10"/>
        <v/>
      </c>
      <c r="T399" s="165" t="str">
        <f t="shared" si="5"/>
        <v/>
      </c>
      <c r="U399" s="165" t="s">
        <v>1361</v>
      </c>
      <c r="V399" s="53"/>
      <c r="W399" s="52" t="str">
        <f t="shared" si="6"/>
        <v/>
      </c>
      <c r="X399" s="52">
        <f t="shared" si="7"/>
        <v>0</v>
      </c>
      <c r="Y399" s="52">
        <f t="shared" si="8"/>
        <v>0</v>
      </c>
      <c r="Z399" s="52" t="str">
        <f>IF(G399="","",IFERROR(VLOOKUP(G399,'Product_Stock_Master产品维护'!$A$2:$L992,11,FALSE),"No"))</f>
        <v/>
      </c>
      <c r="AA399" s="52" t="str">
        <f>IF(G399="","",IFERROR(VLOOKUP(G399,'Product_Stock_Master产品维护'!$A$2:$L992,12,FALSE),""))</f>
        <v/>
      </c>
      <c r="AB399" s="52" t="str">
        <f t="shared" si="11"/>
        <v/>
      </c>
      <c r="AC399" s="52">
        <f t="shared" si="12"/>
        <v>0</v>
      </c>
    </row>
    <row r="400" ht="15.75" customHeight="1">
      <c r="A400" s="163"/>
      <c r="B400" s="163"/>
      <c r="C400" s="164"/>
      <c r="D400" s="164"/>
      <c r="E400" s="164"/>
      <c r="F400" s="164"/>
      <c r="G400" s="164"/>
      <c r="H400" s="165" t="str">
        <f>IF(G400="","",IFERROR(VLOOKUP(G400,'Product_Stock_Master产品维护'!$A$2:$E992,2,FALSE()),"SKU not found"))</f>
        <v/>
      </c>
      <c r="I400" s="165" t="str">
        <f>IF(G400="","",IFERROR(VLOOKUP(G400,'Product_Stock_Master产品维护'!$A$2:$E992,3,FALSE()),"Item type not found"))</f>
        <v/>
      </c>
      <c r="J400" s="164"/>
      <c r="K400" s="164"/>
      <c r="L400" s="164"/>
      <c r="M400" s="164"/>
      <c r="N400" s="164"/>
      <c r="O400" s="165" t="str">
        <f t="shared" si="1"/>
        <v/>
      </c>
      <c r="P400" s="164"/>
      <c r="Q400" s="165" t="str">
        <f t="shared" si="9"/>
        <v/>
      </c>
      <c r="R400" s="165" t="str">
        <f t="shared" si="3"/>
        <v/>
      </c>
      <c r="S400" s="165" t="str">
        <f t="shared" si="10"/>
        <v/>
      </c>
      <c r="T400" s="165" t="str">
        <f t="shared" si="5"/>
        <v/>
      </c>
      <c r="U400" s="165" t="s">
        <v>1362</v>
      </c>
      <c r="V400" s="53"/>
      <c r="W400" s="52" t="str">
        <f t="shared" si="6"/>
        <v/>
      </c>
      <c r="X400" s="52">
        <f t="shared" si="7"/>
        <v>0</v>
      </c>
      <c r="Y400" s="52">
        <f t="shared" si="8"/>
        <v>0</v>
      </c>
      <c r="Z400" s="52" t="str">
        <f>IF(G400="","",IFERROR(VLOOKUP(G400,'Product_Stock_Master产品维护'!$A$2:$L992,11,FALSE),"No"))</f>
        <v/>
      </c>
      <c r="AA400" s="52" t="str">
        <f>IF(G400="","",IFERROR(VLOOKUP(G400,'Product_Stock_Master产品维护'!$A$2:$L992,12,FALSE),""))</f>
        <v/>
      </c>
      <c r="AB400" s="52" t="str">
        <f t="shared" si="11"/>
        <v/>
      </c>
      <c r="AC400" s="52">
        <f t="shared" si="12"/>
        <v>0</v>
      </c>
    </row>
    <row r="401" ht="15.75" customHeight="1">
      <c r="A401" s="163"/>
      <c r="B401" s="163"/>
      <c r="C401" s="164"/>
      <c r="D401" s="164"/>
      <c r="E401" s="164"/>
      <c r="F401" s="164"/>
      <c r="G401" s="164"/>
      <c r="H401" s="165" t="str">
        <f>IF(G401="","",IFERROR(VLOOKUP(G401,'Product_Stock_Master产品维护'!$A$2:$E992,2,FALSE()),"SKU not found"))</f>
        <v/>
      </c>
      <c r="I401" s="165" t="str">
        <f>IF(G401="","",IFERROR(VLOOKUP(G401,'Product_Stock_Master产品维护'!$A$2:$E992,3,FALSE()),"Item type not found"))</f>
        <v/>
      </c>
      <c r="J401" s="164"/>
      <c r="K401" s="164"/>
      <c r="L401" s="164"/>
      <c r="M401" s="164"/>
      <c r="N401" s="164"/>
      <c r="O401" s="165" t="str">
        <f t="shared" si="1"/>
        <v/>
      </c>
      <c r="P401" s="164"/>
      <c r="Q401" s="165" t="str">
        <f t="shared" si="9"/>
        <v/>
      </c>
      <c r="R401" s="165" t="str">
        <f t="shared" si="3"/>
        <v/>
      </c>
      <c r="S401" s="165" t="str">
        <f t="shared" si="10"/>
        <v/>
      </c>
      <c r="T401" s="165" t="str">
        <f t="shared" si="5"/>
        <v/>
      </c>
      <c r="U401" s="165" t="s">
        <v>1363</v>
      </c>
      <c r="V401" s="53"/>
      <c r="W401" s="52" t="str">
        <f t="shared" si="6"/>
        <v/>
      </c>
      <c r="X401" s="52">
        <f t="shared" si="7"/>
        <v>0</v>
      </c>
      <c r="Y401" s="52">
        <f t="shared" si="8"/>
        <v>0</v>
      </c>
      <c r="Z401" s="52" t="str">
        <f>IF(G401="","",IFERROR(VLOOKUP(G401,'Product_Stock_Master产品维护'!$A$2:$L992,11,FALSE),"No"))</f>
        <v/>
      </c>
      <c r="AA401" s="52" t="str">
        <f>IF(G401="","",IFERROR(VLOOKUP(G401,'Product_Stock_Master产品维护'!$A$2:$L992,12,FALSE),""))</f>
        <v/>
      </c>
      <c r="AB401" s="52" t="str">
        <f t="shared" si="11"/>
        <v/>
      </c>
      <c r="AC401" s="52">
        <f t="shared" si="12"/>
        <v>0</v>
      </c>
    </row>
    <row r="402" ht="15.75" customHeight="1">
      <c r="A402" s="163"/>
      <c r="B402" s="163"/>
      <c r="C402" s="164"/>
      <c r="D402" s="164"/>
      <c r="E402" s="164"/>
      <c r="F402" s="164"/>
      <c r="G402" s="164"/>
      <c r="H402" s="165" t="str">
        <f>IF(G402="","",IFERROR(VLOOKUP(G402,'Product_Stock_Master产品维护'!$A$2:$E992,2,FALSE()),"SKU not found"))</f>
        <v/>
      </c>
      <c r="I402" s="165" t="str">
        <f>IF(G402="","",IFERROR(VLOOKUP(G402,'Product_Stock_Master产品维护'!$A$2:$E992,3,FALSE()),"Item type not found"))</f>
        <v/>
      </c>
      <c r="J402" s="164"/>
      <c r="K402" s="164"/>
      <c r="L402" s="164"/>
      <c r="M402" s="164"/>
      <c r="N402" s="164"/>
      <c r="O402" s="165" t="str">
        <f t="shared" si="1"/>
        <v/>
      </c>
      <c r="P402" s="164"/>
      <c r="Q402" s="165" t="str">
        <f t="shared" si="9"/>
        <v/>
      </c>
      <c r="R402" s="165" t="str">
        <f t="shared" si="3"/>
        <v/>
      </c>
      <c r="S402" s="165" t="str">
        <f t="shared" si="10"/>
        <v/>
      </c>
      <c r="T402" s="165" t="str">
        <f t="shared" si="5"/>
        <v/>
      </c>
      <c r="U402" s="165" t="s">
        <v>1364</v>
      </c>
      <c r="V402" s="53"/>
      <c r="W402" s="52" t="str">
        <f t="shared" si="6"/>
        <v/>
      </c>
      <c r="X402" s="52">
        <f t="shared" si="7"/>
        <v>0</v>
      </c>
      <c r="Y402" s="52">
        <f t="shared" si="8"/>
        <v>0</v>
      </c>
      <c r="Z402" s="52" t="str">
        <f>IF(G402="","",IFERROR(VLOOKUP(G402,'Product_Stock_Master产品维护'!$A$2:$L992,11,FALSE),"No"))</f>
        <v/>
      </c>
      <c r="AA402" s="52" t="str">
        <f>IF(G402="","",IFERROR(VLOOKUP(G402,'Product_Stock_Master产品维护'!$A$2:$L992,12,FALSE),""))</f>
        <v/>
      </c>
      <c r="AB402" s="52" t="str">
        <f t="shared" si="11"/>
        <v/>
      </c>
      <c r="AC402" s="52">
        <f t="shared" si="12"/>
        <v>0</v>
      </c>
    </row>
    <row r="403" ht="15.75" customHeight="1">
      <c r="A403" s="163"/>
      <c r="B403" s="163"/>
      <c r="C403" s="164"/>
      <c r="D403" s="164"/>
      <c r="E403" s="164"/>
      <c r="F403" s="164"/>
      <c r="G403" s="164"/>
      <c r="H403" s="165" t="str">
        <f>IF(G403="","",IFERROR(VLOOKUP(G403,'Product_Stock_Master产品维护'!$A$2:$E992,2,FALSE()),"SKU not found"))</f>
        <v/>
      </c>
      <c r="I403" s="165" t="str">
        <f>IF(G403="","",IFERROR(VLOOKUP(G403,'Product_Stock_Master产品维护'!$A$2:$E992,3,FALSE()),"Item type not found"))</f>
        <v/>
      </c>
      <c r="J403" s="164"/>
      <c r="K403" s="164"/>
      <c r="L403" s="164"/>
      <c r="M403" s="164"/>
      <c r="N403" s="164"/>
      <c r="O403" s="165" t="str">
        <f t="shared" si="1"/>
        <v/>
      </c>
      <c r="P403" s="164"/>
      <c r="Q403" s="165" t="str">
        <f t="shared" si="9"/>
        <v/>
      </c>
      <c r="R403" s="165" t="str">
        <f t="shared" si="3"/>
        <v/>
      </c>
      <c r="S403" s="165" t="str">
        <f t="shared" si="10"/>
        <v/>
      </c>
      <c r="T403" s="165" t="str">
        <f t="shared" si="5"/>
        <v/>
      </c>
      <c r="U403" s="165" t="s">
        <v>1365</v>
      </c>
      <c r="V403" s="53"/>
      <c r="W403" s="52" t="str">
        <f t="shared" si="6"/>
        <v/>
      </c>
      <c r="X403" s="52">
        <f t="shared" si="7"/>
        <v>0</v>
      </c>
      <c r="Y403" s="52">
        <f t="shared" si="8"/>
        <v>0</v>
      </c>
      <c r="Z403" s="52" t="str">
        <f>IF(G403="","",IFERROR(VLOOKUP(G403,'Product_Stock_Master产品维护'!$A$2:$L992,11,FALSE),"No"))</f>
        <v/>
      </c>
      <c r="AA403" s="52" t="str">
        <f>IF(G403="","",IFERROR(VLOOKUP(G403,'Product_Stock_Master产品维护'!$A$2:$L992,12,FALSE),""))</f>
        <v/>
      </c>
      <c r="AB403" s="52" t="str">
        <f t="shared" si="11"/>
        <v/>
      </c>
      <c r="AC403" s="52">
        <f t="shared" si="12"/>
        <v>0</v>
      </c>
    </row>
    <row r="404" ht="15.75" customHeight="1">
      <c r="A404" s="163"/>
      <c r="B404" s="163"/>
      <c r="C404" s="164"/>
      <c r="D404" s="164"/>
      <c r="E404" s="164"/>
      <c r="F404" s="164"/>
      <c r="G404" s="164"/>
      <c r="H404" s="165" t="str">
        <f>IF(G404="","",IFERROR(VLOOKUP(G404,'Product_Stock_Master产品维护'!$A$2:$E992,2,FALSE()),"SKU not found"))</f>
        <v/>
      </c>
      <c r="I404" s="165" t="str">
        <f>IF(G404="","",IFERROR(VLOOKUP(G404,'Product_Stock_Master产品维护'!$A$2:$E992,3,FALSE()),"Item type not found"))</f>
        <v/>
      </c>
      <c r="J404" s="164"/>
      <c r="K404" s="164"/>
      <c r="L404" s="164"/>
      <c r="M404" s="164"/>
      <c r="N404" s="164"/>
      <c r="O404" s="165" t="str">
        <f t="shared" si="1"/>
        <v/>
      </c>
      <c r="P404" s="164"/>
      <c r="Q404" s="165" t="str">
        <f t="shared" si="9"/>
        <v/>
      </c>
      <c r="R404" s="165" t="str">
        <f t="shared" si="3"/>
        <v/>
      </c>
      <c r="S404" s="165" t="str">
        <f t="shared" si="10"/>
        <v/>
      </c>
      <c r="T404" s="165" t="str">
        <f t="shared" si="5"/>
        <v/>
      </c>
      <c r="U404" s="165" t="s">
        <v>1366</v>
      </c>
      <c r="V404" s="53"/>
      <c r="W404" s="52" t="str">
        <f t="shared" si="6"/>
        <v/>
      </c>
      <c r="X404" s="52">
        <f t="shared" si="7"/>
        <v>0</v>
      </c>
      <c r="Y404" s="52">
        <f t="shared" si="8"/>
        <v>0</v>
      </c>
      <c r="Z404" s="52" t="str">
        <f>IF(G404="","",IFERROR(VLOOKUP(G404,'Product_Stock_Master产品维护'!$A$2:$L992,11,FALSE),"No"))</f>
        <v/>
      </c>
      <c r="AA404" s="52" t="str">
        <f>IF(G404="","",IFERROR(VLOOKUP(G404,'Product_Stock_Master产品维护'!$A$2:$L992,12,FALSE),""))</f>
        <v/>
      </c>
      <c r="AB404" s="52" t="str">
        <f t="shared" si="11"/>
        <v/>
      </c>
      <c r="AC404" s="52">
        <f t="shared" si="12"/>
        <v>0</v>
      </c>
    </row>
    <row r="405" ht="15.75" customHeight="1">
      <c r="A405" s="163"/>
      <c r="B405" s="163"/>
      <c r="C405" s="164"/>
      <c r="D405" s="164"/>
      <c r="E405" s="164"/>
      <c r="F405" s="164"/>
      <c r="G405" s="164"/>
      <c r="H405" s="165" t="str">
        <f>IF(G405="","",IFERROR(VLOOKUP(G405,'Product_Stock_Master产品维护'!$A$2:$E992,2,FALSE()),"SKU not found"))</f>
        <v/>
      </c>
      <c r="I405" s="165" t="str">
        <f>IF(G405="","",IFERROR(VLOOKUP(G405,'Product_Stock_Master产品维护'!$A$2:$E992,3,FALSE()),"Item type not found"))</f>
        <v/>
      </c>
      <c r="J405" s="164"/>
      <c r="K405" s="164"/>
      <c r="L405" s="164"/>
      <c r="M405" s="164"/>
      <c r="N405" s="164"/>
      <c r="O405" s="165" t="str">
        <f t="shared" si="1"/>
        <v/>
      </c>
      <c r="P405" s="164"/>
      <c r="Q405" s="165" t="str">
        <f t="shared" si="9"/>
        <v/>
      </c>
      <c r="R405" s="165" t="str">
        <f t="shared" si="3"/>
        <v/>
      </c>
      <c r="S405" s="165" t="str">
        <f t="shared" si="10"/>
        <v/>
      </c>
      <c r="T405" s="165" t="str">
        <f t="shared" si="5"/>
        <v/>
      </c>
      <c r="U405" s="165" t="s">
        <v>1367</v>
      </c>
      <c r="V405" s="53"/>
      <c r="W405" s="52" t="str">
        <f t="shared" si="6"/>
        <v/>
      </c>
      <c r="X405" s="52">
        <f t="shared" si="7"/>
        <v>0</v>
      </c>
      <c r="Y405" s="52">
        <f t="shared" si="8"/>
        <v>0</v>
      </c>
      <c r="Z405" s="52" t="str">
        <f>IF(G405="","",IFERROR(VLOOKUP(G405,'Product_Stock_Master产品维护'!$A$2:$L992,11,FALSE),"No"))</f>
        <v/>
      </c>
      <c r="AA405" s="52" t="str">
        <f>IF(G405="","",IFERROR(VLOOKUP(G405,'Product_Stock_Master产品维护'!$A$2:$L992,12,FALSE),""))</f>
        <v/>
      </c>
      <c r="AB405" s="52" t="str">
        <f t="shared" si="11"/>
        <v/>
      </c>
      <c r="AC405" s="52">
        <f t="shared" si="12"/>
        <v>0</v>
      </c>
    </row>
    <row r="406" ht="15.75" customHeight="1">
      <c r="A406" s="163"/>
      <c r="B406" s="163"/>
      <c r="C406" s="164"/>
      <c r="D406" s="164"/>
      <c r="E406" s="164"/>
      <c r="F406" s="164"/>
      <c r="G406" s="164"/>
      <c r="H406" s="165" t="str">
        <f>IF(G406="","",IFERROR(VLOOKUP(G406,'Product_Stock_Master产品维护'!$A$2:$E992,2,FALSE()),"SKU not found"))</f>
        <v/>
      </c>
      <c r="I406" s="165" t="str">
        <f>IF(G406="","",IFERROR(VLOOKUP(G406,'Product_Stock_Master产品维护'!$A$2:$E992,3,FALSE()),"Item type not found"))</f>
        <v/>
      </c>
      <c r="J406" s="164"/>
      <c r="K406" s="164"/>
      <c r="L406" s="164"/>
      <c r="M406" s="164"/>
      <c r="N406" s="164"/>
      <c r="O406" s="165" t="str">
        <f t="shared" si="1"/>
        <v/>
      </c>
      <c r="P406" s="164"/>
      <c r="Q406" s="165" t="str">
        <f t="shared" si="9"/>
        <v/>
      </c>
      <c r="R406" s="165" t="str">
        <f t="shared" si="3"/>
        <v/>
      </c>
      <c r="S406" s="165" t="str">
        <f t="shared" si="10"/>
        <v/>
      </c>
      <c r="T406" s="165" t="str">
        <f t="shared" si="5"/>
        <v/>
      </c>
      <c r="U406" s="165" t="s">
        <v>1368</v>
      </c>
      <c r="V406" s="53"/>
      <c r="W406" s="52" t="str">
        <f t="shared" si="6"/>
        <v/>
      </c>
      <c r="X406" s="52">
        <f t="shared" si="7"/>
        <v>0</v>
      </c>
      <c r="Y406" s="52">
        <f t="shared" si="8"/>
        <v>0</v>
      </c>
      <c r="Z406" s="52" t="str">
        <f>IF(G406="","",IFERROR(VLOOKUP(G406,'Product_Stock_Master产品维护'!$A$2:$L992,11,FALSE),"No"))</f>
        <v/>
      </c>
      <c r="AA406" s="52" t="str">
        <f>IF(G406="","",IFERROR(VLOOKUP(G406,'Product_Stock_Master产品维护'!$A$2:$L992,12,FALSE),""))</f>
        <v/>
      </c>
      <c r="AB406" s="52" t="str">
        <f t="shared" si="11"/>
        <v/>
      </c>
      <c r="AC406" s="52">
        <f t="shared" si="12"/>
        <v>0</v>
      </c>
    </row>
    <row r="407" ht="15.75" customHeight="1">
      <c r="A407" s="163"/>
      <c r="B407" s="163"/>
      <c r="C407" s="164"/>
      <c r="D407" s="164"/>
      <c r="E407" s="164"/>
      <c r="F407" s="164"/>
      <c r="G407" s="164"/>
      <c r="H407" s="165" t="str">
        <f>IF(G407="","",IFERROR(VLOOKUP(G407,'Product_Stock_Master产品维护'!$A$2:$E992,2,FALSE()),"SKU not found"))</f>
        <v/>
      </c>
      <c r="I407" s="165" t="str">
        <f>IF(G407="","",IFERROR(VLOOKUP(G407,'Product_Stock_Master产品维护'!$A$2:$E992,3,FALSE()),"Item type not found"))</f>
        <v/>
      </c>
      <c r="J407" s="164"/>
      <c r="K407" s="164"/>
      <c r="L407" s="164"/>
      <c r="M407" s="164"/>
      <c r="N407" s="164"/>
      <c r="O407" s="165" t="str">
        <f t="shared" si="1"/>
        <v/>
      </c>
      <c r="P407" s="164"/>
      <c r="Q407" s="165" t="str">
        <f t="shared" si="9"/>
        <v/>
      </c>
      <c r="R407" s="165" t="str">
        <f t="shared" si="3"/>
        <v/>
      </c>
      <c r="S407" s="165" t="str">
        <f t="shared" si="10"/>
        <v/>
      </c>
      <c r="T407" s="165" t="str">
        <f t="shared" si="5"/>
        <v/>
      </c>
      <c r="U407" s="165" t="s">
        <v>1369</v>
      </c>
      <c r="V407" s="53"/>
      <c r="W407" s="52" t="str">
        <f t="shared" si="6"/>
        <v/>
      </c>
      <c r="X407" s="52">
        <f t="shared" si="7"/>
        <v>0</v>
      </c>
      <c r="Y407" s="52">
        <f t="shared" si="8"/>
        <v>0</v>
      </c>
      <c r="Z407" s="52" t="str">
        <f>IF(G407="","",IFERROR(VLOOKUP(G407,'Product_Stock_Master产品维护'!$A$2:$L992,11,FALSE),"No"))</f>
        <v/>
      </c>
      <c r="AA407" s="52" t="str">
        <f>IF(G407="","",IFERROR(VLOOKUP(G407,'Product_Stock_Master产品维护'!$A$2:$L992,12,FALSE),""))</f>
        <v/>
      </c>
      <c r="AB407" s="52" t="str">
        <f t="shared" si="11"/>
        <v/>
      </c>
      <c r="AC407" s="52">
        <f t="shared" si="12"/>
        <v>0</v>
      </c>
    </row>
    <row r="408" ht="15.75" customHeight="1">
      <c r="A408" s="163"/>
      <c r="B408" s="163"/>
      <c r="C408" s="164"/>
      <c r="D408" s="164"/>
      <c r="E408" s="164"/>
      <c r="F408" s="164"/>
      <c r="G408" s="164"/>
      <c r="H408" s="165" t="str">
        <f>IF(G408="","",IFERROR(VLOOKUP(G408,'Product_Stock_Master产品维护'!$A$2:$E992,2,FALSE()),"SKU not found"))</f>
        <v/>
      </c>
      <c r="I408" s="165" t="str">
        <f>IF(G408="","",IFERROR(VLOOKUP(G408,'Product_Stock_Master产品维护'!$A$2:$E992,3,FALSE()),"Item type not found"))</f>
        <v/>
      </c>
      <c r="J408" s="164"/>
      <c r="K408" s="164"/>
      <c r="L408" s="164"/>
      <c r="M408" s="164"/>
      <c r="N408" s="164"/>
      <c r="O408" s="165" t="str">
        <f t="shared" si="1"/>
        <v/>
      </c>
      <c r="P408" s="164"/>
      <c r="Q408" s="165" t="str">
        <f t="shared" si="9"/>
        <v/>
      </c>
      <c r="R408" s="165" t="str">
        <f t="shared" si="3"/>
        <v/>
      </c>
      <c r="S408" s="165" t="str">
        <f t="shared" si="10"/>
        <v/>
      </c>
      <c r="T408" s="165" t="str">
        <f t="shared" si="5"/>
        <v/>
      </c>
      <c r="U408" s="165" t="s">
        <v>1370</v>
      </c>
      <c r="V408" s="53"/>
      <c r="W408" s="52" t="str">
        <f t="shared" si="6"/>
        <v/>
      </c>
      <c r="X408" s="52">
        <f t="shared" si="7"/>
        <v>0</v>
      </c>
      <c r="Y408" s="52">
        <f t="shared" si="8"/>
        <v>0</v>
      </c>
      <c r="Z408" s="52" t="str">
        <f>IF(G408="","",IFERROR(VLOOKUP(G408,'Product_Stock_Master产品维护'!$A$2:$L992,11,FALSE),"No"))</f>
        <v/>
      </c>
      <c r="AA408" s="52" t="str">
        <f>IF(G408="","",IFERROR(VLOOKUP(G408,'Product_Stock_Master产品维护'!$A$2:$L992,12,FALSE),""))</f>
        <v/>
      </c>
      <c r="AB408" s="52" t="str">
        <f t="shared" si="11"/>
        <v/>
      </c>
      <c r="AC408" s="52">
        <f t="shared" si="12"/>
        <v>0</v>
      </c>
    </row>
    <row r="409" ht="15.75" customHeight="1">
      <c r="A409" s="163"/>
      <c r="B409" s="163"/>
      <c r="C409" s="164"/>
      <c r="D409" s="164"/>
      <c r="E409" s="164"/>
      <c r="F409" s="164"/>
      <c r="G409" s="164"/>
      <c r="H409" s="165" t="str">
        <f>IF(G409="","",IFERROR(VLOOKUP(G409,'Product_Stock_Master产品维护'!$A$2:$E992,2,FALSE()),"SKU not found"))</f>
        <v/>
      </c>
      <c r="I409" s="165" t="str">
        <f>IF(G409="","",IFERROR(VLOOKUP(G409,'Product_Stock_Master产品维护'!$A$2:$E992,3,FALSE()),"Item type not found"))</f>
        <v/>
      </c>
      <c r="J409" s="164"/>
      <c r="K409" s="164"/>
      <c r="L409" s="164"/>
      <c r="M409" s="164"/>
      <c r="N409" s="164"/>
      <c r="O409" s="165" t="str">
        <f t="shared" si="1"/>
        <v/>
      </c>
      <c r="P409" s="164"/>
      <c r="Q409" s="165" t="str">
        <f t="shared" si="9"/>
        <v/>
      </c>
      <c r="R409" s="165" t="str">
        <f t="shared" si="3"/>
        <v/>
      </c>
      <c r="S409" s="165" t="str">
        <f t="shared" si="10"/>
        <v/>
      </c>
      <c r="T409" s="165" t="str">
        <f t="shared" si="5"/>
        <v/>
      </c>
      <c r="U409" s="165" t="s">
        <v>1371</v>
      </c>
      <c r="V409" s="53"/>
      <c r="W409" s="52" t="str">
        <f t="shared" si="6"/>
        <v/>
      </c>
      <c r="X409" s="52">
        <f t="shared" si="7"/>
        <v>0</v>
      </c>
      <c r="Y409" s="52">
        <f t="shared" si="8"/>
        <v>0</v>
      </c>
      <c r="Z409" s="52" t="str">
        <f>IF(G409="","",IFERROR(VLOOKUP(G409,'Product_Stock_Master产品维护'!$A$2:$L992,11,FALSE),"No"))</f>
        <v/>
      </c>
      <c r="AA409" s="52" t="str">
        <f>IF(G409="","",IFERROR(VLOOKUP(G409,'Product_Stock_Master产品维护'!$A$2:$L992,12,FALSE),""))</f>
        <v/>
      </c>
      <c r="AB409" s="52" t="str">
        <f t="shared" si="11"/>
        <v/>
      </c>
      <c r="AC409" s="52">
        <f t="shared" si="12"/>
        <v>0</v>
      </c>
    </row>
    <row r="410" ht="15.75" customHeight="1">
      <c r="A410" s="163"/>
      <c r="B410" s="163"/>
      <c r="C410" s="164"/>
      <c r="D410" s="164"/>
      <c r="E410" s="164"/>
      <c r="F410" s="164"/>
      <c r="G410" s="164"/>
      <c r="H410" s="165" t="str">
        <f>IF(G410="","",IFERROR(VLOOKUP(G410,'Product_Stock_Master产品维护'!$A$2:$E992,2,FALSE()),"SKU not found"))</f>
        <v/>
      </c>
      <c r="I410" s="165" t="str">
        <f>IF(G410="","",IFERROR(VLOOKUP(G410,'Product_Stock_Master产品维护'!$A$2:$E992,3,FALSE()),"Item type not found"))</f>
        <v/>
      </c>
      <c r="J410" s="164"/>
      <c r="K410" s="164"/>
      <c r="L410" s="164"/>
      <c r="M410" s="164"/>
      <c r="N410" s="164"/>
      <c r="O410" s="165" t="str">
        <f t="shared" si="1"/>
        <v/>
      </c>
      <c r="P410" s="164"/>
      <c r="Q410" s="165" t="str">
        <f t="shared" si="9"/>
        <v/>
      </c>
      <c r="R410" s="165" t="str">
        <f t="shared" si="3"/>
        <v/>
      </c>
      <c r="S410" s="165" t="str">
        <f t="shared" si="10"/>
        <v/>
      </c>
      <c r="T410" s="165" t="str">
        <f t="shared" si="5"/>
        <v/>
      </c>
      <c r="U410" s="165" t="s">
        <v>1372</v>
      </c>
      <c r="V410" s="53"/>
      <c r="W410" s="52" t="str">
        <f t="shared" si="6"/>
        <v/>
      </c>
      <c r="X410" s="52">
        <f t="shared" si="7"/>
        <v>0</v>
      </c>
      <c r="Y410" s="52">
        <f t="shared" si="8"/>
        <v>0</v>
      </c>
      <c r="Z410" s="52" t="str">
        <f>IF(G410="","",IFERROR(VLOOKUP(G410,'Product_Stock_Master产品维护'!$A$2:$L992,11,FALSE),"No"))</f>
        <v/>
      </c>
      <c r="AA410" s="52" t="str">
        <f>IF(G410="","",IFERROR(VLOOKUP(G410,'Product_Stock_Master产品维护'!$A$2:$L992,12,FALSE),""))</f>
        <v/>
      </c>
      <c r="AB410" s="52" t="str">
        <f t="shared" si="11"/>
        <v/>
      </c>
      <c r="AC410" s="52">
        <f t="shared" si="12"/>
        <v>0</v>
      </c>
    </row>
    <row r="411" ht="15.75" customHeight="1">
      <c r="A411" s="163"/>
      <c r="B411" s="163"/>
      <c r="C411" s="164"/>
      <c r="D411" s="164"/>
      <c r="E411" s="164"/>
      <c r="F411" s="164"/>
      <c r="G411" s="164"/>
      <c r="H411" s="165" t="str">
        <f>IF(G411="","",IFERROR(VLOOKUP(G411,'Product_Stock_Master产品维护'!$A$2:$E992,2,FALSE()),"SKU not found"))</f>
        <v/>
      </c>
      <c r="I411" s="165" t="str">
        <f>IF(G411="","",IFERROR(VLOOKUP(G411,'Product_Stock_Master产品维护'!$A$2:$E992,3,FALSE()),"Item type not found"))</f>
        <v/>
      </c>
      <c r="J411" s="164"/>
      <c r="K411" s="164"/>
      <c r="L411" s="164"/>
      <c r="M411" s="164"/>
      <c r="N411" s="164"/>
      <c r="O411" s="165" t="str">
        <f t="shared" si="1"/>
        <v/>
      </c>
      <c r="P411" s="164"/>
      <c r="Q411" s="165" t="str">
        <f t="shared" si="9"/>
        <v/>
      </c>
      <c r="R411" s="165" t="str">
        <f t="shared" si="3"/>
        <v/>
      </c>
      <c r="S411" s="165" t="str">
        <f t="shared" si="10"/>
        <v/>
      </c>
      <c r="T411" s="165" t="str">
        <f t="shared" si="5"/>
        <v/>
      </c>
      <c r="U411" s="165" t="s">
        <v>1373</v>
      </c>
      <c r="V411" s="53"/>
      <c r="W411" s="52" t="str">
        <f t="shared" si="6"/>
        <v/>
      </c>
      <c r="X411" s="52">
        <f t="shared" si="7"/>
        <v>0</v>
      </c>
      <c r="Y411" s="52">
        <f t="shared" si="8"/>
        <v>0</v>
      </c>
      <c r="Z411" s="52" t="str">
        <f>IF(G411="","",IFERROR(VLOOKUP(G411,'Product_Stock_Master产品维护'!$A$2:$L992,11,FALSE),"No"))</f>
        <v/>
      </c>
      <c r="AA411" s="52" t="str">
        <f>IF(G411="","",IFERROR(VLOOKUP(G411,'Product_Stock_Master产品维护'!$A$2:$L992,12,FALSE),""))</f>
        <v/>
      </c>
      <c r="AB411" s="52" t="str">
        <f t="shared" si="11"/>
        <v/>
      </c>
      <c r="AC411" s="52">
        <f t="shared" si="12"/>
        <v>0</v>
      </c>
    </row>
    <row r="412" ht="15.75" customHeight="1">
      <c r="A412" s="163"/>
      <c r="B412" s="163"/>
      <c r="C412" s="164"/>
      <c r="D412" s="164"/>
      <c r="E412" s="164"/>
      <c r="F412" s="164"/>
      <c r="G412" s="164"/>
      <c r="H412" s="165" t="str">
        <f>IF(G412="","",IFERROR(VLOOKUP(G412,'Product_Stock_Master产品维护'!$A$2:$E992,2,FALSE()),"SKU not found"))</f>
        <v/>
      </c>
      <c r="I412" s="165" t="str">
        <f>IF(G412="","",IFERROR(VLOOKUP(G412,'Product_Stock_Master产品维护'!$A$2:$E992,3,FALSE()),"Item type not found"))</f>
        <v/>
      </c>
      <c r="J412" s="164"/>
      <c r="K412" s="164"/>
      <c r="L412" s="164"/>
      <c r="M412" s="164"/>
      <c r="N412" s="164"/>
      <c r="O412" s="165" t="str">
        <f t="shared" si="1"/>
        <v/>
      </c>
      <c r="P412" s="164"/>
      <c r="Q412" s="165" t="str">
        <f t="shared" si="9"/>
        <v/>
      </c>
      <c r="R412" s="165" t="str">
        <f t="shared" si="3"/>
        <v/>
      </c>
      <c r="S412" s="165" t="str">
        <f t="shared" si="10"/>
        <v/>
      </c>
      <c r="T412" s="165" t="str">
        <f t="shared" si="5"/>
        <v/>
      </c>
      <c r="U412" s="165" t="s">
        <v>1374</v>
      </c>
      <c r="V412" s="53"/>
      <c r="W412" s="52" t="str">
        <f t="shared" si="6"/>
        <v/>
      </c>
      <c r="X412" s="52">
        <f t="shared" si="7"/>
        <v>0</v>
      </c>
      <c r="Y412" s="52">
        <f t="shared" si="8"/>
        <v>0</v>
      </c>
      <c r="Z412" s="52" t="str">
        <f>IF(G412="","",IFERROR(VLOOKUP(G412,'Product_Stock_Master产品维护'!$A$2:$L992,11,FALSE),"No"))</f>
        <v/>
      </c>
      <c r="AA412" s="52" t="str">
        <f>IF(G412="","",IFERROR(VLOOKUP(G412,'Product_Stock_Master产品维护'!$A$2:$L992,12,FALSE),""))</f>
        <v/>
      </c>
      <c r="AB412" s="52" t="str">
        <f t="shared" si="11"/>
        <v/>
      </c>
      <c r="AC412" s="52">
        <f t="shared" si="12"/>
        <v>0</v>
      </c>
    </row>
    <row r="413" ht="15.75" customHeight="1">
      <c r="A413" s="163"/>
      <c r="B413" s="163"/>
      <c r="C413" s="164"/>
      <c r="D413" s="164"/>
      <c r="E413" s="164"/>
      <c r="F413" s="164"/>
      <c r="G413" s="164"/>
      <c r="H413" s="165" t="str">
        <f>IF(G413="","",IFERROR(VLOOKUP(G413,'Product_Stock_Master产品维护'!$A$2:$E992,2,FALSE()),"SKU not found"))</f>
        <v/>
      </c>
      <c r="I413" s="165" t="str">
        <f>IF(G413="","",IFERROR(VLOOKUP(G413,'Product_Stock_Master产品维护'!$A$2:$E992,3,FALSE()),"Item type not found"))</f>
        <v/>
      </c>
      <c r="J413" s="164"/>
      <c r="K413" s="164"/>
      <c r="L413" s="164"/>
      <c r="M413" s="164"/>
      <c r="N413" s="164"/>
      <c r="O413" s="165" t="str">
        <f t="shared" si="1"/>
        <v/>
      </c>
      <c r="P413" s="164"/>
      <c r="Q413" s="165" t="str">
        <f t="shared" si="9"/>
        <v/>
      </c>
      <c r="R413" s="165" t="str">
        <f t="shared" si="3"/>
        <v/>
      </c>
      <c r="S413" s="165" t="str">
        <f t="shared" si="10"/>
        <v/>
      </c>
      <c r="T413" s="165" t="str">
        <f t="shared" si="5"/>
        <v/>
      </c>
      <c r="U413" s="165" t="s">
        <v>1375</v>
      </c>
      <c r="V413" s="53"/>
      <c r="W413" s="52" t="str">
        <f t="shared" si="6"/>
        <v/>
      </c>
      <c r="X413" s="52">
        <f t="shared" si="7"/>
        <v>0</v>
      </c>
      <c r="Y413" s="52">
        <f t="shared" si="8"/>
        <v>0</v>
      </c>
      <c r="Z413" s="52" t="str">
        <f>IF(G413="","",IFERROR(VLOOKUP(G413,'Product_Stock_Master产品维护'!$A$2:$L992,11,FALSE),"No"))</f>
        <v/>
      </c>
      <c r="AA413" s="52" t="str">
        <f>IF(G413="","",IFERROR(VLOOKUP(G413,'Product_Stock_Master产品维护'!$A$2:$L992,12,FALSE),""))</f>
        <v/>
      </c>
      <c r="AB413" s="52" t="str">
        <f t="shared" si="11"/>
        <v/>
      </c>
      <c r="AC413" s="52">
        <f t="shared" si="12"/>
        <v>0</v>
      </c>
    </row>
    <row r="414" ht="15.75" customHeight="1">
      <c r="A414" s="163"/>
      <c r="B414" s="163"/>
      <c r="C414" s="164"/>
      <c r="D414" s="164"/>
      <c r="E414" s="164"/>
      <c r="F414" s="164"/>
      <c r="G414" s="164"/>
      <c r="H414" s="165" t="str">
        <f>IF(G414="","",IFERROR(VLOOKUP(G414,'Product_Stock_Master产品维护'!$A$2:$E992,2,FALSE()),"SKU not found"))</f>
        <v/>
      </c>
      <c r="I414" s="165" t="str">
        <f>IF(G414="","",IFERROR(VLOOKUP(G414,'Product_Stock_Master产品维护'!$A$2:$E992,3,FALSE()),"Item type not found"))</f>
        <v/>
      </c>
      <c r="J414" s="164"/>
      <c r="K414" s="164"/>
      <c r="L414" s="164"/>
      <c r="M414" s="164"/>
      <c r="N414" s="164"/>
      <c r="O414" s="165" t="str">
        <f t="shared" si="1"/>
        <v/>
      </c>
      <c r="P414" s="164"/>
      <c r="Q414" s="165" t="str">
        <f t="shared" si="9"/>
        <v/>
      </c>
      <c r="R414" s="165" t="str">
        <f t="shared" si="3"/>
        <v/>
      </c>
      <c r="S414" s="165" t="str">
        <f t="shared" si="10"/>
        <v/>
      </c>
      <c r="T414" s="165" t="str">
        <f t="shared" si="5"/>
        <v/>
      </c>
      <c r="U414" s="165" t="s">
        <v>1376</v>
      </c>
      <c r="V414" s="53"/>
      <c r="W414" s="52" t="str">
        <f t="shared" si="6"/>
        <v/>
      </c>
      <c r="X414" s="52">
        <f t="shared" si="7"/>
        <v>0</v>
      </c>
      <c r="Y414" s="52">
        <f t="shared" si="8"/>
        <v>0</v>
      </c>
      <c r="Z414" s="52" t="str">
        <f>IF(G414="","",IFERROR(VLOOKUP(G414,'Product_Stock_Master产品维护'!$A$2:$L992,11,FALSE),"No"))</f>
        <v/>
      </c>
      <c r="AA414" s="52" t="str">
        <f>IF(G414="","",IFERROR(VLOOKUP(G414,'Product_Stock_Master产品维护'!$A$2:$L992,12,FALSE),""))</f>
        <v/>
      </c>
      <c r="AB414" s="52" t="str">
        <f t="shared" si="11"/>
        <v/>
      </c>
      <c r="AC414" s="52">
        <f t="shared" si="12"/>
        <v>0</v>
      </c>
    </row>
    <row r="415" ht="15.75" customHeight="1">
      <c r="A415" s="163"/>
      <c r="B415" s="163"/>
      <c r="C415" s="164"/>
      <c r="D415" s="164"/>
      <c r="E415" s="164"/>
      <c r="F415" s="164"/>
      <c r="G415" s="164"/>
      <c r="H415" s="165" t="str">
        <f>IF(G415="","",IFERROR(VLOOKUP(G415,'Product_Stock_Master产品维护'!$A$2:$E992,2,FALSE()),"SKU not found"))</f>
        <v/>
      </c>
      <c r="I415" s="165" t="str">
        <f>IF(G415="","",IFERROR(VLOOKUP(G415,'Product_Stock_Master产品维护'!$A$2:$E992,3,FALSE()),"Item type not found"))</f>
        <v/>
      </c>
      <c r="J415" s="164"/>
      <c r="K415" s="164"/>
      <c r="L415" s="164"/>
      <c r="M415" s="164"/>
      <c r="N415" s="164"/>
      <c r="O415" s="165" t="str">
        <f t="shared" si="1"/>
        <v/>
      </c>
      <c r="P415" s="164"/>
      <c r="Q415" s="165" t="str">
        <f t="shared" si="9"/>
        <v/>
      </c>
      <c r="R415" s="165" t="str">
        <f t="shared" si="3"/>
        <v/>
      </c>
      <c r="S415" s="165" t="str">
        <f t="shared" si="10"/>
        <v/>
      </c>
      <c r="T415" s="165" t="str">
        <f t="shared" si="5"/>
        <v/>
      </c>
      <c r="U415" s="165" t="s">
        <v>1377</v>
      </c>
      <c r="V415" s="53"/>
      <c r="W415" s="52" t="str">
        <f t="shared" si="6"/>
        <v/>
      </c>
      <c r="X415" s="52">
        <f t="shared" si="7"/>
        <v>0</v>
      </c>
      <c r="Y415" s="52">
        <f t="shared" si="8"/>
        <v>0</v>
      </c>
      <c r="Z415" s="52" t="str">
        <f>IF(G415="","",IFERROR(VLOOKUP(G415,'Product_Stock_Master产品维护'!$A$2:$L992,11,FALSE),"No"))</f>
        <v/>
      </c>
      <c r="AA415" s="52" t="str">
        <f>IF(G415="","",IFERROR(VLOOKUP(G415,'Product_Stock_Master产品维护'!$A$2:$L992,12,FALSE),""))</f>
        <v/>
      </c>
      <c r="AB415" s="52" t="str">
        <f t="shared" si="11"/>
        <v/>
      </c>
      <c r="AC415" s="52">
        <f t="shared" si="12"/>
        <v>0</v>
      </c>
    </row>
    <row r="416" ht="15.75" customHeight="1">
      <c r="A416" s="163"/>
      <c r="B416" s="163"/>
      <c r="C416" s="164"/>
      <c r="D416" s="164"/>
      <c r="E416" s="164"/>
      <c r="F416" s="164"/>
      <c r="G416" s="164"/>
      <c r="H416" s="165" t="str">
        <f>IF(G416="","",IFERROR(VLOOKUP(G416,'Product_Stock_Master产品维护'!$A$2:$E992,2,FALSE()),"SKU not found"))</f>
        <v/>
      </c>
      <c r="I416" s="165" t="str">
        <f>IF(G416="","",IFERROR(VLOOKUP(G416,'Product_Stock_Master产品维护'!$A$2:$E992,3,FALSE()),"Item type not found"))</f>
        <v/>
      </c>
      <c r="J416" s="164"/>
      <c r="K416" s="164"/>
      <c r="L416" s="164"/>
      <c r="M416" s="164"/>
      <c r="N416" s="164"/>
      <c r="O416" s="165" t="str">
        <f t="shared" si="1"/>
        <v/>
      </c>
      <c r="P416" s="164"/>
      <c r="Q416" s="165" t="str">
        <f t="shared" si="9"/>
        <v/>
      </c>
      <c r="R416" s="165" t="str">
        <f t="shared" si="3"/>
        <v/>
      </c>
      <c r="S416" s="165" t="str">
        <f t="shared" si="10"/>
        <v/>
      </c>
      <c r="T416" s="165" t="str">
        <f t="shared" si="5"/>
        <v/>
      </c>
      <c r="U416" s="165" t="s">
        <v>1378</v>
      </c>
      <c r="V416" s="53"/>
      <c r="W416" s="52" t="str">
        <f t="shared" si="6"/>
        <v/>
      </c>
      <c r="X416" s="52">
        <f t="shared" si="7"/>
        <v>0</v>
      </c>
      <c r="Y416" s="52">
        <f t="shared" si="8"/>
        <v>0</v>
      </c>
      <c r="Z416" s="52" t="str">
        <f>IF(G416="","",IFERROR(VLOOKUP(G416,'Product_Stock_Master产品维护'!$A$2:$L992,11,FALSE),"No"))</f>
        <v/>
      </c>
      <c r="AA416" s="52" t="str">
        <f>IF(G416="","",IFERROR(VLOOKUP(G416,'Product_Stock_Master产品维护'!$A$2:$L992,12,FALSE),""))</f>
        <v/>
      </c>
      <c r="AB416" s="52" t="str">
        <f t="shared" si="11"/>
        <v/>
      </c>
      <c r="AC416" s="52">
        <f t="shared" si="12"/>
        <v>0</v>
      </c>
    </row>
    <row r="417" ht="15.75" customHeight="1">
      <c r="A417" s="163"/>
      <c r="B417" s="163"/>
      <c r="C417" s="164"/>
      <c r="D417" s="164"/>
      <c r="E417" s="164"/>
      <c r="F417" s="164"/>
      <c r="G417" s="164"/>
      <c r="H417" s="165" t="str">
        <f>IF(G417="","",IFERROR(VLOOKUP(G417,'Product_Stock_Master产品维护'!$A$2:$E992,2,FALSE()),"SKU not found"))</f>
        <v/>
      </c>
      <c r="I417" s="165" t="str">
        <f>IF(G417="","",IFERROR(VLOOKUP(G417,'Product_Stock_Master产品维护'!$A$2:$E992,3,FALSE()),"Item type not found"))</f>
        <v/>
      </c>
      <c r="J417" s="164"/>
      <c r="K417" s="164"/>
      <c r="L417" s="164"/>
      <c r="M417" s="164"/>
      <c r="N417" s="164"/>
      <c r="O417" s="165" t="str">
        <f t="shared" si="1"/>
        <v/>
      </c>
      <c r="P417" s="164"/>
      <c r="Q417" s="165" t="str">
        <f t="shared" si="9"/>
        <v/>
      </c>
      <c r="R417" s="165" t="str">
        <f t="shared" si="3"/>
        <v/>
      </c>
      <c r="S417" s="165" t="str">
        <f t="shared" si="10"/>
        <v/>
      </c>
      <c r="T417" s="165" t="str">
        <f t="shared" si="5"/>
        <v/>
      </c>
      <c r="U417" s="165" t="s">
        <v>1379</v>
      </c>
      <c r="V417" s="53"/>
      <c r="W417" s="52" t="str">
        <f t="shared" si="6"/>
        <v/>
      </c>
      <c r="X417" s="52">
        <f t="shared" si="7"/>
        <v>0</v>
      </c>
      <c r="Y417" s="52">
        <f t="shared" si="8"/>
        <v>0</v>
      </c>
      <c r="Z417" s="52" t="str">
        <f>IF(G417="","",IFERROR(VLOOKUP(G417,'Product_Stock_Master产品维护'!$A$2:$L992,11,FALSE),"No"))</f>
        <v/>
      </c>
      <c r="AA417" s="52" t="str">
        <f>IF(G417="","",IFERROR(VLOOKUP(G417,'Product_Stock_Master产品维护'!$A$2:$L992,12,FALSE),""))</f>
        <v/>
      </c>
      <c r="AB417" s="52" t="str">
        <f t="shared" si="11"/>
        <v/>
      </c>
      <c r="AC417" s="52">
        <f t="shared" si="12"/>
        <v>0</v>
      </c>
    </row>
    <row r="418" ht="15.75" customHeight="1">
      <c r="A418" s="163"/>
      <c r="B418" s="163"/>
      <c r="C418" s="164"/>
      <c r="D418" s="164"/>
      <c r="E418" s="164"/>
      <c r="F418" s="164"/>
      <c r="G418" s="164"/>
      <c r="H418" s="165" t="str">
        <f>IF(G418="","",IFERROR(VLOOKUP(G418,'Product_Stock_Master产品维护'!$A$2:$E992,2,FALSE()),"SKU not found"))</f>
        <v/>
      </c>
      <c r="I418" s="165" t="str">
        <f>IF(G418="","",IFERROR(VLOOKUP(G418,'Product_Stock_Master产品维护'!$A$2:$E992,3,FALSE()),"Item type not found"))</f>
        <v/>
      </c>
      <c r="J418" s="164"/>
      <c r="K418" s="164"/>
      <c r="L418" s="164"/>
      <c r="M418" s="164"/>
      <c r="N418" s="164"/>
      <c r="O418" s="165" t="str">
        <f t="shared" si="1"/>
        <v/>
      </c>
      <c r="P418" s="164"/>
      <c r="Q418" s="165" t="str">
        <f t="shared" si="9"/>
        <v/>
      </c>
      <c r="R418" s="165" t="str">
        <f t="shared" si="3"/>
        <v/>
      </c>
      <c r="S418" s="165" t="str">
        <f t="shared" si="10"/>
        <v/>
      </c>
      <c r="T418" s="165" t="str">
        <f t="shared" si="5"/>
        <v/>
      </c>
      <c r="U418" s="165" t="s">
        <v>1380</v>
      </c>
      <c r="V418" s="53"/>
      <c r="W418" s="52" t="str">
        <f t="shared" si="6"/>
        <v/>
      </c>
      <c r="X418" s="52">
        <f t="shared" si="7"/>
        <v>0</v>
      </c>
      <c r="Y418" s="52">
        <f t="shared" si="8"/>
        <v>0</v>
      </c>
      <c r="Z418" s="52" t="str">
        <f>IF(G418="","",IFERROR(VLOOKUP(G418,'Product_Stock_Master产品维护'!$A$2:$L992,11,FALSE),"No"))</f>
        <v/>
      </c>
      <c r="AA418" s="52" t="str">
        <f>IF(G418="","",IFERROR(VLOOKUP(G418,'Product_Stock_Master产品维护'!$A$2:$L992,12,FALSE),""))</f>
        <v/>
      </c>
      <c r="AB418" s="52" t="str">
        <f t="shared" si="11"/>
        <v/>
      </c>
      <c r="AC418" s="52">
        <f t="shared" si="12"/>
        <v>0</v>
      </c>
    </row>
    <row r="419" ht="15.75" customHeight="1">
      <c r="A419" s="163"/>
      <c r="B419" s="163"/>
      <c r="C419" s="164"/>
      <c r="D419" s="164"/>
      <c r="E419" s="164"/>
      <c r="F419" s="164"/>
      <c r="G419" s="164"/>
      <c r="H419" s="165" t="str">
        <f>IF(G419="","",IFERROR(VLOOKUP(G419,'Product_Stock_Master产品维护'!$A$2:$E992,2,FALSE()),"SKU not found"))</f>
        <v/>
      </c>
      <c r="I419" s="165" t="str">
        <f>IF(G419="","",IFERROR(VLOOKUP(G419,'Product_Stock_Master产品维护'!$A$2:$E992,3,FALSE()),"Item type not found"))</f>
        <v/>
      </c>
      <c r="J419" s="164"/>
      <c r="K419" s="164"/>
      <c r="L419" s="164"/>
      <c r="M419" s="164"/>
      <c r="N419" s="164"/>
      <c r="O419" s="165" t="str">
        <f t="shared" si="1"/>
        <v/>
      </c>
      <c r="P419" s="164"/>
      <c r="Q419" s="165" t="str">
        <f t="shared" si="9"/>
        <v/>
      </c>
      <c r="R419" s="165" t="str">
        <f t="shared" si="3"/>
        <v/>
      </c>
      <c r="S419" s="165" t="str">
        <f t="shared" si="10"/>
        <v/>
      </c>
      <c r="T419" s="165" t="str">
        <f t="shared" si="5"/>
        <v/>
      </c>
      <c r="U419" s="165" t="s">
        <v>1381</v>
      </c>
      <c r="V419" s="53"/>
      <c r="W419" s="52" t="str">
        <f t="shared" si="6"/>
        <v/>
      </c>
      <c r="X419" s="52">
        <f t="shared" si="7"/>
        <v>0</v>
      </c>
      <c r="Y419" s="52">
        <f t="shared" si="8"/>
        <v>0</v>
      </c>
      <c r="Z419" s="52" t="str">
        <f>IF(G419="","",IFERROR(VLOOKUP(G419,'Product_Stock_Master产品维护'!$A$2:$L992,11,FALSE),"No"))</f>
        <v/>
      </c>
      <c r="AA419" s="52" t="str">
        <f>IF(G419="","",IFERROR(VLOOKUP(G419,'Product_Stock_Master产品维护'!$A$2:$L992,12,FALSE),""))</f>
        <v/>
      </c>
      <c r="AB419" s="52" t="str">
        <f t="shared" si="11"/>
        <v/>
      </c>
      <c r="AC419" s="52">
        <f t="shared" si="12"/>
        <v>0</v>
      </c>
    </row>
    <row r="420" ht="15.75" customHeight="1">
      <c r="A420" s="163"/>
      <c r="B420" s="163"/>
      <c r="C420" s="164"/>
      <c r="D420" s="164"/>
      <c r="E420" s="164"/>
      <c r="F420" s="164"/>
      <c r="G420" s="164"/>
      <c r="H420" s="165" t="str">
        <f>IF(G420="","",IFERROR(VLOOKUP(G420,'Product_Stock_Master产品维护'!$A$2:$E992,2,FALSE()),"SKU not found"))</f>
        <v/>
      </c>
      <c r="I420" s="165" t="str">
        <f>IF(G420="","",IFERROR(VLOOKUP(G420,'Product_Stock_Master产品维护'!$A$2:$E992,3,FALSE()),"Item type not found"))</f>
        <v/>
      </c>
      <c r="J420" s="164"/>
      <c r="K420" s="164"/>
      <c r="L420" s="164"/>
      <c r="M420" s="164"/>
      <c r="N420" s="164"/>
      <c r="O420" s="165" t="str">
        <f t="shared" si="1"/>
        <v/>
      </c>
      <c r="P420" s="164"/>
      <c r="Q420" s="165" t="str">
        <f t="shared" si="9"/>
        <v/>
      </c>
      <c r="R420" s="165" t="str">
        <f t="shared" si="3"/>
        <v/>
      </c>
      <c r="S420" s="165" t="str">
        <f t="shared" si="10"/>
        <v/>
      </c>
      <c r="T420" s="165" t="str">
        <f t="shared" si="5"/>
        <v/>
      </c>
      <c r="U420" s="165" t="s">
        <v>1382</v>
      </c>
      <c r="V420" s="53"/>
      <c r="W420" s="52" t="str">
        <f t="shared" si="6"/>
        <v/>
      </c>
      <c r="X420" s="52">
        <f t="shared" si="7"/>
        <v>0</v>
      </c>
      <c r="Y420" s="52">
        <f t="shared" si="8"/>
        <v>0</v>
      </c>
      <c r="Z420" s="52" t="str">
        <f>IF(G420="","",IFERROR(VLOOKUP(G420,'Product_Stock_Master产品维护'!$A$2:$L992,11,FALSE),"No"))</f>
        <v/>
      </c>
      <c r="AA420" s="52" t="str">
        <f>IF(G420="","",IFERROR(VLOOKUP(G420,'Product_Stock_Master产品维护'!$A$2:$L992,12,FALSE),""))</f>
        <v/>
      </c>
      <c r="AB420" s="52" t="str">
        <f t="shared" si="11"/>
        <v/>
      </c>
      <c r="AC420" s="52">
        <f t="shared" si="12"/>
        <v>0</v>
      </c>
    </row>
    <row r="421" ht="15.75" customHeight="1">
      <c r="A421" s="163"/>
      <c r="B421" s="163"/>
      <c r="C421" s="164"/>
      <c r="D421" s="164"/>
      <c r="E421" s="164"/>
      <c r="F421" s="164"/>
      <c r="G421" s="164"/>
      <c r="H421" s="165" t="str">
        <f>IF(G421="","",IFERROR(VLOOKUP(G421,'Product_Stock_Master产品维护'!$A$2:$E992,2,FALSE()),"SKU not found"))</f>
        <v/>
      </c>
      <c r="I421" s="165" t="str">
        <f>IF(G421="","",IFERROR(VLOOKUP(G421,'Product_Stock_Master产品维护'!$A$2:$E992,3,FALSE()),"Item type not found"))</f>
        <v/>
      </c>
      <c r="J421" s="164"/>
      <c r="K421" s="164"/>
      <c r="L421" s="164"/>
      <c r="M421" s="164"/>
      <c r="N421" s="164"/>
      <c r="O421" s="165" t="str">
        <f t="shared" si="1"/>
        <v/>
      </c>
      <c r="P421" s="164"/>
      <c r="Q421" s="165" t="str">
        <f t="shared" si="9"/>
        <v/>
      </c>
      <c r="R421" s="165" t="str">
        <f t="shared" si="3"/>
        <v/>
      </c>
      <c r="S421" s="165" t="str">
        <f t="shared" si="10"/>
        <v/>
      </c>
      <c r="T421" s="165" t="str">
        <f t="shared" si="5"/>
        <v/>
      </c>
      <c r="U421" s="165" t="s">
        <v>1383</v>
      </c>
      <c r="V421" s="53"/>
      <c r="W421" s="52" t="str">
        <f t="shared" si="6"/>
        <v/>
      </c>
      <c r="X421" s="52">
        <f t="shared" si="7"/>
        <v>0</v>
      </c>
      <c r="Y421" s="52">
        <f t="shared" si="8"/>
        <v>0</v>
      </c>
      <c r="Z421" s="52" t="str">
        <f>IF(G421="","",IFERROR(VLOOKUP(G421,'Product_Stock_Master产品维护'!$A$2:$L992,11,FALSE),"No"))</f>
        <v/>
      </c>
      <c r="AA421" s="52" t="str">
        <f>IF(G421="","",IFERROR(VLOOKUP(G421,'Product_Stock_Master产品维护'!$A$2:$L992,12,FALSE),""))</f>
        <v/>
      </c>
      <c r="AB421" s="52" t="str">
        <f t="shared" si="11"/>
        <v/>
      </c>
      <c r="AC421" s="52">
        <f t="shared" si="12"/>
        <v>0</v>
      </c>
    </row>
    <row r="422" ht="15.75" customHeight="1">
      <c r="A422" s="163"/>
      <c r="B422" s="163"/>
      <c r="C422" s="164"/>
      <c r="D422" s="164"/>
      <c r="E422" s="164"/>
      <c r="F422" s="164"/>
      <c r="G422" s="164"/>
      <c r="H422" s="165" t="str">
        <f>IF(G422="","",IFERROR(VLOOKUP(G422,'Product_Stock_Master产品维护'!$A$2:$E992,2,FALSE()),"SKU not found"))</f>
        <v/>
      </c>
      <c r="I422" s="165" t="str">
        <f>IF(G422="","",IFERROR(VLOOKUP(G422,'Product_Stock_Master产品维护'!$A$2:$E992,3,FALSE()),"Item type not found"))</f>
        <v/>
      </c>
      <c r="J422" s="164"/>
      <c r="K422" s="164"/>
      <c r="L422" s="164"/>
      <c r="M422" s="164"/>
      <c r="N422" s="164"/>
      <c r="O422" s="165" t="str">
        <f t="shared" si="1"/>
        <v/>
      </c>
      <c r="P422" s="164"/>
      <c r="Q422" s="165" t="str">
        <f t="shared" si="9"/>
        <v/>
      </c>
      <c r="R422" s="165" t="str">
        <f t="shared" si="3"/>
        <v/>
      </c>
      <c r="S422" s="165" t="str">
        <f t="shared" si="10"/>
        <v/>
      </c>
      <c r="T422" s="165" t="str">
        <f t="shared" si="5"/>
        <v/>
      </c>
      <c r="U422" s="165" t="s">
        <v>1384</v>
      </c>
      <c r="V422" s="53"/>
      <c r="W422" s="52" t="str">
        <f t="shared" si="6"/>
        <v/>
      </c>
      <c r="X422" s="52">
        <f t="shared" si="7"/>
        <v>0</v>
      </c>
      <c r="Y422" s="52">
        <f t="shared" si="8"/>
        <v>0</v>
      </c>
      <c r="Z422" s="52" t="str">
        <f>IF(G422="","",IFERROR(VLOOKUP(G422,'Product_Stock_Master产品维护'!$A$2:$L992,11,FALSE),"No"))</f>
        <v/>
      </c>
      <c r="AA422" s="52" t="str">
        <f>IF(G422="","",IFERROR(VLOOKUP(G422,'Product_Stock_Master产品维护'!$A$2:$L992,12,FALSE),""))</f>
        <v/>
      </c>
      <c r="AB422" s="52" t="str">
        <f t="shared" si="11"/>
        <v/>
      </c>
      <c r="AC422" s="52">
        <f t="shared" si="12"/>
        <v>0</v>
      </c>
    </row>
    <row r="423" ht="15.75" customHeight="1">
      <c r="A423" s="163"/>
      <c r="B423" s="163"/>
      <c r="C423" s="164"/>
      <c r="D423" s="164"/>
      <c r="E423" s="164"/>
      <c r="F423" s="164"/>
      <c r="G423" s="164"/>
      <c r="H423" s="165" t="str">
        <f>IF(G423="","",IFERROR(VLOOKUP(G423,'Product_Stock_Master产品维护'!$A$2:$E992,2,FALSE()),"SKU not found"))</f>
        <v/>
      </c>
      <c r="I423" s="165" t="str">
        <f>IF(G423="","",IFERROR(VLOOKUP(G423,'Product_Stock_Master产品维护'!$A$2:$E992,3,FALSE()),"Item type not found"))</f>
        <v/>
      </c>
      <c r="J423" s="164"/>
      <c r="K423" s="164"/>
      <c r="L423" s="164"/>
      <c r="M423" s="164"/>
      <c r="N423" s="164"/>
      <c r="O423" s="165" t="str">
        <f t="shared" si="1"/>
        <v/>
      </c>
      <c r="P423" s="164"/>
      <c r="Q423" s="165" t="str">
        <f t="shared" si="9"/>
        <v/>
      </c>
      <c r="R423" s="165" t="str">
        <f t="shared" si="3"/>
        <v/>
      </c>
      <c r="S423" s="165" t="str">
        <f t="shared" si="10"/>
        <v/>
      </c>
      <c r="T423" s="165" t="str">
        <f t="shared" si="5"/>
        <v/>
      </c>
      <c r="U423" s="165" t="s">
        <v>1385</v>
      </c>
      <c r="V423" s="53"/>
      <c r="W423" s="52" t="str">
        <f t="shared" si="6"/>
        <v/>
      </c>
      <c r="X423" s="52">
        <f t="shared" si="7"/>
        <v>0</v>
      </c>
      <c r="Y423" s="52">
        <f t="shared" si="8"/>
        <v>0</v>
      </c>
      <c r="Z423" s="52" t="str">
        <f>IF(G423="","",IFERROR(VLOOKUP(G423,'Product_Stock_Master产品维护'!$A$2:$L992,11,FALSE),"No"))</f>
        <v/>
      </c>
      <c r="AA423" s="52" t="str">
        <f>IF(G423="","",IFERROR(VLOOKUP(G423,'Product_Stock_Master产品维护'!$A$2:$L992,12,FALSE),""))</f>
        <v/>
      </c>
      <c r="AB423" s="52" t="str">
        <f t="shared" si="11"/>
        <v/>
      </c>
      <c r="AC423" s="52">
        <f t="shared" si="12"/>
        <v>0</v>
      </c>
    </row>
    <row r="424" ht="15.75" customHeight="1">
      <c r="A424" s="163"/>
      <c r="B424" s="163"/>
      <c r="C424" s="164"/>
      <c r="D424" s="164"/>
      <c r="E424" s="164"/>
      <c r="F424" s="164"/>
      <c r="G424" s="164"/>
      <c r="H424" s="165" t="str">
        <f>IF(G424="","",IFERROR(VLOOKUP(G424,'Product_Stock_Master产品维护'!$A$2:$E992,2,FALSE()),"SKU not found"))</f>
        <v/>
      </c>
      <c r="I424" s="165" t="str">
        <f>IF(G424="","",IFERROR(VLOOKUP(G424,'Product_Stock_Master产品维护'!$A$2:$E992,3,FALSE()),"Item type not found"))</f>
        <v/>
      </c>
      <c r="J424" s="164"/>
      <c r="K424" s="164"/>
      <c r="L424" s="164"/>
      <c r="M424" s="164"/>
      <c r="N424" s="164"/>
      <c r="O424" s="165" t="str">
        <f t="shared" si="1"/>
        <v/>
      </c>
      <c r="P424" s="164"/>
      <c r="Q424" s="165" t="str">
        <f t="shared" si="9"/>
        <v/>
      </c>
      <c r="R424" s="165" t="str">
        <f t="shared" si="3"/>
        <v/>
      </c>
      <c r="S424" s="165" t="str">
        <f t="shared" si="10"/>
        <v/>
      </c>
      <c r="T424" s="165" t="str">
        <f t="shared" si="5"/>
        <v/>
      </c>
      <c r="U424" s="165" t="s">
        <v>1386</v>
      </c>
      <c r="V424" s="53"/>
      <c r="W424" s="52" t="str">
        <f t="shared" si="6"/>
        <v/>
      </c>
      <c r="X424" s="52">
        <f t="shared" si="7"/>
        <v>0</v>
      </c>
      <c r="Y424" s="52">
        <f t="shared" si="8"/>
        <v>0</v>
      </c>
      <c r="Z424" s="52" t="str">
        <f>IF(G424="","",IFERROR(VLOOKUP(G424,'Product_Stock_Master产品维护'!$A$2:$L992,11,FALSE),"No"))</f>
        <v/>
      </c>
      <c r="AA424" s="52" t="str">
        <f>IF(G424="","",IFERROR(VLOOKUP(G424,'Product_Stock_Master产品维护'!$A$2:$L992,12,FALSE),""))</f>
        <v/>
      </c>
      <c r="AB424" s="52" t="str">
        <f t="shared" si="11"/>
        <v/>
      </c>
      <c r="AC424" s="52">
        <f t="shared" si="12"/>
        <v>0</v>
      </c>
    </row>
    <row r="425" ht="15.75" customHeight="1">
      <c r="A425" s="163"/>
      <c r="B425" s="163"/>
      <c r="C425" s="164"/>
      <c r="D425" s="164"/>
      <c r="E425" s="164"/>
      <c r="F425" s="164"/>
      <c r="G425" s="164"/>
      <c r="H425" s="165" t="str">
        <f>IF(G425="","",IFERROR(VLOOKUP(G425,'Product_Stock_Master产品维护'!$A$2:$E992,2,FALSE()),"SKU not found"))</f>
        <v/>
      </c>
      <c r="I425" s="165" t="str">
        <f>IF(G425="","",IFERROR(VLOOKUP(G425,'Product_Stock_Master产品维护'!$A$2:$E992,3,FALSE()),"Item type not found"))</f>
        <v/>
      </c>
      <c r="J425" s="164"/>
      <c r="K425" s="164"/>
      <c r="L425" s="164"/>
      <c r="M425" s="164"/>
      <c r="N425" s="164"/>
      <c r="O425" s="165" t="str">
        <f t="shared" si="1"/>
        <v/>
      </c>
      <c r="P425" s="164"/>
      <c r="Q425" s="165" t="str">
        <f t="shared" si="9"/>
        <v/>
      </c>
      <c r="R425" s="165" t="str">
        <f t="shared" si="3"/>
        <v/>
      </c>
      <c r="S425" s="165" t="str">
        <f t="shared" si="10"/>
        <v/>
      </c>
      <c r="T425" s="165" t="str">
        <f t="shared" si="5"/>
        <v/>
      </c>
      <c r="U425" s="165" t="s">
        <v>1387</v>
      </c>
      <c r="V425" s="53"/>
      <c r="W425" s="52" t="str">
        <f t="shared" si="6"/>
        <v/>
      </c>
      <c r="X425" s="52">
        <f t="shared" si="7"/>
        <v>0</v>
      </c>
      <c r="Y425" s="52">
        <f t="shared" si="8"/>
        <v>0</v>
      </c>
      <c r="Z425" s="52" t="str">
        <f>IF(G425="","",IFERROR(VLOOKUP(G425,'Product_Stock_Master产品维护'!$A$2:$L992,11,FALSE),"No"))</f>
        <v/>
      </c>
      <c r="AA425" s="52" t="str">
        <f>IF(G425="","",IFERROR(VLOOKUP(G425,'Product_Stock_Master产品维护'!$A$2:$L992,12,FALSE),""))</f>
        <v/>
      </c>
      <c r="AB425" s="52" t="str">
        <f t="shared" si="11"/>
        <v/>
      </c>
      <c r="AC425" s="52">
        <f t="shared" si="12"/>
        <v>0</v>
      </c>
    </row>
    <row r="426" ht="15.75" customHeight="1">
      <c r="A426" s="163"/>
      <c r="B426" s="163"/>
      <c r="C426" s="164"/>
      <c r="D426" s="164"/>
      <c r="E426" s="164"/>
      <c r="F426" s="164"/>
      <c r="G426" s="164"/>
      <c r="H426" s="165" t="str">
        <f>IF(G426="","",IFERROR(VLOOKUP(G426,'Product_Stock_Master产品维护'!$A$2:$E992,2,FALSE()),"SKU not found"))</f>
        <v/>
      </c>
      <c r="I426" s="165" t="str">
        <f>IF(G426="","",IFERROR(VLOOKUP(G426,'Product_Stock_Master产品维护'!$A$2:$E992,3,FALSE()),"Item type not found"))</f>
        <v/>
      </c>
      <c r="J426" s="164"/>
      <c r="K426" s="164"/>
      <c r="L426" s="164"/>
      <c r="M426" s="164"/>
      <c r="N426" s="164"/>
      <c r="O426" s="165" t="str">
        <f t="shared" si="1"/>
        <v/>
      </c>
      <c r="P426" s="164"/>
      <c r="Q426" s="165" t="str">
        <f t="shared" si="9"/>
        <v/>
      </c>
      <c r="R426" s="165" t="str">
        <f t="shared" si="3"/>
        <v/>
      </c>
      <c r="S426" s="165" t="str">
        <f t="shared" si="10"/>
        <v/>
      </c>
      <c r="T426" s="165" t="str">
        <f t="shared" si="5"/>
        <v/>
      </c>
      <c r="U426" s="165" t="s">
        <v>1388</v>
      </c>
      <c r="V426" s="53"/>
      <c r="W426" s="52" t="str">
        <f t="shared" si="6"/>
        <v/>
      </c>
      <c r="X426" s="52">
        <f t="shared" si="7"/>
        <v>0</v>
      </c>
      <c r="Y426" s="52">
        <f t="shared" si="8"/>
        <v>0</v>
      </c>
      <c r="Z426" s="52" t="str">
        <f>IF(G426="","",IFERROR(VLOOKUP(G426,'Product_Stock_Master产品维护'!$A$2:$L992,11,FALSE),"No"))</f>
        <v/>
      </c>
      <c r="AA426" s="52" t="str">
        <f>IF(G426="","",IFERROR(VLOOKUP(G426,'Product_Stock_Master产品维护'!$A$2:$L992,12,FALSE),""))</f>
        <v/>
      </c>
      <c r="AB426" s="52" t="str">
        <f t="shared" si="11"/>
        <v/>
      </c>
      <c r="AC426" s="52">
        <f t="shared" si="12"/>
        <v>0</v>
      </c>
    </row>
    <row r="427" ht="15.75" customHeight="1">
      <c r="A427" s="163"/>
      <c r="B427" s="163"/>
      <c r="C427" s="164"/>
      <c r="D427" s="164"/>
      <c r="E427" s="164"/>
      <c r="F427" s="164"/>
      <c r="G427" s="164"/>
      <c r="H427" s="165" t="str">
        <f>IF(G427="","",IFERROR(VLOOKUP(G427,'Product_Stock_Master产品维护'!$A$2:$E992,2,FALSE()),"SKU not found"))</f>
        <v/>
      </c>
      <c r="I427" s="165" t="str">
        <f>IF(G427="","",IFERROR(VLOOKUP(G427,'Product_Stock_Master产品维护'!$A$2:$E992,3,FALSE()),"Item type not found"))</f>
        <v/>
      </c>
      <c r="J427" s="164"/>
      <c r="K427" s="164"/>
      <c r="L427" s="164"/>
      <c r="M427" s="164"/>
      <c r="N427" s="164"/>
      <c r="O427" s="165" t="str">
        <f t="shared" si="1"/>
        <v/>
      </c>
      <c r="P427" s="164"/>
      <c r="Q427" s="165" t="str">
        <f t="shared" si="9"/>
        <v/>
      </c>
      <c r="R427" s="165" t="str">
        <f t="shared" si="3"/>
        <v/>
      </c>
      <c r="S427" s="165" t="str">
        <f t="shared" si="10"/>
        <v/>
      </c>
      <c r="T427" s="165" t="str">
        <f t="shared" si="5"/>
        <v/>
      </c>
      <c r="U427" s="165" t="s">
        <v>1389</v>
      </c>
      <c r="V427" s="53"/>
      <c r="W427" s="52" t="str">
        <f t="shared" si="6"/>
        <v/>
      </c>
      <c r="X427" s="52">
        <f t="shared" si="7"/>
        <v>0</v>
      </c>
      <c r="Y427" s="52">
        <f t="shared" si="8"/>
        <v>0</v>
      </c>
      <c r="Z427" s="52" t="str">
        <f>IF(G427="","",IFERROR(VLOOKUP(G427,'Product_Stock_Master产品维护'!$A$2:$L992,11,FALSE),"No"))</f>
        <v/>
      </c>
      <c r="AA427" s="52" t="str">
        <f>IF(G427="","",IFERROR(VLOOKUP(G427,'Product_Stock_Master产品维护'!$A$2:$L992,12,FALSE),""))</f>
        <v/>
      </c>
      <c r="AB427" s="52" t="str">
        <f t="shared" si="11"/>
        <v/>
      </c>
      <c r="AC427" s="52">
        <f t="shared" si="12"/>
        <v>0</v>
      </c>
    </row>
    <row r="428" ht="15.75" customHeight="1">
      <c r="A428" s="163"/>
      <c r="B428" s="163"/>
      <c r="C428" s="164"/>
      <c r="D428" s="164"/>
      <c r="E428" s="164"/>
      <c r="F428" s="164"/>
      <c r="G428" s="164"/>
      <c r="H428" s="165" t="str">
        <f>IF(G428="","",IFERROR(VLOOKUP(G428,'Product_Stock_Master产品维护'!$A$2:$E992,2,FALSE()),"SKU not found"))</f>
        <v/>
      </c>
      <c r="I428" s="165" t="str">
        <f>IF(G428="","",IFERROR(VLOOKUP(G428,'Product_Stock_Master产品维护'!$A$2:$E992,3,FALSE()),"Item type not found"))</f>
        <v/>
      </c>
      <c r="J428" s="164"/>
      <c r="K428" s="164"/>
      <c r="L428" s="164"/>
      <c r="M428" s="164"/>
      <c r="N428" s="164"/>
      <c r="O428" s="165" t="str">
        <f t="shared" si="1"/>
        <v/>
      </c>
      <c r="P428" s="164"/>
      <c r="Q428" s="165" t="str">
        <f t="shared" si="9"/>
        <v/>
      </c>
      <c r="R428" s="165" t="str">
        <f t="shared" si="3"/>
        <v/>
      </c>
      <c r="S428" s="165" t="str">
        <f t="shared" si="10"/>
        <v/>
      </c>
      <c r="T428" s="165" t="str">
        <f t="shared" si="5"/>
        <v/>
      </c>
      <c r="U428" s="165" t="s">
        <v>1390</v>
      </c>
      <c r="V428" s="53"/>
      <c r="W428" s="52" t="str">
        <f t="shared" si="6"/>
        <v/>
      </c>
      <c r="X428" s="52">
        <f t="shared" si="7"/>
        <v>0</v>
      </c>
      <c r="Y428" s="52">
        <f t="shared" si="8"/>
        <v>0</v>
      </c>
      <c r="Z428" s="52" t="str">
        <f>IF(G428="","",IFERROR(VLOOKUP(G428,'Product_Stock_Master产品维护'!$A$2:$L992,11,FALSE),"No"))</f>
        <v/>
      </c>
      <c r="AA428" s="52" t="str">
        <f>IF(G428="","",IFERROR(VLOOKUP(G428,'Product_Stock_Master产品维护'!$A$2:$L992,12,FALSE),""))</f>
        <v/>
      </c>
      <c r="AB428" s="52" t="str">
        <f t="shared" si="11"/>
        <v/>
      </c>
      <c r="AC428" s="52">
        <f t="shared" si="12"/>
        <v>0</v>
      </c>
    </row>
    <row r="429" ht="15.75" customHeight="1">
      <c r="A429" s="163"/>
      <c r="B429" s="163"/>
      <c r="C429" s="164"/>
      <c r="D429" s="164"/>
      <c r="E429" s="164"/>
      <c r="F429" s="164"/>
      <c r="G429" s="164"/>
      <c r="H429" s="165" t="str">
        <f>IF(G429="","",IFERROR(VLOOKUP(G429,'Product_Stock_Master产品维护'!$A$2:$E992,2,FALSE()),"SKU not found"))</f>
        <v/>
      </c>
      <c r="I429" s="165" t="str">
        <f>IF(G429="","",IFERROR(VLOOKUP(G429,'Product_Stock_Master产品维护'!$A$2:$E992,3,FALSE()),"Item type not found"))</f>
        <v/>
      </c>
      <c r="J429" s="164"/>
      <c r="K429" s="164"/>
      <c r="L429" s="164"/>
      <c r="M429" s="164"/>
      <c r="N429" s="164"/>
      <c r="O429" s="165" t="str">
        <f t="shared" si="1"/>
        <v/>
      </c>
      <c r="P429" s="164"/>
      <c r="Q429" s="165" t="str">
        <f t="shared" si="9"/>
        <v/>
      </c>
      <c r="R429" s="165" t="str">
        <f t="shared" si="3"/>
        <v/>
      </c>
      <c r="S429" s="165" t="str">
        <f t="shared" si="10"/>
        <v/>
      </c>
      <c r="T429" s="165" t="str">
        <f t="shared" si="5"/>
        <v/>
      </c>
      <c r="U429" s="165" t="s">
        <v>1391</v>
      </c>
      <c r="V429" s="53"/>
      <c r="W429" s="52" t="str">
        <f t="shared" si="6"/>
        <v/>
      </c>
      <c r="X429" s="52">
        <f t="shared" si="7"/>
        <v>0</v>
      </c>
      <c r="Y429" s="52">
        <f t="shared" si="8"/>
        <v>0</v>
      </c>
      <c r="Z429" s="52" t="str">
        <f>IF(G429="","",IFERROR(VLOOKUP(G429,'Product_Stock_Master产品维护'!$A$2:$L992,11,FALSE),"No"))</f>
        <v/>
      </c>
      <c r="AA429" s="52" t="str">
        <f>IF(G429="","",IFERROR(VLOOKUP(G429,'Product_Stock_Master产品维护'!$A$2:$L992,12,FALSE),""))</f>
        <v/>
      </c>
      <c r="AB429" s="52" t="str">
        <f t="shared" si="11"/>
        <v/>
      </c>
      <c r="AC429" s="52">
        <f t="shared" si="12"/>
        <v>0</v>
      </c>
    </row>
    <row r="430" ht="15.75" customHeight="1">
      <c r="A430" s="163"/>
      <c r="B430" s="163"/>
      <c r="C430" s="164"/>
      <c r="D430" s="164"/>
      <c r="E430" s="164"/>
      <c r="F430" s="164"/>
      <c r="G430" s="164"/>
      <c r="H430" s="165" t="str">
        <f>IF(G430="","",IFERROR(VLOOKUP(G430,'Product_Stock_Master产品维护'!$A$2:$E992,2,FALSE()),"SKU not found"))</f>
        <v/>
      </c>
      <c r="I430" s="165" t="str">
        <f>IF(G430="","",IFERROR(VLOOKUP(G430,'Product_Stock_Master产品维护'!$A$2:$E992,3,FALSE()),"Item type not found"))</f>
        <v/>
      </c>
      <c r="J430" s="164"/>
      <c r="K430" s="164"/>
      <c r="L430" s="164"/>
      <c r="M430" s="164"/>
      <c r="N430" s="164"/>
      <c r="O430" s="165" t="str">
        <f t="shared" si="1"/>
        <v/>
      </c>
      <c r="P430" s="164"/>
      <c r="Q430" s="165" t="str">
        <f t="shared" si="9"/>
        <v/>
      </c>
      <c r="R430" s="165" t="str">
        <f t="shared" si="3"/>
        <v/>
      </c>
      <c r="S430" s="165" t="str">
        <f t="shared" si="10"/>
        <v/>
      </c>
      <c r="T430" s="165" t="str">
        <f t="shared" si="5"/>
        <v/>
      </c>
      <c r="U430" s="165" t="s">
        <v>1392</v>
      </c>
      <c r="V430" s="53"/>
      <c r="W430" s="52" t="str">
        <f t="shared" si="6"/>
        <v/>
      </c>
      <c r="X430" s="52">
        <f t="shared" si="7"/>
        <v>0</v>
      </c>
      <c r="Y430" s="52">
        <f t="shared" si="8"/>
        <v>0</v>
      </c>
      <c r="Z430" s="52" t="str">
        <f>IF(G430="","",IFERROR(VLOOKUP(G430,'Product_Stock_Master产品维护'!$A$2:$L992,11,FALSE),"No"))</f>
        <v/>
      </c>
      <c r="AA430" s="52" t="str">
        <f>IF(G430="","",IFERROR(VLOOKUP(G430,'Product_Stock_Master产品维护'!$A$2:$L992,12,FALSE),""))</f>
        <v/>
      </c>
      <c r="AB430" s="52" t="str">
        <f t="shared" si="11"/>
        <v/>
      </c>
      <c r="AC430" s="52">
        <f t="shared" si="12"/>
        <v>0</v>
      </c>
    </row>
    <row r="431" ht="15.75" customHeight="1">
      <c r="A431" s="163"/>
      <c r="B431" s="163"/>
      <c r="C431" s="164"/>
      <c r="D431" s="164"/>
      <c r="E431" s="164"/>
      <c r="F431" s="164"/>
      <c r="G431" s="164"/>
      <c r="H431" s="165" t="str">
        <f>IF(G431="","",IFERROR(VLOOKUP(G431,'Product_Stock_Master产品维护'!$A$2:$E992,2,FALSE()),"SKU not found"))</f>
        <v/>
      </c>
      <c r="I431" s="165" t="str">
        <f>IF(G431="","",IFERROR(VLOOKUP(G431,'Product_Stock_Master产品维护'!$A$2:$E992,3,FALSE()),"Item type not found"))</f>
        <v/>
      </c>
      <c r="J431" s="164"/>
      <c r="K431" s="164"/>
      <c r="L431" s="164"/>
      <c r="M431" s="164"/>
      <c r="N431" s="164"/>
      <c r="O431" s="165" t="str">
        <f t="shared" si="1"/>
        <v/>
      </c>
      <c r="P431" s="164"/>
      <c r="Q431" s="165" t="str">
        <f t="shared" si="9"/>
        <v/>
      </c>
      <c r="R431" s="165" t="str">
        <f t="shared" si="3"/>
        <v/>
      </c>
      <c r="S431" s="165" t="str">
        <f t="shared" si="10"/>
        <v/>
      </c>
      <c r="T431" s="165" t="str">
        <f t="shared" si="5"/>
        <v/>
      </c>
      <c r="U431" s="165" t="s">
        <v>1393</v>
      </c>
      <c r="V431" s="53"/>
      <c r="W431" s="52" t="str">
        <f t="shared" si="6"/>
        <v/>
      </c>
      <c r="X431" s="52">
        <f t="shared" si="7"/>
        <v>0</v>
      </c>
      <c r="Y431" s="52">
        <f t="shared" si="8"/>
        <v>0</v>
      </c>
      <c r="Z431" s="52" t="str">
        <f>IF(G431="","",IFERROR(VLOOKUP(G431,'Product_Stock_Master产品维护'!$A$2:$L992,11,FALSE),"No"))</f>
        <v/>
      </c>
      <c r="AA431" s="52" t="str">
        <f>IF(G431="","",IFERROR(VLOOKUP(G431,'Product_Stock_Master产品维护'!$A$2:$L992,12,FALSE),""))</f>
        <v/>
      </c>
      <c r="AB431" s="52" t="str">
        <f t="shared" si="11"/>
        <v/>
      </c>
      <c r="AC431" s="52">
        <f t="shared" si="12"/>
        <v>0</v>
      </c>
    </row>
    <row r="432" ht="15.75" customHeight="1">
      <c r="A432" s="163"/>
      <c r="B432" s="163"/>
      <c r="C432" s="164"/>
      <c r="D432" s="164"/>
      <c r="E432" s="164"/>
      <c r="F432" s="164"/>
      <c r="G432" s="164"/>
      <c r="H432" s="165" t="str">
        <f>IF(G432="","",IFERROR(VLOOKUP(G432,'Product_Stock_Master产品维护'!$A$2:$E992,2,FALSE()),"SKU not found"))</f>
        <v/>
      </c>
      <c r="I432" s="165" t="str">
        <f>IF(G432="","",IFERROR(VLOOKUP(G432,'Product_Stock_Master产品维护'!$A$2:$E992,3,FALSE()),"Item type not found"))</f>
        <v/>
      </c>
      <c r="J432" s="164"/>
      <c r="K432" s="164"/>
      <c r="L432" s="164"/>
      <c r="M432" s="164"/>
      <c r="N432" s="164"/>
      <c r="O432" s="165" t="str">
        <f t="shared" si="1"/>
        <v/>
      </c>
      <c r="P432" s="164"/>
      <c r="Q432" s="165" t="str">
        <f t="shared" si="9"/>
        <v/>
      </c>
      <c r="R432" s="165" t="str">
        <f t="shared" si="3"/>
        <v/>
      </c>
      <c r="S432" s="165" t="str">
        <f t="shared" si="10"/>
        <v/>
      </c>
      <c r="T432" s="165" t="str">
        <f t="shared" si="5"/>
        <v/>
      </c>
      <c r="U432" s="165" t="s">
        <v>1394</v>
      </c>
      <c r="V432" s="53"/>
      <c r="W432" s="52" t="str">
        <f t="shared" si="6"/>
        <v/>
      </c>
      <c r="X432" s="52">
        <f t="shared" si="7"/>
        <v>0</v>
      </c>
      <c r="Y432" s="52">
        <f t="shared" si="8"/>
        <v>0</v>
      </c>
      <c r="Z432" s="52" t="str">
        <f>IF(G432="","",IFERROR(VLOOKUP(G432,'Product_Stock_Master产品维护'!$A$2:$L992,11,FALSE),"No"))</f>
        <v/>
      </c>
      <c r="AA432" s="52" t="str">
        <f>IF(G432="","",IFERROR(VLOOKUP(G432,'Product_Stock_Master产品维护'!$A$2:$L992,12,FALSE),""))</f>
        <v/>
      </c>
      <c r="AB432" s="52" t="str">
        <f t="shared" si="11"/>
        <v/>
      </c>
      <c r="AC432" s="52">
        <f t="shared" si="12"/>
        <v>0</v>
      </c>
    </row>
    <row r="433" ht="15.75" customHeight="1">
      <c r="A433" s="163"/>
      <c r="B433" s="163"/>
      <c r="C433" s="164"/>
      <c r="D433" s="164"/>
      <c r="E433" s="164"/>
      <c r="F433" s="164"/>
      <c r="G433" s="164"/>
      <c r="H433" s="165" t="str">
        <f>IF(G433="","",IFERROR(VLOOKUP(G433,'Product_Stock_Master产品维护'!$A$2:$E992,2,FALSE()),"SKU not found"))</f>
        <v/>
      </c>
      <c r="I433" s="165" t="str">
        <f>IF(G433="","",IFERROR(VLOOKUP(G433,'Product_Stock_Master产品维护'!$A$2:$E992,3,FALSE()),"Item type not found"))</f>
        <v/>
      </c>
      <c r="J433" s="164"/>
      <c r="K433" s="164"/>
      <c r="L433" s="164"/>
      <c r="M433" s="164"/>
      <c r="N433" s="164"/>
      <c r="O433" s="165" t="str">
        <f t="shared" si="1"/>
        <v/>
      </c>
      <c r="P433" s="164"/>
      <c r="Q433" s="165" t="str">
        <f t="shared" si="9"/>
        <v/>
      </c>
      <c r="R433" s="165" t="str">
        <f t="shared" si="3"/>
        <v/>
      </c>
      <c r="S433" s="165" t="str">
        <f t="shared" si="10"/>
        <v/>
      </c>
      <c r="T433" s="165" t="str">
        <f t="shared" si="5"/>
        <v/>
      </c>
      <c r="U433" s="165" t="s">
        <v>1395</v>
      </c>
      <c r="V433" s="53"/>
      <c r="W433" s="52" t="str">
        <f t="shared" si="6"/>
        <v/>
      </c>
      <c r="X433" s="52">
        <f t="shared" si="7"/>
        <v>0</v>
      </c>
      <c r="Y433" s="52">
        <f t="shared" si="8"/>
        <v>0</v>
      </c>
      <c r="Z433" s="52" t="str">
        <f>IF(G433="","",IFERROR(VLOOKUP(G433,'Product_Stock_Master产品维护'!$A$2:$L992,11,FALSE),"No"))</f>
        <v/>
      </c>
      <c r="AA433" s="52" t="str">
        <f>IF(G433="","",IFERROR(VLOOKUP(G433,'Product_Stock_Master产品维护'!$A$2:$L992,12,FALSE),""))</f>
        <v/>
      </c>
      <c r="AB433" s="52" t="str">
        <f t="shared" si="11"/>
        <v/>
      </c>
      <c r="AC433" s="52">
        <f t="shared" si="12"/>
        <v>0</v>
      </c>
    </row>
    <row r="434" ht="15.75" customHeight="1">
      <c r="A434" s="163"/>
      <c r="B434" s="163"/>
      <c r="C434" s="164"/>
      <c r="D434" s="164"/>
      <c r="E434" s="164"/>
      <c r="F434" s="164"/>
      <c r="G434" s="164"/>
      <c r="H434" s="165" t="str">
        <f>IF(G434="","",IFERROR(VLOOKUP(G434,'Product_Stock_Master产品维护'!$A$2:$E992,2,FALSE()),"SKU not found"))</f>
        <v/>
      </c>
      <c r="I434" s="165" t="str">
        <f>IF(G434="","",IFERROR(VLOOKUP(G434,'Product_Stock_Master产品维护'!$A$2:$E992,3,FALSE()),"Item type not found"))</f>
        <v/>
      </c>
      <c r="J434" s="164"/>
      <c r="K434" s="164"/>
      <c r="L434" s="164"/>
      <c r="M434" s="164"/>
      <c r="N434" s="164"/>
      <c r="O434" s="165" t="str">
        <f t="shared" si="1"/>
        <v/>
      </c>
      <c r="P434" s="164"/>
      <c r="Q434" s="165" t="str">
        <f t="shared" si="9"/>
        <v/>
      </c>
      <c r="R434" s="165" t="str">
        <f t="shared" si="3"/>
        <v/>
      </c>
      <c r="S434" s="165" t="str">
        <f t="shared" si="10"/>
        <v/>
      </c>
      <c r="T434" s="165" t="str">
        <f t="shared" si="5"/>
        <v/>
      </c>
      <c r="U434" s="165" t="s">
        <v>1396</v>
      </c>
      <c r="V434" s="53"/>
      <c r="W434" s="52" t="str">
        <f t="shared" si="6"/>
        <v/>
      </c>
      <c r="X434" s="52">
        <f t="shared" si="7"/>
        <v>0</v>
      </c>
      <c r="Y434" s="52">
        <f t="shared" si="8"/>
        <v>0</v>
      </c>
      <c r="Z434" s="52" t="str">
        <f>IF(G434="","",IFERROR(VLOOKUP(G434,'Product_Stock_Master产品维护'!$A$2:$L992,11,FALSE),"No"))</f>
        <v/>
      </c>
      <c r="AA434" s="52" t="str">
        <f>IF(G434="","",IFERROR(VLOOKUP(G434,'Product_Stock_Master产品维护'!$A$2:$L992,12,FALSE),""))</f>
        <v/>
      </c>
      <c r="AB434" s="52" t="str">
        <f t="shared" si="11"/>
        <v/>
      </c>
      <c r="AC434" s="52">
        <f t="shared" si="12"/>
        <v>0</v>
      </c>
    </row>
    <row r="435" ht="15.75" customHeight="1">
      <c r="A435" s="163"/>
      <c r="B435" s="163"/>
      <c r="C435" s="164"/>
      <c r="D435" s="164"/>
      <c r="E435" s="164"/>
      <c r="F435" s="164"/>
      <c r="G435" s="164"/>
      <c r="H435" s="165" t="str">
        <f>IF(G435="","",IFERROR(VLOOKUP(G435,'Product_Stock_Master产品维护'!$A$2:$E992,2,FALSE()),"SKU not found"))</f>
        <v/>
      </c>
      <c r="I435" s="165" t="str">
        <f>IF(G435="","",IFERROR(VLOOKUP(G435,'Product_Stock_Master产品维护'!$A$2:$E992,3,FALSE()),"Item type not found"))</f>
        <v/>
      </c>
      <c r="J435" s="164"/>
      <c r="K435" s="164"/>
      <c r="L435" s="164"/>
      <c r="M435" s="164"/>
      <c r="N435" s="164"/>
      <c r="O435" s="165" t="str">
        <f t="shared" si="1"/>
        <v/>
      </c>
      <c r="P435" s="164"/>
      <c r="Q435" s="165" t="str">
        <f t="shared" si="9"/>
        <v/>
      </c>
      <c r="R435" s="165" t="str">
        <f t="shared" si="3"/>
        <v/>
      </c>
      <c r="S435" s="165" t="str">
        <f t="shared" si="10"/>
        <v/>
      </c>
      <c r="T435" s="165" t="str">
        <f t="shared" si="5"/>
        <v/>
      </c>
      <c r="U435" s="165" t="s">
        <v>1397</v>
      </c>
      <c r="V435" s="53"/>
      <c r="W435" s="52" t="str">
        <f t="shared" si="6"/>
        <v/>
      </c>
      <c r="X435" s="52">
        <f t="shared" si="7"/>
        <v>0</v>
      </c>
      <c r="Y435" s="52">
        <f t="shared" si="8"/>
        <v>0</v>
      </c>
      <c r="Z435" s="52" t="str">
        <f>IF(G435="","",IFERROR(VLOOKUP(G435,'Product_Stock_Master产品维护'!$A$2:$L992,11,FALSE),"No"))</f>
        <v/>
      </c>
      <c r="AA435" s="52" t="str">
        <f>IF(G435="","",IFERROR(VLOOKUP(G435,'Product_Stock_Master产品维护'!$A$2:$L992,12,FALSE),""))</f>
        <v/>
      </c>
      <c r="AB435" s="52" t="str">
        <f t="shared" si="11"/>
        <v/>
      </c>
      <c r="AC435" s="52">
        <f t="shared" si="12"/>
        <v>0</v>
      </c>
    </row>
    <row r="436" ht="15.75" customHeight="1">
      <c r="A436" s="163"/>
      <c r="B436" s="163"/>
      <c r="C436" s="164"/>
      <c r="D436" s="164"/>
      <c r="E436" s="164"/>
      <c r="F436" s="164"/>
      <c r="G436" s="164"/>
      <c r="H436" s="165" t="str">
        <f>IF(G436="","",IFERROR(VLOOKUP(G436,'Product_Stock_Master产品维护'!$A$2:$E992,2,FALSE()),"SKU not found"))</f>
        <v/>
      </c>
      <c r="I436" s="165" t="str">
        <f>IF(G436="","",IFERROR(VLOOKUP(G436,'Product_Stock_Master产品维护'!$A$2:$E992,3,FALSE()),"Item type not found"))</f>
        <v/>
      </c>
      <c r="J436" s="164"/>
      <c r="K436" s="164"/>
      <c r="L436" s="164"/>
      <c r="M436" s="164"/>
      <c r="N436" s="164"/>
      <c r="O436" s="165" t="str">
        <f t="shared" si="1"/>
        <v/>
      </c>
      <c r="P436" s="164"/>
      <c r="Q436" s="165" t="str">
        <f t="shared" si="9"/>
        <v/>
      </c>
      <c r="R436" s="165" t="str">
        <f t="shared" si="3"/>
        <v/>
      </c>
      <c r="S436" s="165" t="str">
        <f t="shared" si="10"/>
        <v/>
      </c>
      <c r="T436" s="165" t="str">
        <f t="shared" si="5"/>
        <v/>
      </c>
      <c r="U436" s="165" t="s">
        <v>1398</v>
      </c>
      <c r="V436" s="53"/>
      <c r="W436" s="52" t="str">
        <f t="shared" si="6"/>
        <v/>
      </c>
      <c r="X436" s="52">
        <f t="shared" si="7"/>
        <v>0</v>
      </c>
      <c r="Y436" s="52">
        <f t="shared" si="8"/>
        <v>0</v>
      </c>
      <c r="Z436" s="52" t="str">
        <f>IF(G436="","",IFERROR(VLOOKUP(G436,'Product_Stock_Master产品维护'!$A$2:$L992,11,FALSE),"No"))</f>
        <v/>
      </c>
      <c r="AA436" s="52" t="str">
        <f>IF(G436="","",IFERROR(VLOOKUP(G436,'Product_Stock_Master产品维护'!$A$2:$L992,12,FALSE),""))</f>
        <v/>
      </c>
      <c r="AB436" s="52" t="str">
        <f t="shared" si="11"/>
        <v/>
      </c>
      <c r="AC436" s="52">
        <f t="shared" si="12"/>
        <v>0</v>
      </c>
    </row>
    <row r="437" ht="15.75" customHeight="1">
      <c r="A437" s="163"/>
      <c r="B437" s="163"/>
      <c r="C437" s="164"/>
      <c r="D437" s="164"/>
      <c r="E437" s="164"/>
      <c r="F437" s="164"/>
      <c r="G437" s="164"/>
      <c r="H437" s="165" t="str">
        <f>IF(G437="","",IFERROR(VLOOKUP(G437,'Product_Stock_Master产品维护'!$A$2:$E992,2,FALSE()),"SKU not found"))</f>
        <v/>
      </c>
      <c r="I437" s="165" t="str">
        <f>IF(G437="","",IFERROR(VLOOKUP(G437,'Product_Stock_Master产品维护'!$A$2:$E992,3,FALSE()),"Item type not found"))</f>
        <v/>
      </c>
      <c r="J437" s="164"/>
      <c r="K437" s="164"/>
      <c r="L437" s="164"/>
      <c r="M437" s="164"/>
      <c r="N437" s="164"/>
      <c r="O437" s="165" t="str">
        <f t="shared" si="1"/>
        <v/>
      </c>
      <c r="P437" s="164"/>
      <c r="Q437" s="165" t="str">
        <f t="shared" si="9"/>
        <v/>
      </c>
      <c r="R437" s="165" t="str">
        <f t="shared" si="3"/>
        <v/>
      </c>
      <c r="S437" s="165" t="str">
        <f t="shared" si="10"/>
        <v/>
      </c>
      <c r="T437" s="165" t="str">
        <f t="shared" si="5"/>
        <v/>
      </c>
      <c r="U437" s="165" t="s">
        <v>1399</v>
      </c>
      <c r="V437" s="53"/>
      <c r="W437" s="52" t="str">
        <f t="shared" si="6"/>
        <v/>
      </c>
      <c r="X437" s="52">
        <f t="shared" si="7"/>
        <v>0</v>
      </c>
      <c r="Y437" s="52">
        <f t="shared" si="8"/>
        <v>0</v>
      </c>
      <c r="Z437" s="52" t="str">
        <f>IF(G437="","",IFERROR(VLOOKUP(G437,'Product_Stock_Master产品维护'!$A$2:$L992,11,FALSE),"No"))</f>
        <v/>
      </c>
      <c r="AA437" s="52" t="str">
        <f>IF(G437="","",IFERROR(VLOOKUP(G437,'Product_Stock_Master产品维护'!$A$2:$L992,12,FALSE),""))</f>
        <v/>
      </c>
      <c r="AB437" s="52" t="str">
        <f t="shared" si="11"/>
        <v/>
      </c>
      <c r="AC437" s="52">
        <f t="shared" si="12"/>
        <v>0</v>
      </c>
    </row>
    <row r="438" ht="15.75" customHeight="1">
      <c r="A438" s="163"/>
      <c r="B438" s="163"/>
      <c r="C438" s="164"/>
      <c r="D438" s="164"/>
      <c r="E438" s="164"/>
      <c r="F438" s="164"/>
      <c r="G438" s="164"/>
      <c r="H438" s="165" t="str">
        <f>IF(G438="","",IFERROR(VLOOKUP(G438,'Product_Stock_Master产品维护'!$A$2:$E992,2,FALSE()),"SKU not found"))</f>
        <v/>
      </c>
      <c r="I438" s="165" t="str">
        <f>IF(G438="","",IFERROR(VLOOKUP(G438,'Product_Stock_Master产品维护'!$A$2:$E992,3,FALSE()),"Item type not found"))</f>
        <v/>
      </c>
      <c r="J438" s="164"/>
      <c r="K438" s="164"/>
      <c r="L438" s="164"/>
      <c r="M438" s="164"/>
      <c r="N438" s="164"/>
      <c r="O438" s="165" t="str">
        <f t="shared" si="1"/>
        <v/>
      </c>
      <c r="P438" s="164"/>
      <c r="Q438" s="165" t="str">
        <f t="shared" si="9"/>
        <v/>
      </c>
      <c r="R438" s="165" t="str">
        <f t="shared" si="3"/>
        <v/>
      </c>
      <c r="S438" s="165" t="str">
        <f t="shared" si="10"/>
        <v/>
      </c>
      <c r="T438" s="165" t="str">
        <f t="shared" si="5"/>
        <v/>
      </c>
      <c r="U438" s="165" t="s">
        <v>1400</v>
      </c>
      <c r="V438" s="53"/>
      <c r="W438" s="52" t="str">
        <f t="shared" si="6"/>
        <v/>
      </c>
      <c r="X438" s="52">
        <f t="shared" si="7"/>
        <v>0</v>
      </c>
      <c r="Y438" s="52">
        <f t="shared" si="8"/>
        <v>0</v>
      </c>
      <c r="Z438" s="52" t="str">
        <f>IF(G438="","",IFERROR(VLOOKUP(G438,'Product_Stock_Master产品维护'!$A$2:$L992,11,FALSE),"No"))</f>
        <v/>
      </c>
      <c r="AA438" s="52" t="str">
        <f>IF(G438="","",IFERROR(VLOOKUP(G438,'Product_Stock_Master产品维护'!$A$2:$L992,12,FALSE),""))</f>
        <v/>
      </c>
      <c r="AB438" s="52" t="str">
        <f t="shared" si="11"/>
        <v/>
      </c>
      <c r="AC438" s="52">
        <f t="shared" si="12"/>
        <v>0</v>
      </c>
    </row>
    <row r="439" ht="15.75" customHeight="1">
      <c r="A439" s="163"/>
      <c r="B439" s="163"/>
      <c r="C439" s="164"/>
      <c r="D439" s="164"/>
      <c r="E439" s="164"/>
      <c r="F439" s="164"/>
      <c r="G439" s="164"/>
      <c r="H439" s="165" t="str">
        <f>IF(G439="","",IFERROR(VLOOKUP(G439,'Product_Stock_Master产品维护'!$A$2:$E992,2,FALSE()),"SKU not found"))</f>
        <v/>
      </c>
      <c r="I439" s="165" t="str">
        <f>IF(G439="","",IFERROR(VLOOKUP(G439,'Product_Stock_Master产品维护'!$A$2:$E992,3,FALSE()),"Item type not found"))</f>
        <v/>
      </c>
      <c r="J439" s="164"/>
      <c r="K439" s="164"/>
      <c r="L439" s="164"/>
      <c r="M439" s="164"/>
      <c r="N439" s="164"/>
      <c r="O439" s="165" t="str">
        <f t="shared" si="1"/>
        <v/>
      </c>
      <c r="P439" s="164"/>
      <c r="Q439" s="165" t="str">
        <f t="shared" si="9"/>
        <v/>
      </c>
      <c r="R439" s="165" t="str">
        <f t="shared" si="3"/>
        <v/>
      </c>
      <c r="S439" s="165" t="str">
        <f t="shared" si="10"/>
        <v/>
      </c>
      <c r="T439" s="165" t="str">
        <f t="shared" si="5"/>
        <v/>
      </c>
      <c r="U439" s="165" t="s">
        <v>1401</v>
      </c>
      <c r="V439" s="53"/>
      <c r="W439" s="52" t="str">
        <f t="shared" si="6"/>
        <v/>
      </c>
      <c r="X439" s="52">
        <f t="shared" si="7"/>
        <v>0</v>
      </c>
      <c r="Y439" s="52">
        <f t="shared" si="8"/>
        <v>0</v>
      </c>
      <c r="Z439" s="52" t="str">
        <f>IF(G439="","",IFERROR(VLOOKUP(G439,'Product_Stock_Master产品维护'!$A$2:$L992,11,FALSE),"No"))</f>
        <v/>
      </c>
      <c r="AA439" s="52" t="str">
        <f>IF(G439="","",IFERROR(VLOOKUP(G439,'Product_Stock_Master产品维护'!$A$2:$L992,12,FALSE),""))</f>
        <v/>
      </c>
      <c r="AB439" s="52" t="str">
        <f t="shared" si="11"/>
        <v/>
      </c>
      <c r="AC439" s="52">
        <f t="shared" si="12"/>
        <v>0</v>
      </c>
    </row>
    <row r="440" ht="15.75" customHeight="1">
      <c r="A440" s="163"/>
      <c r="B440" s="163"/>
      <c r="C440" s="164"/>
      <c r="D440" s="164"/>
      <c r="E440" s="164"/>
      <c r="F440" s="164"/>
      <c r="G440" s="164"/>
      <c r="H440" s="165" t="str">
        <f>IF(G440="","",IFERROR(VLOOKUP(G440,'Product_Stock_Master产品维护'!$A$2:$E992,2,FALSE()),"SKU not found"))</f>
        <v/>
      </c>
      <c r="I440" s="165" t="str">
        <f>IF(G440="","",IFERROR(VLOOKUP(G440,'Product_Stock_Master产品维护'!$A$2:$E992,3,FALSE()),"Item type not found"))</f>
        <v/>
      </c>
      <c r="J440" s="164"/>
      <c r="K440" s="164"/>
      <c r="L440" s="164"/>
      <c r="M440" s="164"/>
      <c r="N440" s="164"/>
      <c r="O440" s="165" t="str">
        <f t="shared" si="1"/>
        <v/>
      </c>
      <c r="P440" s="164"/>
      <c r="Q440" s="165" t="str">
        <f t="shared" si="9"/>
        <v/>
      </c>
      <c r="R440" s="165" t="str">
        <f t="shared" si="3"/>
        <v/>
      </c>
      <c r="S440" s="165" t="str">
        <f t="shared" si="10"/>
        <v/>
      </c>
      <c r="T440" s="165" t="str">
        <f t="shared" si="5"/>
        <v/>
      </c>
      <c r="U440" s="165" t="s">
        <v>1402</v>
      </c>
      <c r="V440" s="53"/>
      <c r="W440" s="52" t="str">
        <f t="shared" si="6"/>
        <v/>
      </c>
      <c r="X440" s="52">
        <f t="shared" si="7"/>
        <v>0</v>
      </c>
      <c r="Y440" s="52">
        <f t="shared" si="8"/>
        <v>0</v>
      </c>
      <c r="Z440" s="52" t="str">
        <f>IF(G440="","",IFERROR(VLOOKUP(G440,'Product_Stock_Master产品维护'!$A$2:$L992,11,FALSE),"No"))</f>
        <v/>
      </c>
      <c r="AA440" s="52" t="str">
        <f>IF(G440="","",IFERROR(VLOOKUP(G440,'Product_Stock_Master产品维护'!$A$2:$L992,12,FALSE),""))</f>
        <v/>
      </c>
      <c r="AB440" s="52" t="str">
        <f t="shared" si="11"/>
        <v/>
      </c>
      <c r="AC440" s="52">
        <f t="shared" si="12"/>
        <v>0</v>
      </c>
    </row>
    <row r="441" ht="15.75" customHeight="1">
      <c r="A441" s="163"/>
      <c r="B441" s="163"/>
      <c r="C441" s="164"/>
      <c r="D441" s="164"/>
      <c r="E441" s="164"/>
      <c r="F441" s="164"/>
      <c r="G441" s="164"/>
      <c r="H441" s="165" t="str">
        <f>IF(G441="","",IFERROR(VLOOKUP(G441,'Product_Stock_Master产品维护'!$A$2:$E992,2,FALSE()),"SKU not found"))</f>
        <v/>
      </c>
      <c r="I441" s="165" t="str">
        <f>IF(G441="","",IFERROR(VLOOKUP(G441,'Product_Stock_Master产品维护'!$A$2:$E992,3,FALSE()),"Item type not found"))</f>
        <v/>
      </c>
      <c r="J441" s="164"/>
      <c r="K441" s="164"/>
      <c r="L441" s="164"/>
      <c r="M441" s="164"/>
      <c r="N441" s="164"/>
      <c r="O441" s="165" t="str">
        <f t="shared" si="1"/>
        <v/>
      </c>
      <c r="P441" s="164"/>
      <c r="Q441" s="165" t="str">
        <f t="shared" si="9"/>
        <v/>
      </c>
      <c r="R441" s="165" t="str">
        <f t="shared" si="3"/>
        <v/>
      </c>
      <c r="S441" s="165" t="str">
        <f t="shared" si="10"/>
        <v/>
      </c>
      <c r="T441" s="165" t="str">
        <f t="shared" si="5"/>
        <v/>
      </c>
      <c r="U441" s="165" t="s">
        <v>1403</v>
      </c>
      <c r="V441" s="53"/>
      <c r="W441" s="52" t="str">
        <f t="shared" si="6"/>
        <v/>
      </c>
      <c r="X441" s="52">
        <f t="shared" si="7"/>
        <v>0</v>
      </c>
      <c r="Y441" s="52">
        <f t="shared" si="8"/>
        <v>0</v>
      </c>
      <c r="Z441" s="52" t="str">
        <f>IF(G441="","",IFERROR(VLOOKUP(G441,'Product_Stock_Master产品维护'!$A$2:$L992,11,FALSE),"No"))</f>
        <v/>
      </c>
      <c r="AA441" s="52" t="str">
        <f>IF(G441="","",IFERROR(VLOOKUP(G441,'Product_Stock_Master产品维护'!$A$2:$L992,12,FALSE),""))</f>
        <v/>
      </c>
      <c r="AB441" s="52" t="str">
        <f t="shared" si="11"/>
        <v/>
      </c>
      <c r="AC441" s="52">
        <f t="shared" si="12"/>
        <v>0</v>
      </c>
    </row>
    <row r="442" ht="15.75" customHeight="1">
      <c r="A442" s="163"/>
      <c r="B442" s="163"/>
      <c r="C442" s="164"/>
      <c r="D442" s="164"/>
      <c r="E442" s="164"/>
      <c r="F442" s="164"/>
      <c r="G442" s="164"/>
      <c r="H442" s="165" t="str">
        <f>IF(G442="","",IFERROR(VLOOKUP(G442,'Product_Stock_Master产品维护'!$A$2:$E992,2,FALSE()),"SKU not found"))</f>
        <v/>
      </c>
      <c r="I442" s="165" t="str">
        <f>IF(G442="","",IFERROR(VLOOKUP(G442,'Product_Stock_Master产品维护'!$A$2:$E992,3,FALSE()),"Item type not found"))</f>
        <v/>
      </c>
      <c r="J442" s="164"/>
      <c r="K442" s="164"/>
      <c r="L442" s="164"/>
      <c r="M442" s="164"/>
      <c r="N442" s="164"/>
      <c r="O442" s="165" t="str">
        <f t="shared" si="1"/>
        <v/>
      </c>
      <c r="P442" s="164"/>
      <c r="Q442" s="165" t="str">
        <f t="shared" si="9"/>
        <v/>
      </c>
      <c r="R442" s="165" t="str">
        <f t="shared" si="3"/>
        <v/>
      </c>
      <c r="S442" s="165" t="str">
        <f t="shared" si="10"/>
        <v/>
      </c>
      <c r="T442" s="165" t="str">
        <f t="shared" si="5"/>
        <v/>
      </c>
      <c r="U442" s="165" t="s">
        <v>1404</v>
      </c>
      <c r="V442" s="53"/>
      <c r="W442" s="52" t="str">
        <f t="shared" si="6"/>
        <v/>
      </c>
      <c r="X442" s="52">
        <f t="shared" si="7"/>
        <v>0</v>
      </c>
      <c r="Y442" s="52">
        <f t="shared" si="8"/>
        <v>0</v>
      </c>
      <c r="Z442" s="52" t="str">
        <f>IF(G442="","",IFERROR(VLOOKUP(G442,'Product_Stock_Master产品维护'!$A$2:$L992,11,FALSE),"No"))</f>
        <v/>
      </c>
      <c r="AA442" s="52" t="str">
        <f>IF(G442="","",IFERROR(VLOOKUP(G442,'Product_Stock_Master产品维护'!$A$2:$L992,12,FALSE),""))</f>
        <v/>
      </c>
      <c r="AB442" s="52" t="str">
        <f t="shared" si="11"/>
        <v/>
      </c>
      <c r="AC442" s="52">
        <f t="shared" si="12"/>
        <v>0</v>
      </c>
    </row>
    <row r="443" ht="15.75" customHeight="1">
      <c r="A443" s="163"/>
      <c r="B443" s="163"/>
      <c r="C443" s="164"/>
      <c r="D443" s="164"/>
      <c r="E443" s="164"/>
      <c r="F443" s="164"/>
      <c r="G443" s="164"/>
      <c r="H443" s="165" t="str">
        <f>IF(G443="","",IFERROR(VLOOKUP(G443,'Product_Stock_Master产品维护'!$A$2:$E992,2,FALSE()),"SKU not found"))</f>
        <v/>
      </c>
      <c r="I443" s="165" t="str">
        <f>IF(G443="","",IFERROR(VLOOKUP(G443,'Product_Stock_Master产品维护'!$A$2:$E992,3,FALSE()),"Item type not found"))</f>
        <v/>
      </c>
      <c r="J443" s="164"/>
      <c r="K443" s="164"/>
      <c r="L443" s="164"/>
      <c r="M443" s="164"/>
      <c r="N443" s="164"/>
      <c r="O443" s="165" t="str">
        <f t="shared" si="1"/>
        <v/>
      </c>
      <c r="P443" s="164"/>
      <c r="Q443" s="165" t="str">
        <f t="shared" si="9"/>
        <v/>
      </c>
      <c r="R443" s="165" t="str">
        <f t="shared" si="3"/>
        <v/>
      </c>
      <c r="S443" s="165" t="str">
        <f t="shared" si="10"/>
        <v/>
      </c>
      <c r="T443" s="165" t="str">
        <f t="shared" si="5"/>
        <v/>
      </c>
      <c r="U443" s="165" t="s">
        <v>1405</v>
      </c>
      <c r="V443" s="53"/>
      <c r="W443" s="52" t="str">
        <f t="shared" si="6"/>
        <v/>
      </c>
      <c r="X443" s="52">
        <f t="shared" si="7"/>
        <v>0</v>
      </c>
      <c r="Y443" s="52">
        <f t="shared" si="8"/>
        <v>0</v>
      </c>
      <c r="Z443" s="52" t="str">
        <f>IF(G443="","",IFERROR(VLOOKUP(G443,'Product_Stock_Master产品维护'!$A$2:$L992,11,FALSE),"No"))</f>
        <v/>
      </c>
      <c r="AA443" s="52" t="str">
        <f>IF(G443="","",IFERROR(VLOOKUP(G443,'Product_Stock_Master产品维护'!$A$2:$L992,12,FALSE),""))</f>
        <v/>
      </c>
      <c r="AB443" s="52" t="str">
        <f t="shared" si="11"/>
        <v/>
      </c>
      <c r="AC443" s="52">
        <f t="shared" si="12"/>
        <v>0</v>
      </c>
    </row>
    <row r="444" ht="15.75" customHeight="1">
      <c r="A444" s="163"/>
      <c r="B444" s="163"/>
      <c r="C444" s="164"/>
      <c r="D444" s="164"/>
      <c r="E444" s="164"/>
      <c r="F444" s="164"/>
      <c r="G444" s="164"/>
      <c r="H444" s="165" t="str">
        <f>IF(G444="","",IFERROR(VLOOKUP(G444,'Product_Stock_Master产品维护'!$A$2:$E992,2,FALSE()),"SKU not found"))</f>
        <v/>
      </c>
      <c r="I444" s="165" t="str">
        <f>IF(G444="","",IFERROR(VLOOKUP(G444,'Product_Stock_Master产品维护'!$A$2:$E992,3,FALSE()),"Item type not found"))</f>
        <v/>
      </c>
      <c r="J444" s="164"/>
      <c r="K444" s="164"/>
      <c r="L444" s="164"/>
      <c r="M444" s="164"/>
      <c r="N444" s="164"/>
      <c r="O444" s="165" t="str">
        <f t="shared" si="1"/>
        <v/>
      </c>
      <c r="P444" s="164"/>
      <c r="Q444" s="165" t="str">
        <f t="shared" si="9"/>
        <v/>
      </c>
      <c r="R444" s="165" t="str">
        <f t="shared" si="3"/>
        <v/>
      </c>
      <c r="S444" s="165" t="str">
        <f t="shared" si="10"/>
        <v/>
      </c>
      <c r="T444" s="165" t="str">
        <f t="shared" si="5"/>
        <v/>
      </c>
      <c r="U444" s="165" t="s">
        <v>1406</v>
      </c>
      <c r="V444" s="53"/>
      <c r="W444" s="52" t="str">
        <f t="shared" si="6"/>
        <v/>
      </c>
      <c r="X444" s="52">
        <f t="shared" si="7"/>
        <v>0</v>
      </c>
      <c r="Y444" s="52">
        <f t="shared" si="8"/>
        <v>0</v>
      </c>
      <c r="Z444" s="52" t="str">
        <f>IF(G444="","",IFERROR(VLOOKUP(G444,'Product_Stock_Master产品维护'!$A$2:$L992,11,FALSE),"No"))</f>
        <v/>
      </c>
      <c r="AA444" s="52" t="str">
        <f>IF(G444="","",IFERROR(VLOOKUP(G444,'Product_Stock_Master产品维护'!$A$2:$L992,12,FALSE),""))</f>
        <v/>
      </c>
      <c r="AB444" s="52" t="str">
        <f t="shared" si="11"/>
        <v/>
      </c>
      <c r="AC444" s="52">
        <f t="shared" si="12"/>
        <v>0</v>
      </c>
    </row>
    <row r="445" ht="15.75" customHeight="1">
      <c r="A445" s="163"/>
      <c r="B445" s="163"/>
      <c r="C445" s="164"/>
      <c r="D445" s="164"/>
      <c r="E445" s="164"/>
      <c r="F445" s="164"/>
      <c r="G445" s="164"/>
      <c r="H445" s="165" t="str">
        <f>IF(G445="","",IFERROR(VLOOKUP(G445,'Product_Stock_Master产品维护'!$A$2:$E992,2,FALSE()),"SKU not found"))</f>
        <v/>
      </c>
      <c r="I445" s="165" t="str">
        <f>IF(G445="","",IFERROR(VLOOKUP(G445,'Product_Stock_Master产品维护'!$A$2:$E992,3,FALSE()),"Item type not found"))</f>
        <v/>
      </c>
      <c r="J445" s="164"/>
      <c r="K445" s="164"/>
      <c r="L445" s="164"/>
      <c r="M445" s="164"/>
      <c r="N445" s="164"/>
      <c r="O445" s="165" t="str">
        <f t="shared" si="1"/>
        <v/>
      </c>
      <c r="P445" s="164"/>
      <c r="Q445" s="165" t="str">
        <f t="shared" si="9"/>
        <v/>
      </c>
      <c r="R445" s="165" t="str">
        <f t="shared" si="3"/>
        <v/>
      </c>
      <c r="S445" s="165" t="str">
        <f t="shared" si="10"/>
        <v/>
      </c>
      <c r="T445" s="165" t="str">
        <f t="shared" si="5"/>
        <v/>
      </c>
      <c r="U445" s="165" t="s">
        <v>1407</v>
      </c>
      <c r="V445" s="53"/>
      <c r="W445" s="52" t="str">
        <f t="shared" si="6"/>
        <v/>
      </c>
      <c r="X445" s="52">
        <f t="shared" si="7"/>
        <v>0</v>
      </c>
      <c r="Y445" s="52">
        <f t="shared" si="8"/>
        <v>0</v>
      </c>
      <c r="Z445" s="52" t="str">
        <f>IF(G445="","",IFERROR(VLOOKUP(G445,'Product_Stock_Master产品维护'!$A$2:$L992,11,FALSE),"No"))</f>
        <v/>
      </c>
      <c r="AA445" s="52" t="str">
        <f>IF(G445="","",IFERROR(VLOOKUP(G445,'Product_Stock_Master产品维护'!$A$2:$L992,12,FALSE),""))</f>
        <v/>
      </c>
      <c r="AB445" s="52" t="str">
        <f t="shared" si="11"/>
        <v/>
      </c>
      <c r="AC445" s="52">
        <f t="shared" si="12"/>
        <v>0</v>
      </c>
    </row>
    <row r="446" ht="15.75" customHeight="1">
      <c r="A446" s="163"/>
      <c r="B446" s="163"/>
      <c r="C446" s="164"/>
      <c r="D446" s="164"/>
      <c r="E446" s="164"/>
      <c r="F446" s="164"/>
      <c r="G446" s="164"/>
      <c r="H446" s="165" t="str">
        <f>IF(G446="","",IFERROR(VLOOKUP(G446,'Product_Stock_Master产品维护'!$A$2:$E992,2,FALSE()),"SKU not found"))</f>
        <v/>
      </c>
      <c r="I446" s="165" t="str">
        <f>IF(G446="","",IFERROR(VLOOKUP(G446,'Product_Stock_Master产品维护'!$A$2:$E992,3,FALSE()),"Item type not found"))</f>
        <v/>
      </c>
      <c r="J446" s="164"/>
      <c r="K446" s="164"/>
      <c r="L446" s="164"/>
      <c r="M446" s="164"/>
      <c r="N446" s="164"/>
      <c r="O446" s="165" t="str">
        <f t="shared" si="1"/>
        <v/>
      </c>
      <c r="P446" s="164"/>
      <c r="Q446" s="165" t="str">
        <f t="shared" si="9"/>
        <v/>
      </c>
      <c r="R446" s="165" t="str">
        <f t="shared" si="3"/>
        <v/>
      </c>
      <c r="S446" s="165" t="str">
        <f t="shared" si="10"/>
        <v/>
      </c>
      <c r="T446" s="165" t="str">
        <f t="shared" si="5"/>
        <v/>
      </c>
      <c r="U446" s="165" t="s">
        <v>1408</v>
      </c>
      <c r="V446" s="53"/>
      <c r="W446" s="52" t="str">
        <f t="shared" si="6"/>
        <v/>
      </c>
      <c r="X446" s="52">
        <f t="shared" si="7"/>
        <v>0</v>
      </c>
      <c r="Y446" s="52">
        <f t="shared" si="8"/>
        <v>0</v>
      </c>
      <c r="Z446" s="52" t="str">
        <f>IF(G446="","",IFERROR(VLOOKUP(G446,'Product_Stock_Master产品维护'!$A$2:$L992,11,FALSE),"No"))</f>
        <v/>
      </c>
      <c r="AA446" s="52" t="str">
        <f>IF(G446="","",IFERROR(VLOOKUP(G446,'Product_Stock_Master产品维护'!$A$2:$L992,12,FALSE),""))</f>
        <v/>
      </c>
      <c r="AB446" s="52" t="str">
        <f t="shared" si="11"/>
        <v/>
      </c>
      <c r="AC446" s="52">
        <f t="shared" si="12"/>
        <v>0</v>
      </c>
    </row>
    <row r="447" ht="15.75" customHeight="1">
      <c r="A447" s="163"/>
      <c r="B447" s="163"/>
      <c r="C447" s="164"/>
      <c r="D447" s="164"/>
      <c r="E447" s="164"/>
      <c r="F447" s="164"/>
      <c r="G447" s="164"/>
      <c r="H447" s="165" t="str">
        <f>IF(G447="","",IFERROR(VLOOKUP(G447,'Product_Stock_Master产品维护'!$A$2:$E992,2,FALSE()),"SKU not found"))</f>
        <v/>
      </c>
      <c r="I447" s="165" t="str">
        <f>IF(G447="","",IFERROR(VLOOKUP(G447,'Product_Stock_Master产品维护'!$A$2:$E992,3,FALSE()),"Item type not found"))</f>
        <v/>
      </c>
      <c r="J447" s="164"/>
      <c r="K447" s="164"/>
      <c r="L447" s="164"/>
      <c r="M447" s="164"/>
      <c r="N447" s="164"/>
      <c r="O447" s="165" t="str">
        <f t="shared" si="1"/>
        <v/>
      </c>
      <c r="P447" s="164"/>
      <c r="Q447" s="165" t="str">
        <f t="shared" si="9"/>
        <v/>
      </c>
      <c r="R447" s="165" t="str">
        <f t="shared" si="3"/>
        <v/>
      </c>
      <c r="S447" s="165" t="str">
        <f t="shared" si="10"/>
        <v/>
      </c>
      <c r="T447" s="165" t="str">
        <f t="shared" si="5"/>
        <v/>
      </c>
      <c r="U447" s="165" t="s">
        <v>1409</v>
      </c>
      <c r="V447" s="53"/>
      <c r="W447" s="52" t="str">
        <f t="shared" si="6"/>
        <v/>
      </c>
      <c r="X447" s="52">
        <f t="shared" si="7"/>
        <v>0</v>
      </c>
      <c r="Y447" s="52">
        <f t="shared" si="8"/>
        <v>0</v>
      </c>
      <c r="Z447" s="52" t="str">
        <f>IF(G447="","",IFERROR(VLOOKUP(G447,'Product_Stock_Master产品维护'!$A$2:$L992,11,FALSE),"No"))</f>
        <v/>
      </c>
      <c r="AA447" s="52" t="str">
        <f>IF(G447="","",IFERROR(VLOOKUP(G447,'Product_Stock_Master产品维护'!$A$2:$L992,12,FALSE),""))</f>
        <v/>
      </c>
      <c r="AB447" s="52" t="str">
        <f t="shared" si="11"/>
        <v/>
      </c>
      <c r="AC447" s="52">
        <f t="shared" si="12"/>
        <v>0</v>
      </c>
    </row>
    <row r="448" ht="15.75" customHeight="1">
      <c r="A448" s="163"/>
      <c r="B448" s="163"/>
      <c r="C448" s="164"/>
      <c r="D448" s="164"/>
      <c r="E448" s="164"/>
      <c r="F448" s="164"/>
      <c r="G448" s="164"/>
      <c r="H448" s="165" t="str">
        <f>IF(G448="","",IFERROR(VLOOKUP(G448,'Product_Stock_Master产品维护'!$A$2:$E992,2,FALSE()),"SKU not found"))</f>
        <v/>
      </c>
      <c r="I448" s="165" t="str">
        <f>IF(G448="","",IFERROR(VLOOKUP(G448,'Product_Stock_Master产品维护'!$A$2:$E992,3,FALSE()),"Item type not found"))</f>
        <v/>
      </c>
      <c r="J448" s="164"/>
      <c r="K448" s="164"/>
      <c r="L448" s="164"/>
      <c r="M448" s="164"/>
      <c r="N448" s="164"/>
      <c r="O448" s="165" t="str">
        <f t="shared" si="1"/>
        <v/>
      </c>
      <c r="P448" s="164"/>
      <c r="Q448" s="165" t="str">
        <f t="shared" si="9"/>
        <v/>
      </c>
      <c r="R448" s="165" t="str">
        <f t="shared" si="3"/>
        <v/>
      </c>
      <c r="S448" s="165" t="str">
        <f t="shared" si="10"/>
        <v/>
      </c>
      <c r="T448" s="165" t="str">
        <f t="shared" si="5"/>
        <v/>
      </c>
      <c r="U448" s="165" t="s">
        <v>1410</v>
      </c>
      <c r="V448" s="53"/>
      <c r="W448" s="52" t="str">
        <f t="shared" si="6"/>
        <v/>
      </c>
      <c r="X448" s="52">
        <f t="shared" si="7"/>
        <v>0</v>
      </c>
      <c r="Y448" s="52">
        <f t="shared" si="8"/>
        <v>0</v>
      </c>
      <c r="Z448" s="52" t="str">
        <f>IF(G448="","",IFERROR(VLOOKUP(G448,'Product_Stock_Master产品维护'!$A$2:$L992,11,FALSE),"No"))</f>
        <v/>
      </c>
      <c r="AA448" s="52" t="str">
        <f>IF(G448="","",IFERROR(VLOOKUP(G448,'Product_Stock_Master产品维护'!$A$2:$L992,12,FALSE),""))</f>
        <v/>
      </c>
      <c r="AB448" s="52" t="str">
        <f t="shared" si="11"/>
        <v/>
      </c>
      <c r="AC448" s="52">
        <f t="shared" si="12"/>
        <v>0</v>
      </c>
    </row>
    <row r="449" ht="15.75" customHeight="1">
      <c r="A449" s="163"/>
      <c r="B449" s="163"/>
      <c r="C449" s="164"/>
      <c r="D449" s="164"/>
      <c r="E449" s="164"/>
      <c r="F449" s="164"/>
      <c r="G449" s="164"/>
      <c r="H449" s="165" t="str">
        <f>IF(G449="","",IFERROR(VLOOKUP(G449,'Product_Stock_Master产品维护'!$A$2:$E992,2,FALSE()),"SKU not found"))</f>
        <v/>
      </c>
      <c r="I449" s="165" t="str">
        <f>IF(G449="","",IFERROR(VLOOKUP(G449,'Product_Stock_Master产品维护'!$A$2:$E992,3,FALSE()),"Item type not found"))</f>
        <v/>
      </c>
      <c r="J449" s="164"/>
      <c r="K449" s="164"/>
      <c r="L449" s="164"/>
      <c r="M449" s="164"/>
      <c r="N449" s="164"/>
      <c r="O449" s="165" t="str">
        <f t="shared" si="1"/>
        <v/>
      </c>
      <c r="P449" s="164"/>
      <c r="Q449" s="165" t="str">
        <f t="shared" si="9"/>
        <v/>
      </c>
      <c r="R449" s="165" t="str">
        <f t="shared" si="3"/>
        <v/>
      </c>
      <c r="S449" s="165" t="str">
        <f t="shared" si="10"/>
        <v/>
      </c>
      <c r="T449" s="165" t="str">
        <f t="shared" si="5"/>
        <v/>
      </c>
      <c r="U449" s="165" t="s">
        <v>1411</v>
      </c>
      <c r="V449" s="53"/>
      <c r="W449" s="52" t="str">
        <f t="shared" si="6"/>
        <v/>
      </c>
      <c r="X449" s="52">
        <f t="shared" si="7"/>
        <v>0</v>
      </c>
      <c r="Y449" s="52">
        <f t="shared" si="8"/>
        <v>0</v>
      </c>
      <c r="Z449" s="52" t="str">
        <f>IF(G449="","",IFERROR(VLOOKUP(G449,'Product_Stock_Master产品维护'!$A$2:$L992,11,FALSE),"No"))</f>
        <v/>
      </c>
      <c r="AA449" s="52" t="str">
        <f>IF(G449="","",IFERROR(VLOOKUP(G449,'Product_Stock_Master产品维护'!$A$2:$L992,12,FALSE),""))</f>
        <v/>
      </c>
      <c r="AB449" s="52" t="str">
        <f t="shared" si="11"/>
        <v/>
      </c>
      <c r="AC449" s="52">
        <f t="shared" si="12"/>
        <v>0</v>
      </c>
    </row>
    <row r="450" ht="15.75" customHeight="1">
      <c r="A450" s="163"/>
      <c r="B450" s="163"/>
      <c r="C450" s="164"/>
      <c r="D450" s="164"/>
      <c r="E450" s="164"/>
      <c r="F450" s="164"/>
      <c r="G450" s="164"/>
      <c r="H450" s="165" t="str">
        <f>IF(G450="","",IFERROR(VLOOKUP(G450,'Product_Stock_Master产品维护'!$A$2:$E992,2,FALSE()),"SKU not found"))</f>
        <v/>
      </c>
      <c r="I450" s="165" t="str">
        <f>IF(G450="","",IFERROR(VLOOKUP(G450,'Product_Stock_Master产品维护'!$A$2:$E992,3,FALSE()),"Item type not found"))</f>
        <v/>
      </c>
      <c r="J450" s="164"/>
      <c r="K450" s="164"/>
      <c r="L450" s="164"/>
      <c r="M450" s="164"/>
      <c r="N450" s="164"/>
      <c r="O450" s="165" t="str">
        <f t="shared" si="1"/>
        <v/>
      </c>
      <c r="P450" s="164"/>
      <c r="Q450" s="165" t="str">
        <f t="shared" si="9"/>
        <v/>
      </c>
      <c r="R450" s="165" t="str">
        <f t="shared" si="3"/>
        <v/>
      </c>
      <c r="S450" s="165" t="str">
        <f t="shared" si="10"/>
        <v/>
      </c>
      <c r="T450" s="165" t="str">
        <f t="shared" si="5"/>
        <v/>
      </c>
      <c r="U450" s="165" t="s">
        <v>1412</v>
      </c>
      <c r="V450" s="53"/>
      <c r="W450" s="52" t="str">
        <f t="shared" si="6"/>
        <v/>
      </c>
      <c r="X450" s="52">
        <f t="shared" si="7"/>
        <v>0</v>
      </c>
      <c r="Y450" s="52">
        <f t="shared" si="8"/>
        <v>0</v>
      </c>
      <c r="Z450" s="52" t="str">
        <f>IF(G450="","",IFERROR(VLOOKUP(G450,'Product_Stock_Master产品维护'!$A$2:$L992,11,FALSE),"No"))</f>
        <v/>
      </c>
      <c r="AA450" s="52" t="str">
        <f>IF(G450="","",IFERROR(VLOOKUP(G450,'Product_Stock_Master产品维护'!$A$2:$L992,12,FALSE),""))</f>
        <v/>
      </c>
      <c r="AB450" s="52" t="str">
        <f t="shared" si="11"/>
        <v/>
      </c>
      <c r="AC450" s="52">
        <f t="shared" si="12"/>
        <v>0</v>
      </c>
    </row>
    <row r="451" ht="15.75" customHeight="1">
      <c r="A451" s="163"/>
      <c r="B451" s="163"/>
      <c r="C451" s="164"/>
      <c r="D451" s="164"/>
      <c r="E451" s="164"/>
      <c r="F451" s="164"/>
      <c r="G451" s="164"/>
      <c r="H451" s="165" t="str">
        <f>IF(G451="","",IFERROR(VLOOKUP(G451,'Product_Stock_Master产品维护'!$A$2:$E992,2,FALSE()),"SKU not found"))</f>
        <v/>
      </c>
      <c r="I451" s="165" t="str">
        <f>IF(G451="","",IFERROR(VLOOKUP(G451,'Product_Stock_Master产品维护'!$A$2:$E992,3,FALSE()),"Item type not found"))</f>
        <v/>
      </c>
      <c r="J451" s="164"/>
      <c r="K451" s="164"/>
      <c r="L451" s="164"/>
      <c r="M451" s="164"/>
      <c r="N451" s="164"/>
      <c r="O451" s="165" t="str">
        <f t="shared" si="1"/>
        <v/>
      </c>
      <c r="P451" s="164"/>
      <c r="Q451" s="165" t="str">
        <f t="shared" si="9"/>
        <v/>
      </c>
      <c r="R451" s="165" t="str">
        <f t="shared" si="3"/>
        <v/>
      </c>
      <c r="S451" s="165" t="str">
        <f t="shared" si="10"/>
        <v/>
      </c>
      <c r="T451" s="165" t="str">
        <f t="shared" si="5"/>
        <v/>
      </c>
      <c r="U451" s="165" t="s">
        <v>1413</v>
      </c>
      <c r="V451" s="53"/>
      <c r="W451" s="52" t="str">
        <f t="shared" si="6"/>
        <v/>
      </c>
      <c r="X451" s="52">
        <f t="shared" si="7"/>
        <v>0</v>
      </c>
      <c r="Y451" s="52">
        <f t="shared" si="8"/>
        <v>0</v>
      </c>
      <c r="Z451" s="52" t="str">
        <f>IF(G451="","",IFERROR(VLOOKUP(G451,'Product_Stock_Master产品维护'!$A$2:$L992,11,FALSE),"No"))</f>
        <v/>
      </c>
      <c r="AA451" s="52" t="str">
        <f>IF(G451="","",IFERROR(VLOOKUP(G451,'Product_Stock_Master产品维护'!$A$2:$L992,12,FALSE),""))</f>
        <v/>
      </c>
      <c r="AB451" s="52" t="str">
        <f t="shared" si="11"/>
        <v/>
      </c>
      <c r="AC451" s="52">
        <f t="shared" si="12"/>
        <v>0</v>
      </c>
    </row>
    <row r="452" ht="15.75" customHeight="1">
      <c r="A452" s="163"/>
      <c r="B452" s="163"/>
      <c r="C452" s="164"/>
      <c r="D452" s="164"/>
      <c r="E452" s="164"/>
      <c r="F452" s="164"/>
      <c r="G452" s="164"/>
      <c r="H452" s="165" t="str">
        <f>IF(G452="","",IFERROR(VLOOKUP(G452,'Product_Stock_Master产品维护'!$A$2:$E992,2,FALSE()),"SKU not found"))</f>
        <v/>
      </c>
      <c r="I452" s="165" t="str">
        <f>IF(G452="","",IFERROR(VLOOKUP(G452,'Product_Stock_Master产品维护'!$A$2:$E992,3,FALSE()),"Item type not found"))</f>
        <v/>
      </c>
      <c r="J452" s="164"/>
      <c r="K452" s="164"/>
      <c r="L452" s="164"/>
      <c r="M452" s="164"/>
      <c r="N452" s="164"/>
      <c r="O452" s="165" t="str">
        <f t="shared" si="1"/>
        <v/>
      </c>
      <c r="P452" s="164"/>
      <c r="Q452" s="165" t="str">
        <f t="shared" si="9"/>
        <v/>
      </c>
      <c r="R452" s="165" t="str">
        <f t="shared" si="3"/>
        <v/>
      </c>
      <c r="S452" s="165" t="str">
        <f t="shared" si="10"/>
        <v/>
      </c>
      <c r="T452" s="165" t="str">
        <f t="shared" si="5"/>
        <v/>
      </c>
      <c r="U452" s="165" t="s">
        <v>1414</v>
      </c>
      <c r="V452" s="53"/>
      <c r="W452" s="52" t="str">
        <f t="shared" si="6"/>
        <v/>
      </c>
      <c r="X452" s="52">
        <f t="shared" si="7"/>
        <v>0</v>
      </c>
      <c r="Y452" s="52">
        <f t="shared" si="8"/>
        <v>0</v>
      </c>
      <c r="Z452" s="52" t="str">
        <f>IF(G452="","",IFERROR(VLOOKUP(G452,'Product_Stock_Master产品维护'!$A$2:$L992,11,FALSE),"No"))</f>
        <v/>
      </c>
      <c r="AA452" s="52" t="str">
        <f>IF(G452="","",IFERROR(VLOOKUP(G452,'Product_Stock_Master产品维护'!$A$2:$L992,12,FALSE),""))</f>
        <v/>
      </c>
      <c r="AB452" s="52" t="str">
        <f t="shared" si="11"/>
        <v/>
      </c>
      <c r="AC452" s="52">
        <f t="shared" si="12"/>
        <v>0</v>
      </c>
    </row>
    <row r="453" ht="15.75" customHeight="1">
      <c r="A453" s="163"/>
      <c r="B453" s="163"/>
      <c r="C453" s="164"/>
      <c r="D453" s="164"/>
      <c r="E453" s="164"/>
      <c r="F453" s="164"/>
      <c r="G453" s="164"/>
      <c r="H453" s="165" t="str">
        <f>IF(G453="","",IFERROR(VLOOKUP(G453,'Product_Stock_Master产品维护'!$A$2:$E992,2,FALSE()),"SKU not found"))</f>
        <v/>
      </c>
      <c r="I453" s="165" t="str">
        <f>IF(G453="","",IFERROR(VLOOKUP(G453,'Product_Stock_Master产品维护'!$A$2:$E992,3,FALSE()),"Item type not found"))</f>
        <v/>
      </c>
      <c r="J453" s="164"/>
      <c r="K453" s="164"/>
      <c r="L453" s="164"/>
      <c r="M453" s="164"/>
      <c r="N453" s="164"/>
      <c r="O453" s="165" t="str">
        <f t="shared" si="1"/>
        <v/>
      </c>
      <c r="P453" s="164"/>
      <c r="Q453" s="165" t="str">
        <f t="shared" si="9"/>
        <v/>
      </c>
      <c r="R453" s="165" t="str">
        <f t="shared" si="3"/>
        <v/>
      </c>
      <c r="S453" s="165" t="str">
        <f t="shared" si="10"/>
        <v/>
      </c>
      <c r="T453" s="165" t="str">
        <f t="shared" si="5"/>
        <v/>
      </c>
      <c r="U453" s="165" t="s">
        <v>1415</v>
      </c>
      <c r="V453" s="53"/>
      <c r="W453" s="52" t="str">
        <f t="shared" si="6"/>
        <v/>
      </c>
      <c r="X453" s="52">
        <f t="shared" si="7"/>
        <v>0</v>
      </c>
      <c r="Y453" s="52">
        <f t="shared" si="8"/>
        <v>0</v>
      </c>
      <c r="Z453" s="52" t="str">
        <f>IF(G453="","",IFERROR(VLOOKUP(G453,'Product_Stock_Master产品维护'!$A$2:$L992,11,FALSE),"No"))</f>
        <v/>
      </c>
      <c r="AA453" s="52" t="str">
        <f>IF(G453="","",IFERROR(VLOOKUP(G453,'Product_Stock_Master产品维护'!$A$2:$L992,12,FALSE),""))</f>
        <v/>
      </c>
      <c r="AB453" s="52" t="str">
        <f t="shared" si="11"/>
        <v/>
      </c>
      <c r="AC453" s="52">
        <f t="shared" si="12"/>
        <v>0</v>
      </c>
    </row>
    <row r="454" ht="15.75" customHeight="1">
      <c r="A454" s="163"/>
      <c r="B454" s="163"/>
      <c r="C454" s="164"/>
      <c r="D454" s="164"/>
      <c r="E454" s="164"/>
      <c r="F454" s="164"/>
      <c r="G454" s="164"/>
      <c r="H454" s="165" t="str">
        <f>IF(G454="","",IFERROR(VLOOKUP(G454,'Product_Stock_Master产品维护'!$A$2:$E992,2,FALSE()),"SKU not found"))</f>
        <v/>
      </c>
      <c r="I454" s="165" t="str">
        <f>IF(G454="","",IFERROR(VLOOKUP(G454,'Product_Stock_Master产品维护'!$A$2:$E992,3,FALSE()),"Item type not found"))</f>
        <v/>
      </c>
      <c r="J454" s="164"/>
      <c r="K454" s="164"/>
      <c r="L454" s="164"/>
      <c r="M454" s="164"/>
      <c r="N454" s="164"/>
      <c r="O454" s="165" t="str">
        <f t="shared" si="1"/>
        <v/>
      </c>
      <c r="P454" s="164"/>
      <c r="Q454" s="165" t="str">
        <f t="shared" si="9"/>
        <v/>
      </c>
      <c r="R454" s="165" t="str">
        <f t="shared" si="3"/>
        <v/>
      </c>
      <c r="S454" s="165" t="str">
        <f t="shared" si="10"/>
        <v/>
      </c>
      <c r="T454" s="165" t="str">
        <f t="shared" si="5"/>
        <v/>
      </c>
      <c r="U454" s="165" t="s">
        <v>1416</v>
      </c>
      <c r="V454" s="53"/>
      <c r="W454" s="52" t="str">
        <f t="shared" si="6"/>
        <v/>
      </c>
      <c r="X454" s="52">
        <f t="shared" si="7"/>
        <v>0</v>
      </c>
      <c r="Y454" s="52">
        <f t="shared" si="8"/>
        <v>0</v>
      </c>
      <c r="Z454" s="52" t="str">
        <f>IF(G454="","",IFERROR(VLOOKUP(G454,'Product_Stock_Master产品维护'!$A$2:$L992,11,FALSE),"No"))</f>
        <v/>
      </c>
      <c r="AA454" s="52" t="str">
        <f>IF(G454="","",IFERROR(VLOOKUP(G454,'Product_Stock_Master产品维护'!$A$2:$L992,12,FALSE),""))</f>
        <v/>
      </c>
      <c r="AB454" s="52" t="str">
        <f t="shared" si="11"/>
        <v/>
      </c>
      <c r="AC454" s="52">
        <f t="shared" si="12"/>
        <v>0</v>
      </c>
    </row>
    <row r="455" ht="15.75" customHeight="1">
      <c r="A455" s="163"/>
      <c r="B455" s="163"/>
      <c r="C455" s="164"/>
      <c r="D455" s="164"/>
      <c r="E455" s="164"/>
      <c r="F455" s="164"/>
      <c r="G455" s="164"/>
      <c r="H455" s="165" t="str">
        <f>IF(G455="","",IFERROR(VLOOKUP(G455,'Product_Stock_Master产品维护'!$A$2:$E992,2,FALSE()),"SKU not found"))</f>
        <v/>
      </c>
      <c r="I455" s="165" t="str">
        <f>IF(G455="","",IFERROR(VLOOKUP(G455,'Product_Stock_Master产品维护'!$A$2:$E992,3,FALSE()),"Item type not found"))</f>
        <v/>
      </c>
      <c r="J455" s="164"/>
      <c r="K455" s="164"/>
      <c r="L455" s="164"/>
      <c r="M455" s="164"/>
      <c r="N455" s="164"/>
      <c r="O455" s="165" t="str">
        <f t="shared" si="1"/>
        <v/>
      </c>
      <c r="P455" s="164"/>
      <c r="Q455" s="165" t="str">
        <f t="shared" si="9"/>
        <v/>
      </c>
      <c r="R455" s="165" t="str">
        <f t="shared" si="3"/>
        <v/>
      </c>
      <c r="S455" s="165" t="str">
        <f t="shared" si="10"/>
        <v/>
      </c>
      <c r="T455" s="165" t="str">
        <f t="shared" si="5"/>
        <v/>
      </c>
      <c r="U455" s="165" t="s">
        <v>1417</v>
      </c>
      <c r="V455" s="53"/>
      <c r="W455" s="52" t="str">
        <f t="shared" si="6"/>
        <v/>
      </c>
      <c r="X455" s="52">
        <f t="shared" si="7"/>
        <v>0</v>
      </c>
      <c r="Y455" s="52">
        <f t="shared" si="8"/>
        <v>0</v>
      </c>
      <c r="Z455" s="52" t="str">
        <f>IF(G455="","",IFERROR(VLOOKUP(G455,'Product_Stock_Master产品维护'!$A$2:$L992,11,FALSE),"No"))</f>
        <v/>
      </c>
      <c r="AA455" s="52" t="str">
        <f>IF(G455="","",IFERROR(VLOOKUP(G455,'Product_Stock_Master产品维护'!$A$2:$L992,12,FALSE),""))</f>
        <v/>
      </c>
      <c r="AB455" s="52" t="str">
        <f t="shared" si="11"/>
        <v/>
      </c>
      <c r="AC455" s="52">
        <f t="shared" si="12"/>
        <v>0</v>
      </c>
    </row>
    <row r="456" ht="15.75" customHeight="1">
      <c r="A456" s="163"/>
      <c r="B456" s="163"/>
      <c r="C456" s="164"/>
      <c r="D456" s="164"/>
      <c r="E456" s="164"/>
      <c r="F456" s="164"/>
      <c r="G456" s="164"/>
      <c r="H456" s="165" t="str">
        <f>IF(G456="","",IFERROR(VLOOKUP(G456,'Product_Stock_Master产品维护'!$A$2:$E992,2,FALSE()),"SKU not found"))</f>
        <v/>
      </c>
      <c r="I456" s="165" t="str">
        <f>IF(G456="","",IFERROR(VLOOKUP(G456,'Product_Stock_Master产品维护'!$A$2:$E992,3,FALSE()),"Item type not found"))</f>
        <v/>
      </c>
      <c r="J456" s="164"/>
      <c r="K456" s="164"/>
      <c r="L456" s="164"/>
      <c r="M456" s="164"/>
      <c r="N456" s="164"/>
      <c r="O456" s="165" t="str">
        <f t="shared" si="1"/>
        <v/>
      </c>
      <c r="P456" s="164"/>
      <c r="Q456" s="165" t="str">
        <f t="shared" si="9"/>
        <v/>
      </c>
      <c r="R456" s="165" t="str">
        <f t="shared" si="3"/>
        <v/>
      </c>
      <c r="S456" s="165" t="str">
        <f t="shared" si="10"/>
        <v/>
      </c>
      <c r="T456" s="165" t="str">
        <f t="shared" si="5"/>
        <v/>
      </c>
      <c r="U456" s="165" t="s">
        <v>1418</v>
      </c>
      <c r="V456" s="53"/>
      <c r="W456" s="52" t="str">
        <f t="shared" si="6"/>
        <v/>
      </c>
      <c r="X456" s="52">
        <f t="shared" si="7"/>
        <v>0</v>
      </c>
      <c r="Y456" s="52">
        <f t="shared" si="8"/>
        <v>0</v>
      </c>
      <c r="Z456" s="52" t="str">
        <f>IF(G456="","",IFERROR(VLOOKUP(G456,'Product_Stock_Master产品维护'!$A$2:$L992,11,FALSE),"No"))</f>
        <v/>
      </c>
      <c r="AA456" s="52" t="str">
        <f>IF(G456="","",IFERROR(VLOOKUP(G456,'Product_Stock_Master产品维护'!$A$2:$L992,12,FALSE),""))</f>
        <v/>
      </c>
      <c r="AB456" s="52" t="str">
        <f t="shared" si="11"/>
        <v/>
      </c>
      <c r="AC456" s="52">
        <f t="shared" si="12"/>
        <v>0</v>
      </c>
    </row>
    <row r="457" ht="15.75" customHeight="1">
      <c r="A457" s="163"/>
      <c r="B457" s="163"/>
      <c r="C457" s="164"/>
      <c r="D457" s="164"/>
      <c r="E457" s="164"/>
      <c r="F457" s="164"/>
      <c r="G457" s="164"/>
      <c r="H457" s="165" t="str">
        <f>IF(G457="","",IFERROR(VLOOKUP(G457,'Product_Stock_Master产品维护'!$A$2:$E992,2,FALSE()),"SKU not found"))</f>
        <v/>
      </c>
      <c r="I457" s="165" t="str">
        <f>IF(G457="","",IFERROR(VLOOKUP(G457,'Product_Stock_Master产品维护'!$A$2:$E992,3,FALSE()),"Item type not found"))</f>
        <v/>
      </c>
      <c r="J457" s="164"/>
      <c r="K457" s="164"/>
      <c r="L457" s="164"/>
      <c r="M457" s="164"/>
      <c r="N457" s="164"/>
      <c r="O457" s="165" t="str">
        <f t="shared" si="1"/>
        <v/>
      </c>
      <c r="P457" s="164"/>
      <c r="Q457" s="165" t="str">
        <f t="shared" si="9"/>
        <v/>
      </c>
      <c r="R457" s="165" t="str">
        <f t="shared" si="3"/>
        <v/>
      </c>
      <c r="S457" s="165" t="str">
        <f t="shared" si="10"/>
        <v/>
      </c>
      <c r="T457" s="165" t="str">
        <f t="shared" si="5"/>
        <v/>
      </c>
      <c r="U457" s="165" t="s">
        <v>1419</v>
      </c>
      <c r="V457" s="53"/>
      <c r="W457" s="52" t="str">
        <f t="shared" si="6"/>
        <v/>
      </c>
      <c r="X457" s="52">
        <f t="shared" si="7"/>
        <v>0</v>
      </c>
      <c r="Y457" s="52">
        <f t="shared" si="8"/>
        <v>0</v>
      </c>
      <c r="Z457" s="52" t="str">
        <f>IF(G457="","",IFERROR(VLOOKUP(G457,'Product_Stock_Master产品维护'!$A$2:$L992,11,FALSE),"No"))</f>
        <v/>
      </c>
      <c r="AA457" s="52" t="str">
        <f>IF(G457="","",IFERROR(VLOOKUP(G457,'Product_Stock_Master产品维护'!$A$2:$L992,12,FALSE),""))</f>
        <v/>
      </c>
      <c r="AB457" s="52" t="str">
        <f t="shared" si="11"/>
        <v/>
      </c>
      <c r="AC457" s="52">
        <f t="shared" si="12"/>
        <v>0</v>
      </c>
    </row>
    <row r="458" ht="15.75" customHeight="1">
      <c r="A458" s="163"/>
      <c r="B458" s="163"/>
      <c r="C458" s="164"/>
      <c r="D458" s="164"/>
      <c r="E458" s="164"/>
      <c r="F458" s="164"/>
      <c r="G458" s="164"/>
      <c r="H458" s="165" t="str">
        <f>IF(G458="","",IFERROR(VLOOKUP(G458,'Product_Stock_Master产品维护'!$A$2:$E992,2,FALSE()),"SKU not found"))</f>
        <v/>
      </c>
      <c r="I458" s="165" t="str">
        <f>IF(G458="","",IFERROR(VLOOKUP(G458,'Product_Stock_Master产品维护'!$A$2:$E992,3,FALSE()),"Item type not found"))</f>
        <v/>
      </c>
      <c r="J458" s="164"/>
      <c r="K458" s="164"/>
      <c r="L458" s="164"/>
      <c r="M458" s="164"/>
      <c r="N458" s="164"/>
      <c r="O458" s="165" t="str">
        <f t="shared" si="1"/>
        <v/>
      </c>
      <c r="P458" s="164"/>
      <c r="Q458" s="165" t="str">
        <f t="shared" si="9"/>
        <v/>
      </c>
      <c r="R458" s="165" t="str">
        <f t="shared" si="3"/>
        <v/>
      </c>
      <c r="S458" s="165" t="str">
        <f t="shared" si="10"/>
        <v/>
      </c>
      <c r="T458" s="165" t="str">
        <f t="shared" si="5"/>
        <v/>
      </c>
      <c r="U458" s="165" t="s">
        <v>1420</v>
      </c>
      <c r="V458" s="53"/>
      <c r="W458" s="52" t="str">
        <f t="shared" si="6"/>
        <v/>
      </c>
      <c r="X458" s="52">
        <f t="shared" si="7"/>
        <v>0</v>
      </c>
      <c r="Y458" s="52">
        <f t="shared" si="8"/>
        <v>0</v>
      </c>
      <c r="Z458" s="52" t="str">
        <f>IF(G458="","",IFERROR(VLOOKUP(G458,'Product_Stock_Master产品维护'!$A$2:$L992,11,FALSE),"No"))</f>
        <v/>
      </c>
      <c r="AA458" s="52" t="str">
        <f>IF(G458="","",IFERROR(VLOOKUP(G458,'Product_Stock_Master产品维护'!$A$2:$L992,12,FALSE),""))</f>
        <v/>
      </c>
      <c r="AB458" s="52" t="str">
        <f t="shared" si="11"/>
        <v/>
      </c>
      <c r="AC458" s="52">
        <f t="shared" si="12"/>
        <v>0</v>
      </c>
    </row>
    <row r="459" ht="15.75" customHeight="1">
      <c r="A459" s="163"/>
      <c r="B459" s="163"/>
      <c r="C459" s="164"/>
      <c r="D459" s="164"/>
      <c r="E459" s="164"/>
      <c r="F459" s="164"/>
      <c r="G459" s="164"/>
      <c r="H459" s="165" t="str">
        <f>IF(G459="","",IFERROR(VLOOKUP(G459,'Product_Stock_Master产品维护'!$A$2:$E992,2,FALSE()),"SKU not found"))</f>
        <v/>
      </c>
      <c r="I459" s="165" t="str">
        <f>IF(G459="","",IFERROR(VLOOKUP(G459,'Product_Stock_Master产品维护'!$A$2:$E992,3,FALSE()),"Item type not found"))</f>
        <v/>
      </c>
      <c r="J459" s="164"/>
      <c r="K459" s="164"/>
      <c r="L459" s="164"/>
      <c r="M459" s="164"/>
      <c r="N459" s="164"/>
      <c r="O459" s="165" t="str">
        <f t="shared" si="1"/>
        <v/>
      </c>
      <c r="P459" s="164"/>
      <c r="Q459" s="165" t="str">
        <f t="shared" si="9"/>
        <v/>
      </c>
      <c r="R459" s="165" t="str">
        <f t="shared" si="3"/>
        <v/>
      </c>
      <c r="S459" s="165" t="str">
        <f t="shared" si="10"/>
        <v/>
      </c>
      <c r="T459" s="165" t="str">
        <f t="shared" si="5"/>
        <v/>
      </c>
      <c r="U459" s="165" t="s">
        <v>1421</v>
      </c>
      <c r="V459" s="53"/>
      <c r="W459" s="52" t="str">
        <f t="shared" si="6"/>
        <v/>
      </c>
      <c r="X459" s="52">
        <f t="shared" si="7"/>
        <v>0</v>
      </c>
      <c r="Y459" s="52">
        <f t="shared" si="8"/>
        <v>0</v>
      </c>
      <c r="Z459" s="52" t="str">
        <f>IF(G459="","",IFERROR(VLOOKUP(G459,'Product_Stock_Master产品维护'!$A$2:$L992,11,FALSE),"No"))</f>
        <v/>
      </c>
      <c r="AA459" s="52" t="str">
        <f>IF(G459="","",IFERROR(VLOOKUP(G459,'Product_Stock_Master产品维护'!$A$2:$L992,12,FALSE),""))</f>
        <v/>
      </c>
      <c r="AB459" s="52" t="str">
        <f t="shared" si="11"/>
        <v/>
      </c>
      <c r="AC459" s="52">
        <f t="shared" si="12"/>
        <v>0</v>
      </c>
    </row>
    <row r="460" ht="15.75" customHeight="1">
      <c r="A460" s="163"/>
      <c r="B460" s="163"/>
      <c r="C460" s="164"/>
      <c r="D460" s="164"/>
      <c r="E460" s="164"/>
      <c r="F460" s="164"/>
      <c r="G460" s="164"/>
      <c r="H460" s="165" t="str">
        <f>IF(G460="","",IFERROR(VLOOKUP(G460,'Product_Stock_Master产品维护'!$A$2:$E992,2,FALSE()),"SKU not found"))</f>
        <v/>
      </c>
      <c r="I460" s="165" t="str">
        <f>IF(G460="","",IFERROR(VLOOKUP(G460,'Product_Stock_Master产品维护'!$A$2:$E992,3,FALSE()),"Item type not found"))</f>
        <v/>
      </c>
      <c r="J460" s="164"/>
      <c r="K460" s="164"/>
      <c r="L460" s="164"/>
      <c r="M460" s="164"/>
      <c r="N460" s="164"/>
      <c r="O460" s="165" t="str">
        <f t="shared" si="1"/>
        <v/>
      </c>
      <c r="P460" s="164"/>
      <c r="Q460" s="165" t="str">
        <f t="shared" si="9"/>
        <v/>
      </c>
      <c r="R460" s="165" t="str">
        <f t="shared" si="3"/>
        <v/>
      </c>
      <c r="S460" s="165" t="str">
        <f t="shared" si="10"/>
        <v/>
      </c>
      <c r="T460" s="165" t="str">
        <f t="shared" si="5"/>
        <v/>
      </c>
      <c r="U460" s="165" t="s">
        <v>1422</v>
      </c>
      <c r="V460" s="53"/>
      <c r="W460" s="52" t="str">
        <f t="shared" si="6"/>
        <v/>
      </c>
      <c r="X460" s="52">
        <f t="shared" si="7"/>
        <v>0</v>
      </c>
      <c r="Y460" s="52">
        <f t="shared" si="8"/>
        <v>0</v>
      </c>
      <c r="Z460" s="52" t="str">
        <f>IF(G460="","",IFERROR(VLOOKUP(G460,'Product_Stock_Master产品维护'!$A$2:$L992,11,FALSE),"No"))</f>
        <v/>
      </c>
      <c r="AA460" s="52" t="str">
        <f>IF(G460="","",IFERROR(VLOOKUP(G460,'Product_Stock_Master产品维护'!$A$2:$L992,12,FALSE),""))</f>
        <v/>
      </c>
      <c r="AB460" s="52" t="str">
        <f t="shared" si="11"/>
        <v/>
      </c>
      <c r="AC460" s="52">
        <f t="shared" si="12"/>
        <v>0</v>
      </c>
    </row>
    <row r="461" ht="15.75" customHeight="1">
      <c r="A461" s="163"/>
      <c r="B461" s="163"/>
      <c r="C461" s="164"/>
      <c r="D461" s="164"/>
      <c r="E461" s="164"/>
      <c r="F461" s="164"/>
      <c r="G461" s="164"/>
      <c r="H461" s="165" t="str">
        <f>IF(G461="","",IFERROR(VLOOKUP(G461,'Product_Stock_Master产品维护'!$A$2:$E992,2,FALSE()),"SKU not found"))</f>
        <v/>
      </c>
      <c r="I461" s="165" t="str">
        <f>IF(G461="","",IFERROR(VLOOKUP(G461,'Product_Stock_Master产品维护'!$A$2:$E992,3,FALSE()),"Item type not found"))</f>
        <v/>
      </c>
      <c r="J461" s="164"/>
      <c r="K461" s="164"/>
      <c r="L461" s="164"/>
      <c r="M461" s="164"/>
      <c r="N461" s="164"/>
      <c r="O461" s="165" t="str">
        <f t="shared" si="1"/>
        <v/>
      </c>
      <c r="P461" s="164"/>
      <c r="Q461" s="165" t="str">
        <f t="shared" si="9"/>
        <v/>
      </c>
      <c r="R461" s="165" t="str">
        <f t="shared" si="3"/>
        <v/>
      </c>
      <c r="S461" s="165" t="str">
        <f t="shared" si="10"/>
        <v/>
      </c>
      <c r="T461" s="165" t="str">
        <f t="shared" si="5"/>
        <v/>
      </c>
      <c r="U461" s="165" t="s">
        <v>1423</v>
      </c>
      <c r="V461" s="53"/>
      <c r="W461" s="52" t="str">
        <f t="shared" si="6"/>
        <v/>
      </c>
      <c r="X461" s="52">
        <f t="shared" si="7"/>
        <v>0</v>
      </c>
      <c r="Y461" s="52">
        <f t="shared" si="8"/>
        <v>0</v>
      </c>
      <c r="Z461" s="52" t="str">
        <f>IF(G461="","",IFERROR(VLOOKUP(G461,'Product_Stock_Master产品维护'!$A$2:$L992,11,FALSE),"No"))</f>
        <v/>
      </c>
      <c r="AA461" s="52" t="str">
        <f>IF(G461="","",IFERROR(VLOOKUP(G461,'Product_Stock_Master产品维护'!$A$2:$L992,12,FALSE),""))</f>
        <v/>
      </c>
      <c r="AB461" s="52" t="str">
        <f t="shared" si="11"/>
        <v/>
      </c>
      <c r="AC461" s="52">
        <f t="shared" si="12"/>
        <v>0</v>
      </c>
    </row>
    <row r="462" ht="15.75" customHeight="1">
      <c r="A462" s="163"/>
      <c r="B462" s="163"/>
      <c r="C462" s="164"/>
      <c r="D462" s="164"/>
      <c r="E462" s="164"/>
      <c r="F462" s="164"/>
      <c r="G462" s="164"/>
      <c r="H462" s="165" t="str">
        <f>IF(G462="","",IFERROR(VLOOKUP(G462,'Product_Stock_Master产品维护'!$A$2:$E992,2,FALSE()),"SKU not found"))</f>
        <v/>
      </c>
      <c r="I462" s="165" t="str">
        <f>IF(G462="","",IFERROR(VLOOKUP(G462,'Product_Stock_Master产品维护'!$A$2:$E992,3,FALSE()),"Item type not found"))</f>
        <v/>
      </c>
      <c r="J462" s="164"/>
      <c r="K462" s="164"/>
      <c r="L462" s="164"/>
      <c r="M462" s="164"/>
      <c r="N462" s="164"/>
      <c r="O462" s="165" t="str">
        <f t="shared" si="1"/>
        <v/>
      </c>
      <c r="P462" s="164"/>
      <c r="Q462" s="165" t="str">
        <f t="shared" si="9"/>
        <v/>
      </c>
      <c r="R462" s="165" t="str">
        <f t="shared" si="3"/>
        <v/>
      </c>
      <c r="S462" s="165" t="str">
        <f t="shared" si="10"/>
        <v/>
      </c>
      <c r="T462" s="165" t="str">
        <f t="shared" si="5"/>
        <v/>
      </c>
      <c r="U462" s="165" t="s">
        <v>1424</v>
      </c>
      <c r="V462" s="53"/>
      <c r="W462" s="52" t="str">
        <f t="shared" si="6"/>
        <v/>
      </c>
      <c r="X462" s="52">
        <f t="shared" si="7"/>
        <v>0</v>
      </c>
      <c r="Y462" s="52">
        <f t="shared" si="8"/>
        <v>0</v>
      </c>
      <c r="Z462" s="52" t="str">
        <f>IF(G462="","",IFERROR(VLOOKUP(G462,'Product_Stock_Master产品维护'!$A$2:$L992,11,FALSE),"No"))</f>
        <v/>
      </c>
      <c r="AA462" s="52" t="str">
        <f>IF(G462="","",IFERROR(VLOOKUP(G462,'Product_Stock_Master产品维护'!$A$2:$L992,12,FALSE),""))</f>
        <v/>
      </c>
      <c r="AB462" s="52" t="str">
        <f t="shared" si="11"/>
        <v/>
      </c>
      <c r="AC462" s="52">
        <f t="shared" si="12"/>
        <v>0</v>
      </c>
    </row>
    <row r="463" ht="15.75" customHeight="1">
      <c r="A463" s="163"/>
      <c r="B463" s="163"/>
      <c r="C463" s="164"/>
      <c r="D463" s="164"/>
      <c r="E463" s="164"/>
      <c r="F463" s="164"/>
      <c r="G463" s="164"/>
      <c r="H463" s="165" t="str">
        <f>IF(G463="","",IFERROR(VLOOKUP(G463,'Product_Stock_Master产品维护'!$A$2:$E992,2,FALSE()),"SKU not found"))</f>
        <v/>
      </c>
      <c r="I463" s="165" t="str">
        <f>IF(G463="","",IFERROR(VLOOKUP(G463,'Product_Stock_Master产品维护'!$A$2:$E992,3,FALSE()),"Item type not found"))</f>
        <v/>
      </c>
      <c r="J463" s="164"/>
      <c r="K463" s="164"/>
      <c r="L463" s="164"/>
      <c r="M463" s="164"/>
      <c r="N463" s="164"/>
      <c r="O463" s="165" t="str">
        <f t="shared" si="1"/>
        <v/>
      </c>
      <c r="P463" s="164"/>
      <c r="Q463" s="165" t="str">
        <f t="shared" si="9"/>
        <v/>
      </c>
      <c r="R463" s="165" t="str">
        <f t="shared" si="3"/>
        <v/>
      </c>
      <c r="S463" s="165" t="str">
        <f t="shared" si="10"/>
        <v/>
      </c>
      <c r="T463" s="165" t="str">
        <f t="shared" si="5"/>
        <v/>
      </c>
      <c r="U463" s="165" t="s">
        <v>1425</v>
      </c>
      <c r="V463" s="53"/>
      <c r="W463" s="52" t="str">
        <f t="shared" si="6"/>
        <v/>
      </c>
      <c r="X463" s="52">
        <f t="shared" si="7"/>
        <v>0</v>
      </c>
      <c r="Y463" s="52">
        <f t="shared" si="8"/>
        <v>0</v>
      </c>
      <c r="Z463" s="52" t="str">
        <f>IF(G463="","",IFERROR(VLOOKUP(G463,'Product_Stock_Master产品维护'!$A$2:$L992,11,FALSE),"No"))</f>
        <v/>
      </c>
      <c r="AA463" s="52" t="str">
        <f>IF(G463="","",IFERROR(VLOOKUP(G463,'Product_Stock_Master产品维护'!$A$2:$L992,12,FALSE),""))</f>
        <v/>
      </c>
      <c r="AB463" s="52" t="str">
        <f t="shared" si="11"/>
        <v/>
      </c>
      <c r="AC463" s="52">
        <f t="shared" si="12"/>
        <v>0</v>
      </c>
    </row>
    <row r="464" ht="15.75" customHeight="1">
      <c r="A464" s="163"/>
      <c r="B464" s="163"/>
      <c r="C464" s="164"/>
      <c r="D464" s="164"/>
      <c r="E464" s="164"/>
      <c r="F464" s="164"/>
      <c r="G464" s="164"/>
      <c r="H464" s="165" t="str">
        <f>IF(G464="","",IFERROR(VLOOKUP(G464,'Product_Stock_Master产品维护'!$A$2:$E992,2,FALSE()),"SKU not found"))</f>
        <v/>
      </c>
      <c r="I464" s="165" t="str">
        <f>IF(G464="","",IFERROR(VLOOKUP(G464,'Product_Stock_Master产品维护'!$A$2:$E992,3,FALSE()),"Item type not found"))</f>
        <v/>
      </c>
      <c r="J464" s="164"/>
      <c r="K464" s="164"/>
      <c r="L464" s="164"/>
      <c r="M464" s="164"/>
      <c r="N464" s="164"/>
      <c r="O464" s="165" t="str">
        <f t="shared" si="1"/>
        <v/>
      </c>
      <c r="P464" s="164"/>
      <c r="Q464" s="165" t="str">
        <f t="shared" si="9"/>
        <v/>
      </c>
      <c r="R464" s="165" t="str">
        <f t="shared" si="3"/>
        <v/>
      </c>
      <c r="S464" s="165" t="str">
        <f t="shared" si="10"/>
        <v/>
      </c>
      <c r="T464" s="165" t="str">
        <f t="shared" si="5"/>
        <v/>
      </c>
      <c r="U464" s="165" t="s">
        <v>1426</v>
      </c>
      <c r="V464" s="53"/>
      <c r="W464" s="52" t="str">
        <f t="shared" si="6"/>
        <v/>
      </c>
      <c r="X464" s="52">
        <f t="shared" si="7"/>
        <v>0</v>
      </c>
      <c r="Y464" s="52">
        <f t="shared" si="8"/>
        <v>0</v>
      </c>
      <c r="Z464" s="52" t="str">
        <f>IF(G464="","",IFERROR(VLOOKUP(G464,'Product_Stock_Master产品维护'!$A$2:$L992,11,FALSE),"No"))</f>
        <v/>
      </c>
      <c r="AA464" s="52" t="str">
        <f>IF(G464="","",IFERROR(VLOOKUP(G464,'Product_Stock_Master产品维护'!$A$2:$L992,12,FALSE),""))</f>
        <v/>
      </c>
      <c r="AB464" s="52" t="str">
        <f t="shared" si="11"/>
        <v/>
      </c>
      <c r="AC464" s="52">
        <f t="shared" si="12"/>
        <v>0</v>
      </c>
    </row>
    <row r="465" ht="15.75" customHeight="1">
      <c r="A465" s="163"/>
      <c r="B465" s="163"/>
      <c r="C465" s="164"/>
      <c r="D465" s="164"/>
      <c r="E465" s="164"/>
      <c r="F465" s="164"/>
      <c r="G465" s="164"/>
      <c r="H465" s="165" t="str">
        <f>IF(G465="","",IFERROR(VLOOKUP(G465,'Product_Stock_Master产品维护'!$A$2:$E992,2,FALSE()),"SKU not found"))</f>
        <v/>
      </c>
      <c r="I465" s="165" t="str">
        <f>IF(G465="","",IFERROR(VLOOKUP(G465,'Product_Stock_Master产品维护'!$A$2:$E992,3,FALSE()),"Item type not found"))</f>
        <v/>
      </c>
      <c r="J465" s="164"/>
      <c r="K465" s="164"/>
      <c r="L465" s="164"/>
      <c r="M465" s="164"/>
      <c r="N465" s="164"/>
      <c r="O465" s="165" t="str">
        <f t="shared" si="1"/>
        <v/>
      </c>
      <c r="P465" s="164"/>
      <c r="Q465" s="165" t="str">
        <f t="shared" si="9"/>
        <v/>
      </c>
      <c r="R465" s="165" t="str">
        <f t="shared" si="3"/>
        <v/>
      </c>
      <c r="S465" s="165" t="str">
        <f t="shared" si="10"/>
        <v/>
      </c>
      <c r="T465" s="165" t="str">
        <f t="shared" si="5"/>
        <v/>
      </c>
      <c r="U465" s="165" t="s">
        <v>1427</v>
      </c>
      <c r="V465" s="53"/>
      <c r="W465" s="52" t="str">
        <f t="shared" si="6"/>
        <v/>
      </c>
      <c r="X465" s="52">
        <f t="shared" si="7"/>
        <v>0</v>
      </c>
      <c r="Y465" s="52">
        <f t="shared" si="8"/>
        <v>0</v>
      </c>
      <c r="Z465" s="52" t="str">
        <f>IF(G465="","",IFERROR(VLOOKUP(G465,'Product_Stock_Master产品维护'!$A$2:$L992,11,FALSE),"No"))</f>
        <v/>
      </c>
      <c r="AA465" s="52" t="str">
        <f>IF(G465="","",IFERROR(VLOOKUP(G465,'Product_Stock_Master产品维护'!$A$2:$L992,12,FALSE),""))</f>
        <v/>
      </c>
      <c r="AB465" s="52" t="str">
        <f t="shared" si="11"/>
        <v/>
      </c>
      <c r="AC465" s="52">
        <f t="shared" si="12"/>
        <v>0</v>
      </c>
    </row>
    <row r="466" ht="15.75" customHeight="1">
      <c r="A466" s="163"/>
      <c r="B466" s="163"/>
      <c r="C466" s="164"/>
      <c r="D466" s="164"/>
      <c r="E466" s="164"/>
      <c r="F466" s="164"/>
      <c r="G466" s="164"/>
      <c r="H466" s="165" t="str">
        <f>IF(G466="","",IFERROR(VLOOKUP(G466,'Product_Stock_Master产品维护'!$A$2:$E992,2,FALSE()),"SKU not found"))</f>
        <v/>
      </c>
      <c r="I466" s="165" t="str">
        <f>IF(G466="","",IFERROR(VLOOKUP(G466,'Product_Stock_Master产品维护'!$A$2:$E992,3,FALSE()),"Item type not found"))</f>
        <v/>
      </c>
      <c r="J466" s="164"/>
      <c r="K466" s="164"/>
      <c r="L466" s="164"/>
      <c r="M466" s="164"/>
      <c r="N466" s="164"/>
      <c r="O466" s="165" t="str">
        <f t="shared" si="1"/>
        <v/>
      </c>
      <c r="P466" s="164"/>
      <c r="Q466" s="165" t="str">
        <f t="shared" si="9"/>
        <v/>
      </c>
      <c r="R466" s="165" t="str">
        <f t="shared" si="3"/>
        <v/>
      </c>
      <c r="S466" s="165" t="str">
        <f t="shared" si="10"/>
        <v/>
      </c>
      <c r="T466" s="165" t="str">
        <f t="shared" si="5"/>
        <v/>
      </c>
      <c r="U466" s="165" t="s">
        <v>1428</v>
      </c>
      <c r="V466" s="53"/>
      <c r="W466" s="52" t="str">
        <f t="shared" si="6"/>
        <v/>
      </c>
      <c r="X466" s="52">
        <f t="shared" si="7"/>
        <v>0</v>
      </c>
      <c r="Y466" s="52">
        <f t="shared" si="8"/>
        <v>0</v>
      </c>
      <c r="Z466" s="52" t="str">
        <f>IF(G466="","",IFERROR(VLOOKUP(G466,'Product_Stock_Master产品维护'!$A$2:$L992,11,FALSE),"No"))</f>
        <v/>
      </c>
      <c r="AA466" s="52" t="str">
        <f>IF(G466="","",IFERROR(VLOOKUP(G466,'Product_Stock_Master产品维护'!$A$2:$L992,12,FALSE),""))</f>
        <v/>
      </c>
      <c r="AB466" s="52" t="str">
        <f t="shared" si="11"/>
        <v/>
      </c>
      <c r="AC466" s="52">
        <f t="shared" si="12"/>
        <v>0</v>
      </c>
    </row>
    <row r="467" ht="15.75" customHeight="1">
      <c r="A467" s="163"/>
      <c r="B467" s="163"/>
      <c r="C467" s="164"/>
      <c r="D467" s="164"/>
      <c r="E467" s="164"/>
      <c r="F467" s="164"/>
      <c r="G467" s="164"/>
      <c r="H467" s="165" t="str">
        <f>IF(G467="","",IFERROR(VLOOKUP(G467,'Product_Stock_Master产品维护'!$A$2:$E992,2,FALSE()),"SKU not found"))</f>
        <v/>
      </c>
      <c r="I467" s="165" t="str">
        <f>IF(G467="","",IFERROR(VLOOKUP(G467,'Product_Stock_Master产品维护'!$A$2:$E992,3,FALSE()),"Item type not found"))</f>
        <v/>
      </c>
      <c r="J467" s="164"/>
      <c r="K467" s="164"/>
      <c r="L467" s="164"/>
      <c r="M467" s="164"/>
      <c r="N467" s="164"/>
      <c r="O467" s="165" t="str">
        <f t="shared" si="1"/>
        <v/>
      </c>
      <c r="P467" s="164"/>
      <c r="Q467" s="165" t="str">
        <f t="shared" si="9"/>
        <v/>
      </c>
      <c r="R467" s="165" t="str">
        <f t="shared" si="3"/>
        <v/>
      </c>
      <c r="S467" s="165" t="str">
        <f t="shared" si="10"/>
        <v/>
      </c>
      <c r="T467" s="165" t="str">
        <f t="shared" si="5"/>
        <v/>
      </c>
      <c r="U467" s="165" t="s">
        <v>1429</v>
      </c>
      <c r="V467" s="53"/>
      <c r="W467" s="52" t="str">
        <f t="shared" si="6"/>
        <v/>
      </c>
      <c r="X467" s="52">
        <f t="shared" si="7"/>
        <v>0</v>
      </c>
      <c r="Y467" s="52">
        <f t="shared" si="8"/>
        <v>0</v>
      </c>
      <c r="Z467" s="52" t="str">
        <f>IF(G467="","",IFERROR(VLOOKUP(G467,'Product_Stock_Master产品维护'!$A$2:$L992,11,FALSE),"No"))</f>
        <v/>
      </c>
      <c r="AA467" s="52" t="str">
        <f>IF(G467="","",IFERROR(VLOOKUP(G467,'Product_Stock_Master产品维护'!$A$2:$L992,12,FALSE),""))</f>
        <v/>
      </c>
      <c r="AB467" s="52" t="str">
        <f t="shared" si="11"/>
        <v/>
      </c>
      <c r="AC467" s="52">
        <f t="shared" si="12"/>
        <v>0</v>
      </c>
    </row>
    <row r="468" ht="15.75" customHeight="1">
      <c r="A468" s="163"/>
      <c r="B468" s="163"/>
      <c r="C468" s="164"/>
      <c r="D468" s="164"/>
      <c r="E468" s="164"/>
      <c r="F468" s="164"/>
      <c r="G468" s="164"/>
      <c r="H468" s="165" t="str">
        <f>IF(G468="","",IFERROR(VLOOKUP(G468,'Product_Stock_Master产品维护'!$A$2:$E992,2,FALSE()),"SKU not found"))</f>
        <v/>
      </c>
      <c r="I468" s="165" t="str">
        <f>IF(G468="","",IFERROR(VLOOKUP(G468,'Product_Stock_Master产品维护'!$A$2:$E992,3,FALSE()),"Item type not found"))</f>
        <v/>
      </c>
      <c r="J468" s="164"/>
      <c r="K468" s="164"/>
      <c r="L468" s="164"/>
      <c r="M468" s="164"/>
      <c r="N468" s="164"/>
      <c r="O468" s="165" t="str">
        <f t="shared" si="1"/>
        <v/>
      </c>
      <c r="P468" s="164"/>
      <c r="Q468" s="165" t="str">
        <f t="shared" si="9"/>
        <v/>
      </c>
      <c r="R468" s="165" t="str">
        <f t="shared" si="3"/>
        <v/>
      </c>
      <c r="S468" s="165" t="str">
        <f t="shared" si="10"/>
        <v/>
      </c>
      <c r="T468" s="165" t="str">
        <f t="shared" si="5"/>
        <v/>
      </c>
      <c r="U468" s="165" t="s">
        <v>1430</v>
      </c>
      <c r="V468" s="53"/>
      <c r="W468" s="52" t="str">
        <f t="shared" si="6"/>
        <v/>
      </c>
      <c r="X468" s="52">
        <f t="shared" si="7"/>
        <v>0</v>
      </c>
      <c r="Y468" s="52">
        <f t="shared" si="8"/>
        <v>0</v>
      </c>
      <c r="Z468" s="52" t="str">
        <f>IF(G468="","",IFERROR(VLOOKUP(G468,'Product_Stock_Master产品维护'!$A$2:$L992,11,FALSE),"No"))</f>
        <v/>
      </c>
      <c r="AA468" s="52" t="str">
        <f>IF(G468="","",IFERROR(VLOOKUP(G468,'Product_Stock_Master产品维护'!$A$2:$L992,12,FALSE),""))</f>
        <v/>
      </c>
      <c r="AB468" s="52" t="str">
        <f t="shared" si="11"/>
        <v/>
      </c>
      <c r="AC468" s="52">
        <f t="shared" si="12"/>
        <v>0</v>
      </c>
    </row>
    <row r="469" ht="15.75" customHeight="1">
      <c r="A469" s="163"/>
      <c r="B469" s="163"/>
      <c r="C469" s="164"/>
      <c r="D469" s="164"/>
      <c r="E469" s="164"/>
      <c r="F469" s="164"/>
      <c r="G469" s="164"/>
      <c r="H469" s="165" t="str">
        <f>IF(G469="","",IFERROR(VLOOKUP(G469,'Product_Stock_Master产品维护'!$A$2:$E992,2,FALSE()),"SKU not found"))</f>
        <v/>
      </c>
      <c r="I469" s="165" t="str">
        <f>IF(G469="","",IFERROR(VLOOKUP(G469,'Product_Stock_Master产品维护'!$A$2:$E992,3,FALSE()),"Item type not found"))</f>
        <v/>
      </c>
      <c r="J469" s="164"/>
      <c r="K469" s="164"/>
      <c r="L469" s="164"/>
      <c r="M469" s="164"/>
      <c r="N469" s="164"/>
      <c r="O469" s="165" t="str">
        <f t="shared" si="1"/>
        <v/>
      </c>
      <c r="P469" s="164"/>
      <c r="Q469" s="165" t="str">
        <f t="shared" si="9"/>
        <v/>
      </c>
      <c r="R469" s="165" t="str">
        <f t="shared" si="3"/>
        <v/>
      </c>
      <c r="S469" s="165" t="str">
        <f t="shared" si="10"/>
        <v/>
      </c>
      <c r="T469" s="165" t="str">
        <f t="shared" si="5"/>
        <v/>
      </c>
      <c r="U469" s="165" t="s">
        <v>1431</v>
      </c>
      <c r="V469" s="53"/>
      <c r="W469" s="52" t="str">
        <f t="shared" si="6"/>
        <v/>
      </c>
      <c r="X469" s="52">
        <f t="shared" si="7"/>
        <v>0</v>
      </c>
      <c r="Y469" s="52">
        <f t="shared" si="8"/>
        <v>0</v>
      </c>
      <c r="Z469" s="52" t="str">
        <f>IF(G469="","",IFERROR(VLOOKUP(G469,'Product_Stock_Master产品维护'!$A$2:$L992,11,FALSE),"No"))</f>
        <v/>
      </c>
      <c r="AA469" s="52" t="str">
        <f>IF(G469="","",IFERROR(VLOOKUP(G469,'Product_Stock_Master产品维护'!$A$2:$L992,12,FALSE),""))</f>
        <v/>
      </c>
      <c r="AB469" s="52" t="str">
        <f t="shared" si="11"/>
        <v/>
      </c>
      <c r="AC469" s="52">
        <f t="shared" si="12"/>
        <v>0</v>
      </c>
    </row>
    <row r="470" ht="15.75" customHeight="1">
      <c r="A470" s="163"/>
      <c r="B470" s="163"/>
      <c r="C470" s="164"/>
      <c r="D470" s="164"/>
      <c r="E470" s="164"/>
      <c r="F470" s="164"/>
      <c r="G470" s="164"/>
      <c r="H470" s="165" t="str">
        <f>IF(G470="","",IFERROR(VLOOKUP(G470,'Product_Stock_Master产品维护'!$A$2:$E992,2,FALSE()),"SKU not found"))</f>
        <v/>
      </c>
      <c r="I470" s="165" t="str">
        <f>IF(G470="","",IFERROR(VLOOKUP(G470,'Product_Stock_Master产品维护'!$A$2:$E992,3,FALSE()),"Item type not found"))</f>
        <v/>
      </c>
      <c r="J470" s="164"/>
      <c r="K470" s="164"/>
      <c r="L470" s="164"/>
      <c r="M470" s="164"/>
      <c r="N470" s="164"/>
      <c r="O470" s="165" t="str">
        <f t="shared" si="1"/>
        <v/>
      </c>
      <c r="P470" s="164"/>
      <c r="Q470" s="165" t="str">
        <f t="shared" si="9"/>
        <v/>
      </c>
      <c r="R470" s="165" t="str">
        <f t="shared" si="3"/>
        <v/>
      </c>
      <c r="S470" s="165" t="str">
        <f t="shared" si="10"/>
        <v/>
      </c>
      <c r="T470" s="165" t="str">
        <f t="shared" si="5"/>
        <v/>
      </c>
      <c r="U470" s="165" t="s">
        <v>1432</v>
      </c>
      <c r="V470" s="53"/>
      <c r="W470" s="52" t="str">
        <f t="shared" si="6"/>
        <v/>
      </c>
      <c r="X470" s="52">
        <f t="shared" si="7"/>
        <v>0</v>
      </c>
      <c r="Y470" s="52">
        <f t="shared" si="8"/>
        <v>0</v>
      </c>
      <c r="Z470" s="52" t="str">
        <f>IF(G470="","",IFERROR(VLOOKUP(G470,'Product_Stock_Master产品维护'!$A$2:$L992,11,FALSE),"No"))</f>
        <v/>
      </c>
      <c r="AA470" s="52" t="str">
        <f>IF(G470="","",IFERROR(VLOOKUP(G470,'Product_Stock_Master产品维护'!$A$2:$L992,12,FALSE),""))</f>
        <v/>
      </c>
      <c r="AB470" s="52" t="str">
        <f t="shared" si="11"/>
        <v/>
      </c>
      <c r="AC470" s="52">
        <f t="shared" si="12"/>
        <v>0</v>
      </c>
    </row>
    <row r="471" ht="15.75" customHeight="1">
      <c r="A471" s="163"/>
      <c r="B471" s="163"/>
      <c r="C471" s="164"/>
      <c r="D471" s="164"/>
      <c r="E471" s="164"/>
      <c r="F471" s="164"/>
      <c r="G471" s="164"/>
      <c r="H471" s="165" t="str">
        <f>IF(G471="","",IFERROR(VLOOKUP(G471,'Product_Stock_Master产品维护'!$A$2:$E992,2,FALSE()),"SKU not found"))</f>
        <v/>
      </c>
      <c r="I471" s="165" t="str">
        <f>IF(G471="","",IFERROR(VLOOKUP(G471,'Product_Stock_Master产品维护'!$A$2:$E992,3,FALSE()),"Item type not found"))</f>
        <v/>
      </c>
      <c r="J471" s="164"/>
      <c r="K471" s="164"/>
      <c r="L471" s="164"/>
      <c r="M471" s="164"/>
      <c r="N471" s="164"/>
      <c r="O471" s="165" t="str">
        <f t="shared" si="1"/>
        <v/>
      </c>
      <c r="P471" s="164"/>
      <c r="Q471" s="165" t="str">
        <f t="shared" si="9"/>
        <v/>
      </c>
      <c r="R471" s="165" t="str">
        <f t="shared" si="3"/>
        <v/>
      </c>
      <c r="S471" s="165" t="str">
        <f t="shared" si="10"/>
        <v/>
      </c>
      <c r="T471" s="165" t="str">
        <f t="shared" si="5"/>
        <v/>
      </c>
      <c r="U471" s="165" t="s">
        <v>1433</v>
      </c>
      <c r="V471" s="53"/>
      <c r="W471" s="52" t="str">
        <f t="shared" si="6"/>
        <v/>
      </c>
      <c r="X471" s="52">
        <f t="shared" si="7"/>
        <v>0</v>
      </c>
      <c r="Y471" s="52">
        <f t="shared" si="8"/>
        <v>0</v>
      </c>
      <c r="Z471" s="52" t="str">
        <f>IF(G471="","",IFERROR(VLOOKUP(G471,'Product_Stock_Master产品维护'!$A$2:$L992,11,FALSE),"No"))</f>
        <v/>
      </c>
      <c r="AA471" s="52" t="str">
        <f>IF(G471="","",IFERROR(VLOOKUP(G471,'Product_Stock_Master产品维护'!$A$2:$L992,12,FALSE),""))</f>
        <v/>
      </c>
      <c r="AB471" s="52" t="str">
        <f t="shared" si="11"/>
        <v/>
      </c>
      <c r="AC471" s="52">
        <f t="shared" si="12"/>
        <v>0</v>
      </c>
    </row>
    <row r="472" ht="15.75" customHeight="1">
      <c r="A472" s="163"/>
      <c r="B472" s="163"/>
      <c r="C472" s="164"/>
      <c r="D472" s="164"/>
      <c r="E472" s="164"/>
      <c r="F472" s="164"/>
      <c r="G472" s="164"/>
      <c r="H472" s="165" t="str">
        <f>IF(G472="","",IFERROR(VLOOKUP(G472,'Product_Stock_Master产品维护'!$A$2:$E992,2,FALSE()),"SKU not found"))</f>
        <v/>
      </c>
      <c r="I472" s="165" t="str">
        <f>IF(G472="","",IFERROR(VLOOKUP(G472,'Product_Stock_Master产品维护'!$A$2:$E992,3,FALSE()),"Item type not found"))</f>
        <v/>
      </c>
      <c r="J472" s="164"/>
      <c r="K472" s="164"/>
      <c r="L472" s="164"/>
      <c r="M472" s="164"/>
      <c r="N472" s="164"/>
      <c r="O472" s="165" t="str">
        <f t="shared" si="1"/>
        <v/>
      </c>
      <c r="P472" s="164"/>
      <c r="Q472" s="165" t="str">
        <f t="shared" si="9"/>
        <v/>
      </c>
      <c r="R472" s="165" t="str">
        <f t="shared" si="3"/>
        <v/>
      </c>
      <c r="S472" s="165" t="str">
        <f t="shared" si="10"/>
        <v/>
      </c>
      <c r="T472" s="165" t="str">
        <f t="shared" si="5"/>
        <v/>
      </c>
      <c r="U472" s="165" t="s">
        <v>1434</v>
      </c>
      <c r="V472" s="53"/>
      <c r="W472" s="52" t="str">
        <f t="shared" si="6"/>
        <v/>
      </c>
      <c r="X472" s="52">
        <f t="shared" si="7"/>
        <v>0</v>
      </c>
      <c r="Y472" s="52">
        <f t="shared" si="8"/>
        <v>0</v>
      </c>
      <c r="Z472" s="52" t="str">
        <f>IF(G472="","",IFERROR(VLOOKUP(G472,'Product_Stock_Master产品维护'!$A$2:$L992,11,FALSE),"No"))</f>
        <v/>
      </c>
      <c r="AA472" s="52" t="str">
        <f>IF(G472="","",IFERROR(VLOOKUP(G472,'Product_Stock_Master产品维护'!$A$2:$L992,12,FALSE),""))</f>
        <v/>
      </c>
      <c r="AB472" s="52" t="str">
        <f t="shared" si="11"/>
        <v/>
      </c>
      <c r="AC472" s="52">
        <f t="shared" si="12"/>
        <v>0</v>
      </c>
    </row>
    <row r="473" ht="15.75" customHeight="1">
      <c r="A473" s="163"/>
      <c r="B473" s="163"/>
      <c r="C473" s="164"/>
      <c r="D473" s="164"/>
      <c r="E473" s="164"/>
      <c r="F473" s="164"/>
      <c r="G473" s="164"/>
      <c r="H473" s="165" t="str">
        <f>IF(G473="","",IFERROR(VLOOKUP(G473,'Product_Stock_Master产品维护'!$A$2:$E992,2,FALSE()),"SKU not found"))</f>
        <v/>
      </c>
      <c r="I473" s="165" t="str">
        <f>IF(G473="","",IFERROR(VLOOKUP(G473,'Product_Stock_Master产品维护'!$A$2:$E992,3,FALSE()),"Item type not found"))</f>
        <v/>
      </c>
      <c r="J473" s="164"/>
      <c r="K473" s="164"/>
      <c r="L473" s="164"/>
      <c r="M473" s="164"/>
      <c r="N473" s="164"/>
      <c r="O473" s="165" t="str">
        <f t="shared" si="1"/>
        <v/>
      </c>
      <c r="P473" s="164"/>
      <c r="Q473" s="165" t="str">
        <f t="shared" si="9"/>
        <v/>
      </c>
      <c r="R473" s="165" t="str">
        <f t="shared" si="3"/>
        <v/>
      </c>
      <c r="S473" s="165" t="str">
        <f t="shared" si="10"/>
        <v/>
      </c>
      <c r="T473" s="165" t="str">
        <f t="shared" si="5"/>
        <v/>
      </c>
      <c r="U473" s="165" t="s">
        <v>1435</v>
      </c>
      <c r="V473" s="53"/>
      <c r="W473" s="52" t="str">
        <f t="shared" si="6"/>
        <v/>
      </c>
      <c r="X473" s="52">
        <f t="shared" si="7"/>
        <v>0</v>
      </c>
      <c r="Y473" s="52">
        <f t="shared" si="8"/>
        <v>0</v>
      </c>
      <c r="Z473" s="52" t="str">
        <f>IF(G473="","",IFERROR(VLOOKUP(G473,'Product_Stock_Master产品维护'!$A$2:$L992,11,FALSE),"No"))</f>
        <v/>
      </c>
      <c r="AA473" s="52" t="str">
        <f>IF(G473="","",IFERROR(VLOOKUP(G473,'Product_Stock_Master产品维护'!$A$2:$L992,12,FALSE),""))</f>
        <v/>
      </c>
      <c r="AB473" s="52" t="str">
        <f t="shared" si="11"/>
        <v/>
      </c>
      <c r="AC473" s="52">
        <f t="shared" si="12"/>
        <v>0</v>
      </c>
    </row>
    <row r="474" ht="15.75" customHeight="1">
      <c r="A474" s="163"/>
      <c r="B474" s="163"/>
      <c r="C474" s="164"/>
      <c r="D474" s="164"/>
      <c r="E474" s="164"/>
      <c r="F474" s="164"/>
      <c r="G474" s="164"/>
      <c r="H474" s="165" t="str">
        <f>IF(G474="","",IFERROR(VLOOKUP(G474,'Product_Stock_Master产品维护'!$A$2:$E992,2,FALSE()),"SKU not found"))</f>
        <v/>
      </c>
      <c r="I474" s="165" t="str">
        <f>IF(G474="","",IFERROR(VLOOKUP(G474,'Product_Stock_Master产品维护'!$A$2:$E992,3,FALSE()),"Item type not found"))</f>
        <v/>
      </c>
      <c r="J474" s="164"/>
      <c r="K474" s="164"/>
      <c r="L474" s="164"/>
      <c r="M474" s="164"/>
      <c r="N474" s="164"/>
      <c r="O474" s="165" t="str">
        <f t="shared" si="1"/>
        <v/>
      </c>
      <c r="P474" s="164"/>
      <c r="Q474" s="165" t="str">
        <f t="shared" si="9"/>
        <v/>
      </c>
      <c r="R474" s="165" t="str">
        <f t="shared" si="3"/>
        <v/>
      </c>
      <c r="S474" s="165" t="str">
        <f t="shared" si="10"/>
        <v/>
      </c>
      <c r="T474" s="165" t="str">
        <f t="shared" si="5"/>
        <v/>
      </c>
      <c r="U474" s="165" t="s">
        <v>1436</v>
      </c>
      <c r="V474" s="53"/>
      <c r="W474" s="52" t="str">
        <f t="shared" si="6"/>
        <v/>
      </c>
      <c r="X474" s="52">
        <f t="shared" si="7"/>
        <v>0</v>
      </c>
      <c r="Y474" s="52">
        <f t="shared" si="8"/>
        <v>0</v>
      </c>
      <c r="Z474" s="52" t="str">
        <f>IF(G474="","",IFERROR(VLOOKUP(G474,'Product_Stock_Master产品维护'!$A$2:$L992,11,FALSE),"No"))</f>
        <v/>
      </c>
      <c r="AA474" s="52" t="str">
        <f>IF(G474="","",IFERROR(VLOOKUP(G474,'Product_Stock_Master产品维护'!$A$2:$L992,12,FALSE),""))</f>
        <v/>
      </c>
      <c r="AB474" s="52" t="str">
        <f t="shared" si="11"/>
        <v/>
      </c>
      <c r="AC474" s="52">
        <f t="shared" si="12"/>
        <v>0</v>
      </c>
    </row>
    <row r="475" ht="15.75" customHeight="1">
      <c r="A475" s="163"/>
      <c r="B475" s="163"/>
      <c r="C475" s="164"/>
      <c r="D475" s="164"/>
      <c r="E475" s="164"/>
      <c r="F475" s="164"/>
      <c r="G475" s="164"/>
      <c r="H475" s="165" t="str">
        <f>IF(G475="","",IFERROR(VLOOKUP(G475,'Product_Stock_Master产品维护'!$A$2:$E992,2,FALSE()),"SKU not found"))</f>
        <v/>
      </c>
      <c r="I475" s="165" t="str">
        <f>IF(G475="","",IFERROR(VLOOKUP(G475,'Product_Stock_Master产品维护'!$A$2:$E992,3,FALSE()),"Item type not found"))</f>
        <v/>
      </c>
      <c r="J475" s="164"/>
      <c r="K475" s="164"/>
      <c r="L475" s="164"/>
      <c r="M475" s="164"/>
      <c r="N475" s="164"/>
      <c r="O475" s="165" t="str">
        <f t="shared" si="1"/>
        <v/>
      </c>
      <c r="P475" s="164"/>
      <c r="Q475" s="165" t="str">
        <f t="shared" si="9"/>
        <v/>
      </c>
      <c r="R475" s="165" t="str">
        <f t="shared" si="3"/>
        <v/>
      </c>
      <c r="S475" s="165" t="str">
        <f t="shared" si="10"/>
        <v/>
      </c>
      <c r="T475" s="165" t="str">
        <f t="shared" si="5"/>
        <v/>
      </c>
      <c r="U475" s="165" t="s">
        <v>1437</v>
      </c>
      <c r="V475" s="53"/>
      <c r="W475" s="52" t="str">
        <f t="shared" si="6"/>
        <v/>
      </c>
      <c r="X475" s="52">
        <f t="shared" si="7"/>
        <v>0</v>
      </c>
      <c r="Y475" s="52">
        <f t="shared" si="8"/>
        <v>0</v>
      </c>
      <c r="Z475" s="52" t="str">
        <f>IF(G475="","",IFERROR(VLOOKUP(G475,'Product_Stock_Master产品维护'!$A$2:$L992,11,FALSE),"No"))</f>
        <v/>
      </c>
      <c r="AA475" s="52" t="str">
        <f>IF(G475="","",IFERROR(VLOOKUP(G475,'Product_Stock_Master产品维护'!$A$2:$L992,12,FALSE),""))</f>
        <v/>
      </c>
      <c r="AB475" s="52" t="str">
        <f t="shared" si="11"/>
        <v/>
      </c>
      <c r="AC475" s="52">
        <f t="shared" si="12"/>
        <v>0</v>
      </c>
    </row>
    <row r="476" ht="15.75" customHeight="1">
      <c r="A476" s="163"/>
      <c r="B476" s="163"/>
      <c r="C476" s="164"/>
      <c r="D476" s="164"/>
      <c r="E476" s="164"/>
      <c r="F476" s="164"/>
      <c r="G476" s="164"/>
      <c r="H476" s="165" t="str">
        <f>IF(G476="","",IFERROR(VLOOKUP(G476,'Product_Stock_Master产品维护'!$A$2:$E992,2,FALSE()),"SKU not found"))</f>
        <v/>
      </c>
      <c r="I476" s="165" t="str">
        <f>IF(G476="","",IFERROR(VLOOKUP(G476,'Product_Stock_Master产品维护'!$A$2:$E992,3,FALSE()),"Item type not found"))</f>
        <v/>
      </c>
      <c r="J476" s="164"/>
      <c r="K476" s="164"/>
      <c r="L476" s="164"/>
      <c r="M476" s="164"/>
      <c r="N476" s="164"/>
      <c r="O476" s="165" t="str">
        <f t="shared" si="1"/>
        <v/>
      </c>
      <c r="P476" s="164"/>
      <c r="Q476" s="165" t="str">
        <f t="shared" si="9"/>
        <v/>
      </c>
      <c r="R476" s="165" t="str">
        <f t="shared" si="3"/>
        <v/>
      </c>
      <c r="S476" s="165" t="str">
        <f t="shared" si="10"/>
        <v/>
      </c>
      <c r="T476" s="165" t="str">
        <f t="shared" si="5"/>
        <v/>
      </c>
      <c r="U476" s="165" t="s">
        <v>1438</v>
      </c>
      <c r="V476" s="53"/>
      <c r="W476" s="52" t="str">
        <f t="shared" si="6"/>
        <v/>
      </c>
      <c r="X476" s="52">
        <f t="shared" si="7"/>
        <v>0</v>
      </c>
      <c r="Y476" s="52">
        <f t="shared" si="8"/>
        <v>0</v>
      </c>
      <c r="Z476" s="52" t="str">
        <f>IF(G476="","",IFERROR(VLOOKUP(G476,'Product_Stock_Master产品维护'!$A$2:$L992,11,FALSE),"No"))</f>
        <v/>
      </c>
      <c r="AA476" s="52" t="str">
        <f>IF(G476="","",IFERROR(VLOOKUP(G476,'Product_Stock_Master产品维护'!$A$2:$L992,12,FALSE),""))</f>
        <v/>
      </c>
      <c r="AB476" s="52" t="str">
        <f t="shared" si="11"/>
        <v/>
      </c>
      <c r="AC476" s="52">
        <f t="shared" si="12"/>
        <v>0</v>
      </c>
    </row>
    <row r="477" ht="15.75" customHeight="1">
      <c r="A477" s="163"/>
      <c r="B477" s="163"/>
      <c r="C477" s="164"/>
      <c r="D477" s="164"/>
      <c r="E477" s="164"/>
      <c r="F477" s="164"/>
      <c r="G477" s="164"/>
      <c r="H477" s="165" t="str">
        <f>IF(G477="","",IFERROR(VLOOKUP(G477,'Product_Stock_Master产品维护'!$A$2:$E992,2,FALSE()),"SKU not found"))</f>
        <v/>
      </c>
      <c r="I477" s="165" t="str">
        <f>IF(G477="","",IFERROR(VLOOKUP(G477,'Product_Stock_Master产品维护'!$A$2:$E992,3,FALSE()),"Item type not found"))</f>
        <v/>
      </c>
      <c r="J477" s="164"/>
      <c r="K477" s="164"/>
      <c r="L477" s="164"/>
      <c r="M477" s="164"/>
      <c r="N477" s="164"/>
      <c r="O477" s="165" t="str">
        <f t="shared" si="1"/>
        <v/>
      </c>
      <c r="P477" s="164"/>
      <c r="Q477" s="165" t="str">
        <f t="shared" si="9"/>
        <v/>
      </c>
      <c r="R477" s="165" t="str">
        <f t="shared" si="3"/>
        <v/>
      </c>
      <c r="S477" s="165" t="str">
        <f t="shared" si="10"/>
        <v/>
      </c>
      <c r="T477" s="165" t="str">
        <f t="shared" si="5"/>
        <v/>
      </c>
      <c r="U477" s="165" t="s">
        <v>1439</v>
      </c>
      <c r="V477" s="53"/>
      <c r="W477" s="52" t="str">
        <f t="shared" si="6"/>
        <v/>
      </c>
      <c r="X477" s="52">
        <f t="shared" si="7"/>
        <v>0</v>
      </c>
      <c r="Y477" s="52">
        <f t="shared" si="8"/>
        <v>0</v>
      </c>
      <c r="Z477" s="52" t="str">
        <f>IF(G477="","",IFERROR(VLOOKUP(G477,'Product_Stock_Master产品维护'!$A$2:$L992,11,FALSE),"No"))</f>
        <v/>
      </c>
      <c r="AA477" s="52" t="str">
        <f>IF(G477="","",IFERROR(VLOOKUP(G477,'Product_Stock_Master产品维护'!$A$2:$L992,12,FALSE),""))</f>
        <v/>
      </c>
      <c r="AB477" s="52" t="str">
        <f t="shared" si="11"/>
        <v/>
      </c>
      <c r="AC477" s="52">
        <f t="shared" si="12"/>
        <v>0</v>
      </c>
    </row>
    <row r="478" ht="15.75" customHeight="1">
      <c r="A478" s="163"/>
      <c r="B478" s="163"/>
      <c r="C478" s="164"/>
      <c r="D478" s="164"/>
      <c r="E478" s="164"/>
      <c r="F478" s="164"/>
      <c r="G478" s="164"/>
      <c r="H478" s="165" t="str">
        <f>IF(G478="","",IFERROR(VLOOKUP(G478,'Product_Stock_Master产品维护'!$A$2:$E992,2,FALSE()),"SKU not found"))</f>
        <v/>
      </c>
      <c r="I478" s="165" t="str">
        <f>IF(G478="","",IFERROR(VLOOKUP(G478,'Product_Stock_Master产品维护'!$A$2:$E992,3,FALSE()),"Item type not found"))</f>
        <v/>
      </c>
      <c r="J478" s="164"/>
      <c r="K478" s="164"/>
      <c r="L478" s="164"/>
      <c r="M478" s="164"/>
      <c r="N478" s="164"/>
      <c r="O478" s="165" t="str">
        <f t="shared" si="1"/>
        <v/>
      </c>
      <c r="P478" s="164"/>
      <c r="Q478" s="165" t="str">
        <f t="shared" si="9"/>
        <v/>
      </c>
      <c r="R478" s="165" t="str">
        <f t="shared" si="3"/>
        <v/>
      </c>
      <c r="S478" s="165" t="str">
        <f t="shared" si="10"/>
        <v/>
      </c>
      <c r="T478" s="165" t="str">
        <f t="shared" si="5"/>
        <v/>
      </c>
      <c r="U478" s="165" t="s">
        <v>1440</v>
      </c>
      <c r="V478" s="53"/>
      <c r="W478" s="52" t="str">
        <f t="shared" si="6"/>
        <v/>
      </c>
      <c r="X478" s="52">
        <f t="shared" si="7"/>
        <v>0</v>
      </c>
      <c r="Y478" s="52">
        <f t="shared" si="8"/>
        <v>0</v>
      </c>
      <c r="Z478" s="52" t="str">
        <f>IF(G478="","",IFERROR(VLOOKUP(G478,'Product_Stock_Master产品维护'!$A$2:$L992,11,FALSE),"No"))</f>
        <v/>
      </c>
      <c r="AA478" s="52" t="str">
        <f>IF(G478="","",IFERROR(VLOOKUP(G478,'Product_Stock_Master产品维护'!$A$2:$L992,12,FALSE),""))</f>
        <v/>
      </c>
      <c r="AB478" s="52" t="str">
        <f t="shared" si="11"/>
        <v/>
      </c>
      <c r="AC478" s="52">
        <f t="shared" si="12"/>
        <v>0</v>
      </c>
    </row>
    <row r="479" ht="15.75" customHeight="1">
      <c r="A479" s="163"/>
      <c r="B479" s="163"/>
      <c r="C479" s="164"/>
      <c r="D479" s="164"/>
      <c r="E479" s="164"/>
      <c r="F479" s="164"/>
      <c r="G479" s="164"/>
      <c r="H479" s="165" t="str">
        <f>IF(G479="","",IFERROR(VLOOKUP(G479,'Product_Stock_Master产品维护'!$A$2:$E992,2,FALSE()),"SKU not found"))</f>
        <v/>
      </c>
      <c r="I479" s="165" t="str">
        <f>IF(G479="","",IFERROR(VLOOKUP(G479,'Product_Stock_Master产品维护'!$A$2:$E992,3,FALSE()),"Item type not found"))</f>
        <v/>
      </c>
      <c r="J479" s="164"/>
      <c r="K479" s="164"/>
      <c r="L479" s="164"/>
      <c r="M479" s="164"/>
      <c r="N479" s="164"/>
      <c r="O479" s="165" t="str">
        <f t="shared" si="1"/>
        <v/>
      </c>
      <c r="P479" s="164"/>
      <c r="Q479" s="165" t="str">
        <f t="shared" si="9"/>
        <v/>
      </c>
      <c r="R479" s="165" t="str">
        <f t="shared" si="3"/>
        <v/>
      </c>
      <c r="S479" s="165" t="str">
        <f t="shared" si="10"/>
        <v/>
      </c>
      <c r="T479" s="165" t="str">
        <f t="shared" si="5"/>
        <v/>
      </c>
      <c r="U479" s="165" t="s">
        <v>1441</v>
      </c>
      <c r="V479" s="53"/>
      <c r="W479" s="52" t="str">
        <f t="shared" si="6"/>
        <v/>
      </c>
      <c r="X479" s="52">
        <f t="shared" si="7"/>
        <v>0</v>
      </c>
      <c r="Y479" s="52">
        <f t="shared" si="8"/>
        <v>0</v>
      </c>
      <c r="Z479" s="52" t="str">
        <f>IF(G479="","",IFERROR(VLOOKUP(G479,'Product_Stock_Master产品维护'!$A$2:$L992,11,FALSE),"No"))</f>
        <v/>
      </c>
      <c r="AA479" s="52" t="str">
        <f>IF(G479="","",IFERROR(VLOOKUP(G479,'Product_Stock_Master产品维护'!$A$2:$L992,12,FALSE),""))</f>
        <v/>
      </c>
      <c r="AB479" s="52" t="str">
        <f t="shared" si="11"/>
        <v/>
      </c>
      <c r="AC479" s="52">
        <f t="shared" si="12"/>
        <v>0</v>
      </c>
    </row>
    <row r="480" ht="15.75" customHeight="1">
      <c r="A480" s="163"/>
      <c r="B480" s="163"/>
      <c r="C480" s="164"/>
      <c r="D480" s="164"/>
      <c r="E480" s="164"/>
      <c r="F480" s="164"/>
      <c r="G480" s="164"/>
      <c r="H480" s="165" t="str">
        <f>IF(G480="","",IFERROR(VLOOKUP(G480,'Product_Stock_Master产品维护'!$A$2:$E992,2,FALSE()),"SKU not found"))</f>
        <v/>
      </c>
      <c r="I480" s="165" t="str">
        <f>IF(G480="","",IFERROR(VLOOKUP(G480,'Product_Stock_Master产品维护'!$A$2:$E992,3,FALSE()),"Item type not found"))</f>
        <v/>
      </c>
      <c r="J480" s="164"/>
      <c r="K480" s="164"/>
      <c r="L480" s="164"/>
      <c r="M480" s="164"/>
      <c r="N480" s="164"/>
      <c r="O480" s="165" t="str">
        <f t="shared" si="1"/>
        <v/>
      </c>
      <c r="P480" s="164"/>
      <c r="Q480" s="165" t="str">
        <f t="shared" si="9"/>
        <v/>
      </c>
      <c r="R480" s="165" t="str">
        <f t="shared" si="3"/>
        <v/>
      </c>
      <c r="S480" s="165" t="str">
        <f t="shared" si="10"/>
        <v/>
      </c>
      <c r="T480" s="165" t="str">
        <f t="shared" si="5"/>
        <v/>
      </c>
      <c r="U480" s="165" t="s">
        <v>1442</v>
      </c>
      <c r="V480" s="53"/>
      <c r="W480" s="52" t="str">
        <f t="shared" si="6"/>
        <v/>
      </c>
      <c r="X480" s="52">
        <f t="shared" si="7"/>
        <v>0</v>
      </c>
      <c r="Y480" s="52">
        <f t="shared" si="8"/>
        <v>0</v>
      </c>
      <c r="Z480" s="52" t="str">
        <f>IF(G480="","",IFERROR(VLOOKUP(G480,'Product_Stock_Master产品维护'!$A$2:$L992,11,FALSE),"No"))</f>
        <v/>
      </c>
      <c r="AA480" s="52" t="str">
        <f>IF(G480="","",IFERROR(VLOOKUP(G480,'Product_Stock_Master产品维护'!$A$2:$L992,12,FALSE),""))</f>
        <v/>
      </c>
      <c r="AB480" s="52" t="str">
        <f t="shared" si="11"/>
        <v/>
      </c>
      <c r="AC480" s="52">
        <f t="shared" si="12"/>
        <v>0</v>
      </c>
    </row>
    <row r="481" ht="15.75" customHeight="1">
      <c r="A481" s="163"/>
      <c r="B481" s="163"/>
      <c r="C481" s="164"/>
      <c r="D481" s="164"/>
      <c r="E481" s="164"/>
      <c r="F481" s="164"/>
      <c r="G481" s="164"/>
      <c r="H481" s="165" t="str">
        <f>IF(G481="","",IFERROR(VLOOKUP(G481,'Product_Stock_Master产品维护'!$A$2:$E992,2,FALSE()),"SKU not found"))</f>
        <v/>
      </c>
      <c r="I481" s="165" t="str">
        <f>IF(G481="","",IFERROR(VLOOKUP(G481,'Product_Stock_Master产品维护'!$A$2:$E992,3,FALSE()),"Item type not found"))</f>
        <v/>
      </c>
      <c r="J481" s="164"/>
      <c r="K481" s="164"/>
      <c r="L481" s="164"/>
      <c r="M481" s="164"/>
      <c r="N481" s="164"/>
      <c r="O481" s="165" t="str">
        <f t="shared" si="1"/>
        <v/>
      </c>
      <c r="P481" s="164"/>
      <c r="Q481" s="165" t="str">
        <f t="shared" si="9"/>
        <v/>
      </c>
      <c r="R481" s="165" t="str">
        <f t="shared" si="3"/>
        <v/>
      </c>
      <c r="S481" s="165" t="str">
        <f t="shared" si="10"/>
        <v/>
      </c>
      <c r="T481" s="165" t="str">
        <f t="shared" si="5"/>
        <v/>
      </c>
      <c r="U481" s="165" t="s">
        <v>1443</v>
      </c>
      <c r="V481" s="53"/>
      <c r="W481" s="52" t="str">
        <f t="shared" si="6"/>
        <v/>
      </c>
      <c r="X481" s="52">
        <f t="shared" si="7"/>
        <v>0</v>
      </c>
      <c r="Y481" s="52">
        <f t="shared" si="8"/>
        <v>0</v>
      </c>
      <c r="Z481" s="52" t="str">
        <f>IF(G481="","",IFERROR(VLOOKUP(G481,'Product_Stock_Master产品维护'!$A$2:$L992,11,FALSE),"No"))</f>
        <v/>
      </c>
      <c r="AA481" s="52" t="str">
        <f>IF(G481="","",IFERROR(VLOOKUP(G481,'Product_Stock_Master产品维护'!$A$2:$L992,12,FALSE),""))</f>
        <v/>
      </c>
      <c r="AB481" s="52" t="str">
        <f t="shared" si="11"/>
        <v/>
      </c>
      <c r="AC481" s="52">
        <f t="shared" si="12"/>
        <v>0</v>
      </c>
    </row>
    <row r="482" ht="15.75" customHeight="1">
      <c r="A482" s="163"/>
      <c r="B482" s="163"/>
      <c r="C482" s="164"/>
      <c r="D482" s="164"/>
      <c r="E482" s="164"/>
      <c r="F482" s="164"/>
      <c r="G482" s="164"/>
      <c r="H482" s="165" t="str">
        <f>IF(G482="","",IFERROR(VLOOKUP(G482,'Product_Stock_Master产品维护'!$A$2:$E992,2,FALSE()),"SKU not found"))</f>
        <v/>
      </c>
      <c r="I482" s="165" t="str">
        <f>IF(G482="","",IFERROR(VLOOKUP(G482,'Product_Stock_Master产品维护'!$A$2:$E992,3,FALSE()),"Item type not found"))</f>
        <v/>
      </c>
      <c r="J482" s="164"/>
      <c r="K482" s="164"/>
      <c r="L482" s="164"/>
      <c r="M482" s="164"/>
      <c r="N482" s="164"/>
      <c r="O482" s="165" t="str">
        <f t="shared" si="1"/>
        <v/>
      </c>
      <c r="P482" s="164"/>
      <c r="Q482" s="165" t="str">
        <f t="shared" si="9"/>
        <v/>
      </c>
      <c r="R482" s="165" t="str">
        <f t="shared" si="3"/>
        <v/>
      </c>
      <c r="S482" s="165" t="str">
        <f t="shared" si="10"/>
        <v/>
      </c>
      <c r="T482" s="165" t="str">
        <f t="shared" si="5"/>
        <v/>
      </c>
      <c r="U482" s="165" t="s">
        <v>1444</v>
      </c>
      <c r="V482" s="53"/>
      <c r="W482" s="52" t="str">
        <f t="shared" si="6"/>
        <v/>
      </c>
      <c r="X482" s="52">
        <f t="shared" si="7"/>
        <v>0</v>
      </c>
      <c r="Y482" s="52">
        <f t="shared" si="8"/>
        <v>0</v>
      </c>
      <c r="Z482" s="52" t="str">
        <f>IF(G482="","",IFERROR(VLOOKUP(G482,'Product_Stock_Master产品维护'!$A$2:$L992,11,FALSE),"No"))</f>
        <v/>
      </c>
      <c r="AA482" s="52" t="str">
        <f>IF(G482="","",IFERROR(VLOOKUP(G482,'Product_Stock_Master产品维护'!$A$2:$L992,12,FALSE),""))</f>
        <v/>
      </c>
      <c r="AB482" s="52" t="str">
        <f t="shared" si="11"/>
        <v/>
      </c>
      <c r="AC482" s="52">
        <f t="shared" si="12"/>
        <v>0</v>
      </c>
    </row>
    <row r="483" ht="15.75" customHeight="1">
      <c r="A483" s="163"/>
      <c r="B483" s="163"/>
      <c r="C483" s="164"/>
      <c r="D483" s="164"/>
      <c r="E483" s="164"/>
      <c r="F483" s="164"/>
      <c r="G483" s="164"/>
      <c r="H483" s="165" t="str">
        <f>IF(G483="","",IFERROR(VLOOKUP(G483,'Product_Stock_Master产品维护'!$A$2:$E992,2,FALSE()),"SKU not found"))</f>
        <v/>
      </c>
      <c r="I483" s="165" t="str">
        <f>IF(G483="","",IFERROR(VLOOKUP(G483,'Product_Stock_Master产品维护'!$A$2:$E992,3,FALSE()),"Item type not found"))</f>
        <v/>
      </c>
      <c r="J483" s="164"/>
      <c r="K483" s="164"/>
      <c r="L483" s="164"/>
      <c r="M483" s="164"/>
      <c r="N483" s="164"/>
      <c r="O483" s="165" t="str">
        <f t="shared" si="1"/>
        <v/>
      </c>
      <c r="P483" s="164"/>
      <c r="Q483" s="165" t="str">
        <f t="shared" si="9"/>
        <v/>
      </c>
      <c r="R483" s="165" t="str">
        <f t="shared" si="3"/>
        <v/>
      </c>
      <c r="S483" s="165" t="str">
        <f t="shared" si="10"/>
        <v/>
      </c>
      <c r="T483" s="165" t="str">
        <f t="shared" si="5"/>
        <v/>
      </c>
      <c r="U483" s="165" t="s">
        <v>1445</v>
      </c>
      <c r="V483" s="53"/>
      <c r="W483" s="52" t="str">
        <f t="shared" si="6"/>
        <v/>
      </c>
      <c r="X483" s="52">
        <f t="shared" si="7"/>
        <v>0</v>
      </c>
      <c r="Y483" s="52">
        <f t="shared" si="8"/>
        <v>0</v>
      </c>
      <c r="Z483" s="52" t="str">
        <f>IF(G483="","",IFERROR(VLOOKUP(G483,'Product_Stock_Master产品维护'!$A$2:$L992,11,FALSE),"No"))</f>
        <v/>
      </c>
      <c r="AA483" s="52" t="str">
        <f>IF(G483="","",IFERROR(VLOOKUP(G483,'Product_Stock_Master产品维护'!$A$2:$L992,12,FALSE),""))</f>
        <v/>
      </c>
      <c r="AB483" s="52" t="str">
        <f t="shared" si="11"/>
        <v/>
      </c>
      <c r="AC483" s="52">
        <f t="shared" si="12"/>
        <v>0</v>
      </c>
    </row>
    <row r="484" ht="15.75" customHeight="1">
      <c r="A484" s="163"/>
      <c r="B484" s="163"/>
      <c r="C484" s="164"/>
      <c r="D484" s="164"/>
      <c r="E484" s="164"/>
      <c r="F484" s="164"/>
      <c r="G484" s="164"/>
      <c r="H484" s="165" t="str">
        <f>IF(G484="","",IFERROR(VLOOKUP(G484,'Product_Stock_Master产品维护'!$A$2:$E992,2,FALSE()),"SKU not found"))</f>
        <v/>
      </c>
      <c r="I484" s="165" t="str">
        <f>IF(G484="","",IFERROR(VLOOKUP(G484,'Product_Stock_Master产品维护'!$A$2:$E992,3,FALSE()),"Item type not found"))</f>
        <v/>
      </c>
      <c r="J484" s="164"/>
      <c r="K484" s="164"/>
      <c r="L484" s="164"/>
      <c r="M484" s="164"/>
      <c r="N484" s="164"/>
      <c r="O484" s="165" t="str">
        <f t="shared" si="1"/>
        <v/>
      </c>
      <c r="P484" s="164"/>
      <c r="Q484" s="165" t="str">
        <f t="shared" si="9"/>
        <v/>
      </c>
      <c r="R484" s="165" t="str">
        <f t="shared" si="3"/>
        <v/>
      </c>
      <c r="S484" s="165" t="str">
        <f t="shared" si="10"/>
        <v/>
      </c>
      <c r="T484" s="165" t="str">
        <f t="shared" si="5"/>
        <v/>
      </c>
      <c r="U484" s="165" t="s">
        <v>1446</v>
      </c>
      <c r="V484" s="53"/>
      <c r="W484" s="52" t="str">
        <f t="shared" si="6"/>
        <v/>
      </c>
      <c r="X484" s="52">
        <f t="shared" si="7"/>
        <v>0</v>
      </c>
      <c r="Y484" s="52">
        <f t="shared" si="8"/>
        <v>0</v>
      </c>
      <c r="Z484" s="52" t="str">
        <f>IF(G484="","",IFERROR(VLOOKUP(G484,'Product_Stock_Master产品维护'!$A$2:$L992,11,FALSE),"No"))</f>
        <v/>
      </c>
      <c r="AA484" s="52" t="str">
        <f>IF(G484="","",IFERROR(VLOOKUP(G484,'Product_Stock_Master产品维护'!$A$2:$L992,12,FALSE),""))</f>
        <v/>
      </c>
      <c r="AB484" s="52" t="str">
        <f t="shared" si="11"/>
        <v/>
      </c>
      <c r="AC484" s="52">
        <f t="shared" si="12"/>
        <v>0</v>
      </c>
    </row>
    <row r="485" ht="15.75" customHeight="1">
      <c r="A485" s="163"/>
      <c r="B485" s="163"/>
      <c r="C485" s="164"/>
      <c r="D485" s="164"/>
      <c r="E485" s="164"/>
      <c r="F485" s="164"/>
      <c r="G485" s="164"/>
      <c r="H485" s="165" t="str">
        <f>IF(G485="","",IFERROR(VLOOKUP(G485,'Product_Stock_Master产品维护'!$A$2:$E992,2,FALSE()),"SKU not found"))</f>
        <v/>
      </c>
      <c r="I485" s="165" t="str">
        <f>IF(G485="","",IFERROR(VLOOKUP(G485,'Product_Stock_Master产品维护'!$A$2:$E992,3,FALSE()),"Item type not found"))</f>
        <v/>
      </c>
      <c r="J485" s="164"/>
      <c r="K485" s="164"/>
      <c r="L485" s="164"/>
      <c r="M485" s="164"/>
      <c r="N485" s="164"/>
      <c r="O485" s="165" t="str">
        <f t="shared" si="1"/>
        <v/>
      </c>
      <c r="P485" s="164"/>
      <c r="Q485" s="165" t="str">
        <f t="shared" si="9"/>
        <v/>
      </c>
      <c r="R485" s="165" t="str">
        <f t="shared" si="3"/>
        <v/>
      </c>
      <c r="S485" s="165" t="str">
        <f t="shared" si="10"/>
        <v/>
      </c>
      <c r="T485" s="165" t="str">
        <f t="shared" si="5"/>
        <v/>
      </c>
      <c r="U485" s="165" t="s">
        <v>1447</v>
      </c>
      <c r="V485" s="53"/>
      <c r="W485" s="52" t="str">
        <f t="shared" si="6"/>
        <v/>
      </c>
      <c r="X485" s="52">
        <f t="shared" si="7"/>
        <v>0</v>
      </c>
      <c r="Y485" s="52">
        <f t="shared" si="8"/>
        <v>0</v>
      </c>
      <c r="Z485" s="52" t="str">
        <f>IF(G485="","",IFERROR(VLOOKUP(G485,'Product_Stock_Master产品维护'!$A$2:$L992,11,FALSE),"No"))</f>
        <v/>
      </c>
      <c r="AA485" s="52" t="str">
        <f>IF(G485="","",IFERROR(VLOOKUP(G485,'Product_Stock_Master产品维护'!$A$2:$L992,12,FALSE),""))</f>
        <v/>
      </c>
      <c r="AB485" s="52" t="str">
        <f t="shared" si="11"/>
        <v/>
      </c>
      <c r="AC485" s="52">
        <f t="shared" si="12"/>
        <v>0</v>
      </c>
    </row>
    <row r="486" ht="15.75" customHeight="1">
      <c r="A486" s="163"/>
      <c r="B486" s="163"/>
      <c r="C486" s="164"/>
      <c r="D486" s="164"/>
      <c r="E486" s="164"/>
      <c r="F486" s="164"/>
      <c r="G486" s="164"/>
      <c r="H486" s="165" t="str">
        <f>IF(G486="","",IFERROR(VLOOKUP(G486,'Product_Stock_Master产品维护'!$A$2:$E992,2,FALSE()),"SKU not found"))</f>
        <v/>
      </c>
      <c r="I486" s="165" t="str">
        <f>IF(G486="","",IFERROR(VLOOKUP(G486,'Product_Stock_Master产品维护'!$A$2:$E992,3,FALSE()),"Item type not found"))</f>
        <v/>
      </c>
      <c r="J486" s="164"/>
      <c r="K486" s="164"/>
      <c r="L486" s="164"/>
      <c r="M486" s="164"/>
      <c r="N486" s="164"/>
      <c r="O486" s="165" t="str">
        <f t="shared" si="1"/>
        <v/>
      </c>
      <c r="P486" s="164"/>
      <c r="Q486" s="165" t="str">
        <f t="shared" si="9"/>
        <v/>
      </c>
      <c r="R486" s="165" t="str">
        <f t="shared" si="3"/>
        <v/>
      </c>
      <c r="S486" s="165" t="str">
        <f t="shared" si="10"/>
        <v/>
      </c>
      <c r="T486" s="165" t="str">
        <f t="shared" si="5"/>
        <v/>
      </c>
      <c r="U486" s="165" t="s">
        <v>1448</v>
      </c>
      <c r="V486" s="53"/>
      <c r="W486" s="52" t="str">
        <f t="shared" si="6"/>
        <v/>
      </c>
      <c r="X486" s="52">
        <f t="shared" si="7"/>
        <v>0</v>
      </c>
      <c r="Y486" s="52">
        <f t="shared" si="8"/>
        <v>0</v>
      </c>
      <c r="Z486" s="52" t="str">
        <f>IF(G486="","",IFERROR(VLOOKUP(G486,'Product_Stock_Master产品维护'!$A$2:$L992,11,FALSE),"No"))</f>
        <v/>
      </c>
      <c r="AA486" s="52" t="str">
        <f>IF(G486="","",IFERROR(VLOOKUP(G486,'Product_Stock_Master产品维护'!$A$2:$L992,12,FALSE),""))</f>
        <v/>
      </c>
      <c r="AB486" s="52" t="str">
        <f t="shared" si="11"/>
        <v/>
      </c>
      <c r="AC486" s="52">
        <f t="shared" si="12"/>
        <v>0</v>
      </c>
    </row>
    <row r="487" ht="15.75" customHeight="1">
      <c r="A487" s="163"/>
      <c r="B487" s="163"/>
      <c r="C487" s="164"/>
      <c r="D487" s="164"/>
      <c r="E487" s="164"/>
      <c r="F487" s="164"/>
      <c r="G487" s="164"/>
      <c r="H487" s="165" t="str">
        <f>IF(G487="","",IFERROR(VLOOKUP(G487,'Product_Stock_Master产品维护'!$A$2:$E992,2,FALSE()),"SKU not found"))</f>
        <v/>
      </c>
      <c r="I487" s="165" t="str">
        <f>IF(G487="","",IFERROR(VLOOKUP(G487,'Product_Stock_Master产品维护'!$A$2:$E992,3,FALSE()),"Item type not found"))</f>
        <v/>
      </c>
      <c r="J487" s="164"/>
      <c r="K487" s="164"/>
      <c r="L487" s="164"/>
      <c r="M487" s="164"/>
      <c r="N487" s="164"/>
      <c r="O487" s="165" t="str">
        <f t="shared" si="1"/>
        <v/>
      </c>
      <c r="P487" s="164"/>
      <c r="Q487" s="165" t="str">
        <f t="shared" si="9"/>
        <v/>
      </c>
      <c r="R487" s="165" t="str">
        <f t="shared" si="3"/>
        <v/>
      </c>
      <c r="S487" s="165" t="str">
        <f t="shared" si="10"/>
        <v/>
      </c>
      <c r="T487" s="165" t="str">
        <f t="shared" si="5"/>
        <v/>
      </c>
      <c r="U487" s="165" t="s">
        <v>1449</v>
      </c>
      <c r="V487" s="53"/>
      <c r="W487" s="52" t="str">
        <f t="shared" si="6"/>
        <v/>
      </c>
      <c r="X487" s="52">
        <f t="shared" si="7"/>
        <v>0</v>
      </c>
      <c r="Y487" s="52">
        <f t="shared" si="8"/>
        <v>0</v>
      </c>
      <c r="Z487" s="52" t="str">
        <f>IF(G487="","",IFERROR(VLOOKUP(G487,'Product_Stock_Master产品维护'!$A$2:$L992,11,FALSE),"No"))</f>
        <v/>
      </c>
      <c r="AA487" s="52" t="str">
        <f>IF(G487="","",IFERROR(VLOOKUP(G487,'Product_Stock_Master产品维护'!$A$2:$L992,12,FALSE),""))</f>
        <v/>
      </c>
      <c r="AB487" s="52" t="str">
        <f t="shared" si="11"/>
        <v/>
      </c>
      <c r="AC487" s="52">
        <f t="shared" si="12"/>
        <v>0</v>
      </c>
    </row>
    <row r="488" ht="15.75" customHeight="1">
      <c r="A488" s="163"/>
      <c r="B488" s="163"/>
      <c r="C488" s="164"/>
      <c r="D488" s="164"/>
      <c r="E488" s="164"/>
      <c r="F488" s="164"/>
      <c r="G488" s="164"/>
      <c r="H488" s="165" t="str">
        <f>IF(G488="","",IFERROR(VLOOKUP(G488,'Product_Stock_Master产品维护'!$A$2:$E992,2,FALSE()),"SKU not found"))</f>
        <v/>
      </c>
      <c r="I488" s="165" t="str">
        <f>IF(G488="","",IFERROR(VLOOKUP(G488,'Product_Stock_Master产品维护'!$A$2:$E992,3,FALSE()),"Item type not found"))</f>
        <v/>
      </c>
      <c r="J488" s="164"/>
      <c r="K488" s="164"/>
      <c r="L488" s="164"/>
      <c r="M488" s="164"/>
      <c r="N488" s="164"/>
      <c r="O488" s="165" t="str">
        <f t="shared" si="1"/>
        <v/>
      </c>
      <c r="P488" s="164"/>
      <c r="Q488" s="165" t="str">
        <f t="shared" si="9"/>
        <v/>
      </c>
      <c r="R488" s="165" t="str">
        <f t="shared" si="3"/>
        <v/>
      </c>
      <c r="S488" s="165" t="str">
        <f t="shared" si="10"/>
        <v/>
      </c>
      <c r="T488" s="165" t="str">
        <f t="shared" si="5"/>
        <v/>
      </c>
      <c r="U488" s="165" t="s">
        <v>1450</v>
      </c>
      <c r="V488" s="53"/>
      <c r="W488" s="52" t="str">
        <f t="shared" si="6"/>
        <v/>
      </c>
      <c r="X488" s="52">
        <f t="shared" si="7"/>
        <v>0</v>
      </c>
      <c r="Y488" s="52">
        <f t="shared" si="8"/>
        <v>0</v>
      </c>
      <c r="Z488" s="52" t="str">
        <f>IF(G488="","",IFERROR(VLOOKUP(G488,'Product_Stock_Master产品维护'!$A$2:$L992,11,FALSE),"No"))</f>
        <v/>
      </c>
      <c r="AA488" s="52" t="str">
        <f>IF(G488="","",IFERROR(VLOOKUP(G488,'Product_Stock_Master产品维护'!$A$2:$L992,12,FALSE),""))</f>
        <v/>
      </c>
      <c r="AB488" s="52" t="str">
        <f t="shared" si="11"/>
        <v/>
      </c>
      <c r="AC488" s="52">
        <f t="shared" si="12"/>
        <v>0</v>
      </c>
    </row>
    <row r="489" ht="15.75" customHeight="1">
      <c r="A489" s="163"/>
      <c r="B489" s="163"/>
      <c r="C489" s="164"/>
      <c r="D489" s="164"/>
      <c r="E489" s="164"/>
      <c r="F489" s="164"/>
      <c r="G489" s="164"/>
      <c r="H489" s="165" t="str">
        <f>IF(G489="","",IFERROR(VLOOKUP(G489,'Product_Stock_Master产品维护'!$A$2:$E992,2,FALSE()),"SKU not found"))</f>
        <v/>
      </c>
      <c r="I489" s="165" t="str">
        <f>IF(G489="","",IFERROR(VLOOKUP(G489,'Product_Stock_Master产品维护'!$A$2:$E992,3,FALSE()),"Item type not found"))</f>
        <v/>
      </c>
      <c r="J489" s="164"/>
      <c r="K489" s="164"/>
      <c r="L489" s="164"/>
      <c r="M489" s="164"/>
      <c r="N489" s="164"/>
      <c r="O489" s="165" t="str">
        <f t="shared" si="1"/>
        <v/>
      </c>
      <c r="P489" s="164"/>
      <c r="Q489" s="165" t="str">
        <f t="shared" si="9"/>
        <v/>
      </c>
      <c r="R489" s="165" t="str">
        <f t="shared" si="3"/>
        <v/>
      </c>
      <c r="S489" s="165" t="str">
        <f t="shared" si="10"/>
        <v/>
      </c>
      <c r="T489" s="165" t="str">
        <f t="shared" si="5"/>
        <v/>
      </c>
      <c r="U489" s="165" t="s">
        <v>1451</v>
      </c>
      <c r="V489" s="53"/>
      <c r="W489" s="52" t="str">
        <f t="shared" si="6"/>
        <v/>
      </c>
      <c r="X489" s="52">
        <f t="shared" si="7"/>
        <v>0</v>
      </c>
      <c r="Y489" s="52">
        <f t="shared" si="8"/>
        <v>0</v>
      </c>
      <c r="Z489" s="52" t="str">
        <f>IF(G489="","",IFERROR(VLOOKUP(G489,'Product_Stock_Master产品维护'!$A$2:$L992,11,FALSE),"No"))</f>
        <v/>
      </c>
      <c r="AA489" s="52" t="str">
        <f>IF(G489="","",IFERROR(VLOOKUP(G489,'Product_Stock_Master产品维护'!$A$2:$L992,12,FALSE),""))</f>
        <v/>
      </c>
      <c r="AB489" s="52" t="str">
        <f t="shared" si="11"/>
        <v/>
      </c>
      <c r="AC489" s="52">
        <f t="shared" si="12"/>
        <v>0</v>
      </c>
    </row>
    <row r="490" ht="15.75" customHeight="1">
      <c r="A490" s="163"/>
      <c r="B490" s="163"/>
      <c r="C490" s="164"/>
      <c r="D490" s="164"/>
      <c r="E490" s="164"/>
      <c r="F490" s="164"/>
      <c r="G490" s="164"/>
      <c r="H490" s="165" t="str">
        <f>IF(G490="","",IFERROR(VLOOKUP(G490,'Product_Stock_Master产品维护'!$A$2:$E992,2,FALSE()),"SKU not found"))</f>
        <v/>
      </c>
      <c r="I490" s="165" t="str">
        <f>IF(G490="","",IFERROR(VLOOKUP(G490,'Product_Stock_Master产品维护'!$A$2:$E992,3,FALSE()),"Item type not found"))</f>
        <v/>
      </c>
      <c r="J490" s="164"/>
      <c r="K490" s="164"/>
      <c r="L490" s="164"/>
      <c r="M490" s="164"/>
      <c r="N490" s="164"/>
      <c r="O490" s="165" t="str">
        <f t="shared" si="1"/>
        <v/>
      </c>
      <c r="P490" s="164"/>
      <c r="Q490" s="165" t="str">
        <f t="shared" si="9"/>
        <v/>
      </c>
      <c r="R490" s="165" t="str">
        <f t="shared" si="3"/>
        <v/>
      </c>
      <c r="S490" s="165" t="str">
        <f t="shared" si="10"/>
        <v/>
      </c>
      <c r="T490" s="165" t="str">
        <f t="shared" si="5"/>
        <v/>
      </c>
      <c r="U490" s="165" t="s">
        <v>1452</v>
      </c>
      <c r="V490" s="53"/>
      <c r="W490" s="52" t="str">
        <f t="shared" si="6"/>
        <v/>
      </c>
      <c r="X490" s="52">
        <f t="shared" si="7"/>
        <v>0</v>
      </c>
      <c r="Y490" s="52">
        <f t="shared" si="8"/>
        <v>0</v>
      </c>
      <c r="Z490" s="52" t="str">
        <f>IF(G490="","",IFERROR(VLOOKUP(G490,'Product_Stock_Master产品维护'!$A$2:$L992,11,FALSE),"No"))</f>
        <v/>
      </c>
      <c r="AA490" s="52" t="str">
        <f>IF(G490="","",IFERROR(VLOOKUP(G490,'Product_Stock_Master产品维护'!$A$2:$L992,12,FALSE),""))</f>
        <v/>
      </c>
      <c r="AB490" s="52" t="str">
        <f t="shared" si="11"/>
        <v/>
      </c>
      <c r="AC490" s="52">
        <f t="shared" si="12"/>
        <v>0</v>
      </c>
    </row>
    <row r="491" ht="15.75" customHeight="1">
      <c r="A491" s="163"/>
      <c r="B491" s="163"/>
      <c r="C491" s="164"/>
      <c r="D491" s="164"/>
      <c r="E491" s="164"/>
      <c r="F491" s="164"/>
      <c r="G491" s="164"/>
      <c r="H491" s="165" t="str">
        <f>IF(G491="","",IFERROR(VLOOKUP(G491,'Product_Stock_Master产品维护'!$A$2:$E992,2,FALSE()),"SKU not found"))</f>
        <v/>
      </c>
      <c r="I491" s="165" t="str">
        <f>IF(G491="","",IFERROR(VLOOKUP(G491,'Product_Stock_Master产品维护'!$A$2:$E992,3,FALSE()),"Item type not found"))</f>
        <v/>
      </c>
      <c r="J491" s="164"/>
      <c r="K491" s="164"/>
      <c r="L491" s="164"/>
      <c r="M491" s="164"/>
      <c r="N491" s="164"/>
      <c r="O491" s="165" t="str">
        <f t="shared" si="1"/>
        <v/>
      </c>
      <c r="P491" s="164"/>
      <c r="Q491" s="165" t="str">
        <f t="shared" si="9"/>
        <v/>
      </c>
      <c r="R491" s="165" t="str">
        <f t="shared" si="3"/>
        <v/>
      </c>
      <c r="S491" s="165" t="str">
        <f t="shared" si="10"/>
        <v/>
      </c>
      <c r="T491" s="165" t="str">
        <f t="shared" si="5"/>
        <v/>
      </c>
      <c r="U491" s="165" t="s">
        <v>1453</v>
      </c>
      <c r="V491" s="53"/>
      <c r="W491" s="52" t="str">
        <f t="shared" si="6"/>
        <v/>
      </c>
      <c r="X491" s="52">
        <f t="shared" si="7"/>
        <v>0</v>
      </c>
      <c r="Y491" s="52">
        <f t="shared" si="8"/>
        <v>0</v>
      </c>
      <c r="Z491" s="52" t="str">
        <f>IF(G491="","",IFERROR(VLOOKUP(G491,'Product_Stock_Master产品维护'!$A$2:$L992,11,FALSE),"No"))</f>
        <v/>
      </c>
      <c r="AA491" s="52" t="str">
        <f>IF(G491="","",IFERROR(VLOOKUP(G491,'Product_Stock_Master产品维护'!$A$2:$L992,12,FALSE),""))</f>
        <v/>
      </c>
      <c r="AB491" s="52" t="str">
        <f t="shared" si="11"/>
        <v/>
      </c>
      <c r="AC491" s="52">
        <f t="shared" si="12"/>
        <v>0</v>
      </c>
    </row>
    <row r="492" ht="15.75" customHeight="1">
      <c r="A492" s="163"/>
      <c r="B492" s="163"/>
      <c r="C492" s="164"/>
      <c r="D492" s="164"/>
      <c r="E492" s="164"/>
      <c r="F492" s="164"/>
      <c r="G492" s="164"/>
      <c r="H492" s="165" t="str">
        <f>IF(G492="","",IFERROR(VLOOKUP(G492,'Product_Stock_Master产品维护'!$A$2:$E992,2,FALSE()),"SKU not found"))</f>
        <v/>
      </c>
      <c r="I492" s="165" t="str">
        <f>IF(G492="","",IFERROR(VLOOKUP(G492,'Product_Stock_Master产品维护'!$A$2:$E992,3,FALSE()),"Item type not found"))</f>
        <v/>
      </c>
      <c r="J492" s="164"/>
      <c r="K492" s="164"/>
      <c r="L492" s="164"/>
      <c r="M492" s="164"/>
      <c r="N492" s="164"/>
      <c r="O492" s="165" t="str">
        <f t="shared" si="1"/>
        <v/>
      </c>
      <c r="P492" s="164"/>
      <c r="Q492" s="165" t="str">
        <f t="shared" si="9"/>
        <v/>
      </c>
      <c r="R492" s="165" t="str">
        <f t="shared" si="3"/>
        <v/>
      </c>
      <c r="S492" s="165" t="str">
        <f t="shared" si="10"/>
        <v/>
      </c>
      <c r="T492" s="165" t="str">
        <f t="shared" si="5"/>
        <v/>
      </c>
      <c r="U492" s="165" t="s">
        <v>1454</v>
      </c>
      <c r="V492" s="53"/>
      <c r="W492" s="52" t="str">
        <f t="shared" si="6"/>
        <v/>
      </c>
      <c r="X492" s="52">
        <f t="shared" si="7"/>
        <v>0</v>
      </c>
      <c r="Y492" s="52">
        <f t="shared" si="8"/>
        <v>0</v>
      </c>
      <c r="Z492" s="52" t="str">
        <f>IF(G492="","",IFERROR(VLOOKUP(G492,'Product_Stock_Master产品维护'!$A$2:$L992,11,FALSE),"No"))</f>
        <v/>
      </c>
      <c r="AA492" s="52" t="str">
        <f>IF(G492="","",IFERROR(VLOOKUP(G492,'Product_Stock_Master产品维护'!$A$2:$L992,12,FALSE),""))</f>
        <v/>
      </c>
      <c r="AB492" s="52" t="str">
        <f t="shared" si="11"/>
        <v/>
      </c>
      <c r="AC492" s="52">
        <f t="shared" si="12"/>
        <v>0</v>
      </c>
    </row>
    <row r="493" ht="15.75" customHeight="1">
      <c r="A493" s="171"/>
      <c r="B493" s="171"/>
      <c r="C493" s="53"/>
      <c r="D493" s="53"/>
      <c r="E493" s="53"/>
      <c r="F493" s="53"/>
      <c r="G493" s="53"/>
      <c r="H493" s="52" t="str">
        <f>IF(G493="","",IFERROR(VLOOKUP(G493,'Product_Stock_Master产品维护'!$A$2:$E992,2,FALSE()),"SKU not found"))</f>
        <v/>
      </c>
      <c r="I493" s="52" t="str">
        <f>IF(G493="","",IFERROR(VLOOKUP(G493,'Product_Stock_Master产品维护'!$A$2:$E992,3,FALSE()),"Item type not found"))</f>
        <v/>
      </c>
      <c r="J493" s="53"/>
      <c r="K493" s="53"/>
      <c r="L493" s="53"/>
      <c r="M493" s="53"/>
      <c r="N493" s="53"/>
      <c r="O493" s="52" t="str">
        <f t="shared" si="1"/>
        <v/>
      </c>
      <c r="P493" s="53"/>
      <c r="Q493" s="52" t="str">
        <f t="shared" si="9"/>
        <v/>
      </c>
      <c r="R493" s="52" t="str">
        <f t="shared" si="3"/>
        <v/>
      </c>
      <c r="S493" s="52" t="str">
        <f t="shared" si="10"/>
        <v/>
      </c>
      <c r="T493" s="52" t="str">
        <f t="shared" si="5"/>
        <v/>
      </c>
      <c r="U493" s="52"/>
      <c r="V493" s="53"/>
      <c r="W493" s="52" t="str">
        <f t="shared" si="6"/>
        <v/>
      </c>
      <c r="X493" s="52">
        <f t="shared" si="7"/>
        <v>0</v>
      </c>
      <c r="Y493" s="52">
        <f t="shared" si="8"/>
        <v>0</v>
      </c>
      <c r="Z493" s="52" t="str">
        <f>IF(G493="","",IFERROR(VLOOKUP(G493,'Product_Stock_Master产品维护'!$A$2:$L992,11,FALSE),"No"))</f>
        <v/>
      </c>
      <c r="AA493" s="52" t="str">
        <f>IF(G493="","",IFERROR(VLOOKUP(G493,'Product_Stock_Master产品维护'!$A$2:$L992,12,FALSE),""))</f>
        <v/>
      </c>
      <c r="AB493" s="52" t="str">
        <f t="shared" si="11"/>
        <v/>
      </c>
      <c r="AC493" s="52">
        <f t="shared" si="12"/>
        <v>0</v>
      </c>
    </row>
    <row r="494" ht="15.75" customHeight="1">
      <c r="A494" s="171"/>
      <c r="B494" s="171"/>
      <c r="C494" s="53"/>
      <c r="D494" s="53"/>
      <c r="E494" s="53"/>
      <c r="F494" s="53"/>
      <c r="G494" s="53"/>
      <c r="H494" s="52" t="str">
        <f>IF(G494="","",IFERROR(VLOOKUP(G494,'Product_Stock_Master产品维护'!$A$2:$E992,2,FALSE()),"SKU not found"))</f>
        <v/>
      </c>
      <c r="I494" s="52" t="str">
        <f>IF(G494="","",IFERROR(VLOOKUP(G494,'Product_Stock_Master产品维护'!$A$2:$E992,3,FALSE()),"Item type not found"))</f>
        <v/>
      </c>
      <c r="J494" s="53"/>
      <c r="K494" s="53"/>
      <c r="L494" s="53"/>
      <c r="M494" s="53"/>
      <c r="N494" s="53"/>
      <c r="O494" s="52" t="str">
        <f t="shared" si="1"/>
        <v/>
      </c>
      <c r="P494" s="53"/>
      <c r="Q494" s="52" t="str">
        <f t="shared" si="9"/>
        <v/>
      </c>
      <c r="R494" s="52" t="str">
        <f t="shared" si="3"/>
        <v/>
      </c>
      <c r="S494" s="52" t="str">
        <f t="shared" si="10"/>
        <v/>
      </c>
      <c r="T494" s="52" t="str">
        <f t="shared" si="5"/>
        <v/>
      </c>
      <c r="U494" s="52"/>
      <c r="V494" s="53"/>
      <c r="W494" s="52" t="str">
        <f t="shared" si="6"/>
        <v/>
      </c>
      <c r="X494" s="52">
        <f t="shared" si="7"/>
        <v>0</v>
      </c>
      <c r="Y494" s="52">
        <f t="shared" si="8"/>
        <v>0</v>
      </c>
      <c r="Z494" s="52" t="str">
        <f>IF(G494="","",IFERROR(VLOOKUP(G494,'Product_Stock_Master产品维护'!$A$2:$L992,11,FALSE),"No"))</f>
        <v/>
      </c>
      <c r="AA494" s="52" t="str">
        <f>IF(G494="","",IFERROR(VLOOKUP(G494,'Product_Stock_Master产品维护'!$A$2:$L992,12,FALSE),""))</f>
        <v/>
      </c>
      <c r="AB494" s="52" t="str">
        <f t="shared" si="11"/>
        <v/>
      </c>
      <c r="AC494" s="52">
        <f t="shared" si="12"/>
        <v>0</v>
      </c>
    </row>
    <row r="495" ht="15.75" customHeight="1">
      <c r="A495" s="171"/>
      <c r="B495" s="171"/>
      <c r="C495" s="53"/>
      <c r="D495" s="53"/>
      <c r="E495" s="53"/>
      <c r="F495" s="53"/>
      <c r="G495" s="53"/>
      <c r="H495" s="52" t="str">
        <f>IF(G495="","",IFERROR(VLOOKUP(G495,'Product_Stock_Master产品维护'!$A$2:$E992,2,FALSE()),"SKU not found"))</f>
        <v/>
      </c>
      <c r="I495" s="52" t="str">
        <f>IF(G495="","",IFERROR(VLOOKUP(G495,'Product_Stock_Master产品维护'!$A$2:$E992,3,FALSE()),"Item type not found"))</f>
        <v/>
      </c>
      <c r="J495" s="53"/>
      <c r="K495" s="53"/>
      <c r="L495" s="53"/>
      <c r="M495" s="53"/>
      <c r="N495" s="53"/>
      <c r="O495" s="52" t="str">
        <f t="shared" si="1"/>
        <v/>
      </c>
      <c r="P495" s="53"/>
      <c r="Q495" s="52" t="str">
        <f t="shared" si="9"/>
        <v/>
      </c>
      <c r="R495" s="52" t="str">
        <f t="shared" si="3"/>
        <v/>
      </c>
      <c r="S495" s="52" t="str">
        <f t="shared" si="10"/>
        <v/>
      </c>
      <c r="T495" s="52" t="str">
        <f t="shared" si="5"/>
        <v/>
      </c>
      <c r="U495" s="52"/>
      <c r="V495" s="53"/>
      <c r="W495" s="52" t="str">
        <f t="shared" si="6"/>
        <v/>
      </c>
      <c r="X495" s="52">
        <f t="shared" si="7"/>
        <v>0</v>
      </c>
      <c r="Y495" s="52">
        <f t="shared" si="8"/>
        <v>0</v>
      </c>
      <c r="Z495" s="52" t="str">
        <f>IF(G495="","",IFERROR(VLOOKUP(G495,'Product_Stock_Master产品维护'!$A$2:$L992,11,FALSE),"No"))</f>
        <v/>
      </c>
      <c r="AA495" s="52" t="str">
        <f>IF(G495="","",IFERROR(VLOOKUP(G495,'Product_Stock_Master产品维护'!$A$2:$L992,12,FALSE),""))</f>
        <v/>
      </c>
      <c r="AB495" s="52" t="str">
        <f t="shared" si="11"/>
        <v/>
      </c>
      <c r="AC495" s="52">
        <f t="shared" si="12"/>
        <v>0</v>
      </c>
    </row>
    <row r="496" ht="15.75" customHeight="1">
      <c r="A496" s="171"/>
      <c r="B496" s="171"/>
      <c r="C496" s="53"/>
      <c r="D496" s="53"/>
      <c r="E496" s="53"/>
      <c r="F496" s="53"/>
      <c r="G496" s="53"/>
      <c r="H496" s="52" t="str">
        <f>IF(G496="","",IFERROR(VLOOKUP(G496,'Product_Stock_Master产品维护'!$A$2:$E992,2,FALSE()),"SKU not found"))</f>
        <v/>
      </c>
      <c r="I496" s="52" t="str">
        <f>IF(G496="","",IFERROR(VLOOKUP(G496,'Product_Stock_Master产品维护'!$A$2:$E992,3,FALSE()),"Item type not found"))</f>
        <v/>
      </c>
      <c r="J496" s="53"/>
      <c r="K496" s="53"/>
      <c r="L496" s="53"/>
      <c r="M496" s="53"/>
      <c r="N496" s="53"/>
      <c r="O496" s="52" t="str">
        <f t="shared" si="1"/>
        <v/>
      </c>
      <c r="P496" s="53"/>
      <c r="Q496" s="52" t="str">
        <f t="shared" si="9"/>
        <v/>
      </c>
      <c r="R496" s="52" t="str">
        <f t="shared" si="3"/>
        <v/>
      </c>
      <c r="S496" s="52" t="str">
        <f t="shared" si="10"/>
        <v/>
      </c>
      <c r="T496" s="52" t="str">
        <f t="shared" si="5"/>
        <v/>
      </c>
      <c r="U496" s="52"/>
      <c r="V496" s="53"/>
      <c r="W496" s="52" t="str">
        <f t="shared" si="6"/>
        <v/>
      </c>
      <c r="X496" s="52">
        <f t="shared" si="7"/>
        <v>0</v>
      </c>
      <c r="Y496" s="52">
        <f t="shared" si="8"/>
        <v>0</v>
      </c>
      <c r="Z496" s="52" t="str">
        <f>IF(G496="","",IFERROR(VLOOKUP(G496,'Product_Stock_Master产品维护'!$A$2:$L992,11,FALSE),"No"))</f>
        <v/>
      </c>
      <c r="AA496" s="52" t="str">
        <f>IF(G496="","",IFERROR(VLOOKUP(G496,'Product_Stock_Master产品维护'!$A$2:$L992,12,FALSE),""))</f>
        <v/>
      </c>
      <c r="AB496" s="52" t="str">
        <f t="shared" si="11"/>
        <v/>
      </c>
      <c r="AC496" s="52">
        <f t="shared" si="12"/>
        <v>0</v>
      </c>
    </row>
    <row r="497" ht="15.75" customHeight="1">
      <c r="A497" s="171"/>
      <c r="B497" s="171"/>
      <c r="C497" s="53"/>
      <c r="D497" s="53"/>
      <c r="E497" s="53"/>
      <c r="F497" s="53"/>
      <c r="G497" s="53"/>
      <c r="H497" s="52" t="str">
        <f>IF(G497="","",IFERROR(VLOOKUP(G497,'Product_Stock_Master产品维护'!$A$2:$E992,2,FALSE()),"SKU not found"))</f>
        <v/>
      </c>
      <c r="I497" s="52" t="str">
        <f>IF(G497="","",IFERROR(VLOOKUP(G497,'Product_Stock_Master产品维护'!$A$2:$E992,3,FALSE()),"Item type not found"))</f>
        <v/>
      </c>
      <c r="J497" s="53"/>
      <c r="K497" s="53"/>
      <c r="L497" s="53"/>
      <c r="M497" s="53"/>
      <c r="N497" s="53"/>
      <c r="O497" s="52" t="str">
        <f t="shared" si="1"/>
        <v/>
      </c>
      <c r="P497" s="53"/>
      <c r="Q497" s="52" t="str">
        <f t="shared" si="9"/>
        <v/>
      </c>
      <c r="R497" s="52" t="str">
        <f t="shared" si="3"/>
        <v/>
      </c>
      <c r="S497" s="52" t="str">
        <f t="shared" si="10"/>
        <v/>
      </c>
      <c r="T497" s="52" t="str">
        <f t="shared" si="5"/>
        <v/>
      </c>
      <c r="U497" s="52"/>
      <c r="V497" s="53"/>
      <c r="W497" s="52" t="str">
        <f t="shared" si="6"/>
        <v/>
      </c>
      <c r="X497" s="52">
        <f t="shared" si="7"/>
        <v>0</v>
      </c>
      <c r="Y497" s="52">
        <f t="shared" si="8"/>
        <v>0</v>
      </c>
      <c r="Z497" s="52" t="str">
        <f>IF(G497="","",IFERROR(VLOOKUP(G497,'Product_Stock_Master产品维护'!$A$2:$L992,11,FALSE),"No"))</f>
        <v/>
      </c>
      <c r="AA497" s="52" t="str">
        <f>IF(G497="","",IFERROR(VLOOKUP(G497,'Product_Stock_Master产品维护'!$A$2:$L992,12,FALSE),""))</f>
        <v/>
      </c>
      <c r="AB497" s="52" t="str">
        <f t="shared" si="11"/>
        <v/>
      </c>
      <c r="AC497" s="52">
        <f t="shared" si="12"/>
        <v>0</v>
      </c>
    </row>
    <row r="498" ht="15.75" customHeight="1">
      <c r="A498" s="171"/>
      <c r="B498" s="171"/>
      <c r="C498" s="53"/>
      <c r="D498" s="53"/>
      <c r="E498" s="53"/>
      <c r="F498" s="53"/>
      <c r="G498" s="53"/>
      <c r="H498" s="52" t="str">
        <f>IF(G498="","",IFERROR(VLOOKUP(G498,'Product_Stock_Master产品维护'!$A$2:$E992,2,FALSE()),"SKU not found"))</f>
        <v/>
      </c>
      <c r="I498" s="52" t="str">
        <f>IF(G498="","",IFERROR(VLOOKUP(G498,'Product_Stock_Master产品维护'!$A$2:$E992,3,FALSE()),"Item type not found"))</f>
        <v/>
      </c>
      <c r="J498" s="53"/>
      <c r="K498" s="53"/>
      <c r="L498" s="53"/>
      <c r="M498" s="53"/>
      <c r="N498" s="53"/>
      <c r="O498" s="52" t="str">
        <f t="shared" si="1"/>
        <v/>
      </c>
      <c r="P498" s="53"/>
      <c r="Q498" s="52" t="str">
        <f t="shared" si="9"/>
        <v/>
      </c>
      <c r="R498" s="52" t="str">
        <f t="shared" si="3"/>
        <v/>
      </c>
      <c r="S498" s="52" t="str">
        <f t="shared" si="10"/>
        <v/>
      </c>
      <c r="T498" s="52" t="str">
        <f t="shared" si="5"/>
        <v/>
      </c>
      <c r="U498" s="52"/>
      <c r="V498" s="53"/>
      <c r="W498" s="52" t="str">
        <f t="shared" si="6"/>
        <v/>
      </c>
      <c r="X498" s="52">
        <f t="shared" si="7"/>
        <v>0</v>
      </c>
      <c r="Y498" s="52">
        <f t="shared" si="8"/>
        <v>0</v>
      </c>
      <c r="Z498" s="52" t="str">
        <f>IF(G498="","",IFERROR(VLOOKUP(G498,'Product_Stock_Master产品维护'!$A$2:$L992,11,FALSE),"No"))</f>
        <v/>
      </c>
      <c r="AA498" s="52" t="str">
        <f>IF(G498="","",IFERROR(VLOOKUP(G498,'Product_Stock_Master产品维护'!$A$2:$L992,12,FALSE),""))</f>
        <v/>
      </c>
      <c r="AB498" s="52" t="str">
        <f t="shared" si="11"/>
        <v/>
      </c>
      <c r="AC498" s="52">
        <f t="shared" si="12"/>
        <v>0</v>
      </c>
    </row>
    <row r="499" ht="15.75" customHeight="1">
      <c r="A499" s="171"/>
      <c r="B499" s="171"/>
      <c r="C499" s="53"/>
      <c r="D499" s="53"/>
      <c r="E499" s="53"/>
      <c r="F499" s="53"/>
      <c r="G499" s="53"/>
      <c r="H499" s="52" t="str">
        <f>IF(G499="","",IFERROR(VLOOKUP(G499,'Product_Stock_Master产品维护'!$A$2:$E992,2,FALSE()),"SKU not found"))</f>
        <v/>
      </c>
      <c r="I499" s="52" t="str">
        <f>IF(G499="","",IFERROR(VLOOKUP(G499,'Product_Stock_Master产品维护'!$A$2:$E992,3,FALSE()),"Item type not found"))</f>
        <v/>
      </c>
      <c r="J499" s="53"/>
      <c r="K499" s="53"/>
      <c r="L499" s="53"/>
      <c r="M499" s="53"/>
      <c r="N499" s="53"/>
      <c r="O499" s="52" t="str">
        <f t="shared" si="1"/>
        <v/>
      </c>
      <c r="P499" s="53"/>
      <c r="Q499" s="52" t="str">
        <f t="shared" si="9"/>
        <v/>
      </c>
      <c r="R499" s="52" t="str">
        <f t="shared" si="3"/>
        <v/>
      </c>
      <c r="S499" s="52" t="str">
        <f t="shared" si="10"/>
        <v/>
      </c>
      <c r="T499" s="52" t="str">
        <f t="shared" si="5"/>
        <v/>
      </c>
      <c r="U499" s="52"/>
      <c r="V499" s="53"/>
      <c r="W499" s="52" t="str">
        <f t="shared" si="6"/>
        <v/>
      </c>
      <c r="X499" s="52">
        <f t="shared" si="7"/>
        <v>0</v>
      </c>
      <c r="Y499" s="52">
        <f t="shared" si="8"/>
        <v>0</v>
      </c>
      <c r="Z499" s="52" t="str">
        <f>IF(G499="","",IFERROR(VLOOKUP(G499,'Product_Stock_Master产品维护'!$A$2:$L992,11,FALSE),"No"))</f>
        <v/>
      </c>
      <c r="AA499" s="52" t="str">
        <f>IF(G499="","",IFERROR(VLOOKUP(G499,'Product_Stock_Master产品维护'!$A$2:$L992,12,FALSE),""))</f>
        <v/>
      </c>
      <c r="AB499" s="52" t="str">
        <f t="shared" si="11"/>
        <v/>
      </c>
      <c r="AC499" s="52">
        <f t="shared" si="12"/>
        <v>0</v>
      </c>
    </row>
    <row r="500" ht="15.75" customHeight="1">
      <c r="A500" s="171"/>
      <c r="B500" s="171"/>
      <c r="C500" s="53"/>
      <c r="D500" s="53"/>
      <c r="E500" s="53"/>
      <c r="F500" s="53"/>
      <c r="G500" s="53"/>
      <c r="H500" s="52" t="str">
        <f>IF(G500="","",IFERROR(VLOOKUP(G500,'Product_Stock_Master产品维护'!$A$2:$E992,2,FALSE()),"SKU not found"))</f>
        <v/>
      </c>
      <c r="I500" s="52" t="str">
        <f>IF(G500="","",IFERROR(VLOOKUP(G500,'Product_Stock_Master产品维护'!$A$2:$E992,3,FALSE()),"Item type not found"))</f>
        <v/>
      </c>
      <c r="J500" s="53"/>
      <c r="K500" s="53"/>
      <c r="L500" s="53"/>
      <c r="M500" s="53"/>
      <c r="N500" s="53"/>
      <c r="O500" s="52" t="str">
        <f t="shared" si="1"/>
        <v/>
      </c>
      <c r="P500" s="53"/>
      <c r="Q500" s="52" t="str">
        <f t="shared" si="9"/>
        <v/>
      </c>
      <c r="R500" s="52" t="str">
        <f t="shared" si="3"/>
        <v/>
      </c>
      <c r="S500" s="52" t="str">
        <f t="shared" si="10"/>
        <v/>
      </c>
      <c r="T500" s="52" t="str">
        <f t="shared" si="5"/>
        <v/>
      </c>
      <c r="U500" s="52"/>
      <c r="V500" s="53"/>
      <c r="W500" s="52" t="str">
        <f t="shared" si="6"/>
        <v/>
      </c>
      <c r="X500" s="52">
        <f t="shared" si="7"/>
        <v>0</v>
      </c>
      <c r="Y500" s="52">
        <f t="shared" si="8"/>
        <v>0</v>
      </c>
      <c r="Z500" s="52" t="str">
        <f>IF(G500="","",IFERROR(VLOOKUP(G500,'Product_Stock_Master产品维护'!$A$2:$L992,11,FALSE),"No"))</f>
        <v/>
      </c>
      <c r="AA500" s="52" t="str">
        <f>IF(G500="","",IFERROR(VLOOKUP(G500,'Product_Stock_Master产品维护'!$A$2:$L992,12,FALSE),""))</f>
        <v/>
      </c>
      <c r="AB500" s="52" t="str">
        <f t="shared" si="11"/>
        <v/>
      </c>
      <c r="AC500" s="52">
        <f t="shared" si="12"/>
        <v>0</v>
      </c>
    </row>
    <row r="501" ht="15.75" customHeight="1">
      <c r="A501" s="171"/>
      <c r="B501" s="171"/>
      <c r="C501" s="53"/>
      <c r="D501" s="53"/>
      <c r="E501" s="53"/>
      <c r="F501" s="53"/>
      <c r="G501" s="53"/>
      <c r="H501" s="52" t="str">
        <f>IF(G501="","",IFERROR(VLOOKUP(G501,'Product_Stock_Master产品维护'!$A$2:$E992,2,FALSE()),"SKU not found"))</f>
        <v/>
      </c>
      <c r="I501" s="52" t="str">
        <f>IF(G501="","",IFERROR(VLOOKUP(G501,'Product_Stock_Master产品维护'!$A$2:$E992,3,FALSE()),"Item type not found"))</f>
        <v/>
      </c>
      <c r="J501" s="53"/>
      <c r="K501" s="53"/>
      <c r="L501" s="53"/>
      <c r="M501" s="53"/>
      <c r="N501" s="53"/>
      <c r="O501" s="52" t="str">
        <f t="shared" si="1"/>
        <v/>
      </c>
      <c r="P501" s="53"/>
      <c r="Q501" s="52" t="str">
        <f t="shared" si="9"/>
        <v/>
      </c>
      <c r="R501" s="52" t="str">
        <f t="shared" si="3"/>
        <v/>
      </c>
      <c r="S501" s="52" t="str">
        <f t="shared" si="10"/>
        <v/>
      </c>
      <c r="T501" s="52" t="str">
        <f t="shared" si="5"/>
        <v/>
      </c>
      <c r="U501" s="52"/>
      <c r="V501" s="53"/>
      <c r="W501" s="52" t="str">
        <f t="shared" si="6"/>
        <v/>
      </c>
      <c r="X501" s="52">
        <f t="shared" si="7"/>
        <v>0</v>
      </c>
      <c r="Y501" s="52">
        <f t="shared" si="8"/>
        <v>0</v>
      </c>
      <c r="Z501" s="52" t="str">
        <f>IF(G501="","",IFERROR(VLOOKUP(G501,'Product_Stock_Master产品维护'!$A$2:$L992,11,FALSE),"No"))</f>
        <v/>
      </c>
      <c r="AA501" s="52" t="str">
        <f>IF(G501="","",IFERROR(VLOOKUP(G501,'Product_Stock_Master产品维护'!$A$2:$L992,12,FALSE),""))</f>
        <v/>
      </c>
      <c r="AB501" s="52" t="str">
        <f t="shared" si="11"/>
        <v/>
      </c>
      <c r="AC501" s="52">
        <f t="shared" si="12"/>
        <v>0</v>
      </c>
    </row>
    <row r="502" ht="15.75" customHeight="1">
      <c r="A502" s="171"/>
      <c r="B502" s="171"/>
      <c r="C502" s="53"/>
      <c r="D502" s="53"/>
      <c r="E502" s="53"/>
      <c r="F502" s="53"/>
      <c r="G502" s="53"/>
      <c r="H502" s="52" t="str">
        <f>IF(G502="","",IFERROR(VLOOKUP(G502,'Product_Stock_Master产品维护'!$A$2:$E992,2,FALSE()),"SKU not found"))</f>
        <v/>
      </c>
      <c r="I502" s="52" t="str">
        <f>IF(G502="","",IFERROR(VLOOKUP(G502,'Product_Stock_Master产品维护'!$A$2:$E992,3,FALSE()),"Item type not found"))</f>
        <v/>
      </c>
      <c r="J502" s="53"/>
      <c r="K502" s="53"/>
      <c r="L502" s="53"/>
      <c r="M502" s="53"/>
      <c r="N502" s="53"/>
      <c r="O502" s="52" t="str">
        <f t="shared" si="1"/>
        <v/>
      </c>
      <c r="P502" s="53"/>
      <c r="Q502" s="52" t="str">
        <f t="shared" si="9"/>
        <v/>
      </c>
      <c r="R502" s="52" t="str">
        <f t="shared" si="3"/>
        <v/>
      </c>
      <c r="S502" s="52" t="str">
        <f t="shared" si="10"/>
        <v/>
      </c>
      <c r="T502" s="52" t="str">
        <f t="shared" si="5"/>
        <v/>
      </c>
      <c r="U502" s="52"/>
      <c r="V502" s="53"/>
      <c r="W502" s="52" t="str">
        <f t="shared" si="6"/>
        <v/>
      </c>
      <c r="X502" s="52">
        <f t="shared" si="7"/>
        <v>0</v>
      </c>
      <c r="Y502" s="52">
        <f t="shared" si="8"/>
        <v>0</v>
      </c>
      <c r="Z502" s="52" t="str">
        <f>IF(G502="","",IFERROR(VLOOKUP(G502,'Product_Stock_Master产品维护'!$A$2:$L992,11,FALSE),"No"))</f>
        <v/>
      </c>
      <c r="AA502" s="52" t="str">
        <f>IF(G502="","",IFERROR(VLOOKUP(G502,'Product_Stock_Master产品维护'!$A$2:$L992,12,FALSE),""))</f>
        <v/>
      </c>
      <c r="AB502" s="52" t="str">
        <f t="shared" si="11"/>
        <v/>
      </c>
      <c r="AC502" s="52">
        <f t="shared" si="12"/>
        <v>0</v>
      </c>
    </row>
    <row r="503" ht="15.75" customHeight="1">
      <c r="A503" s="171"/>
      <c r="B503" s="171"/>
      <c r="C503" s="53"/>
      <c r="D503" s="53"/>
      <c r="E503" s="53"/>
      <c r="F503" s="53"/>
      <c r="G503" s="53"/>
      <c r="H503" s="52" t="str">
        <f>IF(G503="","",IFERROR(VLOOKUP(G503,'Product_Stock_Master产品维护'!$A$2:$E992,2,FALSE()),"SKU not found"))</f>
        <v/>
      </c>
      <c r="I503" s="52" t="str">
        <f>IF(G503="","",IFERROR(VLOOKUP(G503,'Product_Stock_Master产品维护'!$A$2:$E992,3,FALSE()),"Item type not found"))</f>
        <v/>
      </c>
      <c r="J503" s="53"/>
      <c r="K503" s="53"/>
      <c r="L503" s="53"/>
      <c r="M503" s="53"/>
      <c r="N503" s="53"/>
      <c r="O503" s="52" t="str">
        <f t="shared" si="1"/>
        <v/>
      </c>
      <c r="P503" s="53"/>
      <c r="Q503" s="52" t="str">
        <f t="shared" si="9"/>
        <v/>
      </c>
      <c r="R503" s="52" t="str">
        <f t="shared" si="3"/>
        <v/>
      </c>
      <c r="S503" s="52" t="str">
        <f t="shared" si="10"/>
        <v/>
      </c>
      <c r="T503" s="52" t="str">
        <f t="shared" si="5"/>
        <v/>
      </c>
      <c r="U503" s="52"/>
      <c r="V503" s="53"/>
      <c r="W503" s="52" t="str">
        <f t="shared" si="6"/>
        <v/>
      </c>
      <c r="X503" s="52">
        <f t="shared" si="7"/>
        <v>0</v>
      </c>
      <c r="Y503" s="52">
        <f t="shared" si="8"/>
        <v>0</v>
      </c>
      <c r="Z503" s="52" t="str">
        <f>IF(G503="","",IFERROR(VLOOKUP(G503,'Product_Stock_Master产品维护'!$A$2:$L992,11,FALSE),"No"))</f>
        <v/>
      </c>
      <c r="AA503" s="52" t="str">
        <f>IF(G503="","",IFERROR(VLOOKUP(G503,'Product_Stock_Master产品维护'!$A$2:$L992,12,FALSE),""))</f>
        <v/>
      </c>
      <c r="AB503" s="52" t="str">
        <f t="shared" si="11"/>
        <v/>
      </c>
      <c r="AC503" s="52">
        <f t="shared" si="12"/>
        <v>0</v>
      </c>
    </row>
    <row r="504" ht="15.75" customHeight="1">
      <c r="A504" s="171"/>
      <c r="B504" s="171"/>
      <c r="C504" s="53"/>
      <c r="D504" s="53"/>
      <c r="E504" s="53"/>
      <c r="F504" s="53"/>
      <c r="G504" s="53"/>
      <c r="H504" s="52" t="str">
        <f>IF(G504="","",IFERROR(VLOOKUP(G504,'Product_Stock_Master产品维护'!$A$2:$E992,2,FALSE()),"SKU not found"))</f>
        <v/>
      </c>
      <c r="I504" s="52" t="str">
        <f>IF(G504="","",IFERROR(VLOOKUP(G504,'Product_Stock_Master产品维护'!$A$2:$E992,3,FALSE()),"Item type not found"))</f>
        <v/>
      </c>
      <c r="J504" s="53"/>
      <c r="K504" s="53"/>
      <c r="L504" s="53"/>
      <c r="M504" s="53"/>
      <c r="N504" s="53"/>
      <c r="O504" s="52" t="str">
        <f t="shared" si="1"/>
        <v/>
      </c>
      <c r="P504" s="53"/>
      <c r="Q504" s="52" t="str">
        <f t="shared" si="9"/>
        <v/>
      </c>
      <c r="R504" s="52" t="str">
        <f t="shared" si="3"/>
        <v/>
      </c>
      <c r="S504" s="52" t="str">
        <f t="shared" si="10"/>
        <v/>
      </c>
      <c r="T504" s="52" t="str">
        <f t="shared" si="5"/>
        <v/>
      </c>
      <c r="U504" s="52"/>
      <c r="V504" s="53"/>
      <c r="W504" s="52" t="str">
        <f t="shared" si="6"/>
        <v/>
      </c>
      <c r="X504" s="52">
        <f t="shared" si="7"/>
        <v>0</v>
      </c>
      <c r="Y504" s="52">
        <f t="shared" si="8"/>
        <v>0</v>
      </c>
      <c r="Z504" s="52" t="str">
        <f>IF(G504="","",IFERROR(VLOOKUP(G504,'Product_Stock_Master产品维护'!$A$2:$L992,11,FALSE),"No"))</f>
        <v/>
      </c>
      <c r="AA504" s="52" t="str">
        <f>IF(G504="","",IFERROR(VLOOKUP(G504,'Product_Stock_Master产品维护'!$A$2:$L992,12,FALSE),""))</f>
        <v/>
      </c>
      <c r="AB504" s="52" t="str">
        <f t="shared" si="11"/>
        <v/>
      </c>
      <c r="AC504" s="52">
        <f t="shared" si="12"/>
        <v>0</v>
      </c>
    </row>
    <row r="505" ht="15.75" customHeight="1">
      <c r="A505" s="171"/>
      <c r="B505" s="171"/>
      <c r="C505" s="53"/>
      <c r="D505" s="53"/>
      <c r="E505" s="53"/>
      <c r="F505" s="53"/>
      <c r="G505" s="53"/>
      <c r="H505" s="52" t="str">
        <f>IF(G505="","",IFERROR(VLOOKUP(G505,'Product_Stock_Master产品维护'!$A$2:$E992,2,FALSE()),"SKU not found"))</f>
        <v/>
      </c>
      <c r="I505" s="52" t="str">
        <f>IF(G505="","",IFERROR(VLOOKUP(G505,'Product_Stock_Master产品维护'!$A$2:$E992,3,FALSE()),"Item type not found"))</f>
        <v/>
      </c>
      <c r="J505" s="53"/>
      <c r="K505" s="53"/>
      <c r="L505" s="53"/>
      <c r="M505" s="53"/>
      <c r="N505" s="53"/>
      <c r="O505" s="52" t="str">
        <f t="shared" si="1"/>
        <v/>
      </c>
      <c r="P505" s="53"/>
      <c r="Q505" s="52" t="str">
        <f t="shared" si="9"/>
        <v/>
      </c>
      <c r="R505" s="52" t="str">
        <f t="shared" si="3"/>
        <v/>
      </c>
      <c r="S505" s="52" t="str">
        <f t="shared" si="10"/>
        <v/>
      </c>
      <c r="T505" s="52" t="str">
        <f t="shared" si="5"/>
        <v/>
      </c>
      <c r="U505" s="52"/>
      <c r="V505" s="53"/>
      <c r="W505" s="52" t="str">
        <f t="shared" si="6"/>
        <v/>
      </c>
      <c r="X505" s="52">
        <f t="shared" si="7"/>
        <v>0</v>
      </c>
      <c r="Y505" s="52">
        <f t="shared" si="8"/>
        <v>0</v>
      </c>
      <c r="Z505" s="52" t="str">
        <f>IF(G505="","",IFERROR(VLOOKUP(G505,'Product_Stock_Master产品维护'!$A$2:$L992,11,FALSE),"No"))</f>
        <v/>
      </c>
      <c r="AA505" s="52" t="str">
        <f>IF(G505="","",IFERROR(VLOOKUP(G505,'Product_Stock_Master产品维护'!$A$2:$L992,12,FALSE),""))</f>
        <v/>
      </c>
      <c r="AB505" s="52" t="str">
        <f t="shared" si="11"/>
        <v/>
      </c>
      <c r="AC505" s="52">
        <f t="shared" si="12"/>
        <v>0</v>
      </c>
    </row>
    <row r="506" ht="15.75" customHeight="1">
      <c r="A506" s="171"/>
      <c r="B506" s="171"/>
      <c r="C506" s="53"/>
      <c r="D506" s="53"/>
      <c r="E506" s="53"/>
      <c r="F506" s="53"/>
      <c r="G506" s="53"/>
      <c r="H506" s="52" t="str">
        <f>IF(G506="","",IFERROR(VLOOKUP(G506,'Product_Stock_Master产品维护'!$A$2:$E992,2,FALSE()),"SKU not found"))</f>
        <v/>
      </c>
      <c r="I506" s="52" t="str">
        <f>IF(G506="","",IFERROR(VLOOKUP(G506,'Product_Stock_Master产品维护'!$A$2:$E992,3,FALSE()),"Item type not found"))</f>
        <v/>
      </c>
      <c r="J506" s="53"/>
      <c r="K506" s="53"/>
      <c r="L506" s="53"/>
      <c r="M506" s="53"/>
      <c r="N506" s="53"/>
      <c r="O506" s="52" t="str">
        <f t="shared" si="1"/>
        <v/>
      </c>
      <c r="P506" s="53"/>
      <c r="Q506" s="52" t="str">
        <f t="shared" si="9"/>
        <v/>
      </c>
      <c r="R506" s="52" t="str">
        <f t="shared" si="3"/>
        <v/>
      </c>
      <c r="S506" s="52" t="str">
        <f t="shared" si="10"/>
        <v/>
      </c>
      <c r="T506" s="52" t="str">
        <f t="shared" si="5"/>
        <v/>
      </c>
      <c r="U506" s="52"/>
      <c r="V506" s="53"/>
      <c r="W506" s="52" t="str">
        <f t="shared" si="6"/>
        <v/>
      </c>
      <c r="X506" s="52">
        <f t="shared" si="7"/>
        <v>0</v>
      </c>
      <c r="Y506" s="52">
        <f t="shared" si="8"/>
        <v>0</v>
      </c>
      <c r="Z506" s="52" t="str">
        <f>IF(G506="","",IFERROR(VLOOKUP(G506,'Product_Stock_Master产品维护'!$A$2:$L992,11,FALSE),"No"))</f>
        <v/>
      </c>
      <c r="AA506" s="52" t="str">
        <f>IF(G506="","",IFERROR(VLOOKUP(G506,'Product_Stock_Master产品维护'!$A$2:$L992,12,FALSE),""))</f>
        <v/>
      </c>
      <c r="AB506" s="52" t="str">
        <f t="shared" si="11"/>
        <v/>
      </c>
      <c r="AC506" s="52">
        <f t="shared" si="12"/>
        <v>0</v>
      </c>
    </row>
    <row r="507" ht="15.75" customHeight="1">
      <c r="A507" s="171"/>
      <c r="B507" s="171"/>
      <c r="C507" s="53"/>
      <c r="D507" s="53"/>
      <c r="E507" s="53"/>
      <c r="F507" s="53"/>
      <c r="G507" s="53"/>
      <c r="H507" s="52" t="str">
        <f>IF(G507="","",IFERROR(VLOOKUP(G507,'Product_Stock_Master产品维护'!$A$2:$E992,2,FALSE()),"SKU not found"))</f>
        <v/>
      </c>
      <c r="I507" s="52" t="str">
        <f>IF(G507="","",IFERROR(VLOOKUP(G507,'Product_Stock_Master产品维护'!$A$2:$E992,3,FALSE()),"Item type not found"))</f>
        <v/>
      </c>
      <c r="J507" s="53"/>
      <c r="K507" s="53"/>
      <c r="L507" s="53"/>
      <c r="M507" s="53"/>
      <c r="N507" s="53"/>
      <c r="O507" s="52" t="str">
        <f t="shared" si="1"/>
        <v/>
      </c>
      <c r="P507" s="53"/>
      <c r="Q507" s="52" t="str">
        <f t="shared" si="9"/>
        <v/>
      </c>
      <c r="R507" s="52" t="str">
        <f t="shared" si="3"/>
        <v/>
      </c>
      <c r="S507" s="52" t="str">
        <f t="shared" si="10"/>
        <v/>
      </c>
      <c r="T507" s="52" t="str">
        <f t="shared" si="5"/>
        <v/>
      </c>
      <c r="U507" s="52"/>
      <c r="V507" s="53"/>
      <c r="W507" s="52" t="str">
        <f t="shared" si="6"/>
        <v/>
      </c>
      <c r="X507" s="52">
        <f t="shared" si="7"/>
        <v>0</v>
      </c>
      <c r="Y507" s="52">
        <f t="shared" si="8"/>
        <v>0</v>
      </c>
      <c r="Z507" s="52" t="str">
        <f>IF(G507="","",IFERROR(VLOOKUP(G507,'Product_Stock_Master产品维护'!$A$2:$L992,11,FALSE),"No"))</f>
        <v/>
      </c>
      <c r="AA507" s="52" t="str">
        <f>IF(G507="","",IFERROR(VLOOKUP(G507,'Product_Stock_Master产品维护'!$A$2:$L992,12,FALSE),""))</f>
        <v/>
      </c>
      <c r="AB507" s="52" t="str">
        <f t="shared" si="11"/>
        <v/>
      </c>
      <c r="AC507" s="52">
        <f t="shared" si="12"/>
        <v>0</v>
      </c>
    </row>
    <row r="508" ht="15.75" customHeight="1">
      <c r="A508" s="171"/>
      <c r="B508" s="171"/>
      <c r="C508" s="53"/>
      <c r="D508" s="53"/>
      <c r="E508" s="53"/>
      <c r="F508" s="53"/>
      <c r="G508" s="53"/>
      <c r="H508" s="52" t="str">
        <f>IF(G508="","",IFERROR(VLOOKUP(G508,'Product_Stock_Master产品维护'!$A$2:$E992,2,FALSE()),"SKU not found"))</f>
        <v/>
      </c>
      <c r="I508" s="52" t="str">
        <f>IF(G508="","",IFERROR(VLOOKUP(G508,'Product_Stock_Master产品维护'!$A$2:$E992,3,FALSE()),"Item type not found"))</f>
        <v/>
      </c>
      <c r="J508" s="53"/>
      <c r="K508" s="53"/>
      <c r="L508" s="53"/>
      <c r="M508" s="53"/>
      <c r="N508" s="53"/>
      <c r="O508" s="52" t="str">
        <f t="shared" si="1"/>
        <v/>
      </c>
      <c r="P508" s="53"/>
      <c r="Q508" s="52" t="str">
        <f t="shared" si="9"/>
        <v/>
      </c>
      <c r="R508" s="52" t="str">
        <f t="shared" si="3"/>
        <v/>
      </c>
      <c r="S508" s="52" t="str">
        <f t="shared" si="10"/>
        <v/>
      </c>
      <c r="T508" s="52" t="str">
        <f t="shared" si="5"/>
        <v/>
      </c>
      <c r="U508" s="52"/>
      <c r="V508" s="53"/>
      <c r="W508" s="52" t="str">
        <f t="shared" si="6"/>
        <v/>
      </c>
      <c r="X508" s="52">
        <f t="shared" si="7"/>
        <v>0</v>
      </c>
      <c r="Y508" s="52">
        <f t="shared" si="8"/>
        <v>0</v>
      </c>
      <c r="Z508" s="52" t="str">
        <f>IF(G508="","",IFERROR(VLOOKUP(G508,'Product_Stock_Master产品维护'!$A$2:$L992,11,FALSE),"No"))</f>
        <v/>
      </c>
      <c r="AA508" s="52" t="str">
        <f>IF(G508="","",IFERROR(VLOOKUP(G508,'Product_Stock_Master产品维护'!$A$2:$L992,12,FALSE),""))</f>
        <v/>
      </c>
      <c r="AB508" s="52" t="str">
        <f t="shared" si="11"/>
        <v/>
      </c>
      <c r="AC508" s="52">
        <f t="shared" si="12"/>
        <v>0</v>
      </c>
    </row>
    <row r="509" ht="15.75" customHeight="1">
      <c r="A509" s="171"/>
      <c r="B509" s="171"/>
      <c r="C509" s="53"/>
      <c r="D509" s="53"/>
      <c r="E509" s="53"/>
      <c r="F509" s="53"/>
      <c r="G509" s="53"/>
      <c r="H509" s="52" t="str">
        <f>IF(G509="","",IFERROR(VLOOKUP(G509,'Product_Stock_Master产品维护'!$A$2:$E992,2,FALSE()),"SKU not found"))</f>
        <v/>
      </c>
      <c r="I509" s="52" t="str">
        <f>IF(G509="","",IFERROR(VLOOKUP(G509,'Product_Stock_Master产品维护'!$A$2:$E992,3,FALSE()),"Item type not found"))</f>
        <v/>
      </c>
      <c r="J509" s="53"/>
      <c r="K509" s="53"/>
      <c r="L509" s="53"/>
      <c r="M509" s="53"/>
      <c r="N509" s="53"/>
      <c r="O509" s="52" t="str">
        <f t="shared" si="1"/>
        <v/>
      </c>
      <c r="P509" s="53"/>
      <c r="Q509" s="52" t="str">
        <f t="shared" si="9"/>
        <v/>
      </c>
      <c r="R509" s="52" t="str">
        <f t="shared" si="3"/>
        <v/>
      </c>
      <c r="S509" s="52" t="str">
        <f t="shared" si="10"/>
        <v/>
      </c>
      <c r="T509" s="52" t="str">
        <f t="shared" si="5"/>
        <v/>
      </c>
      <c r="U509" s="52"/>
      <c r="V509" s="53"/>
      <c r="W509" s="52" t="str">
        <f t="shared" si="6"/>
        <v/>
      </c>
      <c r="X509" s="52">
        <f t="shared" si="7"/>
        <v>0</v>
      </c>
      <c r="Y509" s="52">
        <f t="shared" si="8"/>
        <v>0</v>
      </c>
      <c r="Z509" s="52" t="str">
        <f>IF(G509="","",IFERROR(VLOOKUP(G509,'Product_Stock_Master产品维护'!$A$2:$L992,11,FALSE),"No"))</f>
        <v/>
      </c>
      <c r="AA509" s="52" t="str">
        <f>IF(G509="","",IFERROR(VLOOKUP(G509,'Product_Stock_Master产品维护'!$A$2:$L992,12,FALSE),""))</f>
        <v/>
      </c>
      <c r="AB509" s="52" t="str">
        <f t="shared" si="11"/>
        <v/>
      </c>
      <c r="AC509" s="52">
        <f t="shared" si="12"/>
        <v>0</v>
      </c>
    </row>
    <row r="510" ht="15.75" customHeight="1">
      <c r="A510" s="171"/>
      <c r="B510" s="171"/>
      <c r="C510" s="53"/>
      <c r="D510" s="53"/>
      <c r="E510" s="53"/>
      <c r="F510" s="53"/>
      <c r="G510" s="53"/>
      <c r="H510" s="52" t="str">
        <f>IF(G510="","",IFERROR(VLOOKUP(G510,'Product_Stock_Master产品维护'!$A$2:$E992,2,FALSE()),"SKU not found"))</f>
        <v/>
      </c>
      <c r="I510" s="52" t="str">
        <f>IF(G510="","",IFERROR(VLOOKUP(G510,'Product_Stock_Master产品维护'!$A$2:$E992,3,FALSE()),"Item type not found"))</f>
        <v/>
      </c>
      <c r="J510" s="53"/>
      <c r="K510" s="53"/>
      <c r="L510" s="53"/>
      <c r="M510" s="53"/>
      <c r="N510" s="53"/>
      <c r="O510" s="52" t="str">
        <f t="shared" si="1"/>
        <v/>
      </c>
      <c r="P510" s="53"/>
      <c r="Q510" s="52" t="str">
        <f t="shared" si="9"/>
        <v/>
      </c>
      <c r="R510" s="52" t="str">
        <f t="shared" si="3"/>
        <v/>
      </c>
      <c r="S510" s="52" t="str">
        <f t="shared" si="10"/>
        <v/>
      </c>
      <c r="T510" s="52" t="str">
        <f t="shared" si="5"/>
        <v/>
      </c>
      <c r="U510" s="52"/>
      <c r="V510" s="53"/>
      <c r="W510" s="52" t="str">
        <f t="shared" si="6"/>
        <v/>
      </c>
      <c r="X510" s="52">
        <f t="shared" si="7"/>
        <v>0</v>
      </c>
      <c r="Y510" s="52">
        <f t="shared" si="8"/>
        <v>0</v>
      </c>
      <c r="Z510" s="52" t="str">
        <f>IF(G510="","",IFERROR(VLOOKUP(G510,'Product_Stock_Master产品维护'!$A$2:$L992,11,FALSE),"No"))</f>
        <v/>
      </c>
      <c r="AA510" s="52" t="str">
        <f>IF(G510="","",IFERROR(VLOOKUP(G510,'Product_Stock_Master产品维护'!$A$2:$L992,12,FALSE),""))</f>
        <v/>
      </c>
      <c r="AB510" s="52" t="str">
        <f t="shared" si="11"/>
        <v/>
      </c>
      <c r="AC510" s="52">
        <f t="shared" si="12"/>
        <v>0</v>
      </c>
    </row>
    <row r="511" ht="15.75" customHeight="1">
      <c r="A511" s="171"/>
      <c r="B511" s="171"/>
      <c r="C511" s="53"/>
      <c r="D511" s="53"/>
      <c r="E511" s="53"/>
      <c r="F511" s="53"/>
      <c r="G511" s="53"/>
      <c r="H511" s="52" t="str">
        <f>IF(G511="","",IFERROR(VLOOKUP(G511,'Product_Stock_Master产品维护'!$A$2:$E992,2,FALSE()),"SKU not found"))</f>
        <v/>
      </c>
      <c r="I511" s="52" t="str">
        <f>IF(G511="","",IFERROR(VLOOKUP(G511,'Product_Stock_Master产品维护'!$A$2:$E992,3,FALSE()),"Item type not found"))</f>
        <v/>
      </c>
      <c r="J511" s="53"/>
      <c r="K511" s="53"/>
      <c r="L511" s="53"/>
      <c r="M511" s="53"/>
      <c r="N511" s="53"/>
      <c r="O511" s="52" t="str">
        <f t="shared" si="1"/>
        <v/>
      </c>
      <c r="P511" s="53"/>
      <c r="Q511" s="52" t="str">
        <f t="shared" si="9"/>
        <v/>
      </c>
      <c r="R511" s="52" t="str">
        <f t="shared" si="3"/>
        <v/>
      </c>
      <c r="S511" s="52" t="str">
        <f t="shared" si="10"/>
        <v/>
      </c>
      <c r="T511" s="52" t="str">
        <f t="shared" si="5"/>
        <v/>
      </c>
      <c r="U511" s="52"/>
      <c r="V511" s="53"/>
      <c r="W511" s="52" t="str">
        <f t="shared" si="6"/>
        <v/>
      </c>
      <c r="X511" s="52">
        <f t="shared" si="7"/>
        <v>0</v>
      </c>
      <c r="Y511" s="52">
        <f t="shared" si="8"/>
        <v>0</v>
      </c>
      <c r="Z511" s="52" t="str">
        <f>IF(G511="","",IFERROR(VLOOKUP(G511,'Product_Stock_Master产品维护'!$A$2:$L992,11,FALSE),"No"))</f>
        <v/>
      </c>
      <c r="AA511" s="52" t="str">
        <f>IF(G511="","",IFERROR(VLOOKUP(G511,'Product_Stock_Master产品维护'!$A$2:$L992,12,FALSE),""))</f>
        <v/>
      </c>
      <c r="AB511" s="52" t="str">
        <f t="shared" si="11"/>
        <v/>
      </c>
      <c r="AC511" s="52">
        <f t="shared" si="12"/>
        <v>0</v>
      </c>
    </row>
    <row r="512" ht="15.75" customHeight="1">
      <c r="A512" s="171"/>
      <c r="B512" s="171"/>
      <c r="C512" s="53"/>
      <c r="D512" s="53"/>
      <c r="E512" s="53"/>
      <c r="F512" s="53"/>
      <c r="G512" s="53"/>
      <c r="H512" s="52" t="str">
        <f>IF(G512="","",IFERROR(VLOOKUP(G512,'Product_Stock_Master产品维护'!$A$2:$E992,2,FALSE()),"SKU not found"))</f>
        <v/>
      </c>
      <c r="I512" s="52" t="str">
        <f>IF(G512="","",IFERROR(VLOOKUP(G512,'Product_Stock_Master产品维护'!$A$2:$E992,3,FALSE()),"Item type not found"))</f>
        <v/>
      </c>
      <c r="J512" s="53"/>
      <c r="K512" s="53"/>
      <c r="L512" s="53"/>
      <c r="M512" s="53"/>
      <c r="N512" s="53"/>
      <c r="O512" s="52" t="str">
        <f t="shared" si="1"/>
        <v/>
      </c>
      <c r="P512" s="53"/>
      <c r="Q512" s="52" t="str">
        <f t="shared" si="9"/>
        <v/>
      </c>
      <c r="R512" s="52" t="str">
        <f t="shared" si="3"/>
        <v/>
      </c>
      <c r="S512" s="52" t="str">
        <f t="shared" si="10"/>
        <v/>
      </c>
      <c r="T512" s="52" t="str">
        <f t="shared" si="5"/>
        <v/>
      </c>
      <c r="U512" s="52"/>
      <c r="V512" s="53"/>
      <c r="W512" s="52" t="str">
        <f t="shared" si="6"/>
        <v/>
      </c>
      <c r="X512" s="52">
        <f t="shared" si="7"/>
        <v>0</v>
      </c>
      <c r="Y512" s="52">
        <f t="shared" si="8"/>
        <v>0</v>
      </c>
      <c r="Z512" s="52" t="str">
        <f>IF(G512="","",IFERROR(VLOOKUP(G512,'Product_Stock_Master产品维护'!$A$2:$L992,11,FALSE),"No"))</f>
        <v/>
      </c>
      <c r="AA512" s="52" t="str">
        <f>IF(G512="","",IFERROR(VLOOKUP(G512,'Product_Stock_Master产品维护'!$A$2:$L992,12,FALSE),""))</f>
        <v/>
      </c>
      <c r="AB512" s="52" t="str">
        <f t="shared" si="11"/>
        <v/>
      </c>
      <c r="AC512" s="52">
        <f t="shared" si="12"/>
        <v>0</v>
      </c>
    </row>
    <row r="513" ht="15.75" customHeight="1">
      <c r="A513" s="171"/>
      <c r="B513" s="171"/>
      <c r="C513" s="53"/>
      <c r="D513" s="53"/>
      <c r="E513" s="53"/>
      <c r="F513" s="53"/>
      <c r="G513" s="53"/>
      <c r="H513" s="52" t="str">
        <f>IF(G513="","",IFERROR(VLOOKUP(G513,'Product_Stock_Master产品维护'!$A$2:$E992,2,FALSE()),"SKU not found"))</f>
        <v/>
      </c>
      <c r="I513" s="52" t="str">
        <f>IF(G513="","",IFERROR(VLOOKUP(G513,'Product_Stock_Master产品维护'!$A$2:$E992,3,FALSE()),"Item type not found"))</f>
        <v/>
      </c>
      <c r="J513" s="53"/>
      <c r="K513" s="53"/>
      <c r="L513" s="53"/>
      <c r="M513" s="53"/>
      <c r="N513" s="53"/>
      <c r="O513" s="52" t="str">
        <f t="shared" si="1"/>
        <v/>
      </c>
      <c r="P513" s="53"/>
      <c r="Q513" s="52" t="str">
        <f t="shared" si="9"/>
        <v/>
      </c>
      <c r="R513" s="52" t="str">
        <f t="shared" si="3"/>
        <v/>
      </c>
      <c r="S513" s="52" t="str">
        <f t="shared" si="10"/>
        <v/>
      </c>
      <c r="T513" s="52" t="str">
        <f t="shared" si="5"/>
        <v/>
      </c>
      <c r="U513" s="52"/>
      <c r="V513" s="53"/>
      <c r="W513" s="52" t="str">
        <f t="shared" si="6"/>
        <v/>
      </c>
      <c r="X513" s="52">
        <f t="shared" si="7"/>
        <v>0</v>
      </c>
      <c r="Y513" s="52">
        <f t="shared" si="8"/>
        <v>0</v>
      </c>
      <c r="Z513" s="52" t="str">
        <f>IF(G513="","",IFERROR(VLOOKUP(G513,'Product_Stock_Master产品维护'!$A$2:$L992,11,FALSE),"No"))</f>
        <v/>
      </c>
      <c r="AA513" s="52" t="str">
        <f>IF(G513="","",IFERROR(VLOOKUP(G513,'Product_Stock_Master产品维护'!$A$2:$L992,12,FALSE),""))</f>
        <v/>
      </c>
      <c r="AB513" s="52" t="str">
        <f t="shared" si="11"/>
        <v/>
      </c>
      <c r="AC513" s="52">
        <f t="shared" si="12"/>
        <v>0</v>
      </c>
    </row>
    <row r="514" ht="15.75" customHeight="1">
      <c r="A514" s="171"/>
      <c r="B514" s="171"/>
      <c r="C514" s="53"/>
      <c r="D514" s="53"/>
      <c r="E514" s="53"/>
      <c r="F514" s="53"/>
      <c r="G514" s="53"/>
      <c r="H514" s="52" t="str">
        <f>IF(G514="","",IFERROR(VLOOKUP(G514,'Product_Stock_Master产品维护'!$A$2:$E992,2,FALSE()),"SKU not found"))</f>
        <v/>
      </c>
      <c r="I514" s="52" t="str">
        <f>IF(G514="","",IFERROR(VLOOKUP(G514,'Product_Stock_Master产品维护'!$A$2:$E992,3,FALSE()),"Item type not found"))</f>
        <v/>
      </c>
      <c r="J514" s="53"/>
      <c r="K514" s="53"/>
      <c r="L514" s="53"/>
      <c r="M514" s="53"/>
      <c r="N514" s="53"/>
      <c r="O514" s="52" t="str">
        <f t="shared" si="1"/>
        <v/>
      </c>
      <c r="P514" s="53"/>
      <c r="Q514" s="52" t="str">
        <f t="shared" si="9"/>
        <v/>
      </c>
      <c r="R514" s="52" t="str">
        <f t="shared" si="3"/>
        <v/>
      </c>
      <c r="S514" s="52" t="str">
        <f t="shared" si="10"/>
        <v/>
      </c>
      <c r="T514" s="52" t="str">
        <f t="shared" si="5"/>
        <v/>
      </c>
      <c r="U514" s="52"/>
      <c r="V514" s="53"/>
      <c r="W514" s="52" t="str">
        <f t="shared" si="6"/>
        <v/>
      </c>
      <c r="X514" s="52">
        <f t="shared" si="7"/>
        <v>0</v>
      </c>
      <c r="Y514" s="52">
        <f t="shared" si="8"/>
        <v>0</v>
      </c>
      <c r="Z514" s="52" t="str">
        <f>IF(G514="","",IFERROR(VLOOKUP(G514,'Product_Stock_Master产品维护'!$A$2:$L992,11,FALSE),"No"))</f>
        <v/>
      </c>
      <c r="AA514" s="52" t="str">
        <f>IF(G514="","",IFERROR(VLOOKUP(G514,'Product_Stock_Master产品维护'!$A$2:$L992,12,FALSE),""))</f>
        <v/>
      </c>
      <c r="AB514" s="52" t="str">
        <f t="shared" si="11"/>
        <v/>
      </c>
      <c r="AC514" s="52">
        <f t="shared" si="12"/>
        <v>0</v>
      </c>
    </row>
    <row r="515" ht="15.75" customHeight="1">
      <c r="A515" s="171"/>
      <c r="B515" s="171"/>
      <c r="C515" s="53"/>
      <c r="D515" s="53"/>
      <c r="E515" s="53"/>
      <c r="F515" s="53"/>
      <c r="G515" s="53"/>
      <c r="H515" s="52" t="str">
        <f>IF(G515="","",IFERROR(VLOOKUP(G515,'Product_Stock_Master产品维护'!$A$2:$E992,2,FALSE()),"SKU not found"))</f>
        <v/>
      </c>
      <c r="I515" s="52" t="str">
        <f>IF(G515="","",IFERROR(VLOOKUP(G515,'Product_Stock_Master产品维护'!$A$2:$E992,3,FALSE()),"Item type not found"))</f>
        <v/>
      </c>
      <c r="J515" s="53"/>
      <c r="K515" s="53"/>
      <c r="L515" s="53"/>
      <c r="M515" s="53"/>
      <c r="N515" s="53"/>
      <c r="O515" s="52" t="str">
        <f t="shared" si="1"/>
        <v/>
      </c>
      <c r="P515" s="53"/>
      <c r="Q515" s="52" t="str">
        <f t="shared" si="9"/>
        <v/>
      </c>
      <c r="R515" s="52" t="str">
        <f t="shared" si="3"/>
        <v/>
      </c>
      <c r="S515" s="52" t="str">
        <f t="shared" si="10"/>
        <v/>
      </c>
      <c r="T515" s="52" t="str">
        <f t="shared" si="5"/>
        <v/>
      </c>
      <c r="U515" s="52"/>
      <c r="V515" s="53"/>
      <c r="W515" s="52" t="str">
        <f t="shared" si="6"/>
        <v/>
      </c>
      <c r="X515" s="52">
        <f t="shared" si="7"/>
        <v>0</v>
      </c>
      <c r="Y515" s="52">
        <f t="shared" si="8"/>
        <v>0</v>
      </c>
      <c r="Z515" s="52" t="str">
        <f>IF(G515="","",IFERROR(VLOOKUP(G515,'Product_Stock_Master产品维护'!$A$2:$L992,11,FALSE),"No"))</f>
        <v/>
      </c>
      <c r="AA515" s="52" t="str">
        <f>IF(G515="","",IFERROR(VLOOKUP(G515,'Product_Stock_Master产品维护'!$A$2:$L992,12,FALSE),""))</f>
        <v/>
      </c>
      <c r="AB515" s="52" t="str">
        <f t="shared" si="11"/>
        <v/>
      </c>
      <c r="AC515" s="52">
        <f t="shared" si="12"/>
        <v>0</v>
      </c>
    </row>
    <row r="516" ht="15.75" customHeight="1">
      <c r="A516" s="171"/>
      <c r="B516" s="171"/>
      <c r="C516" s="53"/>
      <c r="D516" s="53"/>
      <c r="E516" s="53"/>
      <c r="F516" s="53"/>
      <c r="G516" s="53"/>
      <c r="H516" s="52" t="str">
        <f>IF(G516="","",IFERROR(VLOOKUP(G516,'Product_Stock_Master产品维护'!$A$2:$E992,2,FALSE()),"SKU not found"))</f>
        <v/>
      </c>
      <c r="I516" s="52" t="str">
        <f>IF(G516="","",IFERROR(VLOOKUP(G516,'Product_Stock_Master产品维护'!$A$2:$E992,3,FALSE()),"Item type not found"))</f>
        <v/>
      </c>
      <c r="J516" s="53"/>
      <c r="K516" s="53"/>
      <c r="L516" s="53"/>
      <c r="M516" s="53"/>
      <c r="N516" s="53"/>
      <c r="O516" s="52" t="str">
        <f t="shared" si="1"/>
        <v/>
      </c>
      <c r="P516" s="53"/>
      <c r="Q516" s="52" t="str">
        <f t="shared" si="9"/>
        <v/>
      </c>
      <c r="R516" s="52" t="str">
        <f t="shared" si="3"/>
        <v/>
      </c>
      <c r="S516" s="52" t="str">
        <f t="shared" si="10"/>
        <v/>
      </c>
      <c r="T516" s="52" t="str">
        <f t="shared" si="5"/>
        <v/>
      </c>
      <c r="U516" s="52"/>
      <c r="V516" s="53"/>
      <c r="W516" s="52" t="str">
        <f t="shared" si="6"/>
        <v/>
      </c>
      <c r="X516" s="52">
        <f t="shared" si="7"/>
        <v>0</v>
      </c>
      <c r="Y516" s="52">
        <f t="shared" si="8"/>
        <v>0</v>
      </c>
      <c r="Z516" s="52" t="str">
        <f>IF(G516="","",IFERROR(VLOOKUP(G516,'Product_Stock_Master产品维护'!$A$2:$L992,11,FALSE),"No"))</f>
        <v/>
      </c>
      <c r="AA516" s="52" t="str">
        <f>IF(G516="","",IFERROR(VLOOKUP(G516,'Product_Stock_Master产品维护'!$A$2:$L992,12,FALSE),""))</f>
        <v/>
      </c>
      <c r="AB516" s="52" t="str">
        <f t="shared" si="11"/>
        <v/>
      </c>
      <c r="AC516" s="52">
        <f t="shared" si="12"/>
        <v>0</v>
      </c>
    </row>
    <row r="517" ht="15.75" customHeight="1">
      <c r="A517" s="171"/>
      <c r="B517" s="171"/>
      <c r="C517" s="53"/>
      <c r="D517" s="53"/>
      <c r="E517" s="53"/>
      <c r="F517" s="53"/>
      <c r="G517" s="53"/>
      <c r="H517" s="52" t="str">
        <f>IF(G517="","",IFERROR(VLOOKUP(G517,'Product_Stock_Master产品维护'!$A$2:$E992,2,FALSE()),"SKU not found"))</f>
        <v/>
      </c>
      <c r="I517" s="52" t="str">
        <f>IF(G517="","",IFERROR(VLOOKUP(G517,'Product_Stock_Master产品维护'!$A$2:$E992,3,FALSE()),"Item type not found"))</f>
        <v/>
      </c>
      <c r="J517" s="53"/>
      <c r="K517" s="53"/>
      <c r="L517" s="53"/>
      <c r="M517" s="53"/>
      <c r="N517" s="53"/>
      <c r="O517" s="52" t="str">
        <f t="shared" si="1"/>
        <v/>
      </c>
      <c r="P517" s="53"/>
      <c r="Q517" s="52" t="str">
        <f t="shared" si="9"/>
        <v/>
      </c>
      <c r="R517" s="52" t="str">
        <f t="shared" si="3"/>
        <v/>
      </c>
      <c r="S517" s="52" t="str">
        <f t="shared" si="10"/>
        <v/>
      </c>
      <c r="T517" s="52" t="str">
        <f t="shared" si="5"/>
        <v/>
      </c>
      <c r="U517" s="52"/>
      <c r="V517" s="53"/>
      <c r="W517" s="52" t="str">
        <f t="shared" si="6"/>
        <v/>
      </c>
      <c r="X517" s="52">
        <f t="shared" si="7"/>
        <v>0</v>
      </c>
      <c r="Y517" s="52">
        <f t="shared" si="8"/>
        <v>0</v>
      </c>
      <c r="Z517" s="52" t="str">
        <f>IF(G517="","",IFERROR(VLOOKUP(G517,'Product_Stock_Master产品维护'!$A$2:$L992,11,FALSE),"No"))</f>
        <v/>
      </c>
      <c r="AA517" s="52" t="str">
        <f>IF(G517="","",IFERROR(VLOOKUP(G517,'Product_Stock_Master产品维护'!$A$2:$L992,12,FALSE),""))</f>
        <v/>
      </c>
      <c r="AB517" s="52" t="str">
        <f t="shared" si="11"/>
        <v/>
      </c>
      <c r="AC517" s="52">
        <f t="shared" si="12"/>
        <v>0</v>
      </c>
    </row>
    <row r="518" ht="15.75" customHeight="1">
      <c r="A518" s="171"/>
      <c r="B518" s="171"/>
      <c r="C518" s="53"/>
      <c r="D518" s="53"/>
      <c r="E518" s="53"/>
      <c r="F518" s="53"/>
      <c r="G518" s="53"/>
      <c r="H518" s="52" t="str">
        <f>IF(G518="","",IFERROR(VLOOKUP(G518,'Product_Stock_Master产品维护'!$A$2:$E992,2,FALSE()),"SKU not found"))</f>
        <v/>
      </c>
      <c r="I518" s="52" t="str">
        <f>IF(G518="","",IFERROR(VLOOKUP(G518,'Product_Stock_Master产品维护'!$A$2:$E992,3,FALSE()),"Item type not found"))</f>
        <v/>
      </c>
      <c r="J518" s="53"/>
      <c r="K518" s="53"/>
      <c r="L518" s="53"/>
      <c r="M518" s="53"/>
      <c r="N518" s="53"/>
      <c r="O518" s="52" t="str">
        <f t="shared" si="1"/>
        <v/>
      </c>
      <c r="P518" s="53"/>
      <c r="Q518" s="52" t="str">
        <f t="shared" si="9"/>
        <v/>
      </c>
      <c r="R518" s="52" t="str">
        <f t="shared" si="3"/>
        <v/>
      </c>
      <c r="S518" s="52" t="str">
        <f t="shared" si="10"/>
        <v/>
      </c>
      <c r="T518" s="52" t="str">
        <f t="shared" si="5"/>
        <v/>
      </c>
      <c r="U518" s="52"/>
      <c r="V518" s="53"/>
      <c r="W518" s="52" t="str">
        <f t="shared" si="6"/>
        <v/>
      </c>
      <c r="X518" s="52">
        <f t="shared" si="7"/>
        <v>0</v>
      </c>
      <c r="Y518" s="52">
        <f t="shared" si="8"/>
        <v>0</v>
      </c>
      <c r="Z518" s="52" t="str">
        <f>IF(G518="","",IFERROR(VLOOKUP(G518,'Product_Stock_Master产品维护'!$A$2:$L992,11,FALSE),"No"))</f>
        <v/>
      </c>
      <c r="AA518" s="52" t="str">
        <f>IF(G518="","",IFERROR(VLOOKUP(G518,'Product_Stock_Master产品维护'!$A$2:$L992,12,FALSE),""))</f>
        <v/>
      </c>
      <c r="AB518" s="52" t="str">
        <f t="shared" si="11"/>
        <v/>
      </c>
      <c r="AC518" s="52">
        <f t="shared" si="12"/>
        <v>0</v>
      </c>
    </row>
    <row r="519" ht="15.75" customHeight="1">
      <c r="A519" s="171"/>
      <c r="B519" s="171"/>
      <c r="C519" s="53"/>
      <c r="D519" s="53"/>
      <c r="E519" s="53"/>
      <c r="F519" s="53"/>
      <c r="G519" s="53"/>
      <c r="H519" s="52" t="str">
        <f>IF(G519="","",IFERROR(VLOOKUP(G519,'Product_Stock_Master产品维护'!$A$2:$E992,2,FALSE()),"SKU not found"))</f>
        <v/>
      </c>
      <c r="I519" s="52" t="str">
        <f>IF(G519="","",IFERROR(VLOOKUP(G519,'Product_Stock_Master产品维护'!$A$2:$E992,3,FALSE()),"Item type not found"))</f>
        <v/>
      </c>
      <c r="J519" s="53"/>
      <c r="K519" s="53"/>
      <c r="L519" s="53"/>
      <c r="M519" s="53"/>
      <c r="N519" s="53"/>
      <c r="O519" s="52" t="str">
        <f t="shared" si="1"/>
        <v/>
      </c>
      <c r="P519" s="53"/>
      <c r="Q519" s="52" t="str">
        <f t="shared" si="9"/>
        <v/>
      </c>
      <c r="R519" s="52" t="str">
        <f t="shared" si="3"/>
        <v/>
      </c>
      <c r="S519" s="52" t="str">
        <f t="shared" si="10"/>
        <v/>
      </c>
      <c r="T519" s="52" t="str">
        <f t="shared" si="5"/>
        <v/>
      </c>
      <c r="U519" s="52"/>
      <c r="V519" s="53"/>
      <c r="W519" s="52" t="str">
        <f t="shared" si="6"/>
        <v/>
      </c>
      <c r="X519" s="52">
        <f t="shared" si="7"/>
        <v>0</v>
      </c>
      <c r="Y519" s="52">
        <f t="shared" si="8"/>
        <v>0</v>
      </c>
      <c r="Z519" s="52" t="str">
        <f>IF(G519="","",IFERROR(VLOOKUP(G519,'Product_Stock_Master产品维护'!$A$2:$L992,11,FALSE),"No"))</f>
        <v/>
      </c>
      <c r="AA519" s="52" t="str">
        <f>IF(G519="","",IFERROR(VLOOKUP(G519,'Product_Stock_Master产品维护'!$A$2:$L992,12,FALSE),""))</f>
        <v/>
      </c>
      <c r="AB519" s="52" t="str">
        <f t="shared" si="11"/>
        <v/>
      </c>
      <c r="AC519" s="52">
        <f t="shared" si="12"/>
        <v>0</v>
      </c>
    </row>
    <row r="520" ht="15.75" customHeight="1">
      <c r="A520" s="171"/>
      <c r="B520" s="171"/>
      <c r="C520" s="53"/>
      <c r="D520" s="53"/>
      <c r="E520" s="53"/>
      <c r="F520" s="53"/>
      <c r="G520" s="53"/>
      <c r="H520" s="52" t="str">
        <f>IF(G520="","",IFERROR(VLOOKUP(G520,'Product_Stock_Master产品维护'!$A$2:$E992,2,FALSE()),"SKU not found"))</f>
        <v/>
      </c>
      <c r="I520" s="52" t="str">
        <f>IF(G520="","",IFERROR(VLOOKUP(G520,'Product_Stock_Master产品维护'!$A$2:$E992,3,FALSE()),"Item type not found"))</f>
        <v/>
      </c>
      <c r="J520" s="53"/>
      <c r="K520" s="53"/>
      <c r="L520" s="53"/>
      <c r="M520" s="53"/>
      <c r="N520" s="53"/>
      <c r="O520" s="52" t="str">
        <f t="shared" si="1"/>
        <v/>
      </c>
      <c r="P520" s="53"/>
      <c r="Q520" s="52" t="str">
        <f t="shared" si="9"/>
        <v/>
      </c>
      <c r="R520" s="52" t="str">
        <f t="shared" si="3"/>
        <v/>
      </c>
      <c r="S520" s="52" t="str">
        <f t="shared" si="10"/>
        <v/>
      </c>
      <c r="T520" s="52" t="str">
        <f t="shared" si="5"/>
        <v/>
      </c>
      <c r="U520" s="52"/>
      <c r="V520" s="53"/>
      <c r="W520" s="52" t="str">
        <f t="shared" si="6"/>
        <v/>
      </c>
      <c r="X520" s="52">
        <f t="shared" si="7"/>
        <v>0</v>
      </c>
      <c r="Y520" s="52">
        <f t="shared" si="8"/>
        <v>0</v>
      </c>
      <c r="Z520" s="52" t="str">
        <f>IF(G520="","",IFERROR(VLOOKUP(G520,'Product_Stock_Master产品维护'!$A$2:$L992,11,FALSE),"No"))</f>
        <v/>
      </c>
      <c r="AA520" s="52" t="str">
        <f>IF(G520="","",IFERROR(VLOOKUP(G520,'Product_Stock_Master产品维护'!$A$2:$L992,12,FALSE),""))</f>
        <v/>
      </c>
      <c r="AB520" s="52" t="str">
        <f t="shared" si="11"/>
        <v/>
      </c>
      <c r="AC520" s="52">
        <f t="shared" si="12"/>
        <v>0</v>
      </c>
    </row>
    <row r="521" ht="15.75" customHeight="1">
      <c r="A521" s="171"/>
      <c r="B521" s="171"/>
      <c r="C521" s="53"/>
      <c r="D521" s="53"/>
      <c r="E521" s="53"/>
      <c r="F521" s="53"/>
      <c r="G521" s="53"/>
      <c r="H521" s="52" t="str">
        <f>IF(G521="","",IFERROR(VLOOKUP(G521,'Product_Stock_Master产品维护'!$A$2:$E992,2,FALSE()),"SKU not found"))</f>
        <v/>
      </c>
      <c r="I521" s="52" t="str">
        <f>IF(G521="","",IFERROR(VLOOKUP(G521,'Product_Stock_Master产品维护'!$A$2:$E992,3,FALSE()),"Item type not found"))</f>
        <v/>
      </c>
      <c r="J521" s="53"/>
      <c r="K521" s="53"/>
      <c r="L521" s="53"/>
      <c r="M521" s="53"/>
      <c r="N521" s="53"/>
      <c r="O521" s="52" t="str">
        <f t="shared" si="1"/>
        <v/>
      </c>
      <c r="P521" s="53"/>
      <c r="Q521" s="52" t="str">
        <f t="shared" si="9"/>
        <v/>
      </c>
      <c r="R521" s="52" t="str">
        <f t="shared" si="3"/>
        <v/>
      </c>
      <c r="S521" s="52" t="str">
        <f t="shared" si="10"/>
        <v/>
      </c>
      <c r="T521" s="52" t="str">
        <f t="shared" si="5"/>
        <v/>
      </c>
      <c r="U521" s="52"/>
      <c r="V521" s="53"/>
      <c r="W521" s="52" t="str">
        <f t="shared" si="6"/>
        <v/>
      </c>
      <c r="X521" s="52">
        <f t="shared" si="7"/>
        <v>0</v>
      </c>
      <c r="Y521" s="52">
        <f t="shared" si="8"/>
        <v>0</v>
      </c>
      <c r="Z521" s="52" t="str">
        <f>IF(G521="","",IFERROR(VLOOKUP(G521,'Product_Stock_Master产品维护'!$A$2:$L992,11,FALSE),"No"))</f>
        <v/>
      </c>
      <c r="AA521" s="52" t="str">
        <f>IF(G521="","",IFERROR(VLOOKUP(G521,'Product_Stock_Master产品维护'!$A$2:$L992,12,FALSE),""))</f>
        <v/>
      </c>
      <c r="AB521" s="52" t="str">
        <f t="shared" si="11"/>
        <v/>
      </c>
      <c r="AC521" s="52">
        <f t="shared" si="12"/>
        <v>0</v>
      </c>
    </row>
    <row r="522" ht="15.75" customHeight="1">
      <c r="A522" s="171"/>
      <c r="B522" s="171"/>
      <c r="C522" s="53"/>
      <c r="D522" s="53"/>
      <c r="E522" s="53"/>
      <c r="F522" s="53"/>
      <c r="G522" s="53"/>
      <c r="H522" s="52" t="str">
        <f>IF(G522="","",IFERROR(VLOOKUP(G522,'Product_Stock_Master产品维护'!$A$2:$E992,2,FALSE()),"SKU not found"))</f>
        <v/>
      </c>
      <c r="I522" s="52" t="str">
        <f>IF(G522="","",IFERROR(VLOOKUP(G522,'Product_Stock_Master产品维护'!$A$2:$E992,3,FALSE()),"Item type not found"))</f>
        <v/>
      </c>
      <c r="J522" s="53"/>
      <c r="K522" s="53"/>
      <c r="L522" s="53"/>
      <c r="M522" s="53"/>
      <c r="N522" s="53"/>
      <c r="O522" s="52" t="str">
        <f t="shared" si="1"/>
        <v/>
      </c>
      <c r="P522" s="53"/>
      <c r="Q522" s="52" t="str">
        <f t="shared" si="9"/>
        <v/>
      </c>
      <c r="R522" s="52" t="str">
        <f t="shared" si="3"/>
        <v/>
      </c>
      <c r="S522" s="52" t="str">
        <f t="shared" si="10"/>
        <v/>
      </c>
      <c r="T522" s="52" t="str">
        <f t="shared" si="5"/>
        <v/>
      </c>
      <c r="U522" s="52"/>
      <c r="V522" s="53"/>
      <c r="W522" s="52" t="str">
        <f t="shared" si="6"/>
        <v/>
      </c>
      <c r="X522" s="52">
        <f t="shared" si="7"/>
        <v>0</v>
      </c>
      <c r="Y522" s="52">
        <f t="shared" si="8"/>
        <v>0</v>
      </c>
      <c r="Z522" s="52" t="str">
        <f>IF(G522="","",IFERROR(VLOOKUP(G522,'Product_Stock_Master产品维护'!$A$2:$L992,11,FALSE),"No"))</f>
        <v/>
      </c>
      <c r="AA522" s="52" t="str">
        <f>IF(G522="","",IFERROR(VLOOKUP(G522,'Product_Stock_Master产品维护'!$A$2:$L992,12,FALSE),""))</f>
        <v/>
      </c>
      <c r="AB522" s="52" t="str">
        <f t="shared" si="11"/>
        <v/>
      </c>
      <c r="AC522" s="52">
        <f t="shared" si="12"/>
        <v>0</v>
      </c>
    </row>
    <row r="523" ht="15.75" customHeight="1">
      <c r="A523" s="171"/>
      <c r="B523" s="171"/>
      <c r="C523" s="53"/>
      <c r="D523" s="53"/>
      <c r="E523" s="53"/>
      <c r="F523" s="53"/>
      <c r="G523" s="53"/>
      <c r="H523" s="52" t="str">
        <f>IF(G523="","",IFERROR(VLOOKUP(G523,'Product_Stock_Master产品维护'!$A$2:$E992,2,FALSE()),"SKU not found"))</f>
        <v/>
      </c>
      <c r="I523" s="52" t="str">
        <f>IF(G523="","",IFERROR(VLOOKUP(G523,'Product_Stock_Master产品维护'!$A$2:$E992,3,FALSE()),"Item type not found"))</f>
        <v/>
      </c>
      <c r="J523" s="53"/>
      <c r="K523" s="53"/>
      <c r="L523" s="53"/>
      <c r="M523" s="53"/>
      <c r="N523" s="53"/>
      <c r="O523" s="52" t="str">
        <f t="shared" si="1"/>
        <v/>
      </c>
      <c r="P523" s="53"/>
      <c r="Q523" s="52" t="str">
        <f t="shared" si="9"/>
        <v/>
      </c>
      <c r="R523" s="52" t="str">
        <f t="shared" si="3"/>
        <v/>
      </c>
      <c r="S523" s="52" t="str">
        <f t="shared" si="10"/>
        <v/>
      </c>
      <c r="T523" s="52" t="str">
        <f t="shared" si="5"/>
        <v/>
      </c>
      <c r="U523" s="52"/>
      <c r="V523" s="53"/>
      <c r="W523" s="52" t="str">
        <f t="shared" si="6"/>
        <v/>
      </c>
      <c r="X523" s="52">
        <f t="shared" si="7"/>
        <v>0</v>
      </c>
      <c r="Y523" s="52">
        <f t="shared" si="8"/>
        <v>0</v>
      </c>
      <c r="Z523" s="52" t="str">
        <f>IF(G523="","",IFERROR(VLOOKUP(G523,'Product_Stock_Master产品维护'!$A$2:$L992,11,FALSE),"No"))</f>
        <v/>
      </c>
      <c r="AA523" s="52" t="str">
        <f>IF(G523="","",IFERROR(VLOOKUP(G523,'Product_Stock_Master产品维护'!$A$2:$L992,12,FALSE),""))</f>
        <v/>
      </c>
      <c r="AB523" s="52" t="str">
        <f t="shared" si="11"/>
        <v/>
      </c>
      <c r="AC523" s="52">
        <f t="shared" si="12"/>
        <v>0</v>
      </c>
    </row>
    <row r="524" ht="15.75" customHeight="1">
      <c r="A524" s="171"/>
      <c r="B524" s="171"/>
      <c r="C524" s="53"/>
      <c r="D524" s="53"/>
      <c r="E524" s="53"/>
      <c r="F524" s="53"/>
      <c r="G524" s="53"/>
      <c r="H524" s="52" t="str">
        <f>IF(G524="","",IFERROR(VLOOKUP(G524,'Product_Stock_Master产品维护'!$A$2:$E992,2,FALSE()),"SKU not found"))</f>
        <v/>
      </c>
      <c r="I524" s="52" t="str">
        <f>IF(G524="","",IFERROR(VLOOKUP(G524,'Product_Stock_Master产品维护'!$A$2:$E992,3,FALSE()),"Item type not found"))</f>
        <v/>
      </c>
      <c r="J524" s="53"/>
      <c r="K524" s="53"/>
      <c r="L524" s="53"/>
      <c r="M524" s="53"/>
      <c r="N524" s="53"/>
      <c r="O524" s="52" t="str">
        <f t="shared" si="1"/>
        <v/>
      </c>
      <c r="P524" s="53"/>
      <c r="Q524" s="52" t="str">
        <f t="shared" si="9"/>
        <v/>
      </c>
      <c r="R524" s="52" t="str">
        <f t="shared" si="3"/>
        <v/>
      </c>
      <c r="S524" s="52" t="str">
        <f t="shared" si="10"/>
        <v/>
      </c>
      <c r="T524" s="52" t="str">
        <f t="shared" si="5"/>
        <v/>
      </c>
      <c r="U524" s="52"/>
      <c r="V524" s="53"/>
      <c r="W524" s="52" t="str">
        <f t="shared" si="6"/>
        <v/>
      </c>
      <c r="X524" s="52">
        <f t="shared" si="7"/>
        <v>0</v>
      </c>
      <c r="Y524" s="52">
        <f t="shared" si="8"/>
        <v>0</v>
      </c>
      <c r="Z524" s="52" t="str">
        <f>IF(G524="","",IFERROR(VLOOKUP(G524,'Product_Stock_Master产品维护'!$A$2:$L992,11,FALSE),"No"))</f>
        <v/>
      </c>
      <c r="AA524" s="52" t="str">
        <f>IF(G524="","",IFERROR(VLOOKUP(G524,'Product_Stock_Master产品维护'!$A$2:$L992,12,FALSE),""))</f>
        <v/>
      </c>
      <c r="AB524" s="52" t="str">
        <f t="shared" si="11"/>
        <v/>
      </c>
      <c r="AC524" s="52">
        <f t="shared" si="12"/>
        <v>0</v>
      </c>
    </row>
    <row r="525" ht="15.75" customHeight="1">
      <c r="A525" s="171"/>
      <c r="B525" s="171"/>
      <c r="C525" s="53"/>
      <c r="D525" s="53"/>
      <c r="E525" s="53"/>
      <c r="F525" s="53"/>
      <c r="G525" s="53"/>
      <c r="H525" s="52" t="str">
        <f>IF(G525="","",IFERROR(VLOOKUP(G525,'Product_Stock_Master产品维护'!$A$2:$E992,2,FALSE()),"SKU not found"))</f>
        <v/>
      </c>
      <c r="I525" s="52" t="str">
        <f>IF(G525="","",IFERROR(VLOOKUP(G525,'Product_Stock_Master产品维护'!$A$2:$E992,3,FALSE()),"Item type not found"))</f>
        <v/>
      </c>
      <c r="J525" s="53"/>
      <c r="K525" s="53"/>
      <c r="L525" s="53"/>
      <c r="M525" s="53"/>
      <c r="N525" s="53"/>
      <c r="O525" s="52" t="str">
        <f t="shared" si="1"/>
        <v/>
      </c>
      <c r="P525" s="53"/>
      <c r="Q525" s="52" t="str">
        <f t="shared" si="9"/>
        <v/>
      </c>
      <c r="R525" s="52" t="str">
        <f t="shared" si="3"/>
        <v/>
      </c>
      <c r="S525" s="52" t="str">
        <f t="shared" si="10"/>
        <v/>
      </c>
      <c r="T525" s="52" t="str">
        <f t="shared" si="5"/>
        <v/>
      </c>
      <c r="U525" s="52"/>
      <c r="V525" s="53"/>
      <c r="W525" s="52" t="str">
        <f t="shared" si="6"/>
        <v/>
      </c>
      <c r="X525" s="52">
        <f t="shared" si="7"/>
        <v>0</v>
      </c>
      <c r="Y525" s="52">
        <f t="shared" si="8"/>
        <v>0</v>
      </c>
      <c r="Z525" s="52" t="str">
        <f>IF(G525="","",IFERROR(VLOOKUP(G525,'Product_Stock_Master产品维护'!$A$2:$L992,11,FALSE),"No"))</f>
        <v/>
      </c>
      <c r="AA525" s="52" t="str">
        <f>IF(G525="","",IFERROR(VLOOKUP(G525,'Product_Stock_Master产品维护'!$A$2:$L992,12,FALSE),""))</f>
        <v/>
      </c>
      <c r="AB525" s="52" t="str">
        <f t="shared" si="11"/>
        <v/>
      </c>
      <c r="AC525" s="52">
        <f t="shared" si="12"/>
        <v>0</v>
      </c>
    </row>
    <row r="526" ht="15.75" customHeight="1">
      <c r="A526" s="171"/>
      <c r="B526" s="171"/>
      <c r="C526" s="53"/>
      <c r="D526" s="53"/>
      <c r="E526" s="53"/>
      <c r="F526" s="53"/>
      <c r="G526" s="53"/>
      <c r="H526" s="52" t="str">
        <f>IF(G526="","",IFERROR(VLOOKUP(G526,'Product_Stock_Master产品维护'!$A$2:$E992,2,FALSE()),"SKU not found"))</f>
        <v/>
      </c>
      <c r="I526" s="52" t="str">
        <f>IF(G526="","",IFERROR(VLOOKUP(G526,'Product_Stock_Master产品维护'!$A$2:$E992,3,FALSE()),"Item type not found"))</f>
        <v/>
      </c>
      <c r="J526" s="53"/>
      <c r="K526" s="53"/>
      <c r="L526" s="53"/>
      <c r="M526" s="53"/>
      <c r="N526" s="53"/>
      <c r="O526" s="52" t="str">
        <f t="shared" si="1"/>
        <v/>
      </c>
      <c r="P526" s="53"/>
      <c r="Q526" s="52" t="str">
        <f t="shared" si="9"/>
        <v/>
      </c>
      <c r="R526" s="52" t="str">
        <f t="shared" si="3"/>
        <v/>
      </c>
      <c r="S526" s="52" t="str">
        <f t="shared" si="10"/>
        <v/>
      </c>
      <c r="T526" s="52" t="str">
        <f t="shared" si="5"/>
        <v/>
      </c>
      <c r="U526" s="52"/>
      <c r="V526" s="53"/>
      <c r="W526" s="52" t="str">
        <f t="shared" si="6"/>
        <v/>
      </c>
      <c r="X526" s="52">
        <f t="shared" si="7"/>
        <v>0</v>
      </c>
      <c r="Y526" s="52">
        <f t="shared" si="8"/>
        <v>0</v>
      </c>
      <c r="Z526" s="52" t="str">
        <f>IF(G526="","",IFERROR(VLOOKUP(G526,'Product_Stock_Master产品维护'!$A$2:$L992,11,FALSE),"No"))</f>
        <v/>
      </c>
      <c r="AA526" s="52" t="str">
        <f>IF(G526="","",IFERROR(VLOOKUP(G526,'Product_Stock_Master产品维护'!$A$2:$L992,12,FALSE),""))</f>
        <v/>
      </c>
      <c r="AB526" s="52" t="str">
        <f t="shared" si="11"/>
        <v/>
      </c>
      <c r="AC526" s="52">
        <f t="shared" si="12"/>
        <v>0</v>
      </c>
    </row>
    <row r="527" ht="15.75" customHeight="1">
      <c r="A527" s="171"/>
      <c r="B527" s="171"/>
      <c r="C527" s="53"/>
      <c r="D527" s="53"/>
      <c r="E527" s="53"/>
      <c r="F527" s="53"/>
      <c r="G527" s="53"/>
      <c r="H527" s="52" t="str">
        <f>IF(G527="","",IFERROR(VLOOKUP(G527,'Product_Stock_Master产品维护'!$A$2:$E992,2,FALSE()),"SKU not found"))</f>
        <v/>
      </c>
      <c r="I527" s="52" t="str">
        <f>IF(G527="","",IFERROR(VLOOKUP(G527,'Product_Stock_Master产品维护'!$A$2:$E992,3,FALSE()),"Item type not found"))</f>
        <v/>
      </c>
      <c r="J527" s="53"/>
      <c r="K527" s="53"/>
      <c r="L527" s="53"/>
      <c r="M527" s="53"/>
      <c r="N527" s="53"/>
      <c r="O527" s="52" t="str">
        <f t="shared" si="1"/>
        <v/>
      </c>
      <c r="P527" s="53"/>
      <c r="Q527" s="52" t="str">
        <f t="shared" si="9"/>
        <v/>
      </c>
      <c r="R527" s="52" t="str">
        <f t="shared" si="3"/>
        <v/>
      </c>
      <c r="S527" s="52" t="str">
        <f t="shared" si="10"/>
        <v/>
      </c>
      <c r="T527" s="52" t="str">
        <f t="shared" si="5"/>
        <v/>
      </c>
      <c r="U527" s="52"/>
      <c r="V527" s="53"/>
      <c r="W527" s="52" t="str">
        <f t="shared" si="6"/>
        <v/>
      </c>
      <c r="X527" s="52">
        <f t="shared" si="7"/>
        <v>0</v>
      </c>
      <c r="Y527" s="52">
        <f t="shared" si="8"/>
        <v>0</v>
      </c>
      <c r="Z527" s="52" t="str">
        <f>IF(G527="","",IFERROR(VLOOKUP(G527,'Product_Stock_Master产品维护'!$A$2:$L992,11,FALSE),"No"))</f>
        <v/>
      </c>
      <c r="AA527" s="52" t="str">
        <f>IF(G527="","",IFERROR(VLOOKUP(G527,'Product_Stock_Master产品维护'!$A$2:$L992,12,FALSE),""))</f>
        <v/>
      </c>
      <c r="AB527" s="52" t="str">
        <f t="shared" si="11"/>
        <v/>
      </c>
      <c r="AC527" s="52">
        <f t="shared" si="12"/>
        <v>0</v>
      </c>
    </row>
    <row r="528" ht="15.75" customHeight="1">
      <c r="A528" s="171"/>
      <c r="B528" s="171"/>
      <c r="C528" s="53"/>
      <c r="D528" s="53"/>
      <c r="E528" s="53"/>
      <c r="F528" s="53"/>
      <c r="G528" s="53"/>
      <c r="H528" s="52" t="str">
        <f>IF(G528="","",IFERROR(VLOOKUP(G528,'Product_Stock_Master产品维护'!$A$2:$E992,2,FALSE()),"SKU not found"))</f>
        <v/>
      </c>
      <c r="I528" s="52" t="str">
        <f>IF(G528="","",IFERROR(VLOOKUP(G528,'Product_Stock_Master产品维护'!$A$2:$E992,3,FALSE()),"Item type not found"))</f>
        <v/>
      </c>
      <c r="J528" s="53"/>
      <c r="K528" s="53"/>
      <c r="L528" s="53"/>
      <c r="M528" s="53"/>
      <c r="N528" s="53"/>
      <c r="O528" s="52" t="str">
        <f t="shared" si="1"/>
        <v/>
      </c>
      <c r="P528" s="53"/>
      <c r="Q528" s="52" t="str">
        <f t="shared" si="9"/>
        <v/>
      </c>
      <c r="R528" s="52" t="str">
        <f t="shared" si="3"/>
        <v/>
      </c>
      <c r="S528" s="52" t="str">
        <f t="shared" si="10"/>
        <v/>
      </c>
      <c r="T528" s="52" t="str">
        <f t="shared" si="5"/>
        <v/>
      </c>
      <c r="U528" s="52"/>
      <c r="V528" s="53"/>
      <c r="W528" s="52" t="str">
        <f t="shared" si="6"/>
        <v/>
      </c>
      <c r="X528" s="52">
        <f t="shared" si="7"/>
        <v>0</v>
      </c>
      <c r="Y528" s="52">
        <f t="shared" si="8"/>
        <v>0</v>
      </c>
      <c r="Z528" s="52" t="str">
        <f>IF(G528="","",IFERROR(VLOOKUP(G528,'Product_Stock_Master产品维护'!$A$2:$L992,11,FALSE),"No"))</f>
        <v/>
      </c>
      <c r="AA528" s="52" t="str">
        <f>IF(G528="","",IFERROR(VLOOKUP(G528,'Product_Stock_Master产品维护'!$A$2:$L992,12,FALSE),""))</f>
        <v/>
      </c>
      <c r="AB528" s="52" t="str">
        <f t="shared" si="11"/>
        <v/>
      </c>
      <c r="AC528" s="52">
        <f t="shared" si="12"/>
        <v>0</v>
      </c>
    </row>
    <row r="529" ht="15.75" customHeight="1">
      <c r="A529" s="171"/>
      <c r="B529" s="171"/>
      <c r="C529" s="53"/>
      <c r="D529" s="53"/>
      <c r="E529" s="53"/>
      <c r="F529" s="53"/>
      <c r="G529" s="53"/>
      <c r="H529" s="52" t="str">
        <f>IF(G529="","",IFERROR(VLOOKUP(G529,'Product_Stock_Master产品维护'!$A$2:$E992,2,FALSE()),"SKU not found"))</f>
        <v/>
      </c>
      <c r="I529" s="52" t="str">
        <f>IF(G529="","",IFERROR(VLOOKUP(G529,'Product_Stock_Master产品维护'!$A$2:$E992,3,FALSE()),"Item type not found"))</f>
        <v/>
      </c>
      <c r="J529" s="53"/>
      <c r="K529" s="53"/>
      <c r="L529" s="53"/>
      <c r="M529" s="53"/>
      <c r="N529" s="53"/>
      <c r="O529" s="52" t="str">
        <f t="shared" si="1"/>
        <v/>
      </c>
      <c r="P529" s="53"/>
      <c r="Q529" s="52" t="str">
        <f t="shared" si="9"/>
        <v/>
      </c>
      <c r="R529" s="52" t="str">
        <f t="shared" si="3"/>
        <v/>
      </c>
      <c r="S529" s="52" t="str">
        <f t="shared" si="10"/>
        <v/>
      </c>
      <c r="T529" s="52" t="str">
        <f t="shared" si="5"/>
        <v/>
      </c>
      <c r="U529" s="52"/>
      <c r="V529" s="53"/>
      <c r="W529" s="52" t="str">
        <f t="shared" si="6"/>
        <v/>
      </c>
      <c r="X529" s="52">
        <f t="shared" si="7"/>
        <v>0</v>
      </c>
      <c r="Y529" s="52">
        <f t="shared" si="8"/>
        <v>0</v>
      </c>
      <c r="Z529" s="52" t="str">
        <f>IF(G529="","",IFERROR(VLOOKUP(G529,'Product_Stock_Master产品维护'!$A$2:$L992,11,FALSE),"No"))</f>
        <v/>
      </c>
      <c r="AA529" s="52" t="str">
        <f>IF(G529="","",IFERROR(VLOOKUP(G529,'Product_Stock_Master产品维护'!$A$2:$L992,12,FALSE),""))</f>
        <v/>
      </c>
      <c r="AB529" s="52" t="str">
        <f t="shared" si="11"/>
        <v/>
      </c>
      <c r="AC529" s="52">
        <f t="shared" si="12"/>
        <v>0</v>
      </c>
    </row>
    <row r="530" ht="15.75" customHeight="1">
      <c r="A530" s="171"/>
      <c r="B530" s="171"/>
      <c r="C530" s="53"/>
      <c r="D530" s="53"/>
      <c r="E530" s="53"/>
      <c r="F530" s="53"/>
      <c r="G530" s="53"/>
      <c r="H530" s="52" t="str">
        <f>IF(G530="","",IFERROR(VLOOKUP(G530,'Product_Stock_Master产品维护'!$A$2:$E992,2,FALSE()),"SKU not found"))</f>
        <v/>
      </c>
      <c r="I530" s="52" t="str">
        <f>IF(G530="","",IFERROR(VLOOKUP(G530,'Product_Stock_Master产品维护'!$A$2:$E992,3,FALSE()),"Item type not found"))</f>
        <v/>
      </c>
      <c r="J530" s="53"/>
      <c r="K530" s="53"/>
      <c r="L530" s="53"/>
      <c r="M530" s="53"/>
      <c r="N530" s="53"/>
      <c r="O530" s="52" t="str">
        <f t="shared" si="1"/>
        <v/>
      </c>
      <c r="P530" s="53"/>
      <c r="Q530" s="52" t="str">
        <f t="shared" si="9"/>
        <v/>
      </c>
      <c r="R530" s="52" t="str">
        <f t="shared" si="3"/>
        <v/>
      </c>
      <c r="S530" s="52" t="str">
        <f t="shared" si="10"/>
        <v/>
      </c>
      <c r="T530" s="52" t="str">
        <f t="shared" si="5"/>
        <v/>
      </c>
      <c r="U530" s="52"/>
      <c r="V530" s="53"/>
      <c r="W530" s="52" t="str">
        <f t="shared" si="6"/>
        <v/>
      </c>
      <c r="X530" s="52">
        <f t="shared" si="7"/>
        <v>0</v>
      </c>
      <c r="Y530" s="52">
        <f t="shared" si="8"/>
        <v>0</v>
      </c>
      <c r="Z530" s="52" t="str">
        <f>IF(G530="","",IFERROR(VLOOKUP(G530,'Product_Stock_Master产品维护'!$A$2:$L992,11,FALSE),"No"))</f>
        <v/>
      </c>
      <c r="AA530" s="52" t="str">
        <f>IF(G530="","",IFERROR(VLOOKUP(G530,'Product_Stock_Master产品维护'!$A$2:$L992,12,FALSE),""))</f>
        <v/>
      </c>
      <c r="AB530" s="52" t="str">
        <f t="shared" si="11"/>
        <v/>
      </c>
      <c r="AC530" s="52">
        <f t="shared" si="12"/>
        <v>0</v>
      </c>
    </row>
    <row r="531" ht="15.75" customHeight="1">
      <c r="A531" s="171"/>
      <c r="B531" s="171"/>
      <c r="C531" s="53"/>
      <c r="D531" s="53"/>
      <c r="E531" s="53"/>
      <c r="F531" s="53"/>
      <c r="G531" s="53"/>
      <c r="H531" s="52" t="str">
        <f>IF(G531="","",IFERROR(VLOOKUP(G531,'Product_Stock_Master产品维护'!$A$2:$E992,2,FALSE()),"SKU not found"))</f>
        <v/>
      </c>
      <c r="I531" s="52" t="str">
        <f>IF(G531="","",IFERROR(VLOOKUP(G531,'Product_Stock_Master产品维护'!$A$2:$E992,3,FALSE()),"Item type not found"))</f>
        <v/>
      </c>
      <c r="J531" s="53"/>
      <c r="K531" s="53"/>
      <c r="L531" s="53"/>
      <c r="M531" s="53"/>
      <c r="N531" s="53"/>
      <c r="O531" s="52" t="str">
        <f t="shared" si="1"/>
        <v/>
      </c>
      <c r="P531" s="53"/>
      <c r="Q531" s="52" t="str">
        <f t="shared" si="9"/>
        <v/>
      </c>
      <c r="R531" s="52" t="str">
        <f t="shared" si="3"/>
        <v/>
      </c>
      <c r="S531" s="52" t="str">
        <f t="shared" si="10"/>
        <v/>
      </c>
      <c r="T531" s="52" t="str">
        <f t="shared" si="5"/>
        <v/>
      </c>
      <c r="U531" s="52"/>
      <c r="V531" s="53"/>
      <c r="W531" s="52" t="str">
        <f t="shared" si="6"/>
        <v/>
      </c>
      <c r="X531" s="52">
        <f t="shared" si="7"/>
        <v>0</v>
      </c>
      <c r="Y531" s="52">
        <f t="shared" si="8"/>
        <v>0</v>
      </c>
      <c r="Z531" s="52" t="str">
        <f>IF(G531="","",IFERROR(VLOOKUP(G531,'Product_Stock_Master产品维护'!$A$2:$L992,11,FALSE),"No"))</f>
        <v/>
      </c>
      <c r="AA531" s="52" t="str">
        <f>IF(G531="","",IFERROR(VLOOKUP(G531,'Product_Stock_Master产品维护'!$A$2:$L992,12,FALSE),""))</f>
        <v/>
      </c>
      <c r="AB531" s="52" t="str">
        <f t="shared" si="11"/>
        <v/>
      </c>
      <c r="AC531" s="52">
        <f t="shared" si="12"/>
        <v>0</v>
      </c>
    </row>
    <row r="532" ht="15.75" customHeight="1">
      <c r="A532" s="171"/>
      <c r="B532" s="171"/>
      <c r="C532" s="53"/>
      <c r="D532" s="53"/>
      <c r="E532" s="53"/>
      <c r="F532" s="53"/>
      <c r="G532" s="53"/>
      <c r="H532" s="52" t="str">
        <f>IF(G532="","",IFERROR(VLOOKUP(G532,'Product_Stock_Master产品维护'!$A$2:$E992,2,FALSE()),"SKU not found"))</f>
        <v/>
      </c>
      <c r="I532" s="52" t="str">
        <f>IF(G532="","",IFERROR(VLOOKUP(G532,'Product_Stock_Master产品维护'!$A$2:$E992,3,FALSE()),"Item type not found"))</f>
        <v/>
      </c>
      <c r="J532" s="53"/>
      <c r="K532" s="53"/>
      <c r="L532" s="53"/>
      <c r="M532" s="53"/>
      <c r="N532" s="53"/>
      <c r="O532" s="52" t="str">
        <f t="shared" si="1"/>
        <v/>
      </c>
      <c r="P532" s="53"/>
      <c r="Q532" s="52" t="str">
        <f t="shared" si="9"/>
        <v/>
      </c>
      <c r="R532" s="52" t="str">
        <f t="shared" si="3"/>
        <v/>
      </c>
      <c r="S532" s="52" t="str">
        <f t="shared" si="10"/>
        <v/>
      </c>
      <c r="T532" s="52" t="str">
        <f t="shared" si="5"/>
        <v/>
      </c>
      <c r="U532" s="52"/>
      <c r="V532" s="53"/>
      <c r="W532" s="52" t="str">
        <f t="shared" si="6"/>
        <v/>
      </c>
      <c r="X532" s="52">
        <f t="shared" si="7"/>
        <v>0</v>
      </c>
      <c r="Y532" s="52">
        <f t="shared" si="8"/>
        <v>0</v>
      </c>
      <c r="Z532" s="52" t="str">
        <f>IF(G532="","",IFERROR(VLOOKUP(G532,'Product_Stock_Master产品维护'!$A$2:$L992,11,FALSE),"No"))</f>
        <v/>
      </c>
      <c r="AA532" s="52" t="str">
        <f>IF(G532="","",IFERROR(VLOOKUP(G532,'Product_Stock_Master产品维护'!$A$2:$L992,12,FALSE),""))</f>
        <v/>
      </c>
      <c r="AB532" s="52" t="str">
        <f t="shared" si="11"/>
        <v/>
      </c>
      <c r="AC532" s="52">
        <f t="shared" si="12"/>
        <v>0</v>
      </c>
    </row>
    <row r="533" ht="15.75" customHeight="1">
      <c r="A533" s="171"/>
      <c r="B533" s="171"/>
      <c r="C533" s="53"/>
      <c r="D533" s="53"/>
      <c r="E533" s="53"/>
      <c r="F533" s="53"/>
      <c r="G533" s="53"/>
      <c r="H533" s="52" t="str">
        <f>IF(G533="","",IFERROR(VLOOKUP(G533,'Product_Stock_Master产品维护'!$A$2:$E992,2,FALSE()),"SKU not found"))</f>
        <v/>
      </c>
      <c r="I533" s="52" t="str">
        <f>IF(G533="","",IFERROR(VLOOKUP(G533,'Product_Stock_Master产品维护'!$A$2:$E992,3,FALSE()),"Item type not found"))</f>
        <v/>
      </c>
      <c r="J533" s="53"/>
      <c r="K533" s="53"/>
      <c r="L533" s="53"/>
      <c r="M533" s="53"/>
      <c r="N533" s="53"/>
      <c r="O533" s="52" t="str">
        <f t="shared" si="1"/>
        <v/>
      </c>
      <c r="P533" s="53"/>
      <c r="Q533" s="52" t="str">
        <f t="shared" si="9"/>
        <v/>
      </c>
      <c r="R533" s="52" t="str">
        <f t="shared" si="3"/>
        <v/>
      </c>
      <c r="S533" s="52" t="str">
        <f t="shared" si="10"/>
        <v/>
      </c>
      <c r="T533" s="52" t="str">
        <f t="shared" si="5"/>
        <v/>
      </c>
      <c r="U533" s="52"/>
      <c r="V533" s="53"/>
      <c r="W533" s="52" t="str">
        <f t="shared" si="6"/>
        <v/>
      </c>
      <c r="X533" s="52">
        <f t="shared" si="7"/>
        <v>0</v>
      </c>
      <c r="Y533" s="52">
        <f t="shared" si="8"/>
        <v>0</v>
      </c>
      <c r="Z533" s="52" t="str">
        <f>IF(G533="","",IFERROR(VLOOKUP(G533,'Product_Stock_Master产品维护'!$A$2:$L992,11,FALSE),"No"))</f>
        <v/>
      </c>
      <c r="AA533" s="52" t="str">
        <f>IF(G533="","",IFERROR(VLOOKUP(G533,'Product_Stock_Master产品维护'!$A$2:$L992,12,FALSE),""))</f>
        <v/>
      </c>
      <c r="AB533" s="52" t="str">
        <f t="shared" si="11"/>
        <v/>
      </c>
      <c r="AC533" s="52">
        <f t="shared" si="12"/>
        <v>0</v>
      </c>
    </row>
    <row r="534" ht="15.75" customHeight="1">
      <c r="A534" s="171"/>
      <c r="B534" s="171"/>
      <c r="C534" s="53"/>
      <c r="D534" s="53"/>
      <c r="E534" s="53"/>
      <c r="F534" s="53"/>
      <c r="G534" s="53"/>
      <c r="H534" s="52" t="str">
        <f>IF(G534="","",IFERROR(VLOOKUP(G534,'Product_Stock_Master产品维护'!$A$2:$E992,2,FALSE()),"SKU not found"))</f>
        <v/>
      </c>
      <c r="I534" s="52" t="str">
        <f>IF(G534="","",IFERROR(VLOOKUP(G534,'Product_Stock_Master产品维护'!$A$2:$E992,3,FALSE()),"Item type not found"))</f>
        <v/>
      </c>
      <c r="J534" s="53"/>
      <c r="K534" s="53"/>
      <c r="L534" s="53"/>
      <c r="M534" s="53"/>
      <c r="N534" s="53"/>
      <c r="O534" s="52" t="str">
        <f t="shared" si="1"/>
        <v/>
      </c>
      <c r="P534" s="53"/>
      <c r="Q534" s="52" t="str">
        <f t="shared" si="9"/>
        <v/>
      </c>
      <c r="R534" s="52" t="str">
        <f t="shared" si="3"/>
        <v/>
      </c>
      <c r="S534" s="52" t="str">
        <f t="shared" si="10"/>
        <v/>
      </c>
      <c r="T534" s="52" t="str">
        <f t="shared" si="5"/>
        <v/>
      </c>
      <c r="U534" s="52"/>
      <c r="V534" s="53"/>
      <c r="W534" s="52" t="str">
        <f t="shared" si="6"/>
        <v/>
      </c>
      <c r="X534" s="52">
        <f t="shared" si="7"/>
        <v>0</v>
      </c>
      <c r="Y534" s="52">
        <f t="shared" si="8"/>
        <v>0</v>
      </c>
      <c r="Z534" s="52" t="str">
        <f>IF(G534="","",IFERROR(VLOOKUP(G534,'Product_Stock_Master产品维护'!$A$2:$L992,11,FALSE),"No"))</f>
        <v/>
      </c>
      <c r="AA534" s="52" t="str">
        <f>IF(G534="","",IFERROR(VLOOKUP(G534,'Product_Stock_Master产品维护'!$A$2:$L992,12,FALSE),""))</f>
        <v/>
      </c>
      <c r="AB534" s="52" t="str">
        <f t="shared" si="11"/>
        <v/>
      </c>
      <c r="AC534" s="52">
        <f t="shared" si="12"/>
        <v>0</v>
      </c>
    </row>
    <row r="535" ht="15.75" customHeight="1">
      <c r="A535" s="171"/>
      <c r="B535" s="171"/>
      <c r="C535" s="53"/>
      <c r="D535" s="53"/>
      <c r="E535" s="53"/>
      <c r="F535" s="53"/>
      <c r="G535" s="53"/>
      <c r="H535" s="52" t="str">
        <f>IF(G535="","",IFERROR(VLOOKUP(G535,'Product_Stock_Master产品维护'!$A$2:$E992,2,FALSE()),"SKU not found"))</f>
        <v/>
      </c>
      <c r="I535" s="52" t="str">
        <f>IF(G535="","",IFERROR(VLOOKUP(G535,'Product_Stock_Master产品维护'!$A$2:$E992,3,FALSE()),"Item type not found"))</f>
        <v/>
      </c>
      <c r="J535" s="53"/>
      <c r="K535" s="53"/>
      <c r="L535" s="53"/>
      <c r="M535" s="53"/>
      <c r="N535" s="53"/>
      <c r="O535" s="52" t="str">
        <f t="shared" si="1"/>
        <v/>
      </c>
      <c r="P535" s="53"/>
      <c r="Q535" s="52" t="str">
        <f t="shared" si="9"/>
        <v/>
      </c>
      <c r="R535" s="52" t="str">
        <f t="shared" si="3"/>
        <v/>
      </c>
      <c r="S535" s="52" t="str">
        <f t="shared" si="10"/>
        <v/>
      </c>
      <c r="T535" s="52" t="str">
        <f t="shared" si="5"/>
        <v/>
      </c>
      <c r="U535" s="52"/>
      <c r="V535" s="53"/>
      <c r="W535" s="52" t="str">
        <f t="shared" si="6"/>
        <v/>
      </c>
      <c r="X535" s="52">
        <f t="shared" si="7"/>
        <v>0</v>
      </c>
      <c r="Y535" s="52">
        <f t="shared" si="8"/>
        <v>0</v>
      </c>
      <c r="Z535" s="52" t="str">
        <f>IF(G535="","",IFERROR(VLOOKUP(G535,'Product_Stock_Master产品维护'!$A$2:$L992,11,FALSE),"No"))</f>
        <v/>
      </c>
      <c r="AA535" s="52" t="str">
        <f>IF(G535="","",IFERROR(VLOOKUP(G535,'Product_Stock_Master产品维护'!$A$2:$L992,12,FALSE),""))</f>
        <v/>
      </c>
      <c r="AB535" s="52" t="str">
        <f t="shared" si="11"/>
        <v/>
      </c>
      <c r="AC535" s="52">
        <f t="shared" si="12"/>
        <v>0</v>
      </c>
    </row>
    <row r="536" ht="15.75" customHeight="1">
      <c r="A536" s="171"/>
      <c r="B536" s="171"/>
      <c r="C536" s="53"/>
      <c r="D536" s="53"/>
      <c r="E536" s="53"/>
      <c r="F536" s="53"/>
      <c r="G536" s="53"/>
      <c r="H536" s="52" t="str">
        <f>IF(G536="","",IFERROR(VLOOKUP(G536,'Product_Stock_Master产品维护'!$A$2:$E992,2,FALSE()),"SKU not found"))</f>
        <v/>
      </c>
      <c r="I536" s="52" t="str">
        <f>IF(G536="","",IFERROR(VLOOKUP(G536,'Product_Stock_Master产品维护'!$A$2:$E992,3,FALSE()),"Item type not found"))</f>
        <v/>
      </c>
      <c r="J536" s="53"/>
      <c r="K536" s="53"/>
      <c r="L536" s="53"/>
      <c r="M536" s="53"/>
      <c r="N536" s="53"/>
      <c r="O536" s="52" t="str">
        <f t="shared" si="1"/>
        <v/>
      </c>
      <c r="P536" s="53"/>
      <c r="Q536" s="52" t="str">
        <f t="shared" si="9"/>
        <v/>
      </c>
      <c r="R536" s="52" t="str">
        <f t="shared" si="3"/>
        <v/>
      </c>
      <c r="S536" s="52" t="str">
        <f t="shared" si="10"/>
        <v/>
      </c>
      <c r="T536" s="52" t="str">
        <f t="shared" si="5"/>
        <v/>
      </c>
      <c r="U536" s="52"/>
      <c r="V536" s="53"/>
      <c r="W536" s="52" t="str">
        <f t="shared" si="6"/>
        <v/>
      </c>
      <c r="X536" s="52">
        <f t="shared" si="7"/>
        <v>0</v>
      </c>
      <c r="Y536" s="52">
        <f t="shared" si="8"/>
        <v>0</v>
      </c>
      <c r="Z536" s="52" t="str">
        <f>IF(G536="","",IFERROR(VLOOKUP(G536,'Product_Stock_Master产品维护'!$A$2:$L992,11,FALSE),"No"))</f>
        <v/>
      </c>
      <c r="AA536" s="52" t="str">
        <f>IF(G536="","",IFERROR(VLOOKUP(G536,'Product_Stock_Master产品维护'!$A$2:$L992,12,FALSE),""))</f>
        <v/>
      </c>
      <c r="AB536" s="52" t="str">
        <f t="shared" si="11"/>
        <v/>
      </c>
      <c r="AC536" s="52">
        <f t="shared" si="12"/>
        <v>0</v>
      </c>
    </row>
    <row r="537" ht="15.75" customHeight="1">
      <c r="A537" s="171"/>
      <c r="B537" s="171"/>
      <c r="C537" s="53"/>
      <c r="D537" s="53"/>
      <c r="E537" s="53"/>
      <c r="F537" s="53"/>
      <c r="G537" s="53"/>
      <c r="H537" s="52" t="str">
        <f>IF(G537="","",IFERROR(VLOOKUP(G537,'Product_Stock_Master产品维护'!$A$2:$E992,2,FALSE()),"SKU not found"))</f>
        <v/>
      </c>
      <c r="I537" s="52" t="str">
        <f>IF(G537="","",IFERROR(VLOOKUP(G537,'Product_Stock_Master产品维护'!$A$2:$E992,3,FALSE()),"Item type not found"))</f>
        <v/>
      </c>
      <c r="J537" s="53"/>
      <c r="K537" s="53"/>
      <c r="L537" s="53"/>
      <c r="M537" s="53"/>
      <c r="N537" s="53"/>
      <c r="O537" s="52" t="str">
        <f t="shared" si="1"/>
        <v/>
      </c>
      <c r="P537" s="53"/>
      <c r="Q537" s="52" t="str">
        <f t="shared" si="9"/>
        <v/>
      </c>
      <c r="R537" s="52" t="str">
        <f t="shared" si="3"/>
        <v/>
      </c>
      <c r="S537" s="52" t="str">
        <f t="shared" si="10"/>
        <v/>
      </c>
      <c r="T537" s="52" t="str">
        <f t="shared" si="5"/>
        <v/>
      </c>
      <c r="U537" s="52"/>
      <c r="V537" s="53"/>
      <c r="W537" s="52" t="str">
        <f t="shared" si="6"/>
        <v/>
      </c>
      <c r="X537" s="52">
        <f t="shared" si="7"/>
        <v>0</v>
      </c>
      <c r="Y537" s="52">
        <f t="shared" si="8"/>
        <v>0</v>
      </c>
      <c r="Z537" s="52" t="str">
        <f>IF(G537="","",IFERROR(VLOOKUP(G537,'Product_Stock_Master产品维护'!$A$2:$L992,11,FALSE),"No"))</f>
        <v/>
      </c>
      <c r="AA537" s="52" t="str">
        <f>IF(G537="","",IFERROR(VLOOKUP(G537,'Product_Stock_Master产品维护'!$A$2:$L992,12,FALSE),""))</f>
        <v/>
      </c>
      <c r="AB537" s="52" t="str">
        <f t="shared" si="11"/>
        <v/>
      </c>
      <c r="AC537" s="52">
        <f t="shared" si="12"/>
        <v>0</v>
      </c>
    </row>
    <row r="538" ht="15.75" customHeight="1">
      <c r="A538" s="171"/>
      <c r="B538" s="171"/>
      <c r="C538" s="53"/>
      <c r="D538" s="53"/>
      <c r="E538" s="53"/>
      <c r="F538" s="53"/>
      <c r="G538" s="53"/>
      <c r="H538" s="52" t="str">
        <f>IF(G538="","",IFERROR(VLOOKUP(G538,'Product_Stock_Master产品维护'!$A$2:$E992,2,FALSE()),"SKU not found"))</f>
        <v/>
      </c>
      <c r="I538" s="52" t="str">
        <f>IF(G538="","",IFERROR(VLOOKUP(G538,'Product_Stock_Master产品维护'!$A$2:$E992,3,FALSE()),"Item type not found"))</f>
        <v/>
      </c>
      <c r="J538" s="53"/>
      <c r="K538" s="53"/>
      <c r="L538" s="53"/>
      <c r="M538" s="53"/>
      <c r="N538" s="53"/>
      <c r="O538" s="52" t="str">
        <f t="shared" si="1"/>
        <v/>
      </c>
      <c r="P538" s="53"/>
      <c r="Q538" s="52" t="str">
        <f t="shared" si="9"/>
        <v/>
      </c>
      <c r="R538" s="52" t="str">
        <f t="shared" si="3"/>
        <v/>
      </c>
      <c r="S538" s="52" t="str">
        <f t="shared" si="10"/>
        <v/>
      </c>
      <c r="T538" s="52" t="str">
        <f t="shared" si="5"/>
        <v/>
      </c>
      <c r="U538" s="52"/>
      <c r="V538" s="53"/>
      <c r="W538" s="52" t="str">
        <f t="shared" si="6"/>
        <v/>
      </c>
      <c r="X538" s="52">
        <f t="shared" si="7"/>
        <v>0</v>
      </c>
      <c r="Y538" s="52">
        <f t="shared" si="8"/>
        <v>0</v>
      </c>
      <c r="Z538" s="52" t="str">
        <f>IF(G538="","",IFERROR(VLOOKUP(G538,'Product_Stock_Master产品维护'!$A$2:$L992,11,FALSE),"No"))</f>
        <v/>
      </c>
      <c r="AA538" s="52" t="str">
        <f>IF(G538="","",IFERROR(VLOOKUP(G538,'Product_Stock_Master产品维护'!$A$2:$L992,12,FALSE),""))</f>
        <v/>
      </c>
      <c r="AB538" s="52" t="str">
        <f t="shared" si="11"/>
        <v/>
      </c>
      <c r="AC538" s="52">
        <f t="shared" si="12"/>
        <v>0</v>
      </c>
    </row>
    <row r="539" ht="15.75" customHeight="1">
      <c r="A539" s="171"/>
      <c r="B539" s="171"/>
      <c r="C539" s="53"/>
      <c r="D539" s="53"/>
      <c r="E539" s="53"/>
      <c r="F539" s="53"/>
      <c r="G539" s="53"/>
      <c r="H539" s="52" t="str">
        <f>IF(G539="","",IFERROR(VLOOKUP(G539,'Product_Stock_Master产品维护'!$A$2:$E992,2,FALSE()),"SKU not found"))</f>
        <v/>
      </c>
      <c r="I539" s="52" t="str">
        <f>IF(G539="","",IFERROR(VLOOKUP(G539,'Product_Stock_Master产品维护'!$A$2:$E992,3,FALSE()),"Item type not found"))</f>
        <v/>
      </c>
      <c r="J539" s="53"/>
      <c r="K539" s="53"/>
      <c r="L539" s="53"/>
      <c r="M539" s="53"/>
      <c r="N539" s="53"/>
      <c r="O539" s="52" t="str">
        <f t="shared" si="1"/>
        <v/>
      </c>
      <c r="P539" s="53"/>
      <c r="Q539" s="52" t="str">
        <f t="shared" si="9"/>
        <v/>
      </c>
      <c r="R539" s="52" t="str">
        <f t="shared" si="3"/>
        <v/>
      </c>
      <c r="S539" s="52" t="str">
        <f t="shared" si="10"/>
        <v/>
      </c>
      <c r="T539" s="52" t="str">
        <f t="shared" si="5"/>
        <v/>
      </c>
      <c r="U539" s="52"/>
      <c r="V539" s="53"/>
      <c r="W539" s="52" t="str">
        <f t="shared" si="6"/>
        <v/>
      </c>
      <c r="X539" s="52">
        <f t="shared" si="7"/>
        <v>0</v>
      </c>
      <c r="Y539" s="52">
        <f t="shared" si="8"/>
        <v>0</v>
      </c>
      <c r="Z539" s="52" t="str">
        <f>IF(G539="","",IFERROR(VLOOKUP(G539,'Product_Stock_Master产品维护'!$A$2:$L992,11,FALSE),"No"))</f>
        <v/>
      </c>
      <c r="AA539" s="52" t="str">
        <f>IF(G539="","",IFERROR(VLOOKUP(G539,'Product_Stock_Master产品维护'!$A$2:$L992,12,FALSE),""))</f>
        <v/>
      </c>
      <c r="AB539" s="52" t="str">
        <f t="shared" si="11"/>
        <v/>
      </c>
      <c r="AC539" s="52">
        <f t="shared" si="12"/>
        <v>0</v>
      </c>
    </row>
    <row r="540" ht="15.75" customHeight="1">
      <c r="A540" s="171"/>
      <c r="B540" s="171"/>
      <c r="C540" s="53"/>
      <c r="D540" s="53"/>
      <c r="E540" s="53"/>
      <c r="F540" s="53"/>
      <c r="G540" s="53"/>
      <c r="H540" s="52" t="str">
        <f>IF(G540="","",IFERROR(VLOOKUP(G540,'Product_Stock_Master产品维护'!$A$2:$E992,2,FALSE()),"SKU not found"))</f>
        <v/>
      </c>
      <c r="I540" s="52" t="str">
        <f>IF(G540="","",IFERROR(VLOOKUP(G540,'Product_Stock_Master产品维护'!$A$2:$E992,3,FALSE()),"Item type not found"))</f>
        <v/>
      </c>
      <c r="J540" s="53"/>
      <c r="K540" s="53"/>
      <c r="L540" s="53"/>
      <c r="M540" s="53"/>
      <c r="N540" s="53"/>
      <c r="O540" s="52" t="str">
        <f t="shared" si="1"/>
        <v/>
      </c>
      <c r="P540" s="53"/>
      <c r="Q540" s="52" t="str">
        <f t="shared" si="9"/>
        <v/>
      </c>
      <c r="R540" s="52" t="str">
        <f t="shared" si="3"/>
        <v/>
      </c>
      <c r="S540" s="52" t="str">
        <f t="shared" si="10"/>
        <v/>
      </c>
      <c r="T540" s="52" t="str">
        <f t="shared" si="5"/>
        <v/>
      </c>
      <c r="U540" s="52"/>
      <c r="V540" s="53"/>
      <c r="W540" s="52" t="str">
        <f t="shared" si="6"/>
        <v/>
      </c>
      <c r="X540" s="52">
        <f t="shared" si="7"/>
        <v>0</v>
      </c>
      <c r="Y540" s="52">
        <f t="shared" si="8"/>
        <v>0</v>
      </c>
      <c r="Z540" s="52" t="str">
        <f>IF(G540="","",IFERROR(VLOOKUP(G540,'Product_Stock_Master产品维护'!$A$2:$L992,11,FALSE),"No"))</f>
        <v/>
      </c>
      <c r="AA540" s="52" t="str">
        <f>IF(G540="","",IFERROR(VLOOKUP(G540,'Product_Stock_Master产品维护'!$A$2:$L992,12,FALSE),""))</f>
        <v/>
      </c>
      <c r="AB540" s="52" t="str">
        <f t="shared" si="11"/>
        <v/>
      </c>
      <c r="AC540" s="52">
        <f t="shared" si="12"/>
        <v>0</v>
      </c>
    </row>
    <row r="541" ht="15.75" customHeight="1">
      <c r="A541" s="171"/>
      <c r="B541" s="171"/>
      <c r="C541" s="53"/>
      <c r="D541" s="53"/>
      <c r="E541" s="53"/>
      <c r="F541" s="53"/>
      <c r="G541" s="53"/>
      <c r="H541" s="52" t="str">
        <f>IF(G541="","",IFERROR(VLOOKUP(G541,'Product_Stock_Master产品维护'!$A$2:$E992,2,FALSE()),"SKU not found"))</f>
        <v/>
      </c>
      <c r="I541" s="52" t="str">
        <f>IF(G541="","",IFERROR(VLOOKUP(G541,'Product_Stock_Master产品维护'!$A$2:$E992,3,FALSE()),"Item type not found"))</f>
        <v/>
      </c>
      <c r="J541" s="53"/>
      <c r="K541" s="53"/>
      <c r="L541" s="53"/>
      <c r="M541" s="53"/>
      <c r="N541" s="53"/>
      <c r="O541" s="52" t="str">
        <f t="shared" si="1"/>
        <v/>
      </c>
      <c r="P541" s="53"/>
      <c r="Q541" s="52" t="str">
        <f t="shared" si="9"/>
        <v/>
      </c>
      <c r="R541" s="52" t="str">
        <f t="shared" si="3"/>
        <v/>
      </c>
      <c r="S541" s="52" t="str">
        <f t="shared" si="10"/>
        <v/>
      </c>
      <c r="T541" s="52" t="str">
        <f t="shared" si="5"/>
        <v/>
      </c>
      <c r="U541" s="52"/>
      <c r="V541" s="53"/>
      <c r="W541" s="52" t="str">
        <f t="shared" si="6"/>
        <v/>
      </c>
      <c r="X541" s="52">
        <f t="shared" si="7"/>
        <v>0</v>
      </c>
      <c r="Y541" s="52">
        <f t="shared" si="8"/>
        <v>0</v>
      </c>
      <c r="Z541" s="52" t="str">
        <f>IF(G541="","",IFERROR(VLOOKUP(G541,'Product_Stock_Master产品维护'!$A$2:$L992,11,FALSE),"No"))</f>
        <v/>
      </c>
      <c r="AA541" s="52" t="str">
        <f>IF(G541="","",IFERROR(VLOOKUP(G541,'Product_Stock_Master产品维护'!$A$2:$L992,12,FALSE),""))</f>
        <v/>
      </c>
      <c r="AB541" s="52" t="str">
        <f t="shared" si="11"/>
        <v/>
      </c>
      <c r="AC541" s="52">
        <f t="shared" si="12"/>
        <v>0</v>
      </c>
    </row>
    <row r="542" ht="15.75" customHeight="1">
      <c r="A542" s="171"/>
      <c r="B542" s="171"/>
      <c r="C542" s="53"/>
      <c r="D542" s="53"/>
      <c r="E542" s="53"/>
      <c r="F542" s="53"/>
      <c r="G542" s="53"/>
      <c r="H542" s="52" t="str">
        <f>IF(G542="","",IFERROR(VLOOKUP(G542,'Product_Stock_Master产品维护'!$A$2:$E992,2,FALSE()),"SKU not found"))</f>
        <v/>
      </c>
      <c r="I542" s="52" t="str">
        <f>IF(G542="","",IFERROR(VLOOKUP(G542,'Product_Stock_Master产品维护'!$A$2:$E992,3,FALSE()),"Item type not found"))</f>
        <v/>
      </c>
      <c r="J542" s="53"/>
      <c r="K542" s="53"/>
      <c r="L542" s="53"/>
      <c r="M542" s="53"/>
      <c r="N542" s="53"/>
      <c r="O542" s="52" t="str">
        <f t="shared" si="1"/>
        <v/>
      </c>
      <c r="P542" s="53"/>
      <c r="Q542" s="52" t="str">
        <f t="shared" si="9"/>
        <v/>
      </c>
      <c r="R542" s="52" t="str">
        <f t="shared" si="3"/>
        <v/>
      </c>
      <c r="S542" s="52" t="str">
        <f t="shared" si="10"/>
        <v/>
      </c>
      <c r="T542" s="52" t="str">
        <f t="shared" si="5"/>
        <v/>
      </c>
      <c r="U542" s="52"/>
      <c r="V542" s="53"/>
      <c r="W542" s="52" t="str">
        <f t="shared" si="6"/>
        <v/>
      </c>
      <c r="X542" s="52">
        <f t="shared" si="7"/>
        <v>0</v>
      </c>
      <c r="Y542" s="52">
        <f t="shared" si="8"/>
        <v>0</v>
      </c>
      <c r="Z542" s="52" t="str">
        <f>IF(G542="","",IFERROR(VLOOKUP(G542,'Product_Stock_Master产品维护'!$A$2:$L992,11,FALSE),"No"))</f>
        <v/>
      </c>
      <c r="AA542" s="52" t="str">
        <f>IF(G542="","",IFERROR(VLOOKUP(G542,'Product_Stock_Master产品维护'!$A$2:$L992,12,FALSE),""))</f>
        <v/>
      </c>
      <c r="AB542" s="52" t="str">
        <f t="shared" si="11"/>
        <v/>
      </c>
      <c r="AC542" s="52">
        <f t="shared" si="12"/>
        <v>0</v>
      </c>
    </row>
    <row r="543" ht="15.75" customHeight="1">
      <c r="A543" s="171"/>
      <c r="B543" s="171"/>
      <c r="C543" s="53"/>
      <c r="D543" s="53"/>
      <c r="E543" s="53"/>
      <c r="F543" s="53"/>
      <c r="G543" s="53"/>
      <c r="H543" s="52" t="str">
        <f>IF(G543="","",IFERROR(VLOOKUP(G543,'Product_Stock_Master产品维护'!$A$2:$E992,2,FALSE()),"SKU not found"))</f>
        <v/>
      </c>
      <c r="I543" s="52" t="str">
        <f>IF(G543="","",IFERROR(VLOOKUP(G543,'Product_Stock_Master产品维护'!$A$2:$E992,3,FALSE()),"Item type not found"))</f>
        <v/>
      </c>
      <c r="J543" s="53"/>
      <c r="K543" s="53"/>
      <c r="L543" s="53"/>
      <c r="M543" s="53"/>
      <c r="N543" s="53"/>
      <c r="O543" s="52" t="str">
        <f t="shared" si="1"/>
        <v/>
      </c>
      <c r="P543" s="53"/>
      <c r="Q543" s="52" t="str">
        <f t="shared" si="9"/>
        <v/>
      </c>
      <c r="R543" s="52" t="str">
        <f t="shared" si="3"/>
        <v/>
      </c>
      <c r="S543" s="52" t="str">
        <f t="shared" si="10"/>
        <v/>
      </c>
      <c r="T543" s="52" t="str">
        <f t="shared" si="5"/>
        <v/>
      </c>
      <c r="U543" s="52"/>
      <c r="V543" s="53"/>
      <c r="W543" s="52" t="str">
        <f t="shared" si="6"/>
        <v/>
      </c>
      <c r="X543" s="52">
        <f t="shared" si="7"/>
        <v>0</v>
      </c>
      <c r="Y543" s="52">
        <f t="shared" si="8"/>
        <v>0</v>
      </c>
      <c r="Z543" s="52" t="str">
        <f>IF(G543="","",IFERROR(VLOOKUP(G543,'Product_Stock_Master产品维护'!$A$2:$L992,11,FALSE),"No"))</f>
        <v/>
      </c>
      <c r="AA543" s="52" t="str">
        <f>IF(G543="","",IFERROR(VLOOKUP(G543,'Product_Stock_Master产品维护'!$A$2:$L992,12,FALSE),""))</f>
        <v/>
      </c>
      <c r="AB543" s="52" t="str">
        <f t="shared" si="11"/>
        <v/>
      </c>
      <c r="AC543" s="52">
        <f t="shared" si="12"/>
        <v>0</v>
      </c>
    </row>
    <row r="544" ht="15.75" customHeight="1">
      <c r="A544" s="171"/>
      <c r="B544" s="171"/>
      <c r="C544" s="53"/>
      <c r="D544" s="53"/>
      <c r="E544" s="53"/>
      <c r="F544" s="53"/>
      <c r="G544" s="53"/>
      <c r="H544" s="52" t="str">
        <f>IF(G544="","",IFERROR(VLOOKUP(G544,'Product_Stock_Master产品维护'!$A$2:$E992,2,FALSE()),"SKU not found"))</f>
        <v/>
      </c>
      <c r="I544" s="52" t="str">
        <f>IF(G544="","",IFERROR(VLOOKUP(G544,'Product_Stock_Master产品维护'!$A$2:$E992,3,FALSE()),"Item type not found"))</f>
        <v/>
      </c>
      <c r="J544" s="53"/>
      <c r="K544" s="53"/>
      <c r="L544" s="53"/>
      <c r="M544" s="53"/>
      <c r="N544" s="53"/>
      <c r="O544" s="52" t="str">
        <f t="shared" si="1"/>
        <v/>
      </c>
      <c r="P544" s="53"/>
      <c r="Q544" s="52" t="str">
        <f t="shared" si="9"/>
        <v/>
      </c>
      <c r="R544" s="52" t="str">
        <f t="shared" si="3"/>
        <v/>
      </c>
      <c r="S544" s="52" t="str">
        <f t="shared" si="10"/>
        <v/>
      </c>
      <c r="T544" s="52" t="str">
        <f t="shared" si="5"/>
        <v/>
      </c>
      <c r="U544" s="52"/>
      <c r="V544" s="53"/>
      <c r="W544" s="52" t="str">
        <f t="shared" si="6"/>
        <v/>
      </c>
      <c r="X544" s="52">
        <f t="shared" si="7"/>
        <v>0</v>
      </c>
      <c r="Y544" s="52">
        <f t="shared" si="8"/>
        <v>0</v>
      </c>
      <c r="Z544" s="52" t="str">
        <f>IF(G544="","",IFERROR(VLOOKUP(G544,'Product_Stock_Master产品维护'!$A$2:$L992,11,FALSE),"No"))</f>
        <v/>
      </c>
      <c r="AA544" s="52" t="str">
        <f>IF(G544="","",IFERROR(VLOOKUP(G544,'Product_Stock_Master产品维护'!$A$2:$L992,12,FALSE),""))</f>
        <v/>
      </c>
      <c r="AB544" s="52" t="str">
        <f t="shared" si="11"/>
        <v/>
      </c>
      <c r="AC544" s="52">
        <f t="shared" si="12"/>
        <v>0</v>
      </c>
    </row>
    <row r="545" ht="15.75" customHeight="1">
      <c r="A545" s="171"/>
      <c r="B545" s="171"/>
      <c r="C545" s="53"/>
      <c r="D545" s="53"/>
      <c r="E545" s="53"/>
      <c r="F545" s="53"/>
      <c r="G545" s="53"/>
      <c r="H545" s="52" t="str">
        <f>IF(G545="","",IFERROR(VLOOKUP(G545,'Product_Stock_Master产品维护'!$A$2:$E992,2,FALSE()),"SKU not found"))</f>
        <v/>
      </c>
      <c r="I545" s="52" t="str">
        <f>IF(G545="","",IFERROR(VLOOKUP(G545,'Product_Stock_Master产品维护'!$A$2:$E992,3,FALSE()),"Item type not found"))</f>
        <v/>
      </c>
      <c r="J545" s="53"/>
      <c r="K545" s="53"/>
      <c r="L545" s="53"/>
      <c r="M545" s="53"/>
      <c r="N545" s="53"/>
      <c r="O545" s="52" t="str">
        <f t="shared" si="1"/>
        <v/>
      </c>
      <c r="P545" s="53"/>
      <c r="Q545" s="52" t="str">
        <f t="shared" si="9"/>
        <v/>
      </c>
      <c r="R545" s="52" t="str">
        <f t="shared" si="3"/>
        <v/>
      </c>
      <c r="S545" s="52" t="str">
        <f t="shared" si="10"/>
        <v/>
      </c>
      <c r="T545" s="52" t="str">
        <f t="shared" si="5"/>
        <v/>
      </c>
      <c r="U545" s="52"/>
      <c r="V545" s="53"/>
      <c r="W545" s="52" t="str">
        <f t="shared" si="6"/>
        <v/>
      </c>
      <c r="X545" s="52">
        <f t="shared" si="7"/>
        <v>0</v>
      </c>
      <c r="Y545" s="52">
        <f t="shared" si="8"/>
        <v>0</v>
      </c>
      <c r="Z545" s="52" t="str">
        <f>IF(G545="","",IFERROR(VLOOKUP(G545,'Product_Stock_Master产品维护'!$A$2:$L992,11,FALSE),"No"))</f>
        <v/>
      </c>
      <c r="AA545" s="52" t="str">
        <f>IF(G545="","",IFERROR(VLOOKUP(G545,'Product_Stock_Master产品维护'!$A$2:$L992,12,FALSE),""))</f>
        <v/>
      </c>
      <c r="AB545" s="52" t="str">
        <f t="shared" si="11"/>
        <v/>
      </c>
      <c r="AC545" s="52">
        <f t="shared" si="12"/>
        <v>0</v>
      </c>
    </row>
    <row r="546" ht="15.75" customHeight="1">
      <c r="A546" s="171"/>
      <c r="B546" s="171"/>
      <c r="C546" s="53"/>
      <c r="D546" s="53"/>
      <c r="E546" s="53"/>
      <c r="F546" s="53"/>
      <c r="G546" s="53"/>
      <c r="H546" s="52" t="str">
        <f>IF(G546="","",IFERROR(VLOOKUP(G546,'Product_Stock_Master产品维护'!$A$2:$E992,2,FALSE()),"SKU not found"))</f>
        <v/>
      </c>
      <c r="I546" s="52" t="str">
        <f>IF(G546="","",IFERROR(VLOOKUP(G546,'Product_Stock_Master产品维护'!$A$2:$E992,3,FALSE()),"Item type not found"))</f>
        <v/>
      </c>
      <c r="J546" s="53"/>
      <c r="K546" s="53"/>
      <c r="L546" s="53"/>
      <c r="M546" s="53"/>
      <c r="N546" s="53"/>
      <c r="O546" s="52" t="str">
        <f t="shared" si="1"/>
        <v/>
      </c>
      <c r="P546" s="53"/>
      <c r="Q546" s="52" t="str">
        <f t="shared" si="9"/>
        <v/>
      </c>
      <c r="R546" s="52" t="str">
        <f t="shared" si="3"/>
        <v/>
      </c>
      <c r="S546" s="52" t="str">
        <f t="shared" si="10"/>
        <v/>
      </c>
      <c r="T546" s="52" t="str">
        <f t="shared" si="5"/>
        <v/>
      </c>
      <c r="U546" s="52"/>
      <c r="V546" s="53"/>
      <c r="W546" s="52" t="str">
        <f t="shared" si="6"/>
        <v/>
      </c>
      <c r="X546" s="52">
        <f t="shared" si="7"/>
        <v>0</v>
      </c>
      <c r="Y546" s="52">
        <f t="shared" si="8"/>
        <v>0</v>
      </c>
      <c r="Z546" s="52" t="str">
        <f>IF(G546="","",IFERROR(VLOOKUP(G546,'Product_Stock_Master产品维护'!$A$2:$L992,11,FALSE),"No"))</f>
        <v/>
      </c>
      <c r="AA546" s="52" t="str">
        <f>IF(G546="","",IFERROR(VLOOKUP(G546,'Product_Stock_Master产品维护'!$A$2:$L992,12,FALSE),""))</f>
        <v/>
      </c>
      <c r="AB546" s="52" t="str">
        <f t="shared" si="11"/>
        <v/>
      </c>
      <c r="AC546" s="52">
        <f t="shared" si="12"/>
        <v>0</v>
      </c>
    </row>
    <row r="547" ht="15.75" customHeight="1">
      <c r="A547" s="171"/>
      <c r="B547" s="171"/>
      <c r="C547" s="53"/>
      <c r="D547" s="53"/>
      <c r="E547" s="53"/>
      <c r="F547" s="53"/>
      <c r="G547" s="53"/>
      <c r="H547" s="52" t="str">
        <f>IF(G547="","",IFERROR(VLOOKUP(G547,'Product_Stock_Master产品维护'!$A$2:$E992,2,FALSE()),"SKU not found"))</f>
        <v/>
      </c>
      <c r="I547" s="52" t="str">
        <f>IF(G547="","",IFERROR(VLOOKUP(G547,'Product_Stock_Master产品维护'!$A$2:$E992,3,FALSE()),"Item type not found"))</f>
        <v/>
      </c>
      <c r="J547" s="53"/>
      <c r="K547" s="53"/>
      <c r="L547" s="53"/>
      <c r="M547" s="53"/>
      <c r="N547" s="53"/>
      <c r="O547" s="52" t="str">
        <f t="shared" si="1"/>
        <v/>
      </c>
      <c r="P547" s="53"/>
      <c r="Q547" s="52" t="str">
        <f t="shared" si="9"/>
        <v/>
      </c>
      <c r="R547" s="52" t="str">
        <f t="shared" si="3"/>
        <v/>
      </c>
      <c r="S547" s="52" t="str">
        <f t="shared" si="10"/>
        <v/>
      </c>
      <c r="T547" s="52" t="str">
        <f t="shared" si="5"/>
        <v/>
      </c>
      <c r="U547" s="52"/>
      <c r="V547" s="53"/>
      <c r="W547" s="52" t="str">
        <f t="shared" si="6"/>
        <v/>
      </c>
      <c r="X547" s="52">
        <f t="shared" si="7"/>
        <v>0</v>
      </c>
      <c r="Y547" s="52">
        <f t="shared" si="8"/>
        <v>0</v>
      </c>
      <c r="Z547" s="52" t="str">
        <f>IF(G547="","",IFERROR(VLOOKUP(G547,'Product_Stock_Master产品维护'!$A$2:$L992,11,FALSE),"No"))</f>
        <v/>
      </c>
      <c r="AA547" s="52" t="str">
        <f>IF(G547="","",IFERROR(VLOOKUP(G547,'Product_Stock_Master产品维护'!$A$2:$L992,12,FALSE),""))</f>
        <v/>
      </c>
      <c r="AB547" s="52" t="str">
        <f t="shared" si="11"/>
        <v/>
      </c>
      <c r="AC547" s="52">
        <f t="shared" si="12"/>
        <v>0</v>
      </c>
    </row>
    <row r="548" ht="15.75" customHeight="1">
      <c r="A548" s="171"/>
      <c r="B548" s="171"/>
      <c r="C548" s="53"/>
      <c r="D548" s="53"/>
      <c r="E548" s="53"/>
      <c r="F548" s="53"/>
      <c r="G548" s="53"/>
      <c r="H548" s="52" t="str">
        <f>IF(G548="","",IFERROR(VLOOKUP(G548,'Product_Stock_Master产品维护'!$A$2:$E992,2,FALSE()),"SKU not found"))</f>
        <v/>
      </c>
      <c r="I548" s="52" t="str">
        <f>IF(G548="","",IFERROR(VLOOKUP(G548,'Product_Stock_Master产品维护'!$A$2:$E992,3,FALSE()),"Item type not found"))</f>
        <v/>
      </c>
      <c r="J548" s="53"/>
      <c r="K548" s="53"/>
      <c r="L548" s="53"/>
      <c r="M548" s="53"/>
      <c r="N548" s="53"/>
      <c r="O548" s="52" t="str">
        <f t="shared" si="1"/>
        <v/>
      </c>
      <c r="P548" s="53"/>
      <c r="Q548" s="52" t="str">
        <f t="shared" si="9"/>
        <v/>
      </c>
      <c r="R548" s="52" t="str">
        <f t="shared" si="3"/>
        <v/>
      </c>
      <c r="S548" s="52" t="str">
        <f t="shared" si="10"/>
        <v/>
      </c>
      <c r="T548" s="52" t="str">
        <f t="shared" si="5"/>
        <v/>
      </c>
      <c r="U548" s="52"/>
      <c r="V548" s="53"/>
      <c r="W548" s="52" t="str">
        <f t="shared" si="6"/>
        <v/>
      </c>
      <c r="X548" s="52">
        <f t="shared" si="7"/>
        <v>0</v>
      </c>
      <c r="Y548" s="52">
        <f t="shared" si="8"/>
        <v>0</v>
      </c>
      <c r="Z548" s="52" t="str">
        <f>IF(G548="","",IFERROR(VLOOKUP(G548,'Product_Stock_Master产品维护'!$A$2:$L992,11,FALSE),"No"))</f>
        <v/>
      </c>
      <c r="AA548" s="52" t="str">
        <f>IF(G548="","",IFERROR(VLOOKUP(G548,'Product_Stock_Master产品维护'!$A$2:$L992,12,FALSE),""))</f>
        <v/>
      </c>
      <c r="AB548" s="52" t="str">
        <f t="shared" si="11"/>
        <v/>
      </c>
      <c r="AC548" s="52">
        <f t="shared" si="12"/>
        <v>0</v>
      </c>
    </row>
    <row r="549" ht="15.75" customHeight="1">
      <c r="A549" s="171"/>
      <c r="B549" s="171"/>
      <c r="C549" s="53"/>
      <c r="D549" s="53"/>
      <c r="E549" s="53"/>
      <c r="F549" s="53"/>
      <c r="G549" s="53"/>
      <c r="H549" s="52" t="str">
        <f>IF(G549="","",IFERROR(VLOOKUP(G549,'Product_Stock_Master产品维护'!$A$2:$E992,2,FALSE()),"SKU not found"))</f>
        <v/>
      </c>
      <c r="I549" s="52" t="str">
        <f>IF(G549="","",IFERROR(VLOOKUP(G549,'Product_Stock_Master产品维护'!$A$2:$E992,3,FALSE()),"Item type not found"))</f>
        <v/>
      </c>
      <c r="J549" s="53"/>
      <c r="K549" s="53"/>
      <c r="L549" s="53"/>
      <c r="M549" s="53"/>
      <c r="N549" s="53"/>
      <c r="O549" s="52" t="str">
        <f t="shared" si="1"/>
        <v/>
      </c>
      <c r="P549" s="53"/>
      <c r="Q549" s="52" t="str">
        <f t="shared" si="9"/>
        <v/>
      </c>
      <c r="R549" s="52" t="str">
        <f t="shared" si="3"/>
        <v/>
      </c>
      <c r="S549" s="52" t="str">
        <f t="shared" si="10"/>
        <v/>
      </c>
      <c r="T549" s="52" t="str">
        <f t="shared" si="5"/>
        <v/>
      </c>
      <c r="U549" s="52"/>
      <c r="V549" s="53"/>
      <c r="W549" s="52" t="str">
        <f t="shared" si="6"/>
        <v/>
      </c>
      <c r="X549" s="52">
        <f t="shared" si="7"/>
        <v>0</v>
      </c>
      <c r="Y549" s="52">
        <f t="shared" si="8"/>
        <v>0</v>
      </c>
      <c r="Z549" s="52" t="str">
        <f>IF(G549="","",IFERROR(VLOOKUP(G549,'Product_Stock_Master产品维护'!$A$2:$L992,11,FALSE),"No"))</f>
        <v/>
      </c>
      <c r="AA549" s="52" t="str">
        <f>IF(G549="","",IFERROR(VLOOKUP(G549,'Product_Stock_Master产品维护'!$A$2:$L992,12,FALSE),""))</f>
        <v/>
      </c>
      <c r="AB549" s="52" t="str">
        <f t="shared" si="11"/>
        <v/>
      </c>
      <c r="AC549" s="52">
        <f t="shared" si="12"/>
        <v>0</v>
      </c>
    </row>
    <row r="550" ht="15.75" customHeight="1">
      <c r="A550" s="171"/>
      <c r="B550" s="171"/>
      <c r="C550" s="53"/>
      <c r="D550" s="53"/>
      <c r="E550" s="53"/>
      <c r="F550" s="53"/>
      <c r="G550" s="53"/>
      <c r="H550" s="52" t="str">
        <f>IF(G550="","",IFERROR(VLOOKUP(G550,'Product_Stock_Master产品维护'!$A$2:$E992,2,FALSE()),"SKU not found"))</f>
        <v/>
      </c>
      <c r="I550" s="52" t="str">
        <f>IF(G550="","",IFERROR(VLOOKUP(G550,'Product_Stock_Master产品维护'!$A$2:$E992,3,FALSE()),"Item type not found"))</f>
        <v/>
      </c>
      <c r="J550" s="53"/>
      <c r="K550" s="53"/>
      <c r="L550" s="53"/>
      <c r="M550" s="53"/>
      <c r="N550" s="53"/>
      <c r="O550" s="52" t="str">
        <f t="shared" si="1"/>
        <v/>
      </c>
      <c r="P550" s="53"/>
      <c r="Q550" s="52" t="str">
        <f t="shared" si="9"/>
        <v/>
      </c>
      <c r="R550" s="52" t="str">
        <f t="shared" si="3"/>
        <v/>
      </c>
      <c r="S550" s="52" t="str">
        <f t="shared" si="10"/>
        <v/>
      </c>
      <c r="T550" s="52" t="str">
        <f t="shared" si="5"/>
        <v/>
      </c>
      <c r="U550" s="52"/>
      <c r="V550" s="53"/>
      <c r="W550" s="52" t="str">
        <f t="shared" si="6"/>
        <v/>
      </c>
      <c r="X550" s="52">
        <f t="shared" si="7"/>
        <v>0</v>
      </c>
      <c r="Y550" s="52">
        <f t="shared" si="8"/>
        <v>0</v>
      </c>
      <c r="Z550" s="52" t="str">
        <f>IF(G550="","",IFERROR(VLOOKUP(G550,'Product_Stock_Master产品维护'!$A$2:$L992,11,FALSE),"No"))</f>
        <v/>
      </c>
      <c r="AA550" s="52" t="str">
        <f>IF(G550="","",IFERROR(VLOOKUP(G550,'Product_Stock_Master产品维护'!$A$2:$L992,12,FALSE),""))</f>
        <v/>
      </c>
      <c r="AB550" s="52" t="str">
        <f t="shared" si="11"/>
        <v/>
      </c>
      <c r="AC550" s="52">
        <f t="shared" si="12"/>
        <v>0</v>
      </c>
    </row>
    <row r="551" ht="15.75" customHeight="1">
      <c r="A551" s="171"/>
      <c r="B551" s="171"/>
      <c r="C551" s="53"/>
      <c r="D551" s="53"/>
      <c r="E551" s="53"/>
      <c r="F551" s="53"/>
      <c r="G551" s="53"/>
      <c r="H551" s="52" t="str">
        <f>IF(G551="","",IFERROR(VLOOKUP(G551,'Product_Stock_Master产品维护'!$A$2:$E992,2,FALSE()),"SKU not found"))</f>
        <v/>
      </c>
      <c r="I551" s="52" t="str">
        <f>IF(G551="","",IFERROR(VLOOKUP(G551,'Product_Stock_Master产品维护'!$A$2:$E992,3,FALSE()),"Item type not found"))</f>
        <v/>
      </c>
      <c r="J551" s="53"/>
      <c r="K551" s="53"/>
      <c r="L551" s="53"/>
      <c r="M551" s="53"/>
      <c r="N551" s="53"/>
      <c r="O551" s="52" t="str">
        <f t="shared" si="1"/>
        <v/>
      </c>
      <c r="P551" s="53"/>
      <c r="Q551" s="52" t="str">
        <f t="shared" si="9"/>
        <v/>
      </c>
      <c r="R551" s="52" t="str">
        <f t="shared" si="3"/>
        <v/>
      </c>
      <c r="S551" s="52" t="str">
        <f t="shared" si="10"/>
        <v/>
      </c>
      <c r="T551" s="52" t="str">
        <f t="shared" si="5"/>
        <v/>
      </c>
      <c r="U551" s="52"/>
      <c r="V551" s="53"/>
      <c r="W551" s="52" t="str">
        <f t="shared" si="6"/>
        <v/>
      </c>
      <c r="X551" s="52">
        <f t="shared" si="7"/>
        <v>0</v>
      </c>
      <c r="Y551" s="52">
        <f t="shared" si="8"/>
        <v>0</v>
      </c>
      <c r="Z551" s="52" t="str">
        <f>IF(G551="","",IFERROR(VLOOKUP(G551,'Product_Stock_Master产品维护'!$A$2:$L992,11,FALSE),"No"))</f>
        <v/>
      </c>
      <c r="AA551" s="52" t="str">
        <f>IF(G551="","",IFERROR(VLOOKUP(G551,'Product_Stock_Master产品维护'!$A$2:$L992,12,FALSE),""))</f>
        <v/>
      </c>
      <c r="AB551" s="52" t="str">
        <f t="shared" si="11"/>
        <v/>
      </c>
      <c r="AC551" s="52">
        <f t="shared" si="12"/>
        <v>0</v>
      </c>
    </row>
    <row r="552" ht="15.75" customHeight="1">
      <c r="A552" s="171"/>
      <c r="B552" s="171"/>
      <c r="C552" s="53"/>
      <c r="D552" s="53"/>
      <c r="E552" s="53"/>
      <c r="F552" s="53"/>
      <c r="G552" s="53"/>
      <c r="H552" s="52" t="str">
        <f>IF(G552="","",IFERROR(VLOOKUP(G552,'Product_Stock_Master产品维护'!$A$2:$E992,2,FALSE()),"SKU not found"))</f>
        <v/>
      </c>
      <c r="I552" s="52" t="str">
        <f>IF(G552="","",IFERROR(VLOOKUP(G552,'Product_Stock_Master产品维护'!$A$2:$E992,3,FALSE()),"Item type not found"))</f>
        <v/>
      </c>
      <c r="J552" s="53"/>
      <c r="K552" s="53"/>
      <c r="L552" s="53"/>
      <c r="M552" s="53"/>
      <c r="N552" s="53"/>
      <c r="O552" s="52" t="str">
        <f t="shared" si="1"/>
        <v/>
      </c>
      <c r="P552" s="53"/>
      <c r="Q552" s="52" t="str">
        <f t="shared" si="9"/>
        <v/>
      </c>
      <c r="R552" s="52" t="str">
        <f t="shared" si="3"/>
        <v/>
      </c>
      <c r="S552" s="52" t="str">
        <f t="shared" si="10"/>
        <v/>
      </c>
      <c r="T552" s="52" t="str">
        <f t="shared" si="5"/>
        <v/>
      </c>
      <c r="U552" s="52"/>
      <c r="V552" s="53"/>
      <c r="W552" s="52" t="str">
        <f t="shared" si="6"/>
        <v/>
      </c>
      <c r="X552" s="52">
        <f t="shared" si="7"/>
        <v>0</v>
      </c>
      <c r="Y552" s="52">
        <f t="shared" si="8"/>
        <v>0</v>
      </c>
      <c r="Z552" s="52" t="str">
        <f>IF(G552="","",IFERROR(VLOOKUP(G552,'Product_Stock_Master产品维护'!$A$2:$L992,11,FALSE),"No"))</f>
        <v/>
      </c>
      <c r="AA552" s="52" t="str">
        <f>IF(G552="","",IFERROR(VLOOKUP(G552,'Product_Stock_Master产品维护'!$A$2:$L992,12,FALSE),""))</f>
        <v/>
      </c>
      <c r="AB552" s="52" t="str">
        <f t="shared" si="11"/>
        <v/>
      </c>
      <c r="AC552" s="52">
        <f t="shared" si="12"/>
        <v>0</v>
      </c>
    </row>
    <row r="553" ht="15.75" customHeight="1">
      <c r="A553" s="171"/>
      <c r="B553" s="171"/>
      <c r="C553" s="53"/>
      <c r="D553" s="53"/>
      <c r="E553" s="53"/>
      <c r="F553" s="53"/>
      <c r="G553" s="53"/>
      <c r="H553" s="52" t="str">
        <f>IF(G553="","",IFERROR(VLOOKUP(G553,'Product_Stock_Master产品维护'!$A$2:$E992,2,FALSE()),"SKU not found"))</f>
        <v/>
      </c>
      <c r="I553" s="52" t="str">
        <f>IF(G553="","",IFERROR(VLOOKUP(G553,'Product_Stock_Master产品维护'!$A$2:$E992,3,FALSE()),"Item type not found"))</f>
        <v/>
      </c>
      <c r="J553" s="53"/>
      <c r="K553" s="53"/>
      <c r="L553" s="53"/>
      <c r="M553" s="53"/>
      <c r="N553" s="53"/>
      <c r="O553" s="52" t="str">
        <f t="shared" si="1"/>
        <v/>
      </c>
      <c r="P553" s="53"/>
      <c r="Q553" s="52" t="str">
        <f t="shared" si="9"/>
        <v/>
      </c>
      <c r="R553" s="52" t="str">
        <f t="shared" si="3"/>
        <v/>
      </c>
      <c r="S553" s="52" t="str">
        <f t="shared" si="10"/>
        <v/>
      </c>
      <c r="T553" s="52" t="str">
        <f t="shared" si="5"/>
        <v/>
      </c>
      <c r="U553" s="52"/>
      <c r="V553" s="53"/>
      <c r="W553" s="52" t="str">
        <f t="shared" si="6"/>
        <v/>
      </c>
      <c r="X553" s="52">
        <f t="shared" si="7"/>
        <v>0</v>
      </c>
      <c r="Y553" s="52">
        <f t="shared" si="8"/>
        <v>0</v>
      </c>
      <c r="Z553" s="52" t="str">
        <f>IF(G553="","",IFERROR(VLOOKUP(G553,'Product_Stock_Master产品维护'!$A$2:$L992,11,FALSE),"No"))</f>
        <v/>
      </c>
      <c r="AA553" s="52" t="str">
        <f>IF(G553="","",IFERROR(VLOOKUP(G553,'Product_Stock_Master产品维护'!$A$2:$L992,12,FALSE),""))</f>
        <v/>
      </c>
      <c r="AB553" s="52" t="str">
        <f t="shared" si="11"/>
        <v/>
      </c>
      <c r="AC553" s="52">
        <f t="shared" si="12"/>
        <v>0</v>
      </c>
    </row>
    <row r="554" ht="15.75" customHeight="1">
      <c r="A554" s="171"/>
      <c r="B554" s="171"/>
      <c r="C554" s="53"/>
      <c r="D554" s="53"/>
      <c r="E554" s="53"/>
      <c r="F554" s="53"/>
      <c r="G554" s="53"/>
      <c r="H554" s="52" t="str">
        <f>IF(G554="","",IFERROR(VLOOKUP(G554,'Product_Stock_Master产品维护'!$A$2:$E992,2,FALSE()),"SKU not found"))</f>
        <v/>
      </c>
      <c r="I554" s="52" t="str">
        <f>IF(G554="","",IFERROR(VLOOKUP(G554,'Product_Stock_Master产品维护'!$A$2:$E992,3,FALSE()),"Item type not found"))</f>
        <v/>
      </c>
      <c r="J554" s="53"/>
      <c r="K554" s="53"/>
      <c r="L554" s="53"/>
      <c r="M554" s="53"/>
      <c r="N554" s="53"/>
      <c r="O554" s="52" t="str">
        <f t="shared" si="1"/>
        <v/>
      </c>
      <c r="P554" s="53"/>
      <c r="Q554" s="52" t="str">
        <f t="shared" si="9"/>
        <v/>
      </c>
      <c r="R554" s="52" t="str">
        <f t="shared" si="3"/>
        <v/>
      </c>
      <c r="S554" s="52" t="str">
        <f t="shared" si="10"/>
        <v/>
      </c>
      <c r="T554" s="52" t="str">
        <f t="shared" si="5"/>
        <v/>
      </c>
      <c r="U554" s="52"/>
      <c r="V554" s="53"/>
      <c r="W554" s="52" t="str">
        <f t="shared" si="6"/>
        <v/>
      </c>
      <c r="X554" s="52">
        <f t="shared" si="7"/>
        <v>0</v>
      </c>
      <c r="Y554" s="52">
        <f t="shared" si="8"/>
        <v>0</v>
      </c>
      <c r="Z554" s="52" t="str">
        <f>IF(G554="","",IFERROR(VLOOKUP(G554,'Product_Stock_Master产品维护'!$A$2:$L992,11,FALSE),"No"))</f>
        <v/>
      </c>
      <c r="AA554" s="52" t="str">
        <f>IF(G554="","",IFERROR(VLOOKUP(G554,'Product_Stock_Master产品维护'!$A$2:$L992,12,FALSE),""))</f>
        <v/>
      </c>
      <c r="AB554" s="52" t="str">
        <f t="shared" si="11"/>
        <v/>
      </c>
      <c r="AC554" s="52">
        <f t="shared" si="12"/>
        <v>0</v>
      </c>
    </row>
    <row r="555" ht="15.75" customHeight="1">
      <c r="A555" s="171"/>
      <c r="B555" s="171"/>
      <c r="C555" s="53"/>
      <c r="D555" s="53"/>
      <c r="E555" s="53"/>
      <c r="F555" s="53"/>
      <c r="G555" s="53"/>
      <c r="H555" s="52" t="str">
        <f>IF(G555="","",IFERROR(VLOOKUP(G555,'Product_Stock_Master产品维护'!$A$2:$E992,2,FALSE()),"SKU not found"))</f>
        <v/>
      </c>
      <c r="I555" s="52" t="str">
        <f>IF(G555="","",IFERROR(VLOOKUP(G555,'Product_Stock_Master产品维护'!$A$2:$E992,3,FALSE()),"Item type not found"))</f>
        <v/>
      </c>
      <c r="J555" s="53"/>
      <c r="K555" s="53"/>
      <c r="L555" s="53"/>
      <c r="M555" s="53"/>
      <c r="N555" s="53"/>
      <c r="O555" s="52" t="str">
        <f t="shared" si="1"/>
        <v/>
      </c>
      <c r="P555" s="53"/>
      <c r="Q555" s="52" t="str">
        <f t="shared" si="9"/>
        <v/>
      </c>
      <c r="R555" s="52" t="str">
        <f t="shared" si="3"/>
        <v/>
      </c>
      <c r="S555" s="52" t="str">
        <f t="shared" si="10"/>
        <v/>
      </c>
      <c r="T555" s="52" t="str">
        <f t="shared" si="5"/>
        <v/>
      </c>
      <c r="U555" s="52"/>
      <c r="V555" s="53"/>
      <c r="W555" s="52" t="str">
        <f t="shared" si="6"/>
        <v/>
      </c>
      <c r="X555" s="52">
        <f t="shared" si="7"/>
        <v>0</v>
      </c>
      <c r="Y555" s="52">
        <f t="shared" si="8"/>
        <v>0</v>
      </c>
      <c r="Z555" s="52" t="str">
        <f>IF(G555="","",IFERROR(VLOOKUP(G555,'Product_Stock_Master产品维护'!$A$2:$L992,11,FALSE),"No"))</f>
        <v/>
      </c>
      <c r="AA555" s="52" t="str">
        <f>IF(G555="","",IFERROR(VLOOKUP(G555,'Product_Stock_Master产品维护'!$A$2:$L992,12,FALSE),""))</f>
        <v/>
      </c>
      <c r="AB555" s="52" t="str">
        <f t="shared" si="11"/>
        <v/>
      </c>
      <c r="AC555" s="52">
        <f t="shared" si="12"/>
        <v>0</v>
      </c>
    </row>
    <row r="556" ht="15.75" customHeight="1">
      <c r="A556" s="171"/>
      <c r="B556" s="171"/>
      <c r="C556" s="53"/>
      <c r="D556" s="53"/>
      <c r="E556" s="53"/>
      <c r="F556" s="53"/>
      <c r="G556" s="53"/>
      <c r="H556" s="52" t="str">
        <f>IF(G556="","",IFERROR(VLOOKUP(G556,'Product_Stock_Master产品维护'!$A$2:$E992,2,FALSE()),"SKU not found"))</f>
        <v/>
      </c>
      <c r="I556" s="52" t="str">
        <f>IF(G556="","",IFERROR(VLOOKUP(G556,'Product_Stock_Master产品维护'!$A$2:$E992,3,FALSE()),"Item type not found"))</f>
        <v/>
      </c>
      <c r="J556" s="53"/>
      <c r="K556" s="53"/>
      <c r="L556" s="53"/>
      <c r="M556" s="53"/>
      <c r="N556" s="53"/>
      <c r="O556" s="52" t="str">
        <f t="shared" si="1"/>
        <v/>
      </c>
      <c r="P556" s="53"/>
      <c r="Q556" s="52" t="str">
        <f t="shared" si="9"/>
        <v/>
      </c>
      <c r="R556" s="52" t="str">
        <f t="shared" si="3"/>
        <v/>
      </c>
      <c r="S556" s="52" t="str">
        <f t="shared" si="10"/>
        <v/>
      </c>
      <c r="T556" s="52" t="str">
        <f t="shared" si="5"/>
        <v/>
      </c>
      <c r="U556" s="52"/>
      <c r="V556" s="53"/>
      <c r="W556" s="52" t="str">
        <f t="shared" si="6"/>
        <v/>
      </c>
      <c r="X556" s="52">
        <f t="shared" si="7"/>
        <v>0</v>
      </c>
      <c r="Y556" s="52">
        <f t="shared" si="8"/>
        <v>0</v>
      </c>
      <c r="Z556" s="52" t="str">
        <f>IF(G556="","",IFERROR(VLOOKUP(G556,'Product_Stock_Master产品维护'!$A$2:$L992,11,FALSE),"No"))</f>
        <v/>
      </c>
      <c r="AA556" s="52" t="str">
        <f>IF(G556="","",IFERROR(VLOOKUP(G556,'Product_Stock_Master产品维护'!$A$2:$L992,12,FALSE),""))</f>
        <v/>
      </c>
      <c r="AB556" s="52" t="str">
        <f t="shared" si="11"/>
        <v/>
      </c>
      <c r="AC556" s="52">
        <f t="shared" si="12"/>
        <v>0</v>
      </c>
    </row>
    <row r="557" ht="15.75" customHeight="1">
      <c r="A557" s="171"/>
      <c r="B557" s="171"/>
      <c r="C557" s="53"/>
      <c r="D557" s="53"/>
      <c r="E557" s="53"/>
      <c r="F557" s="53"/>
      <c r="G557" s="53"/>
      <c r="H557" s="52" t="str">
        <f>IF(G557="","",IFERROR(VLOOKUP(G557,'Product_Stock_Master产品维护'!$A$2:$E992,2,FALSE()),"SKU not found"))</f>
        <v/>
      </c>
      <c r="I557" s="52" t="str">
        <f>IF(G557="","",IFERROR(VLOOKUP(G557,'Product_Stock_Master产品维护'!$A$2:$E992,3,FALSE()),"Item type not found"))</f>
        <v/>
      </c>
      <c r="J557" s="53"/>
      <c r="K557" s="53"/>
      <c r="L557" s="53"/>
      <c r="M557" s="53"/>
      <c r="N557" s="53"/>
      <c r="O557" s="52" t="str">
        <f t="shared" si="1"/>
        <v/>
      </c>
      <c r="P557" s="53"/>
      <c r="Q557" s="52" t="str">
        <f t="shared" si="9"/>
        <v/>
      </c>
      <c r="R557" s="52" t="str">
        <f t="shared" si="3"/>
        <v/>
      </c>
      <c r="S557" s="52" t="str">
        <f t="shared" si="10"/>
        <v/>
      </c>
      <c r="T557" s="52" t="str">
        <f t="shared" si="5"/>
        <v/>
      </c>
      <c r="U557" s="52"/>
      <c r="V557" s="53"/>
      <c r="W557" s="52" t="str">
        <f t="shared" si="6"/>
        <v/>
      </c>
      <c r="X557" s="52">
        <f t="shared" si="7"/>
        <v>0</v>
      </c>
      <c r="Y557" s="52">
        <f t="shared" si="8"/>
        <v>0</v>
      </c>
      <c r="Z557" s="52" t="str">
        <f>IF(G557="","",IFERROR(VLOOKUP(G557,'Product_Stock_Master产品维护'!$A$2:$L992,11,FALSE),"No"))</f>
        <v/>
      </c>
      <c r="AA557" s="52" t="str">
        <f>IF(G557="","",IFERROR(VLOOKUP(G557,'Product_Stock_Master产品维护'!$A$2:$L992,12,FALSE),""))</f>
        <v/>
      </c>
      <c r="AB557" s="52" t="str">
        <f t="shared" si="11"/>
        <v/>
      </c>
      <c r="AC557" s="52">
        <f t="shared" si="12"/>
        <v>0</v>
      </c>
    </row>
    <row r="558" ht="15.75" customHeight="1">
      <c r="A558" s="171"/>
      <c r="B558" s="171"/>
      <c r="C558" s="53"/>
      <c r="D558" s="53"/>
      <c r="E558" s="53"/>
      <c r="F558" s="53"/>
      <c r="G558" s="53"/>
      <c r="H558" s="52" t="str">
        <f>IF(G558="","",IFERROR(VLOOKUP(G558,'Product_Stock_Master产品维护'!$A$2:$E992,2,FALSE()),"SKU not found"))</f>
        <v/>
      </c>
      <c r="I558" s="52" t="str">
        <f>IF(G558="","",IFERROR(VLOOKUP(G558,'Product_Stock_Master产品维护'!$A$2:$E992,3,FALSE()),"Item type not found"))</f>
        <v/>
      </c>
      <c r="J558" s="53"/>
      <c r="K558" s="53"/>
      <c r="L558" s="53"/>
      <c r="M558" s="53"/>
      <c r="N558" s="53"/>
      <c r="O558" s="52" t="str">
        <f t="shared" si="1"/>
        <v/>
      </c>
      <c r="P558" s="53"/>
      <c r="Q558" s="52" t="str">
        <f t="shared" si="9"/>
        <v/>
      </c>
      <c r="R558" s="52" t="str">
        <f t="shared" si="3"/>
        <v/>
      </c>
      <c r="S558" s="52" t="str">
        <f t="shared" si="10"/>
        <v/>
      </c>
      <c r="T558" s="52" t="str">
        <f t="shared" si="5"/>
        <v/>
      </c>
      <c r="U558" s="52"/>
      <c r="V558" s="53"/>
      <c r="W558" s="52" t="str">
        <f t="shared" si="6"/>
        <v/>
      </c>
      <c r="X558" s="52">
        <f t="shared" si="7"/>
        <v>0</v>
      </c>
      <c r="Y558" s="52">
        <f t="shared" si="8"/>
        <v>0</v>
      </c>
      <c r="Z558" s="52" t="str">
        <f>IF(G558="","",IFERROR(VLOOKUP(G558,'Product_Stock_Master产品维护'!$A$2:$L992,11,FALSE),"No"))</f>
        <v/>
      </c>
      <c r="AA558" s="52" t="str">
        <f>IF(G558="","",IFERROR(VLOOKUP(G558,'Product_Stock_Master产品维护'!$A$2:$L992,12,FALSE),""))</f>
        <v/>
      </c>
      <c r="AB558" s="52" t="str">
        <f t="shared" si="11"/>
        <v/>
      </c>
      <c r="AC558" s="52">
        <f t="shared" si="12"/>
        <v>0</v>
      </c>
    </row>
    <row r="559" ht="15.75" customHeight="1">
      <c r="A559" s="171"/>
      <c r="B559" s="171"/>
      <c r="C559" s="53"/>
      <c r="D559" s="53"/>
      <c r="E559" s="53"/>
      <c r="F559" s="53"/>
      <c r="G559" s="53"/>
      <c r="H559" s="52" t="str">
        <f>IF(G559="","",IFERROR(VLOOKUP(G559,'Product_Stock_Master产品维护'!$A$2:$E992,2,FALSE()),"SKU not found"))</f>
        <v/>
      </c>
      <c r="I559" s="52" t="str">
        <f>IF(G559="","",IFERROR(VLOOKUP(G559,'Product_Stock_Master产品维护'!$A$2:$E992,3,FALSE()),"Item type not found"))</f>
        <v/>
      </c>
      <c r="J559" s="53"/>
      <c r="K559" s="53"/>
      <c r="L559" s="53"/>
      <c r="M559" s="53"/>
      <c r="N559" s="53"/>
      <c r="O559" s="52" t="str">
        <f t="shared" si="1"/>
        <v/>
      </c>
      <c r="P559" s="53"/>
      <c r="Q559" s="52" t="str">
        <f t="shared" si="9"/>
        <v/>
      </c>
      <c r="R559" s="52" t="str">
        <f t="shared" si="3"/>
        <v/>
      </c>
      <c r="S559" s="52" t="str">
        <f t="shared" si="10"/>
        <v/>
      </c>
      <c r="T559" s="52" t="str">
        <f t="shared" si="5"/>
        <v/>
      </c>
      <c r="U559" s="52"/>
      <c r="V559" s="53"/>
      <c r="W559" s="52" t="str">
        <f t="shared" si="6"/>
        <v/>
      </c>
      <c r="X559" s="52">
        <f t="shared" si="7"/>
        <v>0</v>
      </c>
      <c r="Y559" s="52">
        <f t="shared" si="8"/>
        <v>0</v>
      </c>
      <c r="Z559" s="52" t="str">
        <f>IF(G559="","",IFERROR(VLOOKUP(G559,'Product_Stock_Master产品维护'!$A$2:$L992,11,FALSE),"No"))</f>
        <v/>
      </c>
      <c r="AA559" s="52" t="str">
        <f>IF(G559="","",IFERROR(VLOOKUP(G559,'Product_Stock_Master产品维护'!$A$2:$L992,12,FALSE),""))</f>
        <v/>
      </c>
      <c r="AB559" s="52" t="str">
        <f t="shared" si="11"/>
        <v/>
      </c>
      <c r="AC559" s="52">
        <f t="shared" si="12"/>
        <v>0</v>
      </c>
    </row>
    <row r="560" ht="15.75" customHeight="1">
      <c r="A560" s="171"/>
      <c r="B560" s="171"/>
      <c r="C560" s="53"/>
      <c r="D560" s="53"/>
      <c r="E560" s="53"/>
      <c r="F560" s="53"/>
      <c r="G560" s="53"/>
      <c r="H560" s="52" t="str">
        <f>IF(G560="","",IFERROR(VLOOKUP(G560,'Product_Stock_Master产品维护'!$A$2:$E992,2,FALSE()),"SKU not found"))</f>
        <v/>
      </c>
      <c r="I560" s="52" t="str">
        <f>IF(G560="","",IFERROR(VLOOKUP(G560,'Product_Stock_Master产品维护'!$A$2:$E992,3,FALSE()),"Item type not found"))</f>
        <v/>
      </c>
      <c r="J560" s="53"/>
      <c r="K560" s="53"/>
      <c r="L560" s="53"/>
      <c r="M560" s="53"/>
      <c r="N560" s="53"/>
      <c r="O560" s="52" t="str">
        <f t="shared" si="1"/>
        <v/>
      </c>
      <c r="P560" s="53"/>
      <c r="Q560" s="52" t="str">
        <f t="shared" si="9"/>
        <v/>
      </c>
      <c r="R560" s="52" t="str">
        <f t="shared" si="3"/>
        <v/>
      </c>
      <c r="S560" s="52" t="str">
        <f t="shared" si="10"/>
        <v/>
      </c>
      <c r="T560" s="52" t="str">
        <f t="shared" si="5"/>
        <v/>
      </c>
      <c r="U560" s="52"/>
      <c r="V560" s="53"/>
      <c r="W560" s="52" t="str">
        <f t="shared" si="6"/>
        <v/>
      </c>
      <c r="X560" s="52">
        <f t="shared" si="7"/>
        <v>0</v>
      </c>
      <c r="Y560" s="52">
        <f t="shared" si="8"/>
        <v>0</v>
      </c>
      <c r="Z560" s="52" t="str">
        <f>IF(G560="","",IFERROR(VLOOKUP(G560,'Product_Stock_Master产品维护'!$A$2:$L992,11,FALSE),"No"))</f>
        <v/>
      </c>
      <c r="AA560" s="52" t="str">
        <f>IF(G560="","",IFERROR(VLOOKUP(G560,'Product_Stock_Master产品维护'!$A$2:$L992,12,FALSE),""))</f>
        <v/>
      </c>
      <c r="AB560" s="52" t="str">
        <f t="shared" si="11"/>
        <v/>
      </c>
      <c r="AC560" s="52">
        <f t="shared" si="12"/>
        <v>0</v>
      </c>
    </row>
    <row r="561" ht="15.75" customHeight="1">
      <c r="A561" s="171"/>
      <c r="B561" s="171"/>
      <c r="C561" s="53"/>
      <c r="D561" s="53"/>
      <c r="E561" s="53"/>
      <c r="F561" s="53"/>
      <c r="G561" s="53"/>
      <c r="H561" s="52" t="str">
        <f>IF(G561="","",IFERROR(VLOOKUP(G561,'Product_Stock_Master产品维护'!$A$2:$E992,2,FALSE()),"SKU not found"))</f>
        <v/>
      </c>
      <c r="I561" s="52" t="str">
        <f>IF(G561="","",IFERROR(VLOOKUP(G561,'Product_Stock_Master产品维护'!$A$2:$E992,3,FALSE()),"Item type not found"))</f>
        <v/>
      </c>
      <c r="J561" s="53"/>
      <c r="K561" s="53"/>
      <c r="L561" s="53"/>
      <c r="M561" s="53"/>
      <c r="N561" s="53"/>
      <c r="O561" s="52" t="str">
        <f t="shared" si="1"/>
        <v/>
      </c>
      <c r="P561" s="53"/>
      <c r="Q561" s="52" t="str">
        <f t="shared" si="9"/>
        <v/>
      </c>
      <c r="R561" s="52" t="str">
        <f t="shared" si="3"/>
        <v/>
      </c>
      <c r="S561" s="52" t="str">
        <f t="shared" si="10"/>
        <v/>
      </c>
      <c r="T561" s="52" t="str">
        <f t="shared" si="5"/>
        <v/>
      </c>
      <c r="U561" s="52"/>
      <c r="V561" s="53"/>
      <c r="W561" s="52" t="str">
        <f t="shared" si="6"/>
        <v/>
      </c>
      <c r="X561" s="52">
        <f t="shared" si="7"/>
        <v>0</v>
      </c>
      <c r="Y561" s="52">
        <f t="shared" si="8"/>
        <v>0</v>
      </c>
      <c r="Z561" s="52" t="str">
        <f>IF(G561="","",IFERROR(VLOOKUP(G561,'Product_Stock_Master产品维护'!$A$2:$L992,11,FALSE),"No"))</f>
        <v/>
      </c>
      <c r="AA561" s="52" t="str">
        <f>IF(G561="","",IFERROR(VLOOKUP(G561,'Product_Stock_Master产品维护'!$A$2:$L992,12,FALSE),""))</f>
        <v/>
      </c>
      <c r="AB561" s="52" t="str">
        <f t="shared" si="11"/>
        <v/>
      </c>
      <c r="AC561" s="52">
        <f t="shared" si="12"/>
        <v>0</v>
      </c>
    </row>
    <row r="562" ht="15.75" customHeight="1">
      <c r="A562" s="171"/>
      <c r="B562" s="171"/>
      <c r="C562" s="53"/>
      <c r="D562" s="53"/>
      <c r="E562" s="53"/>
      <c r="F562" s="53"/>
      <c r="G562" s="53"/>
      <c r="H562" s="52" t="str">
        <f>IF(G562="","",IFERROR(VLOOKUP(G562,'Product_Stock_Master产品维护'!$A$2:$E992,2,FALSE()),"SKU not found"))</f>
        <v/>
      </c>
      <c r="I562" s="52" t="str">
        <f>IF(G562="","",IFERROR(VLOOKUP(G562,'Product_Stock_Master产品维护'!$A$2:$E992,3,FALSE()),"Item type not found"))</f>
        <v/>
      </c>
      <c r="J562" s="53"/>
      <c r="K562" s="53"/>
      <c r="L562" s="53"/>
      <c r="M562" s="53"/>
      <c r="N562" s="53"/>
      <c r="O562" s="52" t="str">
        <f t="shared" si="1"/>
        <v/>
      </c>
      <c r="P562" s="53"/>
      <c r="Q562" s="52" t="str">
        <f t="shared" si="9"/>
        <v/>
      </c>
      <c r="R562" s="52" t="str">
        <f t="shared" si="3"/>
        <v/>
      </c>
      <c r="S562" s="52" t="str">
        <f t="shared" si="10"/>
        <v/>
      </c>
      <c r="T562" s="52" t="str">
        <f t="shared" si="5"/>
        <v/>
      </c>
      <c r="U562" s="52"/>
      <c r="V562" s="53"/>
      <c r="W562" s="52" t="str">
        <f t="shared" si="6"/>
        <v/>
      </c>
      <c r="X562" s="52">
        <f t="shared" si="7"/>
        <v>0</v>
      </c>
      <c r="Y562" s="52">
        <f t="shared" si="8"/>
        <v>0</v>
      </c>
      <c r="Z562" s="52" t="str">
        <f>IF(G562="","",IFERROR(VLOOKUP(G562,'Product_Stock_Master产品维护'!$A$2:$L992,11,FALSE),"No"))</f>
        <v/>
      </c>
      <c r="AA562" s="52" t="str">
        <f>IF(G562="","",IFERROR(VLOOKUP(G562,'Product_Stock_Master产品维护'!$A$2:$L992,12,FALSE),""))</f>
        <v/>
      </c>
      <c r="AB562" s="52" t="str">
        <f t="shared" si="11"/>
        <v/>
      </c>
      <c r="AC562" s="52">
        <f t="shared" si="12"/>
        <v>0</v>
      </c>
    </row>
    <row r="563" ht="15.75" customHeight="1">
      <c r="A563" s="171"/>
      <c r="B563" s="171"/>
      <c r="C563" s="53"/>
      <c r="D563" s="53"/>
      <c r="E563" s="53"/>
      <c r="F563" s="53"/>
      <c r="G563" s="53"/>
      <c r="H563" s="52" t="str">
        <f>IF(G563="","",IFERROR(VLOOKUP(G563,'Product_Stock_Master产品维护'!$A$2:$E992,2,FALSE()),"SKU not found"))</f>
        <v/>
      </c>
      <c r="I563" s="52" t="str">
        <f>IF(G563="","",IFERROR(VLOOKUP(G563,'Product_Stock_Master产品维护'!$A$2:$E992,3,FALSE()),"Item type not found"))</f>
        <v/>
      </c>
      <c r="J563" s="53"/>
      <c r="K563" s="53"/>
      <c r="L563" s="53"/>
      <c r="M563" s="53"/>
      <c r="N563" s="53"/>
      <c r="O563" s="52" t="str">
        <f t="shared" si="1"/>
        <v/>
      </c>
      <c r="P563" s="53"/>
      <c r="Q563" s="52" t="str">
        <f t="shared" si="9"/>
        <v/>
      </c>
      <c r="R563" s="52" t="str">
        <f t="shared" si="3"/>
        <v/>
      </c>
      <c r="S563" s="52" t="str">
        <f t="shared" si="10"/>
        <v/>
      </c>
      <c r="T563" s="52" t="str">
        <f t="shared" si="5"/>
        <v/>
      </c>
      <c r="U563" s="52"/>
      <c r="V563" s="53"/>
      <c r="W563" s="52" t="str">
        <f t="shared" si="6"/>
        <v/>
      </c>
      <c r="X563" s="52">
        <f t="shared" si="7"/>
        <v>0</v>
      </c>
      <c r="Y563" s="52">
        <f t="shared" si="8"/>
        <v>0</v>
      </c>
      <c r="Z563" s="52" t="str">
        <f>IF(G563="","",IFERROR(VLOOKUP(G563,'Product_Stock_Master产品维护'!$A$2:$L992,11,FALSE),"No"))</f>
        <v/>
      </c>
      <c r="AA563" s="52" t="str">
        <f>IF(G563="","",IFERROR(VLOOKUP(G563,'Product_Stock_Master产品维护'!$A$2:$L992,12,FALSE),""))</f>
        <v/>
      </c>
      <c r="AB563" s="52" t="str">
        <f t="shared" si="11"/>
        <v/>
      </c>
      <c r="AC563" s="52">
        <f t="shared" si="12"/>
        <v>0</v>
      </c>
    </row>
    <row r="564" ht="15.75" customHeight="1">
      <c r="A564" s="171"/>
      <c r="B564" s="171"/>
      <c r="C564" s="53"/>
      <c r="D564" s="53"/>
      <c r="E564" s="53"/>
      <c r="F564" s="53"/>
      <c r="G564" s="53"/>
      <c r="H564" s="52" t="str">
        <f>IF(G564="","",IFERROR(VLOOKUP(G564,'Product_Stock_Master产品维护'!$A$2:$E992,2,FALSE()),"SKU not found"))</f>
        <v/>
      </c>
      <c r="I564" s="52" t="str">
        <f>IF(G564="","",IFERROR(VLOOKUP(G564,'Product_Stock_Master产品维护'!$A$2:$E992,3,FALSE()),"Item type not found"))</f>
        <v/>
      </c>
      <c r="J564" s="53"/>
      <c r="K564" s="53"/>
      <c r="L564" s="53"/>
      <c r="M564" s="53"/>
      <c r="N564" s="53"/>
      <c r="O564" s="52" t="str">
        <f t="shared" si="1"/>
        <v/>
      </c>
      <c r="P564" s="53"/>
      <c r="Q564" s="52" t="str">
        <f t="shared" si="9"/>
        <v/>
      </c>
      <c r="R564" s="52" t="str">
        <f t="shared" si="3"/>
        <v/>
      </c>
      <c r="S564" s="52" t="str">
        <f t="shared" si="10"/>
        <v/>
      </c>
      <c r="T564" s="52" t="str">
        <f t="shared" si="5"/>
        <v/>
      </c>
      <c r="U564" s="52"/>
      <c r="V564" s="53"/>
      <c r="W564" s="52" t="str">
        <f t="shared" si="6"/>
        <v/>
      </c>
      <c r="X564" s="52">
        <f t="shared" si="7"/>
        <v>0</v>
      </c>
      <c r="Y564" s="52">
        <f t="shared" si="8"/>
        <v>0</v>
      </c>
      <c r="Z564" s="52" t="str">
        <f>IF(G564="","",IFERROR(VLOOKUP(G564,'Product_Stock_Master产品维护'!$A$2:$L992,11,FALSE),"No"))</f>
        <v/>
      </c>
      <c r="AA564" s="52" t="str">
        <f>IF(G564="","",IFERROR(VLOOKUP(G564,'Product_Stock_Master产品维护'!$A$2:$L992,12,FALSE),""))</f>
        <v/>
      </c>
      <c r="AB564" s="52" t="str">
        <f t="shared" si="11"/>
        <v/>
      </c>
      <c r="AC564" s="52">
        <f t="shared" si="12"/>
        <v>0</v>
      </c>
    </row>
    <row r="565" ht="15.75" customHeight="1">
      <c r="A565" s="171"/>
      <c r="B565" s="171"/>
      <c r="C565" s="53"/>
      <c r="D565" s="53"/>
      <c r="E565" s="53"/>
      <c r="F565" s="53"/>
      <c r="G565" s="53"/>
      <c r="H565" s="52" t="str">
        <f>IF(G565="","",IFERROR(VLOOKUP(G565,'Product_Stock_Master产品维护'!$A$2:$E992,2,FALSE()),"SKU not found"))</f>
        <v/>
      </c>
      <c r="I565" s="52" t="str">
        <f>IF(G565="","",IFERROR(VLOOKUP(G565,'Product_Stock_Master产品维护'!$A$2:$E992,3,FALSE()),"Item type not found"))</f>
        <v/>
      </c>
      <c r="J565" s="53"/>
      <c r="K565" s="53"/>
      <c r="L565" s="53"/>
      <c r="M565" s="53"/>
      <c r="N565" s="53"/>
      <c r="O565" s="52" t="str">
        <f t="shared" si="1"/>
        <v/>
      </c>
      <c r="P565" s="53"/>
      <c r="Q565" s="52" t="str">
        <f t="shared" si="9"/>
        <v/>
      </c>
      <c r="R565" s="52" t="str">
        <f t="shared" si="3"/>
        <v/>
      </c>
      <c r="S565" s="52" t="str">
        <f t="shared" si="10"/>
        <v/>
      </c>
      <c r="T565" s="52" t="str">
        <f t="shared" si="5"/>
        <v/>
      </c>
      <c r="U565" s="52"/>
      <c r="V565" s="53"/>
      <c r="W565" s="52" t="str">
        <f t="shared" si="6"/>
        <v/>
      </c>
      <c r="X565" s="52">
        <f t="shared" si="7"/>
        <v>0</v>
      </c>
      <c r="Y565" s="52">
        <f t="shared" si="8"/>
        <v>0</v>
      </c>
      <c r="Z565" s="52" t="str">
        <f>IF(G565="","",IFERROR(VLOOKUP(G565,'Product_Stock_Master产品维护'!$A$2:$L992,11,FALSE),"No"))</f>
        <v/>
      </c>
      <c r="AA565" s="52" t="str">
        <f>IF(G565="","",IFERROR(VLOOKUP(G565,'Product_Stock_Master产品维护'!$A$2:$L992,12,FALSE),""))</f>
        <v/>
      </c>
      <c r="AB565" s="52" t="str">
        <f t="shared" si="11"/>
        <v/>
      </c>
      <c r="AC565" s="52">
        <f t="shared" si="12"/>
        <v>0</v>
      </c>
    </row>
    <row r="566" ht="15.75" customHeight="1">
      <c r="A566" s="171"/>
      <c r="B566" s="171"/>
      <c r="C566" s="53"/>
      <c r="D566" s="53"/>
      <c r="E566" s="53"/>
      <c r="F566" s="53"/>
      <c r="G566" s="53"/>
      <c r="H566" s="52" t="str">
        <f>IF(G566="","",IFERROR(VLOOKUP(G566,'Product_Stock_Master产品维护'!$A$2:$E992,2,FALSE()),"SKU not found"))</f>
        <v/>
      </c>
      <c r="I566" s="52" t="str">
        <f>IF(G566="","",IFERROR(VLOOKUP(G566,'Product_Stock_Master产品维护'!$A$2:$E992,3,FALSE()),"Item type not found"))</f>
        <v/>
      </c>
      <c r="J566" s="53"/>
      <c r="K566" s="53"/>
      <c r="L566" s="53"/>
      <c r="M566" s="53"/>
      <c r="N566" s="53"/>
      <c r="O566" s="52" t="str">
        <f t="shared" si="1"/>
        <v/>
      </c>
      <c r="P566" s="53"/>
      <c r="Q566" s="52" t="str">
        <f t="shared" si="9"/>
        <v/>
      </c>
      <c r="R566" s="52" t="str">
        <f t="shared" si="3"/>
        <v/>
      </c>
      <c r="S566" s="52" t="str">
        <f t="shared" si="10"/>
        <v/>
      </c>
      <c r="T566" s="52" t="str">
        <f t="shared" si="5"/>
        <v/>
      </c>
      <c r="U566" s="52"/>
      <c r="V566" s="53"/>
      <c r="W566" s="52" t="str">
        <f t="shared" si="6"/>
        <v/>
      </c>
      <c r="X566" s="52">
        <f t="shared" si="7"/>
        <v>0</v>
      </c>
      <c r="Y566" s="52">
        <f t="shared" si="8"/>
        <v>0</v>
      </c>
      <c r="Z566" s="52" t="str">
        <f>IF(G566="","",IFERROR(VLOOKUP(G566,'Product_Stock_Master产品维护'!$A$2:$L992,11,FALSE),"No"))</f>
        <v/>
      </c>
      <c r="AA566" s="52" t="str">
        <f>IF(G566="","",IFERROR(VLOOKUP(G566,'Product_Stock_Master产品维护'!$A$2:$L992,12,FALSE),""))</f>
        <v/>
      </c>
      <c r="AB566" s="52" t="str">
        <f t="shared" si="11"/>
        <v/>
      </c>
      <c r="AC566" s="52">
        <f t="shared" si="12"/>
        <v>0</v>
      </c>
    </row>
    <row r="567" ht="15.75" customHeight="1">
      <c r="A567" s="171"/>
      <c r="B567" s="171"/>
      <c r="C567" s="53"/>
      <c r="D567" s="53"/>
      <c r="E567" s="53"/>
      <c r="F567" s="53"/>
      <c r="G567" s="53"/>
      <c r="H567" s="52" t="str">
        <f>IF(G567="","",IFERROR(VLOOKUP(G567,'Product_Stock_Master产品维护'!$A$2:$E992,2,FALSE()),"SKU not found"))</f>
        <v/>
      </c>
      <c r="I567" s="52" t="str">
        <f>IF(G567="","",IFERROR(VLOOKUP(G567,'Product_Stock_Master产品维护'!$A$2:$E992,3,FALSE()),"Item type not found"))</f>
        <v/>
      </c>
      <c r="J567" s="53"/>
      <c r="K567" s="53"/>
      <c r="L567" s="53"/>
      <c r="M567" s="53"/>
      <c r="N567" s="53"/>
      <c r="O567" s="52" t="str">
        <f t="shared" si="1"/>
        <v/>
      </c>
      <c r="P567" s="53"/>
      <c r="Q567" s="52" t="str">
        <f t="shared" si="9"/>
        <v/>
      </c>
      <c r="R567" s="52" t="str">
        <f t="shared" si="3"/>
        <v/>
      </c>
      <c r="S567" s="52" t="str">
        <f t="shared" si="10"/>
        <v/>
      </c>
      <c r="T567" s="52" t="str">
        <f t="shared" si="5"/>
        <v/>
      </c>
      <c r="U567" s="52"/>
      <c r="V567" s="53"/>
      <c r="W567" s="52" t="str">
        <f t="shared" si="6"/>
        <v/>
      </c>
      <c r="X567" s="52">
        <f t="shared" si="7"/>
        <v>0</v>
      </c>
      <c r="Y567" s="52">
        <f t="shared" si="8"/>
        <v>0</v>
      </c>
      <c r="Z567" s="52" t="str">
        <f>IF(G567="","",IFERROR(VLOOKUP(G567,'Product_Stock_Master产品维护'!$A$2:$L992,11,FALSE),"No"))</f>
        <v/>
      </c>
      <c r="AA567" s="52" t="str">
        <f>IF(G567="","",IFERROR(VLOOKUP(G567,'Product_Stock_Master产品维护'!$A$2:$L992,12,FALSE),""))</f>
        <v/>
      </c>
      <c r="AB567" s="52" t="str">
        <f t="shared" si="11"/>
        <v/>
      </c>
      <c r="AC567" s="52">
        <f t="shared" si="12"/>
        <v>0</v>
      </c>
    </row>
    <row r="568" ht="15.75" customHeight="1">
      <c r="A568" s="171"/>
      <c r="B568" s="171"/>
      <c r="C568" s="53"/>
      <c r="D568" s="53"/>
      <c r="E568" s="53"/>
      <c r="F568" s="53"/>
      <c r="G568" s="53"/>
      <c r="H568" s="52" t="str">
        <f>IF(G568="","",IFERROR(VLOOKUP(G568,'Product_Stock_Master产品维护'!$A$2:$E992,2,FALSE()),"SKU not found"))</f>
        <v/>
      </c>
      <c r="I568" s="52" t="str">
        <f>IF(G568="","",IFERROR(VLOOKUP(G568,'Product_Stock_Master产品维护'!$A$2:$E992,3,FALSE()),"Item type not found"))</f>
        <v/>
      </c>
      <c r="J568" s="53"/>
      <c r="K568" s="53"/>
      <c r="L568" s="53"/>
      <c r="M568" s="53"/>
      <c r="N568" s="53"/>
      <c r="O568" s="52" t="str">
        <f t="shared" si="1"/>
        <v/>
      </c>
      <c r="P568" s="53"/>
      <c r="Q568" s="52" t="str">
        <f t="shared" si="9"/>
        <v/>
      </c>
      <c r="R568" s="52" t="str">
        <f t="shared" si="3"/>
        <v/>
      </c>
      <c r="S568" s="52" t="str">
        <f t="shared" si="10"/>
        <v/>
      </c>
      <c r="T568" s="52" t="str">
        <f t="shared" si="5"/>
        <v/>
      </c>
      <c r="U568" s="52"/>
      <c r="V568" s="53"/>
      <c r="W568" s="52" t="str">
        <f t="shared" si="6"/>
        <v/>
      </c>
      <c r="X568" s="52">
        <f t="shared" si="7"/>
        <v>0</v>
      </c>
      <c r="Y568" s="52">
        <f t="shared" si="8"/>
        <v>0</v>
      </c>
      <c r="Z568" s="52" t="str">
        <f>IF(G568="","",IFERROR(VLOOKUP(G568,'Product_Stock_Master产品维护'!$A$2:$L992,11,FALSE),"No"))</f>
        <v/>
      </c>
      <c r="AA568" s="52" t="str">
        <f>IF(G568="","",IFERROR(VLOOKUP(G568,'Product_Stock_Master产品维护'!$A$2:$L992,12,FALSE),""))</f>
        <v/>
      </c>
      <c r="AB568" s="52" t="str">
        <f t="shared" si="11"/>
        <v/>
      </c>
      <c r="AC568" s="52">
        <f t="shared" si="12"/>
        <v>0</v>
      </c>
    </row>
    <row r="569" ht="15.75" customHeight="1">
      <c r="A569" s="171"/>
      <c r="B569" s="171"/>
      <c r="C569" s="53"/>
      <c r="D569" s="53"/>
      <c r="E569" s="53"/>
      <c r="F569" s="53"/>
      <c r="G569" s="53"/>
      <c r="H569" s="52" t="str">
        <f>IF(G569="","",IFERROR(VLOOKUP(G569,'Product_Stock_Master产品维护'!$A$2:$E992,2,FALSE()),"SKU not found"))</f>
        <v/>
      </c>
      <c r="I569" s="52" t="str">
        <f>IF(G569="","",IFERROR(VLOOKUP(G569,'Product_Stock_Master产品维护'!$A$2:$E992,3,FALSE()),"Item type not found"))</f>
        <v/>
      </c>
      <c r="J569" s="53"/>
      <c r="K569" s="53"/>
      <c r="L569" s="53"/>
      <c r="M569" s="53"/>
      <c r="N569" s="53"/>
      <c r="O569" s="52" t="str">
        <f t="shared" si="1"/>
        <v/>
      </c>
      <c r="P569" s="53"/>
      <c r="Q569" s="52" t="str">
        <f t="shared" si="9"/>
        <v/>
      </c>
      <c r="R569" s="52" t="str">
        <f t="shared" si="3"/>
        <v/>
      </c>
      <c r="S569" s="52" t="str">
        <f t="shared" si="10"/>
        <v/>
      </c>
      <c r="T569" s="52" t="str">
        <f t="shared" si="5"/>
        <v/>
      </c>
      <c r="U569" s="52"/>
      <c r="V569" s="53"/>
      <c r="W569" s="52" t="str">
        <f t="shared" si="6"/>
        <v/>
      </c>
      <c r="X569" s="52">
        <f t="shared" si="7"/>
        <v>0</v>
      </c>
      <c r="Y569" s="52">
        <f t="shared" si="8"/>
        <v>0</v>
      </c>
      <c r="Z569" s="52" t="str">
        <f>IF(G569="","",IFERROR(VLOOKUP(G569,'Product_Stock_Master产品维护'!$A$2:$L992,11,FALSE),"No"))</f>
        <v/>
      </c>
      <c r="AA569" s="52" t="str">
        <f>IF(G569="","",IFERROR(VLOOKUP(G569,'Product_Stock_Master产品维护'!$A$2:$L992,12,FALSE),""))</f>
        <v/>
      </c>
      <c r="AB569" s="52" t="str">
        <f t="shared" si="11"/>
        <v/>
      </c>
      <c r="AC569" s="52">
        <f t="shared" si="12"/>
        <v>0</v>
      </c>
    </row>
    <row r="570" ht="15.75" customHeight="1">
      <c r="A570" s="171"/>
      <c r="B570" s="171"/>
      <c r="C570" s="53"/>
      <c r="D570" s="53"/>
      <c r="E570" s="53"/>
      <c r="F570" s="53"/>
      <c r="G570" s="53"/>
      <c r="H570" s="52" t="str">
        <f>IF(G570="","",IFERROR(VLOOKUP(G570,'Product_Stock_Master产品维护'!$A$2:$E992,2,FALSE()),"SKU not found"))</f>
        <v/>
      </c>
      <c r="I570" s="52" t="str">
        <f>IF(G570="","",IFERROR(VLOOKUP(G570,'Product_Stock_Master产品维护'!$A$2:$E992,3,FALSE()),"Item type not found"))</f>
        <v/>
      </c>
      <c r="J570" s="53"/>
      <c r="K570" s="53"/>
      <c r="L570" s="53"/>
      <c r="M570" s="53"/>
      <c r="N570" s="53"/>
      <c r="O570" s="52" t="str">
        <f t="shared" si="1"/>
        <v/>
      </c>
      <c r="P570" s="53"/>
      <c r="Q570" s="52" t="str">
        <f t="shared" si="9"/>
        <v/>
      </c>
      <c r="R570" s="52" t="str">
        <f t="shared" si="3"/>
        <v/>
      </c>
      <c r="S570" s="52" t="str">
        <f t="shared" si="10"/>
        <v/>
      </c>
      <c r="T570" s="52" t="str">
        <f t="shared" si="5"/>
        <v/>
      </c>
      <c r="U570" s="52"/>
      <c r="V570" s="53"/>
      <c r="W570" s="52" t="str">
        <f t="shared" si="6"/>
        <v/>
      </c>
      <c r="X570" s="52">
        <f t="shared" si="7"/>
        <v>0</v>
      </c>
      <c r="Y570" s="52">
        <f t="shared" si="8"/>
        <v>0</v>
      </c>
      <c r="Z570" s="52" t="str">
        <f>IF(G570="","",IFERROR(VLOOKUP(G570,'Product_Stock_Master产品维护'!$A$2:$L992,11,FALSE),"No"))</f>
        <v/>
      </c>
      <c r="AA570" s="52" t="str">
        <f>IF(G570="","",IFERROR(VLOOKUP(G570,'Product_Stock_Master产品维护'!$A$2:$L992,12,FALSE),""))</f>
        <v/>
      </c>
      <c r="AB570" s="52" t="str">
        <f t="shared" si="11"/>
        <v/>
      </c>
      <c r="AC570" s="52">
        <f t="shared" si="12"/>
        <v>0</v>
      </c>
    </row>
    <row r="571" ht="15.75" customHeight="1">
      <c r="A571" s="171"/>
      <c r="B571" s="171"/>
      <c r="C571" s="53"/>
      <c r="D571" s="53"/>
      <c r="E571" s="53"/>
      <c r="F571" s="53"/>
      <c r="G571" s="53"/>
      <c r="H571" s="52" t="str">
        <f>IF(G571="","",IFERROR(VLOOKUP(G571,'Product_Stock_Master产品维护'!$A$2:$E992,2,FALSE()),"SKU not found"))</f>
        <v/>
      </c>
      <c r="I571" s="52" t="str">
        <f>IF(G571="","",IFERROR(VLOOKUP(G571,'Product_Stock_Master产品维护'!$A$2:$E992,3,FALSE()),"Item type not found"))</f>
        <v/>
      </c>
      <c r="J571" s="53"/>
      <c r="K571" s="53"/>
      <c r="L571" s="53"/>
      <c r="M571" s="53"/>
      <c r="N571" s="53"/>
      <c r="O571" s="52" t="str">
        <f t="shared" si="1"/>
        <v/>
      </c>
      <c r="P571" s="53"/>
      <c r="Q571" s="52" t="str">
        <f t="shared" si="9"/>
        <v/>
      </c>
      <c r="R571" s="52" t="str">
        <f t="shared" si="3"/>
        <v/>
      </c>
      <c r="S571" s="52" t="str">
        <f t="shared" si="10"/>
        <v/>
      </c>
      <c r="T571" s="52" t="str">
        <f t="shared" si="5"/>
        <v/>
      </c>
      <c r="U571" s="52"/>
      <c r="V571" s="53"/>
      <c r="W571" s="52" t="str">
        <f t="shared" si="6"/>
        <v/>
      </c>
      <c r="X571" s="52">
        <f t="shared" si="7"/>
        <v>0</v>
      </c>
      <c r="Y571" s="52">
        <f t="shared" si="8"/>
        <v>0</v>
      </c>
      <c r="Z571" s="52" t="str">
        <f>IF(G571="","",IFERROR(VLOOKUP(G571,'Product_Stock_Master产品维护'!$A$2:$L992,11,FALSE),"No"))</f>
        <v/>
      </c>
      <c r="AA571" s="52" t="str">
        <f>IF(G571="","",IFERROR(VLOOKUP(G571,'Product_Stock_Master产品维护'!$A$2:$L992,12,FALSE),""))</f>
        <v/>
      </c>
      <c r="AB571" s="52" t="str">
        <f t="shared" si="11"/>
        <v/>
      </c>
      <c r="AC571" s="52">
        <f t="shared" si="12"/>
        <v>0</v>
      </c>
    </row>
    <row r="572" ht="15.75" customHeight="1">
      <c r="A572" s="171"/>
      <c r="B572" s="171"/>
      <c r="C572" s="53"/>
      <c r="D572" s="53"/>
      <c r="E572" s="53"/>
      <c r="F572" s="53"/>
      <c r="G572" s="53"/>
      <c r="H572" s="52" t="str">
        <f>IF(G572="","",IFERROR(VLOOKUP(G572,'Product_Stock_Master产品维护'!$A$2:$E992,2,FALSE()),"SKU not found"))</f>
        <v/>
      </c>
      <c r="I572" s="52" t="str">
        <f>IF(G572="","",IFERROR(VLOOKUP(G572,'Product_Stock_Master产品维护'!$A$2:$E992,3,FALSE()),"Item type not found"))</f>
        <v/>
      </c>
      <c r="J572" s="53"/>
      <c r="K572" s="53"/>
      <c r="L572" s="53"/>
      <c r="M572" s="53"/>
      <c r="N572" s="53"/>
      <c r="O572" s="52" t="str">
        <f t="shared" si="1"/>
        <v/>
      </c>
      <c r="P572" s="53"/>
      <c r="Q572" s="52" t="str">
        <f t="shared" si="9"/>
        <v/>
      </c>
      <c r="R572" s="52" t="str">
        <f t="shared" si="3"/>
        <v/>
      </c>
      <c r="S572" s="52" t="str">
        <f t="shared" si="10"/>
        <v/>
      </c>
      <c r="T572" s="52" t="str">
        <f t="shared" si="5"/>
        <v/>
      </c>
      <c r="U572" s="52"/>
      <c r="V572" s="53"/>
      <c r="W572" s="52" t="str">
        <f t="shared" si="6"/>
        <v/>
      </c>
      <c r="X572" s="52">
        <f t="shared" si="7"/>
        <v>0</v>
      </c>
      <c r="Y572" s="52">
        <f t="shared" si="8"/>
        <v>0</v>
      </c>
      <c r="Z572" s="52" t="str">
        <f>IF(G572="","",IFERROR(VLOOKUP(G572,'Product_Stock_Master产品维护'!$A$2:$L992,11,FALSE),"No"))</f>
        <v/>
      </c>
      <c r="AA572" s="52" t="str">
        <f>IF(G572="","",IFERROR(VLOOKUP(G572,'Product_Stock_Master产品维护'!$A$2:$L992,12,FALSE),""))</f>
        <v/>
      </c>
      <c r="AB572" s="52" t="str">
        <f t="shared" si="11"/>
        <v/>
      </c>
      <c r="AC572" s="52">
        <f t="shared" si="12"/>
        <v>0</v>
      </c>
    </row>
    <row r="573" ht="15.75" customHeight="1">
      <c r="A573" s="171"/>
      <c r="B573" s="171"/>
      <c r="C573" s="53"/>
      <c r="D573" s="53"/>
      <c r="E573" s="53"/>
      <c r="F573" s="53"/>
      <c r="G573" s="53"/>
      <c r="H573" s="52" t="str">
        <f>IF(G573="","",IFERROR(VLOOKUP(G573,'Product_Stock_Master产品维护'!$A$2:$E992,2,FALSE()),"SKU not found"))</f>
        <v/>
      </c>
      <c r="I573" s="52" t="str">
        <f>IF(G573="","",IFERROR(VLOOKUP(G573,'Product_Stock_Master产品维护'!$A$2:$E992,3,FALSE()),"Item type not found"))</f>
        <v/>
      </c>
      <c r="J573" s="53"/>
      <c r="K573" s="53"/>
      <c r="L573" s="53"/>
      <c r="M573" s="53"/>
      <c r="N573" s="53"/>
      <c r="O573" s="52" t="str">
        <f t="shared" si="1"/>
        <v/>
      </c>
      <c r="P573" s="53"/>
      <c r="Q573" s="52" t="str">
        <f t="shared" si="9"/>
        <v/>
      </c>
      <c r="R573" s="52" t="str">
        <f t="shared" si="3"/>
        <v/>
      </c>
      <c r="S573" s="52" t="str">
        <f t="shared" si="10"/>
        <v/>
      </c>
      <c r="T573" s="52" t="str">
        <f t="shared" si="5"/>
        <v/>
      </c>
      <c r="U573" s="52"/>
      <c r="V573" s="53"/>
      <c r="W573" s="52" t="str">
        <f t="shared" si="6"/>
        <v/>
      </c>
      <c r="X573" s="52">
        <f t="shared" si="7"/>
        <v>0</v>
      </c>
      <c r="Y573" s="52">
        <f t="shared" si="8"/>
        <v>0</v>
      </c>
      <c r="Z573" s="52" t="str">
        <f>IF(G573="","",IFERROR(VLOOKUP(G573,'Product_Stock_Master产品维护'!$A$2:$L992,11,FALSE),"No"))</f>
        <v/>
      </c>
      <c r="AA573" s="52" t="str">
        <f>IF(G573="","",IFERROR(VLOOKUP(G573,'Product_Stock_Master产品维护'!$A$2:$L992,12,FALSE),""))</f>
        <v/>
      </c>
      <c r="AB573" s="52" t="str">
        <f t="shared" si="11"/>
        <v/>
      </c>
      <c r="AC573" s="52">
        <f t="shared" si="12"/>
        <v>0</v>
      </c>
    </row>
    <row r="574" ht="15.75" customHeight="1">
      <c r="A574" s="171"/>
      <c r="B574" s="171"/>
      <c r="C574" s="53"/>
      <c r="D574" s="53"/>
      <c r="E574" s="53"/>
      <c r="F574" s="53"/>
      <c r="G574" s="53"/>
      <c r="H574" s="52" t="str">
        <f>IF(G574="","",IFERROR(VLOOKUP(G574,'Product_Stock_Master产品维护'!$A$2:$E992,2,FALSE()),"SKU not found"))</f>
        <v/>
      </c>
      <c r="I574" s="52" t="str">
        <f>IF(G574="","",IFERROR(VLOOKUP(G574,'Product_Stock_Master产品维护'!$A$2:$E992,3,FALSE()),"Item type not found"))</f>
        <v/>
      </c>
      <c r="J574" s="53"/>
      <c r="K574" s="53"/>
      <c r="L574" s="53"/>
      <c r="M574" s="53"/>
      <c r="N574" s="53"/>
      <c r="O574" s="52" t="str">
        <f t="shared" si="1"/>
        <v/>
      </c>
      <c r="P574" s="53"/>
      <c r="Q574" s="52" t="str">
        <f t="shared" si="9"/>
        <v/>
      </c>
      <c r="R574" s="52" t="str">
        <f t="shared" si="3"/>
        <v/>
      </c>
      <c r="S574" s="52" t="str">
        <f t="shared" si="10"/>
        <v/>
      </c>
      <c r="T574" s="52" t="str">
        <f t="shared" si="5"/>
        <v/>
      </c>
      <c r="U574" s="52"/>
      <c r="V574" s="53"/>
      <c r="W574" s="52" t="str">
        <f t="shared" si="6"/>
        <v/>
      </c>
      <c r="X574" s="52">
        <f t="shared" si="7"/>
        <v>0</v>
      </c>
      <c r="Y574" s="52">
        <f t="shared" si="8"/>
        <v>0</v>
      </c>
      <c r="Z574" s="52" t="str">
        <f>IF(G574="","",IFERROR(VLOOKUP(G574,'Product_Stock_Master产品维护'!$A$2:$L992,11,FALSE),"No"))</f>
        <v/>
      </c>
      <c r="AA574" s="52" t="str">
        <f>IF(G574="","",IFERROR(VLOOKUP(G574,'Product_Stock_Master产品维护'!$A$2:$L992,12,FALSE),""))</f>
        <v/>
      </c>
      <c r="AB574" s="52" t="str">
        <f t="shared" si="11"/>
        <v/>
      </c>
      <c r="AC574" s="52">
        <f t="shared" si="12"/>
        <v>0</v>
      </c>
    </row>
    <row r="575" ht="15.75" customHeight="1">
      <c r="A575" s="171"/>
      <c r="B575" s="171"/>
      <c r="C575" s="53"/>
      <c r="D575" s="53"/>
      <c r="E575" s="53"/>
      <c r="F575" s="53"/>
      <c r="G575" s="53"/>
      <c r="H575" s="52" t="str">
        <f>IF(G575="","",IFERROR(VLOOKUP(G575,'Product_Stock_Master产品维护'!$A$2:$E992,2,FALSE()),"SKU not found"))</f>
        <v/>
      </c>
      <c r="I575" s="52" t="str">
        <f>IF(G575="","",IFERROR(VLOOKUP(G575,'Product_Stock_Master产品维护'!$A$2:$E992,3,FALSE()),"Item type not found"))</f>
        <v/>
      </c>
      <c r="J575" s="53"/>
      <c r="K575" s="53"/>
      <c r="L575" s="53"/>
      <c r="M575" s="53"/>
      <c r="N575" s="53"/>
      <c r="O575" s="52" t="str">
        <f t="shared" si="1"/>
        <v/>
      </c>
      <c r="P575" s="53"/>
      <c r="Q575" s="52" t="str">
        <f t="shared" si="9"/>
        <v/>
      </c>
      <c r="R575" s="52" t="str">
        <f t="shared" si="3"/>
        <v/>
      </c>
      <c r="S575" s="52" t="str">
        <f t="shared" si="10"/>
        <v/>
      </c>
      <c r="T575" s="52" t="str">
        <f t="shared" si="5"/>
        <v/>
      </c>
      <c r="U575" s="52"/>
      <c r="V575" s="53"/>
      <c r="W575" s="52" t="str">
        <f t="shared" si="6"/>
        <v/>
      </c>
      <c r="X575" s="52">
        <f t="shared" si="7"/>
        <v>0</v>
      </c>
      <c r="Y575" s="52">
        <f t="shared" si="8"/>
        <v>0</v>
      </c>
      <c r="Z575" s="52" t="str">
        <f>IF(G575="","",IFERROR(VLOOKUP(G575,'Product_Stock_Master产品维护'!$A$2:$L992,11,FALSE),"No"))</f>
        <v/>
      </c>
      <c r="AA575" s="52" t="str">
        <f>IF(G575="","",IFERROR(VLOOKUP(G575,'Product_Stock_Master产品维护'!$A$2:$L992,12,FALSE),""))</f>
        <v/>
      </c>
      <c r="AB575" s="52" t="str">
        <f t="shared" si="11"/>
        <v/>
      </c>
      <c r="AC575" s="52">
        <f t="shared" si="12"/>
        <v>0</v>
      </c>
    </row>
    <row r="576" ht="15.75" customHeight="1">
      <c r="A576" s="171"/>
      <c r="B576" s="171"/>
      <c r="C576" s="53"/>
      <c r="D576" s="53"/>
      <c r="E576" s="53"/>
      <c r="F576" s="53"/>
      <c r="G576" s="53"/>
      <c r="H576" s="52" t="str">
        <f>IF(G576="","",IFERROR(VLOOKUP(G576,'Product_Stock_Master产品维护'!$A$2:$E992,2,FALSE()),"SKU not found"))</f>
        <v/>
      </c>
      <c r="I576" s="52" t="str">
        <f>IF(G576="","",IFERROR(VLOOKUP(G576,'Product_Stock_Master产品维护'!$A$2:$E992,3,FALSE()),"Item type not found"))</f>
        <v/>
      </c>
      <c r="J576" s="53"/>
      <c r="K576" s="53"/>
      <c r="L576" s="53"/>
      <c r="M576" s="53"/>
      <c r="N576" s="53"/>
      <c r="O576" s="52" t="str">
        <f t="shared" si="1"/>
        <v/>
      </c>
      <c r="P576" s="53"/>
      <c r="Q576" s="52" t="str">
        <f t="shared" si="9"/>
        <v/>
      </c>
      <c r="R576" s="52" t="str">
        <f t="shared" si="3"/>
        <v/>
      </c>
      <c r="S576" s="52" t="str">
        <f t="shared" si="10"/>
        <v/>
      </c>
      <c r="T576" s="52" t="str">
        <f t="shared" si="5"/>
        <v/>
      </c>
      <c r="U576" s="52"/>
      <c r="V576" s="53"/>
      <c r="W576" s="52" t="str">
        <f t="shared" si="6"/>
        <v/>
      </c>
      <c r="X576" s="52">
        <f t="shared" si="7"/>
        <v>0</v>
      </c>
      <c r="Y576" s="52">
        <f t="shared" si="8"/>
        <v>0</v>
      </c>
      <c r="Z576" s="52" t="str">
        <f>IF(G576="","",IFERROR(VLOOKUP(G576,'Product_Stock_Master产品维护'!$A$2:$L992,11,FALSE),"No"))</f>
        <v/>
      </c>
      <c r="AA576" s="52" t="str">
        <f>IF(G576="","",IFERROR(VLOOKUP(G576,'Product_Stock_Master产品维护'!$A$2:$L992,12,FALSE),""))</f>
        <v/>
      </c>
      <c r="AB576" s="52" t="str">
        <f t="shared" si="11"/>
        <v/>
      </c>
      <c r="AC576" s="52">
        <f t="shared" si="12"/>
        <v>0</v>
      </c>
    </row>
    <row r="577" ht="15.75" customHeight="1">
      <c r="A577" s="171"/>
      <c r="B577" s="171"/>
      <c r="C577" s="53"/>
      <c r="D577" s="53"/>
      <c r="E577" s="53"/>
      <c r="F577" s="53"/>
      <c r="G577" s="53"/>
      <c r="H577" s="52" t="str">
        <f>IF(G577="","",IFERROR(VLOOKUP(G577,'Product_Stock_Master产品维护'!$A$2:$E992,2,FALSE()),"SKU not found"))</f>
        <v/>
      </c>
      <c r="I577" s="52" t="str">
        <f>IF(G577="","",IFERROR(VLOOKUP(G577,'Product_Stock_Master产品维护'!$A$2:$E992,3,FALSE()),"Item type not found"))</f>
        <v/>
      </c>
      <c r="J577" s="53"/>
      <c r="K577" s="53"/>
      <c r="L577" s="53"/>
      <c r="M577" s="53"/>
      <c r="N577" s="53"/>
      <c r="O577" s="52" t="str">
        <f t="shared" si="1"/>
        <v/>
      </c>
      <c r="P577" s="53"/>
      <c r="Q577" s="52" t="str">
        <f t="shared" si="9"/>
        <v/>
      </c>
      <c r="R577" s="52" t="str">
        <f t="shared" si="3"/>
        <v/>
      </c>
      <c r="S577" s="52" t="str">
        <f t="shared" si="10"/>
        <v/>
      </c>
      <c r="T577" s="52" t="str">
        <f t="shared" si="5"/>
        <v/>
      </c>
      <c r="U577" s="52"/>
      <c r="V577" s="53"/>
      <c r="W577" s="52" t="str">
        <f t="shared" si="6"/>
        <v/>
      </c>
      <c r="X577" s="52">
        <f t="shared" si="7"/>
        <v>0</v>
      </c>
      <c r="Y577" s="52">
        <f t="shared" si="8"/>
        <v>0</v>
      </c>
      <c r="Z577" s="52" t="str">
        <f>IF(G577="","",IFERROR(VLOOKUP(G577,'Product_Stock_Master产品维护'!$A$2:$L992,11,FALSE),"No"))</f>
        <v/>
      </c>
      <c r="AA577" s="52" t="str">
        <f>IF(G577="","",IFERROR(VLOOKUP(G577,'Product_Stock_Master产品维护'!$A$2:$L992,12,FALSE),""))</f>
        <v/>
      </c>
      <c r="AB577" s="52" t="str">
        <f t="shared" si="11"/>
        <v/>
      </c>
      <c r="AC577" s="52">
        <f t="shared" si="12"/>
        <v>0</v>
      </c>
    </row>
    <row r="578" ht="15.75" customHeight="1">
      <c r="A578" s="171"/>
      <c r="B578" s="171"/>
      <c r="C578" s="53"/>
      <c r="D578" s="53"/>
      <c r="E578" s="53"/>
      <c r="F578" s="53"/>
      <c r="G578" s="53"/>
      <c r="H578" s="52" t="str">
        <f>IF(G578="","",IFERROR(VLOOKUP(G578,'Product_Stock_Master产品维护'!$A$2:$E992,2,FALSE()),"SKU not found"))</f>
        <v/>
      </c>
      <c r="I578" s="52" t="str">
        <f>IF(G578="","",IFERROR(VLOOKUP(G578,'Product_Stock_Master产品维护'!$A$2:$E992,3,FALSE()),"Item type not found"))</f>
        <v/>
      </c>
      <c r="J578" s="53"/>
      <c r="K578" s="53"/>
      <c r="L578" s="53"/>
      <c r="M578" s="53"/>
      <c r="N578" s="53"/>
      <c r="O578" s="52" t="str">
        <f t="shared" si="1"/>
        <v/>
      </c>
      <c r="P578" s="53"/>
      <c r="Q578" s="52" t="str">
        <f t="shared" si="9"/>
        <v/>
      </c>
      <c r="R578" s="52" t="str">
        <f t="shared" si="3"/>
        <v/>
      </c>
      <c r="S578" s="52" t="str">
        <f t="shared" si="10"/>
        <v/>
      </c>
      <c r="T578" s="52" t="str">
        <f t="shared" si="5"/>
        <v/>
      </c>
      <c r="U578" s="52"/>
      <c r="V578" s="53"/>
      <c r="W578" s="52" t="str">
        <f t="shared" si="6"/>
        <v/>
      </c>
      <c r="X578" s="52">
        <f t="shared" si="7"/>
        <v>0</v>
      </c>
      <c r="Y578" s="52">
        <f t="shared" si="8"/>
        <v>0</v>
      </c>
      <c r="Z578" s="52" t="str">
        <f>IF(G578="","",IFERROR(VLOOKUP(G578,'Product_Stock_Master产品维护'!$A$2:$L992,11,FALSE),"No"))</f>
        <v/>
      </c>
      <c r="AA578" s="52" t="str">
        <f>IF(G578="","",IFERROR(VLOOKUP(G578,'Product_Stock_Master产品维护'!$A$2:$L992,12,FALSE),""))</f>
        <v/>
      </c>
      <c r="AB578" s="52" t="str">
        <f t="shared" si="11"/>
        <v/>
      </c>
      <c r="AC578" s="52">
        <f t="shared" si="12"/>
        <v>0</v>
      </c>
    </row>
    <row r="579" ht="15.75" customHeight="1">
      <c r="A579" s="171"/>
      <c r="B579" s="171"/>
      <c r="C579" s="53"/>
      <c r="D579" s="53"/>
      <c r="E579" s="53"/>
      <c r="F579" s="53"/>
      <c r="G579" s="53"/>
      <c r="H579" s="52" t="str">
        <f>IF(G579="","",IFERROR(VLOOKUP(G579,'Product_Stock_Master产品维护'!$A$2:$E992,2,FALSE()),"SKU not found"))</f>
        <v/>
      </c>
      <c r="I579" s="52" t="str">
        <f>IF(G579="","",IFERROR(VLOOKUP(G579,'Product_Stock_Master产品维护'!$A$2:$E992,3,FALSE()),"Item type not found"))</f>
        <v/>
      </c>
      <c r="J579" s="53"/>
      <c r="K579" s="53"/>
      <c r="L579" s="53"/>
      <c r="M579" s="53"/>
      <c r="N579" s="53"/>
      <c r="O579" s="52" t="str">
        <f t="shared" si="1"/>
        <v/>
      </c>
      <c r="P579" s="53"/>
      <c r="Q579" s="52" t="str">
        <f t="shared" si="9"/>
        <v/>
      </c>
      <c r="R579" s="52" t="str">
        <f t="shared" si="3"/>
        <v/>
      </c>
      <c r="S579" s="52" t="str">
        <f t="shared" si="10"/>
        <v/>
      </c>
      <c r="T579" s="52" t="str">
        <f t="shared" si="5"/>
        <v/>
      </c>
      <c r="U579" s="52"/>
      <c r="V579" s="53"/>
      <c r="W579" s="52" t="str">
        <f t="shared" si="6"/>
        <v/>
      </c>
      <c r="X579" s="52">
        <f t="shared" si="7"/>
        <v>0</v>
      </c>
      <c r="Y579" s="52">
        <f t="shared" si="8"/>
        <v>0</v>
      </c>
      <c r="Z579" s="52" t="str">
        <f>IF(G579="","",IFERROR(VLOOKUP(G579,'Product_Stock_Master产品维护'!$A$2:$L992,11,FALSE),"No"))</f>
        <v/>
      </c>
      <c r="AA579" s="52" t="str">
        <f>IF(G579="","",IFERROR(VLOOKUP(G579,'Product_Stock_Master产品维护'!$A$2:$L992,12,FALSE),""))</f>
        <v/>
      </c>
      <c r="AB579" s="52" t="str">
        <f t="shared" si="11"/>
        <v/>
      </c>
      <c r="AC579" s="52">
        <f t="shared" si="12"/>
        <v>0</v>
      </c>
    </row>
    <row r="580" ht="15.75" customHeight="1">
      <c r="A580" s="171"/>
      <c r="B580" s="171"/>
      <c r="C580" s="53"/>
      <c r="D580" s="53"/>
      <c r="E580" s="53"/>
      <c r="F580" s="53"/>
      <c r="G580" s="53"/>
      <c r="H580" s="52" t="str">
        <f>IF(G580="","",IFERROR(VLOOKUP(G580,'Product_Stock_Master产品维护'!$A$2:$E992,2,FALSE()),"SKU not found"))</f>
        <v/>
      </c>
      <c r="I580" s="52" t="str">
        <f>IF(G580="","",IFERROR(VLOOKUP(G580,'Product_Stock_Master产品维护'!$A$2:$E992,3,FALSE()),"Item type not found"))</f>
        <v/>
      </c>
      <c r="J580" s="53"/>
      <c r="K580" s="53"/>
      <c r="L580" s="53"/>
      <c r="M580" s="53"/>
      <c r="N580" s="53"/>
      <c r="O580" s="52" t="str">
        <f t="shared" si="1"/>
        <v/>
      </c>
      <c r="P580" s="53"/>
      <c r="Q580" s="52" t="str">
        <f t="shared" si="9"/>
        <v/>
      </c>
      <c r="R580" s="52" t="str">
        <f t="shared" si="3"/>
        <v/>
      </c>
      <c r="S580" s="52" t="str">
        <f t="shared" si="10"/>
        <v/>
      </c>
      <c r="T580" s="52" t="str">
        <f t="shared" si="5"/>
        <v/>
      </c>
      <c r="U580" s="52"/>
      <c r="V580" s="53"/>
      <c r="W580" s="52" t="str">
        <f t="shared" si="6"/>
        <v/>
      </c>
      <c r="X580" s="52">
        <f t="shared" si="7"/>
        <v>0</v>
      </c>
      <c r="Y580" s="52">
        <f t="shared" si="8"/>
        <v>0</v>
      </c>
      <c r="Z580" s="52" t="str">
        <f>IF(G580="","",IFERROR(VLOOKUP(G580,'Product_Stock_Master产品维护'!$A$2:$L992,11,FALSE),"No"))</f>
        <v/>
      </c>
      <c r="AA580" s="52" t="str">
        <f>IF(G580="","",IFERROR(VLOOKUP(G580,'Product_Stock_Master产品维护'!$A$2:$L992,12,FALSE),""))</f>
        <v/>
      </c>
      <c r="AB580" s="52" t="str">
        <f t="shared" si="11"/>
        <v/>
      </c>
      <c r="AC580" s="52">
        <f t="shared" si="12"/>
        <v>0</v>
      </c>
    </row>
    <row r="581" ht="15.75" customHeight="1">
      <c r="A581" s="171"/>
      <c r="B581" s="171"/>
      <c r="C581" s="53"/>
      <c r="D581" s="53"/>
      <c r="E581" s="53"/>
      <c r="F581" s="53"/>
      <c r="G581" s="53"/>
      <c r="H581" s="52" t="str">
        <f>IF(G581="","",IFERROR(VLOOKUP(G581,'Product_Stock_Master产品维护'!$A$2:$E992,2,FALSE()),"SKU not found"))</f>
        <v/>
      </c>
      <c r="I581" s="52" t="str">
        <f>IF(G581="","",IFERROR(VLOOKUP(G581,'Product_Stock_Master产品维护'!$A$2:$E992,3,FALSE()),"Item type not found"))</f>
        <v/>
      </c>
      <c r="J581" s="53"/>
      <c r="K581" s="53"/>
      <c r="L581" s="53"/>
      <c r="M581" s="53"/>
      <c r="N581" s="53"/>
      <c r="O581" s="52" t="str">
        <f t="shared" si="1"/>
        <v/>
      </c>
      <c r="P581" s="53"/>
      <c r="Q581" s="52" t="str">
        <f t="shared" si="9"/>
        <v/>
      </c>
      <c r="R581" s="52" t="str">
        <f t="shared" si="3"/>
        <v/>
      </c>
      <c r="S581" s="52" t="str">
        <f t="shared" si="10"/>
        <v/>
      </c>
      <c r="T581" s="52" t="str">
        <f t="shared" si="5"/>
        <v/>
      </c>
      <c r="U581" s="52"/>
      <c r="V581" s="53"/>
      <c r="W581" s="52" t="str">
        <f t="shared" si="6"/>
        <v/>
      </c>
      <c r="X581" s="52">
        <f t="shared" si="7"/>
        <v>0</v>
      </c>
      <c r="Y581" s="52">
        <f t="shared" si="8"/>
        <v>0</v>
      </c>
      <c r="Z581" s="52" t="str">
        <f>IF(G581="","",IFERROR(VLOOKUP(G581,'Product_Stock_Master产品维护'!$A$2:$L992,11,FALSE),"No"))</f>
        <v/>
      </c>
      <c r="AA581" s="52" t="str">
        <f>IF(G581="","",IFERROR(VLOOKUP(G581,'Product_Stock_Master产品维护'!$A$2:$L992,12,FALSE),""))</f>
        <v/>
      </c>
      <c r="AB581" s="52" t="str">
        <f t="shared" si="11"/>
        <v/>
      </c>
      <c r="AC581" s="52">
        <f t="shared" si="12"/>
        <v>0</v>
      </c>
    </row>
    <row r="582" ht="15.75" customHeight="1">
      <c r="A582" s="171"/>
      <c r="B582" s="171"/>
      <c r="C582" s="53"/>
      <c r="D582" s="53"/>
      <c r="E582" s="53"/>
      <c r="F582" s="53"/>
      <c r="G582" s="53"/>
      <c r="H582" s="52" t="str">
        <f>IF(G582="","",IFERROR(VLOOKUP(G582,'Product_Stock_Master产品维护'!$A$2:$E992,2,FALSE()),"SKU not found"))</f>
        <v/>
      </c>
      <c r="I582" s="52" t="str">
        <f>IF(G582="","",IFERROR(VLOOKUP(G582,'Product_Stock_Master产品维护'!$A$2:$E992,3,FALSE()),"Item type not found"))</f>
        <v/>
      </c>
      <c r="J582" s="53"/>
      <c r="K582" s="53"/>
      <c r="L582" s="53"/>
      <c r="M582" s="53"/>
      <c r="N582" s="53"/>
      <c r="O582" s="52" t="str">
        <f t="shared" si="1"/>
        <v/>
      </c>
      <c r="P582" s="53"/>
      <c r="Q582" s="52" t="str">
        <f t="shared" si="9"/>
        <v/>
      </c>
      <c r="R582" s="52" t="str">
        <f t="shared" si="3"/>
        <v/>
      </c>
      <c r="S582" s="52" t="str">
        <f t="shared" si="10"/>
        <v/>
      </c>
      <c r="T582" s="52" t="str">
        <f t="shared" si="5"/>
        <v/>
      </c>
      <c r="U582" s="52"/>
      <c r="V582" s="53"/>
      <c r="W582" s="52" t="str">
        <f t="shared" si="6"/>
        <v/>
      </c>
      <c r="X582" s="52">
        <f t="shared" si="7"/>
        <v>0</v>
      </c>
      <c r="Y582" s="52">
        <f t="shared" si="8"/>
        <v>0</v>
      </c>
      <c r="Z582" s="52" t="str">
        <f>IF(G582="","",IFERROR(VLOOKUP(G582,'Product_Stock_Master产品维护'!$A$2:$L992,11,FALSE),"No"))</f>
        <v/>
      </c>
      <c r="AA582" s="52" t="str">
        <f>IF(G582="","",IFERROR(VLOOKUP(G582,'Product_Stock_Master产品维护'!$A$2:$L992,12,FALSE),""))</f>
        <v/>
      </c>
      <c r="AB582" s="52" t="str">
        <f t="shared" si="11"/>
        <v/>
      </c>
      <c r="AC582" s="52">
        <f t="shared" si="12"/>
        <v>0</v>
      </c>
    </row>
    <row r="583" ht="15.75" customHeight="1">
      <c r="A583" s="171"/>
      <c r="B583" s="171"/>
      <c r="C583" s="53"/>
      <c r="D583" s="53"/>
      <c r="E583" s="53"/>
      <c r="F583" s="53"/>
      <c r="G583" s="53"/>
      <c r="H583" s="52" t="str">
        <f>IF(G583="","",IFERROR(VLOOKUP(G583,'Product_Stock_Master产品维护'!$A$2:$E992,2,FALSE()),"SKU not found"))</f>
        <v/>
      </c>
      <c r="I583" s="52" t="str">
        <f>IF(G583="","",IFERROR(VLOOKUP(G583,'Product_Stock_Master产品维护'!$A$2:$E992,3,FALSE()),"Item type not found"))</f>
        <v/>
      </c>
      <c r="J583" s="53"/>
      <c r="K583" s="53"/>
      <c r="L583" s="53"/>
      <c r="M583" s="53"/>
      <c r="N583" s="53"/>
      <c r="O583" s="52" t="str">
        <f t="shared" si="1"/>
        <v/>
      </c>
      <c r="P583" s="53"/>
      <c r="Q583" s="52" t="str">
        <f t="shared" si="9"/>
        <v/>
      </c>
      <c r="R583" s="52" t="str">
        <f t="shared" si="3"/>
        <v/>
      </c>
      <c r="S583" s="52" t="str">
        <f t="shared" si="10"/>
        <v/>
      </c>
      <c r="T583" s="52" t="str">
        <f t="shared" si="5"/>
        <v/>
      </c>
      <c r="U583" s="52"/>
      <c r="V583" s="53"/>
      <c r="W583" s="52" t="str">
        <f t="shared" si="6"/>
        <v/>
      </c>
      <c r="X583" s="52">
        <f t="shared" si="7"/>
        <v>0</v>
      </c>
      <c r="Y583" s="52">
        <f t="shared" si="8"/>
        <v>0</v>
      </c>
      <c r="Z583" s="52" t="str">
        <f>IF(G583="","",IFERROR(VLOOKUP(G583,'Product_Stock_Master产品维护'!$A$2:$L992,11,FALSE),"No"))</f>
        <v/>
      </c>
      <c r="AA583" s="52" t="str">
        <f>IF(G583="","",IFERROR(VLOOKUP(G583,'Product_Stock_Master产品维护'!$A$2:$L992,12,FALSE),""))</f>
        <v/>
      </c>
      <c r="AB583" s="52" t="str">
        <f t="shared" si="11"/>
        <v/>
      </c>
      <c r="AC583" s="52">
        <f t="shared" si="12"/>
        <v>0</v>
      </c>
    </row>
    <row r="584" ht="15.75" customHeight="1">
      <c r="A584" s="171"/>
      <c r="B584" s="171"/>
      <c r="C584" s="53"/>
      <c r="D584" s="53"/>
      <c r="E584" s="53"/>
      <c r="F584" s="53"/>
      <c r="G584" s="53"/>
      <c r="H584" s="52" t="str">
        <f>IF(G584="","",IFERROR(VLOOKUP(G584,'Product_Stock_Master产品维护'!$A$2:$E992,2,FALSE()),"SKU not found"))</f>
        <v/>
      </c>
      <c r="I584" s="52" t="str">
        <f>IF(G584="","",IFERROR(VLOOKUP(G584,'Product_Stock_Master产品维护'!$A$2:$E992,3,FALSE()),"Item type not found"))</f>
        <v/>
      </c>
      <c r="J584" s="53"/>
      <c r="K584" s="53"/>
      <c r="L584" s="53"/>
      <c r="M584" s="53"/>
      <c r="N584" s="53"/>
      <c r="O584" s="52" t="str">
        <f t="shared" si="1"/>
        <v/>
      </c>
      <c r="P584" s="53"/>
      <c r="Q584" s="52" t="str">
        <f t="shared" si="9"/>
        <v/>
      </c>
      <c r="R584" s="52" t="str">
        <f t="shared" si="3"/>
        <v/>
      </c>
      <c r="S584" s="52" t="str">
        <f t="shared" si="10"/>
        <v/>
      </c>
      <c r="T584" s="52" t="str">
        <f t="shared" si="5"/>
        <v/>
      </c>
      <c r="U584" s="52"/>
      <c r="V584" s="53"/>
      <c r="W584" s="52" t="str">
        <f t="shared" si="6"/>
        <v/>
      </c>
      <c r="X584" s="52">
        <f t="shared" si="7"/>
        <v>0</v>
      </c>
      <c r="Y584" s="52">
        <f t="shared" si="8"/>
        <v>0</v>
      </c>
      <c r="Z584" s="52" t="str">
        <f>IF(G584="","",IFERROR(VLOOKUP(G584,'Product_Stock_Master产品维护'!$A$2:$L992,11,FALSE),"No"))</f>
        <v/>
      </c>
      <c r="AA584" s="52" t="str">
        <f>IF(G584="","",IFERROR(VLOOKUP(G584,'Product_Stock_Master产品维护'!$A$2:$L992,12,FALSE),""))</f>
        <v/>
      </c>
      <c r="AB584" s="52" t="str">
        <f t="shared" si="11"/>
        <v/>
      </c>
      <c r="AC584" s="52">
        <f t="shared" si="12"/>
        <v>0</v>
      </c>
    </row>
    <row r="585" ht="15.75" customHeight="1">
      <c r="A585" s="171"/>
      <c r="B585" s="171"/>
      <c r="C585" s="53"/>
      <c r="D585" s="53"/>
      <c r="E585" s="53"/>
      <c r="F585" s="53"/>
      <c r="G585" s="53"/>
      <c r="H585" s="52" t="str">
        <f>IF(G585="","",IFERROR(VLOOKUP(G585,'Product_Stock_Master产品维护'!$A$2:$E992,2,FALSE()),"SKU not found"))</f>
        <v/>
      </c>
      <c r="I585" s="52" t="str">
        <f>IF(G585="","",IFERROR(VLOOKUP(G585,'Product_Stock_Master产品维护'!$A$2:$E992,3,FALSE()),"Item type not found"))</f>
        <v/>
      </c>
      <c r="J585" s="53"/>
      <c r="K585" s="53"/>
      <c r="L585" s="53"/>
      <c r="M585" s="53"/>
      <c r="N585" s="53"/>
      <c r="O585" s="52" t="str">
        <f t="shared" si="1"/>
        <v/>
      </c>
      <c r="P585" s="53"/>
      <c r="Q585" s="52" t="str">
        <f t="shared" si="9"/>
        <v/>
      </c>
      <c r="R585" s="52" t="str">
        <f t="shared" si="3"/>
        <v/>
      </c>
      <c r="S585" s="52" t="str">
        <f t="shared" si="10"/>
        <v/>
      </c>
      <c r="T585" s="52" t="str">
        <f t="shared" si="5"/>
        <v/>
      </c>
      <c r="U585" s="52"/>
      <c r="V585" s="53"/>
      <c r="W585" s="52" t="str">
        <f t="shared" si="6"/>
        <v/>
      </c>
      <c r="X585" s="52">
        <f t="shared" si="7"/>
        <v>0</v>
      </c>
      <c r="Y585" s="52">
        <f t="shared" si="8"/>
        <v>0</v>
      </c>
      <c r="Z585" s="52" t="str">
        <f>IF(G585="","",IFERROR(VLOOKUP(G585,'Product_Stock_Master产品维护'!$A$2:$L992,11,FALSE),"No"))</f>
        <v/>
      </c>
      <c r="AA585" s="52" t="str">
        <f>IF(G585="","",IFERROR(VLOOKUP(G585,'Product_Stock_Master产品维护'!$A$2:$L992,12,FALSE),""))</f>
        <v/>
      </c>
      <c r="AB585" s="52" t="str">
        <f t="shared" si="11"/>
        <v/>
      </c>
      <c r="AC585" s="52">
        <f t="shared" si="12"/>
        <v>0</v>
      </c>
    </row>
    <row r="586" ht="15.75" customHeight="1">
      <c r="A586" s="171"/>
      <c r="B586" s="171"/>
      <c r="C586" s="53"/>
      <c r="D586" s="53"/>
      <c r="E586" s="53"/>
      <c r="F586" s="53"/>
      <c r="G586" s="53"/>
      <c r="H586" s="52" t="str">
        <f>IF(G586="","",IFERROR(VLOOKUP(G586,'Product_Stock_Master产品维护'!$A$2:$E992,2,FALSE()),"SKU not found"))</f>
        <v/>
      </c>
      <c r="I586" s="52" t="str">
        <f>IF(G586="","",IFERROR(VLOOKUP(G586,'Product_Stock_Master产品维护'!$A$2:$E992,3,FALSE()),"Item type not found"))</f>
        <v/>
      </c>
      <c r="J586" s="53"/>
      <c r="K586" s="53"/>
      <c r="L586" s="53"/>
      <c r="M586" s="53"/>
      <c r="N586" s="53"/>
      <c r="O586" s="52" t="str">
        <f t="shared" si="1"/>
        <v/>
      </c>
      <c r="P586" s="53"/>
      <c r="Q586" s="52" t="str">
        <f t="shared" si="9"/>
        <v/>
      </c>
      <c r="R586" s="52" t="str">
        <f t="shared" si="3"/>
        <v/>
      </c>
      <c r="S586" s="52" t="str">
        <f t="shared" si="10"/>
        <v/>
      </c>
      <c r="T586" s="52" t="str">
        <f t="shared" si="5"/>
        <v/>
      </c>
      <c r="U586" s="52"/>
      <c r="V586" s="53"/>
      <c r="W586" s="52" t="str">
        <f t="shared" si="6"/>
        <v/>
      </c>
      <c r="X586" s="52">
        <f t="shared" si="7"/>
        <v>0</v>
      </c>
      <c r="Y586" s="52">
        <f t="shared" si="8"/>
        <v>0</v>
      </c>
      <c r="Z586" s="52" t="str">
        <f>IF(G586="","",IFERROR(VLOOKUP(G586,'Product_Stock_Master产品维护'!$A$2:$L992,11,FALSE),"No"))</f>
        <v/>
      </c>
      <c r="AA586" s="52" t="str">
        <f>IF(G586="","",IFERROR(VLOOKUP(G586,'Product_Stock_Master产品维护'!$A$2:$L992,12,FALSE),""))</f>
        <v/>
      </c>
      <c r="AB586" s="52" t="str">
        <f t="shared" si="11"/>
        <v/>
      </c>
      <c r="AC586" s="52">
        <f t="shared" si="12"/>
        <v>0</v>
      </c>
    </row>
    <row r="587" ht="15.75" customHeight="1">
      <c r="A587" s="171"/>
      <c r="B587" s="171"/>
      <c r="C587" s="53"/>
      <c r="D587" s="53"/>
      <c r="E587" s="53"/>
      <c r="F587" s="53"/>
      <c r="G587" s="53"/>
      <c r="H587" s="52" t="str">
        <f>IF(G587="","",IFERROR(VLOOKUP(G587,'Product_Stock_Master产品维护'!$A$2:$E992,2,FALSE()),"SKU not found"))</f>
        <v/>
      </c>
      <c r="I587" s="52" t="str">
        <f>IF(G587="","",IFERROR(VLOOKUP(G587,'Product_Stock_Master产品维护'!$A$2:$E992,3,FALSE()),"Item type not found"))</f>
        <v/>
      </c>
      <c r="J587" s="53"/>
      <c r="K587" s="53"/>
      <c r="L587" s="53"/>
      <c r="M587" s="53"/>
      <c r="N587" s="53"/>
      <c r="O587" s="52" t="str">
        <f t="shared" si="1"/>
        <v/>
      </c>
      <c r="P587" s="53"/>
      <c r="Q587" s="52" t="str">
        <f t="shared" si="9"/>
        <v/>
      </c>
      <c r="R587" s="52" t="str">
        <f t="shared" si="3"/>
        <v/>
      </c>
      <c r="S587" s="52" t="str">
        <f t="shared" si="10"/>
        <v/>
      </c>
      <c r="T587" s="52" t="str">
        <f t="shared" si="5"/>
        <v/>
      </c>
      <c r="U587" s="52"/>
      <c r="V587" s="53"/>
      <c r="W587" s="52" t="str">
        <f t="shared" si="6"/>
        <v/>
      </c>
      <c r="X587" s="52">
        <f t="shared" si="7"/>
        <v>0</v>
      </c>
      <c r="Y587" s="52">
        <f t="shared" si="8"/>
        <v>0</v>
      </c>
      <c r="Z587" s="52" t="str">
        <f>IF(G587="","",IFERROR(VLOOKUP(G587,'Product_Stock_Master产品维护'!$A$2:$L992,11,FALSE),"No"))</f>
        <v/>
      </c>
      <c r="AA587" s="52" t="str">
        <f>IF(G587="","",IFERROR(VLOOKUP(G587,'Product_Stock_Master产品维护'!$A$2:$L992,12,FALSE),""))</f>
        <v/>
      </c>
      <c r="AB587" s="52" t="str">
        <f t="shared" si="11"/>
        <v/>
      </c>
      <c r="AC587" s="52">
        <f t="shared" si="12"/>
        <v>0</v>
      </c>
    </row>
    <row r="588" ht="15.75" customHeight="1">
      <c r="A588" s="171"/>
      <c r="B588" s="171"/>
      <c r="C588" s="53"/>
      <c r="D588" s="53"/>
      <c r="E588" s="53"/>
      <c r="F588" s="53"/>
      <c r="G588" s="53"/>
      <c r="H588" s="52" t="str">
        <f>IF(G588="","",IFERROR(VLOOKUP(G588,'Product_Stock_Master产品维护'!$A$2:$E992,2,FALSE()),"SKU not found"))</f>
        <v/>
      </c>
      <c r="I588" s="52" t="str">
        <f>IF(G588="","",IFERROR(VLOOKUP(G588,'Product_Stock_Master产品维护'!$A$2:$E992,3,FALSE()),"Item type not found"))</f>
        <v/>
      </c>
      <c r="J588" s="53"/>
      <c r="K588" s="53"/>
      <c r="L588" s="53"/>
      <c r="M588" s="53"/>
      <c r="N588" s="53"/>
      <c r="O588" s="52" t="str">
        <f t="shared" si="1"/>
        <v/>
      </c>
      <c r="P588" s="53"/>
      <c r="Q588" s="52" t="str">
        <f t="shared" si="9"/>
        <v/>
      </c>
      <c r="R588" s="52" t="str">
        <f t="shared" si="3"/>
        <v/>
      </c>
      <c r="S588" s="52" t="str">
        <f t="shared" si="10"/>
        <v/>
      </c>
      <c r="T588" s="52" t="str">
        <f t="shared" si="5"/>
        <v/>
      </c>
      <c r="U588" s="52"/>
      <c r="V588" s="53"/>
      <c r="W588" s="52" t="str">
        <f t="shared" si="6"/>
        <v/>
      </c>
      <c r="X588" s="52">
        <f t="shared" si="7"/>
        <v>0</v>
      </c>
      <c r="Y588" s="52">
        <f t="shared" si="8"/>
        <v>0</v>
      </c>
      <c r="Z588" s="52" t="str">
        <f>IF(G588="","",IFERROR(VLOOKUP(G588,'Product_Stock_Master产品维护'!$A$2:$L992,11,FALSE),"No"))</f>
        <v/>
      </c>
      <c r="AA588" s="52" t="str">
        <f>IF(G588="","",IFERROR(VLOOKUP(G588,'Product_Stock_Master产品维护'!$A$2:$L992,12,FALSE),""))</f>
        <v/>
      </c>
      <c r="AB588" s="52" t="str">
        <f t="shared" si="11"/>
        <v/>
      </c>
      <c r="AC588" s="52">
        <f t="shared" si="12"/>
        <v>0</v>
      </c>
    </row>
    <row r="589" ht="15.75" customHeight="1">
      <c r="A589" s="171"/>
      <c r="B589" s="171"/>
      <c r="C589" s="53"/>
      <c r="D589" s="53"/>
      <c r="E589" s="53"/>
      <c r="F589" s="53"/>
      <c r="G589" s="53"/>
      <c r="H589" s="52" t="str">
        <f>IF(G589="","",IFERROR(VLOOKUP(G589,'Product_Stock_Master产品维护'!$A$2:$E992,2,FALSE()),"SKU not found"))</f>
        <v/>
      </c>
      <c r="I589" s="52" t="str">
        <f>IF(G589="","",IFERROR(VLOOKUP(G589,'Product_Stock_Master产品维护'!$A$2:$E992,3,FALSE()),"Item type not found"))</f>
        <v/>
      </c>
      <c r="J589" s="53"/>
      <c r="K589" s="53"/>
      <c r="L589" s="53"/>
      <c r="M589" s="53"/>
      <c r="N589" s="53"/>
      <c r="O589" s="52" t="str">
        <f t="shared" si="1"/>
        <v/>
      </c>
      <c r="P589" s="53"/>
      <c r="Q589" s="52" t="str">
        <f t="shared" si="9"/>
        <v/>
      </c>
      <c r="R589" s="52" t="str">
        <f t="shared" si="3"/>
        <v/>
      </c>
      <c r="S589" s="52" t="str">
        <f t="shared" si="10"/>
        <v/>
      </c>
      <c r="T589" s="52" t="str">
        <f t="shared" si="5"/>
        <v/>
      </c>
      <c r="U589" s="52"/>
      <c r="V589" s="53"/>
      <c r="W589" s="52" t="str">
        <f t="shared" si="6"/>
        <v/>
      </c>
      <c r="X589" s="52">
        <f t="shared" si="7"/>
        <v>0</v>
      </c>
      <c r="Y589" s="52">
        <f t="shared" si="8"/>
        <v>0</v>
      </c>
      <c r="Z589" s="52" t="str">
        <f>IF(G589="","",IFERROR(VLOOKUP(G589,'Product_Stock_Master产品维护'!$A$2:$L992,11,FALSE),"No"))</f>
        <v/>
      </c>
      <c r="AA589" s="52" t="str">
        <f>IF(G589="","",IFERROR(VLOOKUP(G589,'Product_Stock_Master产品维护'!$A$2:$L992,12,FALSE),""))</f>
        <v/>
      </c>
      <c r="AB589" s="52" t="str">
        <f t="shared" si="11"/>
        <v/>
      </c>
      <c r="AC589" s="52">
        <f t="shared" si="12"/>
        <v>0</v>
      </c>
    </row>
    <row r="590" ht="15.75" customHeight="1">
      <c r="A590" s="171"/>
      <c r="B590" s="171"/>
      <c r="C590" s="53"/>
      <c r="D590" s="53"/>
      <c r="E590" s="53"/>
      <c r="F590" s="53"/>
      <c r="G590" s="53"/>
      <c r="H590" s="52" t="str">
        <f>IF(G590="","",IFERROR(VLOOKUP(G590,'Product_Stock_Master产品维护'!$A$2:$E992,2,FALSE()),"SKU not found"))</f>
        <v/>
      </c>
      <c r="I590" s="52" t="str">
        <f>IF(G590="","",IFERROR(VLOOKUP(G590,'Product_Stock_Master产品维护'!$A$2:$E992,3,FALSE()),"Item type not found"))</f>
        <v/>
      </c>
      <c r="J590" s="53"/>
      <c r="K590" s="53"/>
      <c r="L590" s="53"/>
      <c r="M590" s="53"/>
      <c r="N590" s="53"/>
      <c r="O590" s="52" t="str">
        <f t="shared" si="1"/>
        <v/>
      </c>
      <c r="P590" s="53"/>
      <c r="Q590" s="52" t="str">
        <f t="shared" si="9"/>
        <v/>
      </c>
      <c r="R590" s="52" t="str">
        <f t="shared" si="3"/>
        <v/>
      </c>
      <c r="S590" s="52" t="str">
        <f t="shared" si="10"/>
        <v/>
      </c>
      <c r="T590" s="52" t="str">
        <f t="shared" si="5"/>
        <v/>
      </c>
      <c r="U590" s="52"/>
      <c r="V590" s="53"/>
      <c r="W590" s="52" t="str">
        <f t="shared" si="6"/>
        <v/>
      </c>
      <c r="X590" s="52">
        <f t="shared" si="7"/>
        <v>0</v>
      </c>
      <c r="Y590" s="52">
        <f t="shared" si="8"/>
        <v>0</v>
      </c>
      <c r="Z590" s="52" t="str">
        <f>IF(G590="","",IFERROR(VLOOKUP(G590,'Product_Stock_Master产品维护'!$A$2:$L992,11,FALSE),"No"))</f>
        <v/>
      </c>
      <c r="AA590" s="52" t="str">
        <f>IF(G590="","",IFERROR(VLOOKUP(G590,'Product_Stock_Master产品维护'!$A$2:$L992,12,FALSE),""))</f>
        <v/>
      </c>
      <c r="AB590" s="52" t="str">
        <f t="shared" si="11"/>
        <v/>
      </c>
      <c r="AC590" s="52">
        <f t="shared" si="12"/>
        <v>0</v>
      </c>
    </row>
    <row r="591" ht="15.75" customHeight="1">
      <c r="A591" s="171"/>
      <c r="B591" s="171"/>
      <c r="C591" s="53"/>
      <c r="D591" s="53"/>
      <c r="E591" s="53"/>
      <c r="F591" s="53"/>
      <c r="G591" s="53"/>
      <c r="H591" s="52" t="str">
        <f>IF(G591="","",IFERROR(VLOOKUP(G591,'Product_Stock_Master产品维护'!$A$2:$E992,2,FALSE()),"SKU not found"))</f>
        <v/>
      </c>
      <c r="I591" s="52" t="str">
        <f>IF(G591="","",IFERROR(VLOOKUP(G591,'Product_Stock_Master产品维护'!$A$2:$E992,3,FALSE()),"Item type not found"))</f>
        <v/>
      </c>
      <c r="J591" s="53"/>
      <c r="K591" s="53"/>
      <c r="L591" s="53"/>
      <c r="M591" s="53"/>
      <c r="N591" s="53"/>
      <c r="O591" s="52" t="str">
        <f t="shared" si="1"/>
        <v/>
      </c>
      <c r="P591" s="53"/>
      <c r="Q591" s="52" t="str">
        <f t="shared" si="9"/>
        <v/>
      </c>
      <c r="R591" s="52" t="str">
        <f t="shared" si="3"/>
        <v/>
      </c>
      <c r="S591" s="52" t="str">
        <f t="shared" si="10"/>
        <v/>
      </c>
      <c r="T591" s="52" t="str">
        <f t="shared" si="5"/>
        <v/>
      </c>
      <c r="U591" s="52"/>
      <c r="V591" s="53"/>
      <c r="W591" s="52" t="str">
        <f t="shared" si="6"/>
        <v/>
      </c>
      <c r="X591" s="52">
        <f t="shared" si="7"/>
        <v>0</v>
      </c>
      <c r="Y591" s="52">
        <f t="shared" si="8"/>
        <v>0</v>
      </c>
      <c r="Z591" s="52" t="str">
        <f>IF(G591="","",IFERROR(VLOOKUP(G591,'Product_Stock_Master产品维护'!$A$2:$L992,11,FALSE),"No"))</f>
        <v/>
      </c>
      <c r="AA591" s="52" t="str">
        <f>IF(G591="","",IFERROR(VLOOKUP(G591,'Product_Stock_Master产品维护'!$A$2:$L992,12,FALSE),""))</f>
        <v/>
      </c>
      <c r="AB591" s="52" t="str">
        <f t="shared" si="11"/>
        <v/>
      </c>
      <c r="AC591" s="52">
        <f t="shared" si="12"/>
        <v>0</v>
      </c>
    </row>
    <row r="592" ht="15.75" customHeight="1">
      <c r="A592" s="171"/>
      <c r="B592" s="171"/>
      <c r="C592" s="53"/>
      <c r="D592" s="53"/>
      <c r="E592" s="53"/>
      <c r="F592" s="53"/>
      <c r="G592" s="53"/>
      <c r="H592" s="52" t="str">
        <f>IF(G592="","",IFERROR(VLOOKUP(G592,'Product_Stock_Master产品维护'!$A$2:$E992,2,FALSE()),"SKU not found"))</f>
        <v/>
      </c>
      <c r="I592" s="52" t="str">
        <f>IF(G592="","",IFERROR(VLOOKUP(G592,'Product_Stock_Master产品维护'!$A$2:$E992,3,FALSE()),"Item type not found"))</f>
        <v/>
      </c>
      <c r="J592" s="53"/>
      <c r="K592" s="53"/>
      <c r="L592" s="53"/>
      <c r="M592" s="53"/>
      <c r="N592" s="53"/>
      <c r="O592" s="52" t="str">
        <f t="shared" si="1"/>
        <v/>
      </c>
      <c r="P592" s="53"/>
      <c r="Q592" s="52" t="str">
        <f t="shared" si="9"/>
        <v/>
      </c>
      <c r="R592" s="52" t="str">
        <f t="shared" si="3"/>
        <v/>
      </c>
      <c r="S592" s="52" t="str">
        <f t="shared" si="10"/>
        <v/>
      </c>
      <c r="T592" s="52" t="str">
        <f t="shared" si="5"/>
        <v/>
      </c>
      <c r="U592" s="52"/>
      <c r="V592" s="53"/>
      <c r="W592" s="52" t="str">
        <f t="shared" si="6"/>
        <v/>
      </c>
      <c r="X592" s="52">
        <f t="shared" si="7"/>
        <v>0</v>
      </c>
      <c r="Y592" s="52">
        <f t="shared" si="8"/>
        <v>0</v>
      </c>
      <c r="Z592" s="52" t="str">
        <f>IF(G592="","",IFERROR(VLOOKUP(G592,'Product_Stock_Master产品维护'!$A$2:$L992,11,FALSE),"No"))</f>
        <v/>
      </c>
      <c r="AA592" s="52" t="str">
        <f>IF(G592="","",IFERROR(VLOOKUP(G592,'Product_Stock_Master产品维护'!$A$2:$L992,12,FALSE),""))</f>
        <v/>
      </c>
      <c r="AB592" s="52" t="str">
        <f t="shared" si="11"/>
        <v/>
      </c>
      <c r="AC592" s="52">
        <f t="shared" si="12"/>
        <v>0</v>
      </c>
    </row>
    <row r="593" ht="15.75" customHeight="1">
      <c r="A593" s="171"/>
      <c r="B593" s="171"/>
      <c r="C593" s="53"/>
      <c r="D593" s="53"/>
      <c r="E593" s="53"/>
      <c r="F593" s="53"/>
      <c r="G593" s="53"/>
      <c r="H593" s="52" t="str">
        <f>IF(G593="","",IFERROR(VLOOKUP(G593,'Product_Stock_Master产品维护'!$A$2:$E992,2,FALSE()),"SKU not found"))</f>
        <v/>
      </c>
      <c r="I593" s="52" t="str">
        <f>IF(G593="","",IFERROR(VLOOKUP(G593,'Product_Stock_Master产品维护'!$A$2:$E992,3,FALSE()),"Item type not found"))</f>
        <v/>
      </c>
      <c r="J593" s="53"/>
      <c r="K593" s="53"/>
      <c r="L593" s="53"/>
      <c r="M593" s="53"/>
      <c r="N593" s="53"/>
      <c r="O593" s="52" t="str">
        <f t="shared" si="1"/>
        <v/>
      </c>
      <c r="P593" s="53"/>
      <c r="Q593" s="52" t="str">
        <f t="shared" si="9"/>
        <v/>
      </c>
      <c r="R593" s="52" t="str">
        <f t="shared" si="3"/>
        <v/>
      </c>
      <c r="S593" s="52" t="str">
        <f t="shared" si="10"/>
        <v/>
      </c>
      <c r="T593" s="52" t="str">
        <f t="shared" si="5"/>
        <v/>
      </c>
      <c r="U593" s="52"/>
      <c r="V593" s="53"/>
      <c r="W593" s="52" t="str">
        <f t="shared" si="6"/>
        <v/>
      </c>
      <c r="X593" s="52">
        <f t="shared" si="7"/>
        <v>0</v>
      </c>
      <c r="Y593" s="52">
        <f t="shared" si="8"/>
        <v>0</v>
      </c>
      <c r="Z593" s="52" t="str">
        <f>IF(G593="","",IFERROR(VLOOKUP(G593,'Product_Stock_Master产品维护'!$A$2:$L992,11,FALSE),"No"))</f>
        <v/>
      </c>
      <c r="AA593" s="52" t="str">
        <f>IF(G593="","",IFERROR(VLOOKUP(G593,'Product_Stock_Master产品维护'!$A$2:$L992,12,FALSE),""))</f>
        <v/>
      </c>
      <c r="AB593" s="52" t="str">
        <f t="shared" si="11"/>
        <v/>
      </c>
      <c r="AC593" s="52">
        <f t="shared" si="12"/>
        <v>0</v>
      </c>
    </row>
    <row r="594" ht="15.75" customHeight="1">
      <c r="A594" s="171"/>
      <c r="B594" s="171"/>
      <c r="C594" s="53"/>
      <c r="D594" s="53"/>
      <c r="E594" s="53"/>
      <c r="F594" s="53"/>
      <c r="G594" s="53"/>
      <c r="H594" s="52" t="str">
        <f>IF(G594="","",IFERROR(VLOOKUP(G594,'Product_Stock_Master产品维护'!$A$2:$E992,2,FALSE()),"SKU not found"))</f>
        <v/>
      </c>
      <c r="I594" s="52" t="str">
        <f>IF(G594="","",IFERROR(VLOOKUP(G594,'Product_Stock_Master产品维护'!$A$2:$E992,3,FALSE()),"Item type not found"))</f>
        <v/>
      </c>
      <c r="J594" s="53"/>
      <c r="K594" s="53"/>
      <c r="L594" s="53"/>
      <c r="M594" s="53"/>
      <c r="N594" s="53"/>
      <c r="O594" s="52" t="str">
        <f t="shared" si="1"/>
        <v/>
      </c>
      <c r="P594" s="53"/>
      <c r="Q594" s="52" t="str">
        <f t="shared" si="9"/>
        <v/>
      </c>
      <c r="R594" s="52" t="str">
        <f t="shared" si="3"/>
        <v/>
      </c>
      <c r="S594" s="52" t="str">
        <f t="shared" si="10"/>
        <v/>
      </c>
      <c r="T594" s="52" t="str">
        <f t="shared" si="5"/>
        <v/>
      </c>
      <c r="U594" s="52"/>
      <c r="V594" s="53"/>
      <c r="W594" s="52" t="str">
        <f t="shared" si="6"/>
        <v/>
      </c>
      <c r="X594" s="52">
        <f t="shared" si="7"/>
        <v>0</v>
      </c>
      <c r="Y594" s="52">
        <f t="shared" si="8"/>
        <v>0</v>
      </c>
      <c r="Z594" s="52" t="str">
        <f>IF(G594="","",IFERROR(VLOOKUP(G594,'Product_Stock_Master产品维护'!$A$2:$L992,11,FALSE),"No"))</f>
        <v/>
      </c>
      <c r="AA594" s="52" t="str">
        <f>IF(G594="","",IFERROR(VLOOKUP(G594,'Product_Stock_Master产品维护'!$A$2:$L992,12,FALSE),""))</f>
        <v/>
      </c>
      <c r="AB594" s="52" t="str">
        <f t="shared" si="11"/>
        <v/>
      </c>
      <c r="AC594" s="52">
        <f t="shared" si="12"/>
        <v>0</v>
      </c>
    </row>
    <row r="595" ht="15.75" customHeight="1">
      <c r="A595" s="171"/>
      <c r="B595" s="171"/>
      <c r="C595" s="53"/>
      <c r="D595" s="53"/>
      <c r="E595" s="53"/>
      <c r="F595" s="53"/>
      <c r="G595" s="53"/>
      <c r="H595" s="52" t="str">
        <f>IF(G595="","",IFERROR(VLOOKUP(G595,'Product_Stock_Master产品维护'!$A$2:$E992,2,FALSE()),"SKU not found"))</f>
        <v/>
      </c>
      <c r="I595" s="52" t="str">
        <f>IF(G595="","",IFERROR(VLOOKUP(G595,'Product_Stock_Master产品维护'!$A$2:$E992,3,FALSE()),"Item type not found"))</f>
        <v/>
      </c>
      <c r="J595" s="53"/>
      <c r="K595" s="53"/>
      <c r="L595" s="53"/>
      <c r="M595" s="53"/>
      <c r="N595" s="53"/>
      <c r="O595" s="52" t="str">
        <f t="shared" si="1"/>
        <v/>
      </c>
      <c r="P595" s="53"/>
      <c r="Q595" s="52" t="str">
        <f t="shared" si="9"/>
        <v/>
      </c>
      <c r="R595" s="52" t="str">
        <f t="shared" si="3"/>
        <v/>
      </c>
      <c r="S595" s="52" t="str">
        <f t="shared" si="10"/>
        <v/>
      </c>
      <c r="T595" s="52" t="str">
        <f t="shared" si="5"/>
        <v/>
      </c>
      <c r="U595" s="52"/>
      <c r="V595" s="53"/>
      <c r="W595" s="52" t="str">
        <f t="shared" si="6"/>
        <v/>
      </c>
      <c r="X595" s="52">
        <f t="shared" si="7"/>
        <v>0</v>
      </c>
      <c r="Y595" s="52">
        <f t="shared" si="8"/>
        <v>0</v>
      </c>
      <c r="Z595" s="52" t="str">
        <f>IF(G595="","",IFERROR(VLOOKUP(G595,'Product_Stock_Master产品维护'!$A$2:$L992,11,FALSE),"No"))</f>
        <v/>
      </c>
      <c r="AA595" s="52" t="str">
        <f>IF(G595="","",IFERROR(VLOOKUP(G595,'Product_Stock_Master产品维护'!$A$2:$L992,12,FALSE),""))</f>
        <v/>
      </c>
      <c r="AB595" s="52" t="str">
        <f t="shared" si="11"/>
        <v/>
      </c>
      <c r="AC595" s="52">
        <f t="shared" si="12"/>
        <v>0</v>
      </c>
    </row>
    <row r="596" ht="15.75" customHeight="1">
      <c r="A596" s="171"/>
      <c r="B596" s="171"/>
      <c r="C596" s="53"/>
      <c r="D596" s="53"/>
      <c r="E596" s="53"/>
      <c r="F596" s="53"/>
      <c r="G596" s="53"/>
      <c r="H596" s="52" t="str">
        <f>IF(G596="","",IFERROR(VLOOKUP(G596,'Product_Stock_Master产品维护'!$A$2:$E992,2,FALSE()),"SKU not found"))</f>
        <v/>
      </c>
      <c r="I596" s="52" t="str">
        <f>IF(G596="","",IFERROR(VLOOKUP(G596,'Product_Stock_Master产品维护'!$A$2:$E992,3,FALSE()),"Item type not found"))</f>
        <v/>
      </c>
      <c r="J596" s="53"/>
      <c r="K596" s="53"/>
      <c r="L596" s="53"/>
      <c r="M596" s="53"/>
      <c r="N596" s="53"/>
      <c r="O596" s="52" t="str">
        <f t="shared" si="1"/>
        <v/>
      </c>
      <c r="P596" s="53"/>
      <c r="Q596" s="52" t="str">
        <f t="shared" si="9"/>
        <v/>
      </c>
      <c r="R596" s="52" t="str">
        <f t="shared" si="3"/>
        <v/>
      </c>
      <c r="S596" s="52" t="str">
        <f t="shared" si="10"/>
        <v/>
      </c>
      <c r="T596" s="52" t="str">
        <f t="shared" si="5"/>
        <v/>
      </c>
      <c r="U596" s="52"/>
      <c r="V596" s="53"/>
      <c r="W596" s="52" t="str">
        <f t="shared" si="6"/>
        <v/>
      </c>
      <c r="X596" s="52">
        <f t="shared" si="7"/>
        <v>0</v>
      </c>
      <c r="Y596" s="52">
        <f t="shared" si="8"/>
        <v>0</v>
      </c>
      <c r="Z596" s="52" t="str">
        <f>IF(G596="","",IFERROR(VLOOKUP(G596,'Product_Stock_Master产品维护'!$A$2:$L992,11,FALSE),"No"))</f>
        <v/>
      </c>
      <c r="AA596" s="52" t="str">
        <f>IF(G596="","",IFERROR(VLOOKUP(G596,'Product_Stock_Master产品维护'!$A$2:$L992,12,FALSE),""))</f>
        <v/>
      </c>
      <c r="AB596" s="52" t="str">
        <f t="shared" si="11"/>
        <v/>
      </c>
      <c r="AC596" s="52">
        <f t="shared" si="12"/>
        <v>0</v>
      </c>
    </row>
    <row r="597" ht="15.75" customHeight="1">
      <c r="A597" s="171"/>
      <c r="B597" s="171"/>
      <c r="C597" s="53"/>
      <c r="D597" s="53"/>
      <c r="E597" s="53"/>
      <c r="F597" s="53"/>
      <c r="G597" s="53"/>
      <c r="H597" s="52" t="str">
        <f>IF(G597="","",IFERROR(VLOOKUP(G597,'Product_Stock_Master产品维护'!$A$2:$E992,2,FALSE()),"SKU not found"))</f>
        <v/>
      </c>
      <c r="I597" s="52" t="str">
        <f>IF(G597="","",IFERROR(VLOOKUP(G597,'Product_Stock_Master产品维护'!$A$2:$E992,3,FALSE()),"Item type not found"))</f>
        <v/>
      </c>
      <c r="J597" s="53"/>
      <c r="K597" s="53"/>
      <c r="L597" s="53"/>
      <c r="M597" s="53"/>
      <c r="N597" s="53"/>
      <c r="O597" s="52" t="str">
        <f t="shared" si="1"/>
        <v/>
      </c>
      <c r="P597" s="53"/>
      <c r="Q597" s="52" t="str">
        <f t="shared" si="9"/>
        <v/>
      </c>
      <c r="R597" s="52" t="str">
        <f t="shared" si="3"/>
        <v/>
      </c>
      <c r="S597" s="52" t="str">
        <f t="shared" si="10"/>
        <v/>
      </c>
      <c r="T597" s="52" t="str">
        <f t="shared" si="5"/>
        <v/>
      </c>
      <c r="U597" s="52"/>
      <c r="V597" s="53"/>
      <c r="W597" s="52" t="str">
        <f t="shared" si="6"/>
        <v/>
      </c>
      <c r="X597" s="52">
        <f t="shared" si="7"/>
        <v>0</v>
      </c>
      <c r="Y597" s="52">
        <f t="shared" si="8"/>
        <v>0</v>
      </c>
      <c r="Z597" s="52" t="str">
        <f>IF(G597="","",IFERROR(VLOOKUP(G597,'Product_Stock_Master产品维护'!$A$2:$L992,11,FALSE),"No"))</f>
        <v/>
      </c>
      <c r="AA597" s="52" t="str">
        <f>IF(G597="","",IFERROR(VLOOKUP(G597,'Product_Stock_Master产品维护'!$A$2:$L992,12,FALSE),""))</f>
        <v/>
      </c>
      <c r="AB597" s="52" t="str">
        <f t="shared" si="11"/>
        <v/>
      </c>
      <c r="AC597" s="52">
        <f t="shared" si="12"/>
        <v>0</v>
      </c>
    </row>
    <row r="598" ht="15.75" customHeight="1">
      <c r="A598" s="171"/>
      <c r="B598" s="171"/>
      <c r="C598" s="53"/>
      <c r="D598" s="53"/>
      <c r="E598" s="53"/>
      <c r="F598" s="53"/>
      <c r="G598" s="53"/>
      <c r="H598" s="52" t="str">
        <f>IF(G598="","",IFERROR(VLOOKUP(G598,'Product_Stock_Master产品维护'!$A$2:$E992,2,FALSE()),"SKU not found"))</f>
        <v/>
      </c>
      <c r="I598" s="52" t="str">
        <f>IF(G598="","",IFERROR(VLOOKUP(G598,'Product_Stock_Master产品维护'!$A$2:$E992,3,FALSE()),"Item type not found"))</f>
        <v/>
      </c>
      <c r="J598" s="53"/>
      <c r="K598" s="53"/>
      <c r="L598" s="53"/>
      <c r="M598" s="53"/>
      <c r="N598" s="53"/>
      <c r="O598" s="52" t="str">
        <f t="shared" si="1"/>
        <v/>
      </c>
      <c r="P598" s="53"/>
      <c r="Q598" s="52" t="str">
        <f t="shared" si="9"/>
        <v/>
      </c>
      <c r="R598" s="52" t="str">
        <f t="shared" si="3"/>
        <v/>
      </c>
      <c r="S598" s="52" t="str">
        <f t="shared" si="10"/>
        <v/>
      </c>
      <c r="T598" s="52" t="str">
        <f t="shared" si="5"/>
        <v/>
      </c>
      <c r="U598" s="52"/>
      <c r="V598" s="53"/>
      <c r="W598" s="52" t="str">
        <f t="shared" si="6"/>
        <v/>
      </c>
      <c r="X598" s="52">
        <f t="shared" si="7"/>
        <v>0</v>
      </c>
      <c r="Y598" s="52">
        <f t="shared" si="8"/>
        <v>0</v>
      </c>
      <c r="Z598" s="52" t="str">
        <f>IF(G598="","",IFERROR(VLOOKUP(G598,'Product_Stock_Master产品维护'!$A$2:$L992,11,FALSE),"No"))</f>
        <v/>
      </c>
      <c r="AA598" s="52" t="str">
        <f>IF(G598="","",IFERROR(VLOOKUP(G598,'Product_Stock_Master产品维护'!$A$2:$L992,12,FALSE),""))</f>
        <v/>
      </c>
      <c r="AB598" s="52" t="str">
        <f t="shared" si="11"/>
        <v/>
      </c>
      <c r="AC598" s="52">
        <f t="shared" si="12"/>
        <v>0</v>
      </c>
    </row>
    <row r="599" ht="15.75" customHeight="1">
      <c r="A599" s="171"/>
      <c r="B599" s="171"/>
      <c r="C599" s="53"/>
      <c r="D599" s="53"/>
      <c r="E599" s="53"/>
      <c r="F599" s="53"/>
      <c r="G599" s="53"/>
      <c r="H599" s="52" t="str">
        <f>IF(G599="","",IFERROR(VLOOKUP(G599,'Product_Stock_Master产品维护'!$A$2:$E992,2,FALSE()),"SKU not found"))</f>
        <v/>
      </c>
      <c r="I599" s="52" t="str">
        <f>IF(G599="","",IFERROR(VLOOKUP(G599,'Product_Stock_Master产品维护'!$A$2:$E992,3,FALSE()),"Item type not found"))</f>
        <v/>
      </c>
      <c r="J599" s="53"/>
      <c r="K599" s="53"/>
      <c r="L599" s="53"/>
      <c r="M599" s="53"/>
      <c r="N599" s="53"/>
      <c r="O599" s="52" t="str">
        <f t="shared" si="1"/>
        <v/>
      </c>
      <c r="P599" s="53"/>
      <c r="Q599" s="52" t="str">
        <f t="shared" si="9"/>
        <v/>
      </c>
      <c r="R599" s="52" t="str">
        <f t="shared" si="3"/>
        <v/>
      </c>
      <c r="S599" s="52" t="str">
        <f t="shared" si="10"/>
        <v/>
      </c>
      <c r="T599" s="52" t="str">
        <f t="shared" si="5"/>
        <v/>
      </c>
      <c r="U599" s="52"/>
      <c r="V599" s="53"/>
      <c r="W599" s="52" t="str">
        <f t="shared" si="6"/>
        <v/>
      </c>
      <c r="X599" s="52">
        <f t="shared" si="7"/>
        <v>0</v>
      </c>
      <c r="Y599" s="52">
        <f t="shared" si="8"/>
        <v>0</v>
      </c>
      <c r="Z599" s="52" t="str">
        <f>IF(G599="","",IFERROR(VLOOKUP(G599,'Product_Stock_Master产品维护'!$A$2:$L992,11,FALSE),"No"))</f>
        <v/>
      </c>
      <c r="AA599" s="52" t="str">
        <f>IF(G599="","",IFERROR(VLOOKUP(G599,'Product_Stock_Master产品维护'!$A$2:$L992,12,FALSE),""))</f>
        <v/>
      </c>
      <c r="AB599" s="52" t="str">
        <f t="shared" si="11"/>
        <v/>
      </c>
      <c r="AC599" s="52">
        <f t="shared" si="12"/>
        <v>0</v>
      </c>
    </row>
    <row r="600" ht="15.75" customHeight="1">
      <c r="A600" s="171"/>
      <c r="B600" s="171"/>
      <c r="C600" s="53"/>
      <c r="D600" s="53"/>
      <c r="E600" s="53"/>
      <c r="F600" s="53"/>
      <c r="G600" s="53"/>
      <c r="H600" s="52" t="str">
        <f>IF(G600="","",IFERROR(VLOOKUP(G600,'Product_Stock_Master产品维护'!$A$2:$E992,2,FALSE()),"SKU not found"))</f>
        <v/>
      </c>
      <c r="I600" s="52" t="str">
        <f>IF(G600="","",IFERROR(VLOOKUP(G600,'Product_Stock_Master产品维护'!$A$2:$E992,3,FALSE()),"Item type not found"))</f>
        <v/>
      </c>
      <c r="J600" s="53"/>
      <c r="K600" s="53"/>
      <c r="L600" s="53"/>
      <c r="M600" s="53"/>
      <c r="N600" s="53"/>
      <c r="O600" s="52" t="str">
        <f t="shared" si="1"/>
        <v/>
      </c>
      <c r="P600" s="53"/>
      <c r="Q600" s="52" t="str">
        <f t="shared" si="9"/>
        <v/>
      </c>
      <c r="R600" s="52" t="str">
        <f t="shared" si="3"/>
        <v/>
      </c>
      <c r="S600" s="52" t="str">
        <f t="shared" si="10"/>
        <v/>
      </c>
      <c r="T600" s="52" t="str">
        <f t="shared" si="5"/>
        <v/>
      </c>
      <c r="U600" s="52"/>
      <c r="V600" s="53"/>
      <c r="W600" s="52" t="str">
        <f t="shared" si="6"/>
        <v/>
      </c>
      <c r="X600" s="52">
        <f t="shared" si="7"/>
        <v>0</v>
      </c>
      <c r="Y600" s="52">
        <f t="shared" si="8"/>
        <v>0</v>
      </c>
      <c r="Z600" s="52" t="str">
        <f>IF(G600="","",IFERROR(VLOOKUP(G600,'Product_Stock_Master产品维护'!$A$2:$L992,11,FALSE),"No"))</f>
        <v/>
      </c>
      <c r="AA600" s="52" t="str">
        <f>IF(G600="","",IFERROR(VLOOKUP(G600,'Product_Stock_Master产品维护'!$A$2:$L992,12,FALSE),""))</f>
        <v/>
      </c>
      <c r="AB600" s="52" t="str">
        <f t="shared" si="11"/>
        <v/>
      </c>
      <c r="AC600" s="52">
        <f t="shared" si="12"/>
        <v>0</v>
      </c>
    </row>
    <row r="601" ht="15.75" customHeight="1">
      <c r="A601" s="171"/>
      <c r="B601" s="171"/>
      <c r="C601" s="53"/>
      <c r="D601" s="53"/>
      <c r="E601" s="53"/>
      <c r="F601" s="53"/>
      <c r="G601" s="53"/>
      <c r="H601" s="52" t="str">
        <f>IF(G601="","",IFERROR(VLOOKUP(G601,'Product_Stock_Master产品维护'!$A$2:$E992,2,FALSE()),"SKU not found"))</f>
        <v/>
      </c>
      <c r="I601" s="52" t="str">
        <f>IF(G601="","",IFERROR(VLOOKUP(G601,'Product_Stock_Master产品维护'!$A$2:$E992,3,FALSE()),"Item type not found"))</f>
        <v/>
      </c>
      <c r="J601" s="53"/>
      <c r="K601" s="53"/>
      <c r="L601" s="53"/>
      <c r="M601" s="53"/>
      <c r="N601" s="53"/>
      <c r="O601" s="52" t="str">
        <f t="shared" si="1"/>
        <v/>
      </c>
      <c r="P601" s="53"/>
      <c r="Q601" s="52" t="str">
        <f t="shared" si="9"/>
        <v/>
      </c>
      <c r="R601" s="52" t="str">
        <f t="shared" si="3"/>
        <v/>
      </c>
      <c r="S601" s="52" t="str">
        <f t="shared" si="10"/>
        <v/>
      </c>
      <c r="T601" s="52" t="str">
        <f t="shared" si="5"/>
        <v/>
      </c>
      <c r="U601" s="52"/>
      <c r="V601" s="53"/>
      <c r="W601" s="52" t="str">
        <f t="shared" si="6"/>
        <v/>
      </c>
      <c r="X601" s="52">
        <f t="shared" si="7"/>
        <v>0</v>
      </c>
      <c r="Y601" s="52">
        <f t="shared" si="8"/>
        <v>0</v>
      </c>
      <c r="Z601" s="52" t="str">
        <f>IF(G601="","",IFERROR(VLOOKUP(G601,'Product_Stock_Master产品维护'!$A$2:$L992,11,FALSE),"No"))</f>
        <v/>
      </c>
      <c r="AA601" s="52" t="str">
        <f>IF(G601="","",IFERROR(VLOOKUP(G601,'Product_Stock_Master产品维护'!$A$2:$L992,12,FALSE),""))</f>
        <v/>
      </c>
      <c r="AB601" s="52" t="str">
        <f t="shared" si="11"/>
        <v/>
      </c>
      <c r="AC601" s="52">
        <f t="shared" si="12"/>
        <v>0</v>
      </c>
    </row>
    <row r="602" ht="15.75" customHeight="1">
      <c r="A602" s="171"/>
      <c r="B602" s="171"/>
      <c r="C602" s="53"/>
      <c r="D602" s="53"/>
      <c r="E602" s="53"/>
      <c r="F602" s="53"/>
      <c r="G602" s="53"/>
      <c r="H602" s="52" t="str">
        <f>IF(G602="","",IFERROR(VLOOKUP(G602,'Product_Stock_Master产品维护'!$A$2:$E992,2,FALSE()),"SKU not found"))</f>
        <v/>
      </c>
      <c r="I602" s="52" t="str">
        <f>IF(G602="","",IFERROR(VLOOKUP(G602,'Product_Stock_Master产品维护'!$A$2:$E992,3,FALSE()),"Item type not found"))</f>
        <v/>
      </c>
      <c r="J602" s="53"/>
      <c r="K602" s="53"/>
      <c r="L602" s="53"/>
      <c r="M602" s="53"/>
      <c r="N602" s="53"/>
      <c r="O602" s="52" t="str">
        <f t="shared" si="1"/>
        <v/>
      </c>
      <c r="P602" s="53"/>
      <c r="Q602" s="52" t="str">
        <f t="shared" si="9"/>
        <v/>
      </c>
      <c r="R602" s="52" t="str">
        <f t="shared" si="3"/>
        <v/>
      </c>
      <c r="S602" s="52" t="str">
        <f t="shared" si="10"/>
        <v/>
      </c>
      <c r="T602" s="52" t="str">
        <f t="shared" si="5"/>
        <v/>
      </c>
      <c r="U602" s="52"/>
      <c r="V602" s="53"/>
      <c r="W602" s="52" t="str">
        <f t="shared" si="6"/>
        <v/>
      </c>
      <c r="X602" s="52">
        <f t="shared" si="7"/>
        <v>0</v>
      </c>
      <c r="Y602" s="52">
        <f t="shared" si="8"/>
        <v>0</v>
      </c>
      <c r="Z602" s="52" t="str">
        <f>IF(G602="","",IFERROR(VLOOKUP(G602,'Product_Stock_Master产品维护'!$A$2:$L992,11,FALSE),"No"))</f>
        <v/>
      </c>
      <c r="AA602" s="52" t="str">
        <f>IF(G602="","",IFERROR(VLOOKUP(G602,'Product_Stock_Master产品维护'!$A$2:$L992,12,FALSE),""))</f>
        <v/>
      </c>
      <c r="AB602" s="52" t="str">
        <f t="shared" si="11"/>
        <v/>
      </c>
      <c r="AC602" s="52">
        <f t="shared" si="12"/>
        <v>0</v>
      </c>
    </row>
    <row r="603" ht="15.75" customHeight="1">
      <c r="A603" s="171"/>
      <c r="B603" s="171"/>
      <c r="C603" s="53"/>
      <c r="D603" s="53"/>
      <c r="E603" s="53"/>
      <c r="F603" s="53"/>
      <c r="G603" s="53"/>
      <c r="H603" s="52" t="str">
        <f>IF(G603="","",IFERROR(VLOOKUP(G603,'Product_Stock_Master产品维护'!$A$2:$E992,2,FALSE()),"SKU not found"))</f>
        <v/>
      </c>
      <c r="I603" s="52" t="str">
        <f>IF(G603="","",IFERROR(VLOOKUP(G603,'Product_Stock_Master产品维护'!$A$2:$E992,3,FALSE()),"Item type not found"))</f>
        <v/>
      </c>
      <c r="J603" s="53"/>
      <c r="K603" s="53"/>
      <c r="L603" s="53"/>
      <c r="M603" s="53"/>
      <c r="N603" s="53"/>
      <c r="O603" s="52" t="str">
        <f t="shared" si="1"/>
        <v/>
      </c>
      <c r="P603" s="53"/>
      <c r="Q603" s="52" t="str">
        <f t="shared" si="9"/>
        <v/>
      </c>
      <c r="R603" s="52" t="str">
        <f t="shared" si="3"/>
        <v/>
      </c>
      <c r="S603" s="52" t="str">
        <f t="shared" si="10"/>
        <v/>
      </c>
      <c r="T603" s="52" t="str">
        <f t="shared" si="5"/>
        <v/>
      </c>
      <c r="U603" s="52"/>
      <c r="V603" s="53"/>
      <c r="W603" s="52" t="str">
        <f t="shared" si="6"/>
        <v/>
      </c>
      <c r="X603" s="52">
        <f t="shared" si="7"/>
        <v>0</v>
      </c>
      <c r="Y603" s="52">
        <f t="shared" si="8"/>
        <v>0</v>
      </c>
      <c r="Z603" s="52" t="str">
        <f>IF(G603="","",IFERROR(VLOOKUP(G603,'Product_Stock_Master产品维护'!$A$2:$L992,11,FALSE),"No"))</f>
        <v/>
      </c>
      <c r="AA603" s="52" t="str">
        <f>IF(G603="","",IFERROR(VLOOKUP(G603,'Product_Stock_Master产品维护'!$A$2:$L992,12,FALSE),""))</f>
        <v/>
      </c>
      <c r="AB603" s="52" t="str">
        <f t="shared" si="11"/>
        <v/>
      </c>
      <c r="AC603" s="52">
        <f t="shared" si="12"/>
        <v>0</v>
      </c>
    </row>
    <row r="604" ht="15.75" customHeight="1">
      <c r="A604" s="171"/>
      <c r="B604" s="171"/>
      <c r="C604" s="53"/>
      <c r="D604" s="53"/>
      <c r="E604" s="53"/>
      <c r="F604" s="53"/>
      <c r="G604" s="53"/>
      <c r="H604" s="52" t="str">
        <f>IF(G604="","",IFERROR(VLOOKUP(G604,'Product_Stock_Master产品维护'!$A$2:$E992,2,FALSE()),"SKU not found"))</f>
        <v/>
      </c>
      <c r="I604" s="52" t="str">
        <f>IF(G604="","",IFERROR(VLOOKUP(G604,'Product_Stock_Master产品维护'!$A$2:$E992,3,FALSE()),"Item type not found"))</f>
        <v/>
      </c>
      <c r="J604" s="53"/>
      <c r="K604" s="53"/>
      <c r="L604" s="53"/>
      <c r="M604" s="53"/>
      <c r="N604" s="53"/>
      <c r="O604" s="52" t="str">
        <f t="shared" si="1"/>
        <v/>
      </c>
      <c r="P604" s="53"/>
      <c r="Q604" s="52" t="str">
        <f t="shared" si="9"/>
        <v/>
      </c>
      <c r="R604" s="52" t="str">
        <f t="shared" si="3"/>
        <v/>
      </c>
      <c r="S604" s="52" t="str">
        <f t="shared" si="10"/>
        <v/>
      </c>
      <c r="T604" s="52" t="str">
        <f t="shared" si="5"/>
        <v/>
      </c>
      <c r="U604" s="52"/>
      <c r="V604" s="53"/>
      <c r="W604" s="52" t="str">
        <f t="shared" si="6"/>
        <v/>
      </c>
      <c r="X604" s="52">
        <f t="shared" si="7"/>
        <v>0</v>
      </c>
      <c r="Y604" s="52">
        <f t="shared" si="8"/>
        <v>0</v>
      </c>
      <c r="Z604" s="52" t="str">
        <f>IF(G604="","",IFERROR(VLOOKUP(G604,'Product_Stock_Master产品维护'!$A$2:$L992,11,FALSE),"No"))</f>
        <v/>
      </c>
      <c r="AA604" s="52" t="str">
        <f>IF(G604="","",IFERROR(VLOOKUP(G604,'Product_Stock_Master产品维护'!$A$2:$L992,12,FALSE),""))</f>
        <v/>
      </c>
      <c r="AB604" s="52" t="str">
        <f t="shared" si="11"/>
        <v/>
      </c>
      <c r="AC604" s="52">
        <f t="shared" si="12"/>
        <v>0</v>
      </c>
    </row>
    <row r="605" ht="15.75" customHeight="1">
      <c r="A605" s="171"/>
      <c r="B605" s="171"/>
      <c r="C605" s="53"/>
      <c r="D605" s="53"/>
      <c r="E605" s="53"/>
      <c r="F605" s="53"/>
      <c r="G605" s="53"/>
      <c r="H605" s="52" t="str">
        <f>IF(G605="","",IFERROR(VLOOKUP(G605,'Product_Stock_Master产品维护'!$A$2:$E992,2,FALSE()),"SKU not found"))</f>
        <v/>
      </c>
      <c r="I605" s="52" t="str">
        <f>IF(G605="","",IFERROR(VLOOKUP(G605,'Product_Stock_Master产品维护'!$A$2:$E992,3,FALSE()),"Item type not found"))</f>
        <v/>
      </c>
      <c r="J605" s="53"/>
      <c r="K605" s="53"/>
      <c r="L605" s="53"/>
      <c r="M605" s="53"/>
      <c r="N605" s="53"/>
      <c r="O605" s="52" t="str">
        <f t="shared" si="1"/>
        <v/>
      </c>
      <c r="P605" s="53"/>
      <c r="Q605" s="52" t="str">
        <f t="shared" si="9"/>
        <v/>
      </c>
      <c r="R605" s="52" t="str">
        <f t="shared" si="3"/>
        <v/>
      </c>
      <c r="S605" s="52" t="str">
        <f t="shared" si="10"/>
        <v/>
      </c>
      <c r="T605" s="52" t="str">
        <f t="shared" si="5"/>
        <v/>
      </c>
      <c r="U605" s="52"/>
      <c r="V605" s="53"/>
      <c r="W605" s="52" t="str">
        <f t="shared" si="6"/>
        <v/>
      </c>
      <c r="X605" s="52">
        <f t="shared" si="7"/>
        <v>0</v>
      </c>
      <c r="Y605" s="52">
        <f t="shared" si="8"/>
        <v>0</v>
      </c>
      <c r="Z605" s="52" t="str">
        <f>IF(G605="","",IFERROR(VLOOKUP(G605,'Product_Stock_Master产品维护'!$A$2:$L992,11,FALSE),"No"))</f>
        <v/>
      </c>
      <c r="AA605" s="52" t="str">
        <f>IF(G605="","",IFERROR(VLOOKUP(G605,'Product_Stock_Master产品维护'!$A$2:$L992,12,FALSE),""))</f>
        <v/>
      </c>
      <c r="AB605" s="52" t="str">
        <f t="shared" si="11"/>
        <v/>
      </c>
      <c r="AC605" s="52">
        <f t="shared" si="12"/>
        <v>0</v>
      </c>
    </row>
    <row r="606" ht="15.75" customHeight="1">
      <c r="A606" s="171"/>
      <c r="B606" s="171"/>
      <c r="C606" s="53"/>
      <c r="D606" s="53"/>
      <c r="E606" s="53"/>
      <c r="F606" s="53"/>
      <c r="G606" s="53"/>
      <c r="H606" s="52" t="str">
        <f>IF(G606="","",IFERROR(VLOOKUP(G606,'Product_Stock_Master产品维护'!$A$2:$E992,2,FALSE()),"SKU not found"))</f>
        <v/>
      </c>
      <c r="I606" s="52" t="str">
        <f>IF(G606="","",IFERROR(VLOOKUP(G606,'Product_Stock_Master产品维护'!$A$2:$E992,3,FALSE()),"Item type not found"))</f>
        <v/>
      </c>
      <c r="J606" s="53"/>
      <c r="K606" s="53"/>
      <c r="L606" s="53"/>
      <c r="M606" s="53"/>
      <c r="N606" s="53"/>
      <c r="O606" s="52" t="str">
        <f t="shared" si="1"/>
        <v/>
      </c>
      <c r="P606" s="53"/>
      <c r="Q606" s="52" t="str">
        <f t="shared" si="9"/>
        <v/>
      </c>
      <c r="R606" s="52" t="str">
        <f t="shared" si="3"/>
        <v/>
      </c>
      <c r="S606" s="52" t="str">
        <f t="shared" si="10"/>
        <v/>
      </c>
      <c r="T606" s="52" t="str">
        <f t="shared" si="5"/>
        <v/>
      </c>
      <c r="U606" s="52"/>
      <c r="V606" s="53"/>
      <c r="W606" s="52" t="str">
        <f t="shared" si="6"/>
        <v/>
      </c>
      <c r="X606" s="52">
        <f t="shared" si="7"/>
        <v>0</v>
      </c>
      <c r="Y606" s="52">
        <f t="shared" si="8"/>
        <v>0</v>
      </c>
      <c r="Z606" s="52" t="str">
        <f>IF(G606="","",IFERROR(VLOOKUP(G606,'Product_Stock_Master产品维护'!$A$2:$L992,11,FALSE),"No"))</f>
        <v/>
      </c>
      <c r="AA606" s="52" t="str">
        <f>IF(G606="","",IFERROR(VLOOKUP(G606,'Product_Stock_Master产品维护'!$A$2:$L992,12,FALSE),""))</f>
        <v/>
      </c>
      <c r="AB606" s="52" t="str">
        <f t="shared" si="11"/>
        <v/>
      </c>
      <c r="AC606" s="52">
        <f t="shared" si="12"/>
        <v>0</v>
      </c>
    </row>
    <row r="607" ht="15.75" customHeight="1">
      <c r="A607" s="171"/>
      <c r="B607" s="171"/>
      <c r="C607" s="53"/>
      <c r="D607" s="53"/>
      <c r="E607" s="53"/>
      <c r="F607" s="53"/>
      <c r="G607" s="53"/>
      <c r="H607" s="52" t="str">
        <f>IF(G607="","",IFERROR(VLOOKUP(G607,'Product_Stock_Master产品维护'!$A$2:$E992,2,FALSE()),"SKU not found"))</f>
        <v/>
      </c>
      <c r="I607" s="52" t="str">
        <f>IF(G607="","",IFERROR(VLOOKUP(G607,'Product_Stock_Master产品维护'!$A$2:$E992,3,FALSE()),"Item type not found"))</f>
        <v/>
      </c>
      <c r="J607" s="53"/>
      <c r="K607" s="53"/>
      <c r="L607" s="53"/>
      <c r="M607" s="53"/>
      <c r="N607" s="53"/>
      <c r="O607" s="52" t="str">
        <f t="shared" si="1"/>
        <v/>
      </c>
      <c r="P607" s="53"/>
      <c r="Q607" s="52" t="str">
        <f t="shared" si="9"/>
        <v/>
      </c>
      <c r="R607" s="52" t="str">
        <f t="shared" si="3"/>
        <v/>
      </c>
      <c r="S607" s="52" t="str">
        <f t="shared" si="10"/>
        <v/>
      </c>
      <c r="T607" s="52" t="str">
        <f t="shared" si="5"/>
        <v/>
      </c>
      <c r="U607" s="52"/>
      <c r="V607" s="53"/>
      <c r="W607" s="52" t="str">
        <f t="shared" si="6"/>
        <v/>
      </c>
      <c r="X607" s="52">
        <f t="shared" si="7"/>
        <v>0</v>
      </c>
      <c r="Y607" s="52">
        <f t="shared" si="8"/>
        <v>0</v>
      </c>
      <c r="Z607" s="52" t="str">
        <f>IF(G607="","",IFERROR(VLOOKUP(G607,'Product_Stock_Master产品维护'!$A$2:$L992,11,FALSE),"No"))</f>
        <v/>
      </c>
      <c r="AA607" s="52" t="str">
        <f>IF(G607="","",IFERROR(VLOOKUP(G607,'Product_Stock_Master产品维护'!$A$2:$L992,12,FALSE),""))</f>
        <v/>
      </c>
      <c r="AB607" s="52" t="str">
        <f t="shared" si="11"/>
        <v/>
      </c>
      <c r="AC607" s="52">
        <f t="shared" si="12"/>
        <v>0</v>
      </c>
    </row>
    <row r="608" ht="15.75" customHeight="1">
      <c r="A608" s="171"/>
      <c r="B608" s="171"/>
      <c r="C608" s="53"/>
      <c r="D608" s="53"/>
      <c r="E608" s="53"/>
      <c r="F608" s="53"/>
      <c r="G608" s="53"/>
      <c r="H608" s="52" t="str">
        <f>IF(G608="","",IFERROR(VLOOKUP(G608,'Product_Stock_Master产品维护'!$A$2:$E992,2,FALSE()),"SKU not found"))</f>
        <v/>
      </c>
      <c r="I608" s="52" t="str">
        <f>IF(G608="","",IFERROR(VLOOKUP(G608,'Product_Stock_Master产品维护'!$A$2:$E992,3,FALSE()),"Item type not found"))</f>
        <v/>
      </c>
      <c r="J608" s="53"/>
      <c r="K608" s="53"/>
      <c r="L608" s="53"/>
      <c r="M608" s="53"/>
      <c r="N608" s="53"/>
      <c r="O608" s="52" t="str">
        <f t="shared" si="1"/>
        <v/>
      </c>
      <c r="P608" s="53"/>
      <c r="Q608" s="52" t="str">
        <f t="shared" si="9"/>
        <v/>
      </c>
      <c r="R608" s="52" t="str">
        <f t="shared" si="3"/>
        <v/>
      </c>
      <c r="S608" s="52" t="str">
        <f t="shared" si="10"/>
        <v/>
      </c>
      <c r="T608" s="52" t="str">
        <f t="shared" si="5"/>
        <v/>
      </c>
      <c r="U608" s="52"/>
      <c r="V608" s="53"/>
      <c r="W608" s="52" t="str">
        <f t="shared" si="6"/>
        <v/>
      </c>
      <c r="X608" s="52">
        <f t="shared" si="7"/>
        <v>0</v>
      </c>
      <c r="Y608" s="52">
        <f t="shared" si="8"/>
        <v>0</v>
      </c>
      <c r="Z608" s="52" t="str">
        <f>IF(G608="","",IFERROR(VLOOKUP(G608,'Product_Stock_Master产品维护'!$A$2:$L992,11,FALSE),"No"))</f>
        <v/>
      </c>
      <c r="AA608" s="52" t="str">
        <f>IF(G608="","",IFERROR(VLOOKUP(G608,'Product_Stock_Master产品维护'!$A$2:$L992,12,FALSE),""))</f>
        <v/>
      </c>
      <c r="AB608" s="52" t="str">
        <f t="shared" si="11"/>
        <v/>
      </c>
      <c r="AC608" s="52">
        <f t="shared" si="12"/>
        <v>0</v>
      </c>
    </row>
    <row r="609" ht="15.75" customHeight="1">
      <c r="A609" s="171"/>
      <c r="B609" s="171"/>
      <c r="C609" s="53"/>
      <c r="D609" s="53"/>
      <c r="E609" s="53"/>
      <c r="F609" s="53"/>
      <c r="G609" s="53"/>
      <c r="H609" s="52" t="str">
        <f>IF(G609="","",IFERROR(VLOOKUP(G609,'Product_Stock_Master产品维护'!$A$2:$E992,2,FALSE()),"SKU not found"))</f>
        <v/>
      </c>
      <c r="I609" s="52" t="str">
        <f>IF(G609="","",IFERROR(VLOOKUP(G609,'Product_Stock_Master产品维护'!$A$2:$E992,3,FALSE()),"Item type not found"))</f>
        <v/>
      </c>
      <c r="J609" s="53"/>
      <c r="K609" s="53"/>
      <c r="L609" s="53"/>
      <c r="M609" s="53"/>
      <c r="N609" s="53"/>
      <c r="O609" s="52" t="str">
        <f t="shared" si="1"/>
        <v/>
      </c>
      <c r="P609" s="53"/>
      <c r="Q609" s="52" t="str">
        <f t="shared" si="9"/>
        <v/>
      </c>
      <c r="R609" s="52" t="str">
        <f t="shared" si="3"/>
        <v/>
      </c>
      <c r="S609" s="52" t="str">
        <f t="shared" si="10"/>
        <v/>
      </c>
      <c r="T609" s="52" t="str">
        <f t="shared" si="5"/>
        <v/>
      </c>
      <c r="U609" s="52"/>
      <c r="V609" s="53"/>
      <c r="W609" s="52" t="str">
        <f t="shared" si="6"/>
        <v/>
      </c>
      <c r="X609" s="52">
        <f t="shared" si="7"/>
        <v>0</v>
      </c>
      <c r="Y609" s="52">
        <f t="shared" si="8"/>
        <v>0</v>
      </c>
      <c r="Z609" s="52" t="str">
        <f>IF(G609="","",IFERROR(VLOOKUP(G609,'Product_Stock_Master产品维护'!$A$2:$L992,11,FALSE),"No"))</f>
        <v/>
      </c>
      <c r="AA609" s="52" t="str">
        <f>IF(G609="","",IFERROR(VLOOKUP(G609,'Product_Stock_Master产品维护'!$A$2:$L992,12,FALSE),""))</f>
        <v/>
      </c>
      <c r="AB609" s="52" t="str">
        <f t="shared" si="11"/>
        <v/>
      </c>
      <c r="AC609" s="52">
        <f t="shared" si="12"/>
        <v>0</v>
      </c>
    </row>
    <row r="610" ht="15.75" customHeight="1">
      <c r="A610" s="171"/>
      <c r="B610" s="171"/>
      <c r="C610" s="53"/>
      <c r="D610" s="53"/>
      <c r="E610" s="53"/>
      <c r="F610" s="53"/>
      <c r="G610" s="53"/>
      <c r="H610" s="52" t="str">
        <f>IF(G610="","",IFERROR(VLOOKUP(G610,'Product_Stock_Master产品维护'!$A$2:$E992,2,FALSE()),"SKU not found"))</f>
        <v/>
      </c>
      <c r="I610" s="52" t="str">
        <f>IF(G610="","",IFERROR(VLOOKUP(G610,'Product_Stock_Master产品维护'!$A$2:$E992,3,FALSE()),"Item type not found"))</f>
        <v/>
      </c>
      <c r="J610" s="53"/>
      <c r="K610" s="53"/>
      <c r="L610" s="53"/>
      <c r="M610" s="53"/>
      <c r="N610" s="53"/>
      <c r="O610" s="52" t="str">
        <f t="shared" si="1"/>
        <v/>
      </c>
      <c r="P610" s="53"/>
      <c r="Q610" s="52" t="str">
        <f t="shared" si="9"/>
        <v/>
      </c>
      <c r="R610" s="52" t="str">
        <f t="shared" si="3"/>
        <v/>
      </c>
      <c r="S610" s="52" t="str">
        <f t="shared" si="10"/>
        <v/>
      </c>
      <c r="T610" s="52" t="str">
        <f t="shared" si="5"/>
        <v/>
      </c>
      <c r="U610" s="52"/>
      <c r="V610" s="53"/>
      <c r="W610" s="52" t="str">
        <f t="shared" si="6"/>
        <v/>
      </c>
      <c r="X610" s="52">
        <f t="shared" si="7"/>
        <v>0</v>
      </c>
      <c r="Y610" s="52">
        <f t="shared" si="8"/>
        <v>0</v>
      </c>
      <c r="Z610" s="52" t="str">
        <f>IF(G610="","",IFERROR(VLOOKUP(G610,'Product_Stock_Master产品维护'!$A$2:$L992,11,FALSE),"No"))</f>
        <v/>
      </c>
      <c r="AA610" s="52" t="str">
        <f>IF(G610="","",IFERROR(VLOOKUP(G610,'Product_Stock_Master产品维护'!$A$2:$L992,12,FALSE),""))</f>
        <v/>
      </c>
      <c r="AB610" s="52" t="str">
        <f t="shared" si="11"/>
        <v/>
      </c>
      <c r="AC610" s="52">
        <f t="shared" si="12"/>
        <v>0</v>
      </c>
    </row>
    <row r="611" ht="15.75" customHeight="1">
      <c r="A611" s="171"/>
      <c r="B611" s="171"/>
      <c r="C611" s="53"/>
      <c r="D611" s="53"/>
      <c r="E611" s="53"/>
      <c r="F611" s="53"/>
      <c r="G611" s="53"/>
      <c r="H611" s="52" t="str">
        <f>IF(G611="","",IFERROR(VLOOKUP(G611,'Product_Stock_Master产品维护'!$A$2:$E992,2,FALSE()),"SKU not found"))</f>
        <v/>
      </c>
      <c r="I611" s="52" t="str">
        <f>IF(G611="","",IFERROR(VLOOKUP(G611,'Product_Stock_Master产品维护'!$A$2:$E992,3,FALSE()),"Item type not found"))</f>
        <v/>
      </c>
      <c r="J611" s="53"/>
      <c r="K611" s="53"/>
      <c r="L611" s="53"/>
      <c r="M611" s="53"/>
      <c r="N611" s="53"/>
      <c r="O611" s="52" t="str">
        <f t="shared" si="1"/>
        <v/>
      </c>
      <c r="P611" s="53"/>
      <c r="Q611" s="52" t="str">
        <f t="shared" si="9"/>
        <v/>
      </c>
      <c r="R611" s="52" t="str">
        <f t="shared" si="3"/>
        <v/>
      </c>
      <c r="S611" s="52" t="str">
        <f t="shared" si="10"/>
        <v/>
      </c>
      <c r="T611" s="52" t="str">
        <f t="shared" si="5"/>
        <v/>
      </c>
      <c r="U611" s="52"/>
      <c r="V611" s="53"/>
      <c r="W611" s="52" t="str">
        <f t="shared" si="6"/>
        <v/>
      </c>
      <c r="X611" s="52">
        <f t="shared" si="7"/>
        <v>0</v>
      </c>
      <c r="Y611" s="52">
        <f t="shared" si="8"/>
        <v>0</v>
      </c>
      <c r="Z611" s="52" t="str">
        <f>IF(G611="","",IFERROR(VLOOKUP(G611,'Product_Stock_Master产品维护'!$A$2:$L992,11,FALSE),"No"))</f>
        <v/>
      </c>
      <c r="AA611" s="52" t="str">
        <f>IF(G611="","",IFERROR(VLOOKUP(G611,'Product_Stock_Master产品维护'!$A$2:$L992,12,FALSE),""))</f>
        <v/>
      </c>
      <c r="AB611" s="52" t="str">
        <f t="shared" si="11"/>
        <v/>
      </c>
      <c r="AC611" s="52">
        <f t="shared" si="12"/>
        <v>0</v>
      </c>
    </row>
    <row r="612" ht="15.75" customHeight="1">
      <c r="A612" s="171"/>
      <c r="B612" s="171"/>
      <c r="C612" s="53"/>
      <c r="D612" s="53"/>
      <c r="E612" s="53"/>
      <c r="F612" s="53"/>
      <c r="G612" s="53"/>
      <c r="H612" s="52" t="str">
        <f>IF(G612="","",IFERROR(VLOOKUP(G612,'Product_Stock_Master产品维护'!$A$2:$E992,2,FALSE()),"SKU not found"))</f>
        <v/>
      </c>
      <c r="I612" s="52" t="str">
        <f>IF(G612="","",IFERROR(VLOOKUP(G612,'Product_Stock_Master产品维护'!$A$2:$E992,3,FALSE()),"Item type not found"))</f>
        <v/>
      </c>
      <c r="J612" s="53"/>
      <c r="K612" s="53"/>
      <c r="L612" s="53"/>
      <c r="M612" s="53"/>
      <c r="N612" s="53"/>
      <c r="O612" s="52" t="str">
        <f t="shared" si="1"/>
        <v/>
      </c>
      <c r="P612" s="53"/>
      <c r="Q612" s="52" t="str">
        <f t="shared" si="9"/>
        <v/>
      </c>
      <c r="R612" s="52" t="str">
        <f t="shared" si="3"/>
        <v/>
      </c>
      <c r="S612" s="52" t="str">
        <f t="shared" si="10"/>
        <v/>
      </c>
      <c r="T612" s="52" t="str">
        <f t="shared" si="5"/>
        <v/>
      </c>
      <c r="U612" s="52"/>
      <c r="V612" s="53"/>
      <c r="W612" s="52" t="str">
        <f t="shared" si="6"/>
        <v/>
      </c>
      <c r="X612" s="52">
        <f t="shared" si="7"/>
        <v>0</v>
      </c>
      <c r="Y612" s="52">
        <f t="shared" si="8"/>
        <v>0</v>
      </c>
      <c r="Z612" s="52" t="str">
        <f>IF(G612="","",IFERROR(VLOOKUP(G612,'Product_Stock_Master产品维护'!$A$2:$L992,11,FALSE),"No"))</f>
        <v/>
      </c>
      <c r="AA612" s="52" t="str">
        <f>IF(G612="","",IFERROR(VLOOKUP(G612,'Product_Stock_Master产品维护'!$A$2:$L992,12,FALSE),""))</f>
        <v/>
      </c>
      <c r="AB612" s="52" t="str">
        <f t="shared" si="11"/>
        <v/>
      </c>
      <c r="AC612" s="52">
        <f t="shared" si="12"/>
        <v>0</v>
      </c>
    </row>
    <row r="613" ht="15.75" customHeight="1">
      <c r="A613" s="171"/>
      <c r="B613" s="171"/>
      <c r="C613" s="53"/>
      <c r="D613" s="53"/>
      <c r="E613" s="53"/>
      <c r="F613" s="53"/>
      <c r="G613" s="53"/>
      <c r="H613" s="52" t="str">
        <f>IF(G613="","",IFERROR(VLOOKUP(G613,'Product_Stock_Master产品维护'!$A$2:$E992,2,FALSE()),"SKU not found"))</f>
        <v/>
      </c>
      <c r="I613" s="52" t="str">
        <f>IF(G613="","",IFERROR(VLOOKUP(G613,'Product_Stock_Master产品维护'!$A$2:$E992,3,FALSE()),"Item type not found"))</f>
        <v/>
      </c>
      <c r="J613" s="53"/>
      <c r="K613" s="53"/>
      <c r="L613" s="53"/>
      <c r="M613" s="53"/>
      <c r="N613" s="53"/>
      <c r="O613" s="52" t="str">
        <f t="shared" si="1"/>
        <v/>
      </c>
      <c r="P613" s="53"/>
      <c r="Q613" s="52" t="str">
        <f t="shared" si="9"/>
        <v/>
      </c>
      <c r="R613" s="52" t="str">
        <f t="shared" si="3"/>
        <v/>
      </c>
      <c r="S613" s="52" t="str">
        <f t="shared" si="10"/>
        <v/>
      </c>
      <c r="T613" s="52" t="str">
        <f t="shared" si="5"/>
        <v/>
      </c>
      <c r="U613" s="52"/>
      <c r="V613" s="53"/>
      <c r="W613" s="52" t="str">
        <f t="shared" si="6"/>
        <v/>
      </c>
      <c r="X613" s="52">
        <f t="shared" si="7"/>
        <v>0</v>
      </c>
      <c r="Y613" s="52">
        <f t="shared" si="8"/>
        <v>0</v>
      </c>
      <c r="Z613" s="52" t="str">
        <f>IF(G613="","",IFERROR(VLOOKUP(G613,'Product_Stock_Master产品维护'!$A$2:$L992,11,FALSE),"No"))</f>
        <v/>
      </c>
      <c r="AA613" s="52" t="str">
        <f>IF(G613="","",IFERROR(VLOOKUP(G613,'Product_Stock_Master产品维护'!$A$2:$L992,12,FALSE),""))</f>
        <v/>
      </c>
      <c r="AB613" s="52" t="str">
        <f t="shared" si="11"/>
        <v/>
      </c>
      <c r="AC613" s="52">
        <f t="shared" si="12"/>
        <v>0</v>
      </c>
    </row>
    <row r="614" ht="15.75" customHeight="1">
      <c r="A614" s="171"/>
      <c r="B614" s="171"/>
      <c r="C614" s="53"/>
      <c r="D614" s="53"/>
      <c r="E614" s="53"/>
      <c r="F614" s="53"/>
      <c r="G614" s="53"/>
      <c r="H614" s="52" t="str">
        <f>IF(G614="","",IFERROR(VLOOKUP(G614,'Product_Stock_Master产品维护'!$A$2:$E992,2,FALSE()),"SKU not found"))</f>
        <v/>
      </c>
      <c r="I614" s="52" t="str">
        <f>IF(G614="","",IFERROR(VLOOKUP(G614,'Product_Stock_Master产品维护'!$A$2:$E992,3,FALSE()),"Item type not found"))</f>
        <v/>
      </c>
      <c r="J614" s="53"/>
      <c r="K614" s="53"/>
      <c r="L614" s="53"/>
      <c r="M614" s="53"/>
      <c r="N614" s="53"/>
      <c r="O614" s="52" t="str">
        <f t="shared" si="1"/>
        <v/>
      </c>
      <c r="P614" s="53"/>
      <c r="Q614" s="52" t="str">
        <f t="shared" si="9"/>
        <v/>
      </c>
      <c r="R614" s="52" t="str">
        <f t="shared" si="3"/>
        <v/>
      </c>
      <c r="S614" s="52" t="str">
        <f t="shared" si="10"/>
        <v/>
      </c>
      <c r="T614" s="52" t="str">
        <f t="shared" si="5"/>
        <v/>
      </c>
      <c r="U614" s="52"/>
      <c r="V614" s="53"/>
      <c r="W614" s="52" t="str">
        <f t="shared" si="6"/>
        <v/>
      </c>
      <c r="X614" s="52">
        <f t="shared" si="7"/>
        <v>0</v>
      </c>
      <c r="Y614" s="52">
        <f t="shared" si="8"/>
        <v>0</v>
      </c>
      <c r="Z614" s="52" t="str">
        <f>IF(G614="","",IFERROR(VLOOKUP(G614,'Product_Stock_Master产品维护'!$A$2:$L992,11,FALSE),"No"))</f>
        <v/>
      </c>
      <c r="AA614" s="52" t="str">
        <f>IF(G614="","",IFERROR(VLOOKUP(G614,'Product_Stock_Master产品维护'!$A$2:$L992,12,FALSE),""))</f>
        <v/>
      </c>
      <c r="AB614" s="52" t="str">
        <f t="shared" si="11"/>
        <v/>
      </c>
      <c r="AC614" s="52">
        <f t="shared" si="12"/>
        <v>0</v>
      </c>
    </row>
    <row r="615" ht="15.75" customHeight="1">
      <c r="A615" s="171"/>
      <c r="B615" s="171"/>
      <c r="C615" s="53"/>
      <c r="D615" s="53"/>
      <c r="E615" s="53"/>
      <c r="F615" s="53"/>
      <c r="G615" s="53"/>
      <c r="H615" s="52" t="str">
        <f>IF(G615="","",IFERROR(VLOOKUP(G615,'Product_Stock_Master产品维护'!$A$2:$E992,2,FALSE()),"SKU not found"))</f>
        <v/>
      </c>
      <c r="I615" s="52" t="str">
        <f>IF(G615="","",IFERROR(VLOOKUP(G615,'Product_Stock_Master产品维护'!$A$2:$E992,3,FALSE()),"Item type not found"))</f>
        <v/>
      </c>
      <c r="J615" s="53"/>
      <c r="K615" s="53"/>
      <c r="L615" s="53"/>
      <c r="M615" s="53"/>
      <c r="N615" s="53"/>
      <c r="O615" s="52" t="str">
        <f t="shared" si="1"/>
        <v/>
      </c>
      <c r="P615" s="53"/>
      <c r="Q615" s="52" t="str">
        <f t="shared" si="9"/>
        <v/>
      </c>
      <c r="R615" s="52" t="str">
        <f t="shared" si="3"/>
        <v/>
      </c>
      <c r="S615" s="52" t="str">
        <f t="shared" si="10"/>
        <v/>
      </c>
      <c r="T615" s="52" t="str">
        <f t="shared" si="5"/>
        <v/>
      </c>
      <c r="U615" s="52"/>
      <c r="V615" s="53"/>
      <c r="W615" s="52" t="str">
        <f t="shared" si="6"/>
        <v/>
      </c>
      <c r="X615" s="52">
        <f t="shared" si="7"/>
        <v>0</v>
      </c>
      <c r="Y615" s="52">
        <f t="shared" si="8"/>
        <v>0</v>
      </c>
      <c r="Z615" s="52" t="str">
        <f>IF(G615="","",IFERROR(VLOOKUP(G615,'Product_Stock_Master产品维护'!$A$2:$L992,11,FALSE),"No"))</f>
        <v/>
      </c>
      <c r="AA615" s="52" t="str">
        <f>IF(G615="","",IFERROR(VLOOKUP(G615,'Product_Stock_Master产品维护'!$A$2:$L992,12,FALSE),""))</f>
        <v/>
      </c>
      <c r="AB615" s="52" t="str">
        <f t="shared" si="11"/>
        <v/>
      </c>
      <c r="AC615" s="52">
        <f t="shared" si="12"/>
        <v>0</v>
      </c>
    </row>
    <row r="616" ht="15.75" customHeight="1">
      <c r="A616" s="171"/>
      <c r="B616" s="171"/>
      <c r="C616" s="53"/>
      <c r="D616" s="53"/>
      <c r="E616" s="53"/>
      <c r="F616" s="53"/>
      <c r="G616" s="53"/>
      <c r="H616" s="52" t="str">
        <f>IF(G616="","",IFERROR(VLOOKUP(G616,'Product_Stock_Master产品维护'!$A$2:$E992,2,FALSE()),"SKU not found"))</f>
        <v/>
      </c>
      <c r="I616" s="52" t="str">
        <f>IF(G616="","",IFERROR(VLOOKUP(G616,'Product_Stock_Master产品维护'!$A$2:$E992,3,FALSE()),"Item type not found"))</f>
        <v/>
      </c>
      <c r="J616" s="53"/>
      <c r="K616" s="53"/>
      <c r="L616" s="53"/>
      <c r="M616" s="53"/>
      <c r="N616" s="53"/>
      <c r="O616" s="52" t="str">
        <f t="shared" si="1"/>
        <v/>
      </c>
      <c r="P616" s="53"/>
      <c r="Q616" s="52" t="str">
        <f t="shared" si="9"/>
        <v/>
      </c>
      <c r="R616" s="52" t="str">
        <f t="shared" si="3"/>
        <v/>
      </c>
      <c r="S616" s="52" t="str">
        <f t="shared" si="10"/>
        <v/>
      </c>
      <c r="T616" s="52" t="str">
        <f t="shared" si="5"/>
        <v/>
      </c>
      <c r="U616" s="52"/>
      <c r="V616" s="53"/>
      <c r="W616" s="52" t="str">
        <f t="shared" si="6"/>
        <v/>
      </c>
      <c r="X616" s="52">
        <f t="shared" si="7"/>
        <v>0</v>
      </c>
      <c r="Y616" s="52">
        <f t="shared" si="8"/>
        <v>0</v>
      </c>
      <c r="Z616" s="52" t="str">
        <f>IF(G616="","",IFERROR(VLOOKUP(G616,'Product_Stock_Master产品维护'!$A$2:$L992,11,FALSE),"No"))</f>
        <v/>
      </c>
      <c r="AA616" s="52" t="str">
        <f>IF(G616="","",IFERROR(VLOOKUP(G616,'Product_Stock_Master产品维护'!$A$2:$L992,12,FALSE),""))</f>
        <v/>
      </c>
      <c r="AB616" s="52" t="str">
        <f t="shared" si="11"/>
        <v/>
      </c>
      <c r="AC616" s="52">
        <f t="shared" si="12"/>
        <v>0</v>
      </c>
    </row>
    <row r="617" ht="15.75" customHeight="1">
      <c r="A617" s="171"/>
      <c r="B617" s="171"/>
      <c r="C617" s="53"/>
      <c r="D617" s="53"/>
      <c r="E617" s="53"/>
      <c r="F617" s="53"/>
      <c r="G617" s="53"/>
      <c r="H617" s="52" t="str">
        <f>IF(G617="","",IFERROR(VLOOKUP(G617,'Product_Stock_Master产品维护'!$A$2:$E992,2,FALSE()),"SKU not found"))</f>
        <v/>
      </c>
      <c r="I617" s="52" t="str">
        <f>IF(G617="","",IFERROR(VLOOKUP(G617,'Product_Stock_Master产品维护'!$A$2:$E992,3,FALSE()),"Item type not found"))</f>
        <v/>
      </c>
      <c r="J617" s="53"/>
      <c r="K617" s="53"/>
      <c r="L617" s="53"/>
      <c r="M617" s="53"/>
      <c r="N617" s="53"/>
      <c r="O617" s="52" t="str">
        <f t="shared" si="1"/>
        <v/>
      </c>
      <c r="P617" s="53"/>
      <c r="Q617" s="52" t="str">
        <f t="shared" si="9"/>
        <v/>
      </c>
      <c r="R617" s="52" t="str">
        <f t="shared" si="3"/>
        <v/>
      </c>
      <c r="S617" s="52" t="str">
        <f t="shared" si="10"/>
        <v/>
      </c>
      <c r="T617" s="52" t="str">
        <f t="shared" si="5"/>
        <v/>
      </c>
      <c r="U617" s="52"/>
      <c r="V617" s="53"/>
      <c r="W617" s="52" t="str">
        <f t="shared" si="6"/>
        <v/>
      </c>
      <c r="X617" s="52">
        <f t="shared" si="7"/>
        <v>0</v>
      </c>
      <c r="Y617" s="52">
        <f t="shared" si="8"/>
        <v>0</v>
      </c>
      <c r="Z617" s="52" t="str">
        <f>IF(G617="","",IFERROR(VLOOKUP(G617,'Product_Stock_Master产品维护'!$A$2:$L992,11,FALSE),"No"))</f>
        <v/>
      </c>
      <c r="AA617" s="52" t="str">
        <f>IF(G617="","",IFERROR(VLOOKUP(G617,'Product_Stock_Master产品维护'!$A$2:$L992,12,FALSE),""))</f>
        <v/>
      </c>
      <c r="AB617" s="52" t="str">
        <f t="shared" si="11"/>
        <v/>
      </c>
      <c r="AC617" s="52">
        <f t="shared" si="12"/>
        <v>0</v>
      </c>
    </row>
    <row r="618" ht="15.75" customHeight="1">
      <c r="A618" s="171"/>
      <c r="B618" s="171"/>
      <c r="C618" s="53"/>
      <c r="D618" s="53"/>
      <c r="E618" s="53"/>
      <c r="F618" s="53"/>
      <c r="G618" s="53"/>
      <c r="H618" s="52" t="str">
        <f>IF(G618="","",IFERROR(VLOOKUP(G618,'Product_Stock_Master产品维护'!$A$2:$E992,2,FALSE()),"SKU not found"))</f>
        <v/>
      </c>
      <c r="I618" s="52" t="str">
        <f>IF(G618="","",IFERROR(VLOOKUP(G618,'Product_Stock_Master产品维护'!$A$2:$E992,3,FALSE()),"Item type not found"))</f>
        <v/>
      </c>
      <c r="J618" s="53"/>
      <c r="K618" s="53"/>
      <c r="L618" s="53"/>
      <c r="M618" s="53"/>
      <c r="N618" s="53"/>
      <c r="O618" s="52" t="str">
        <f t="shared" si="1"/>
        <v/>
      </c>
      <c r="P618" s="53"/>
      <c r="Q618" s="52" t="str">
        <f t="shared" si="9"/>
        <v/>
      </c>
      <c r="R618" s="52" t="str">
        <f t="shared" si="3"/>
        <v/>
      </c>
      <c r="S618" s="52" t="str">
        <f t="shared" si="10"/>
        <v/>
      </c>
      <c r="T618" s="52" t="str">
        <f t="shared" si="5"/>
        <v/>
      </c>
      <c r="U618" s="52"/>
      <c r="V618" s="53"/>
      <c r="W618" s="52" t="str">
        <f t="shared" si="6"/>
        <v/>
      </c>
      <c r="X618" s="52">
        <f t="shared" si="7"/>
        <v>0</v>
      </c>
      <c r="Y618" s="52">
        <f t="shared" si="8"/>
        <v>0</v>
      </c>
      <c r="Z618" s="52" t="str">
        <f>IF(G618="","",IFERROR(VLOOKUP(G618,'Product_Stock_Master产品维护'!$A$2:$L992,11,FALSE),"No"))</f>
        <v/>
      </c>
      <c r="AA618" s="52" t="str">
        <f>IF(G618="","",IFERROR(VLOOKUP(G618,'Product_Stock_Master产品维护'!$A$2:$L992,12,FALSE),""))</f>
        <v/>
      </c>
      <c r="AB618" s="52" t="str">
        <f t="shared" si="11"/>
        <v/>
      </c>
      <c r="AC618" s="52">
        <f t="shared" si="12"/>
        <v>0</v>
      </c>
    </row>
    <row r="619" ht="15.75" customHeight="1">
      <c r="A619" s="171"/>
      <c r="B619" s="171"/>
      <c r="C619" s="53"/>
      <c r="D619" s="53"/>
      <c r="E619" s="53"/>
      <c r="F619" s="53"/>
      <c r="G619" s="53"/>
      <c r="H619" s="52" t="str">
        <f>IF(G619="","",IFERROR(VLOOKUP(G619,'Product_Stock_Master产品维护'!$A$2:$E992,2,FALSE()),"SKU not found"))</f>
        <v/>
      </c>
      <c r="I619" s="52" t="str">
        <f>IF(G619="","",IFERROR(VLOOKUP(G619,'Product_Stock_Master产品维护'!$A$2:$E992,3,FALSE()),"Item type not found"))</f>
        <v/>
      </c>
      <c r="J619" s="53"/>
      <c r="K619" s="53"/>
      <c r="L619" s="53"/>
      <c r="M619" s="53"/>
      <c r="N619" s="53"/>
      <c r="O619" s="52" t="str">
        <f t="shared" si="1"/>
        <v/>
      </c>
      <c r="P619" s="53"/>
      <c r="Q619" s="52" t="str">
        <f t="shared" si="9"/>
        <v/>
      </c>
      <c r="R619" s="52" t="str">
        <f t="shared" si="3"/>
        <v/>
      </c>
      <c r="S619" s="52" t="str">
        <f t="shared" si="10"/>
        <v/>
      </c>
      <c r="T619" s="52" t="str">
        <f t="shared" si="5"/>
        <v/>
      </c>
      <c r="U619" s="52"/>
      <c r="V619" s="53"/>
      <c r="W619" s="52" t="str">
        <f t="shared" si="6"/>
        <v/>
      </c>
      <c r="X619" s="52">
        <f t="shared" si="7"/>
        <v>0</v>
      </c>
      <c r="Y619" s="52">
        <f t="shared" si="8"/>
        <v>0</v>
      </c>
      <c r="Z619" s="52" t="str">
        <f>IF(G619="","",IFERROR(VLOOKUP(G619,'Product_Stock_Master产品维护'!$A$2:$L992,11,FALSE),"No"))</f>
        <v/>
      </c>
      <c r="AA619" s="52" t="str">
        <f>IF(G619="","",IFERROR(VLOOKUP(G619,'Product_Stock_Master产品维护'!$A$2:$L992,12,FALSE),""))</f>
        <v/>
      </c>
      <c r="AB619" s="52" t="str">
        <f t="shared" si="11"/>
        <v/>
      </c>
      <c r="AC619" s="52">
        <f t="shared" si="12"/>
        <v>0</v>
      </c>
    </row>
    <row r="620" ht="15.75" customHeight="1">
      <c r="A620" s="171"/>
      <c r="B620" s="171"/>
      <c r="C620" s="53"/>
      <c r="D620" s="53"/>
      <c r="E620" s="53"/>
      <c r="F620" s="53"/>
      <c r="G620" s="53"/>
      <c r="H620" s="52" t="str">
        <f>IF(G620="","",IFERROR(VLOOKUP(G620,'Product_Stock_Master产品维护'!$A$2:$E992,2,FALSE()),"SKU not found"))</f>
        <v/>
      </c>
      <c r="I620" s="52" t="str">
        <f>IF(G620="","",IFERROR(VLOOKUP(G620,'Product_Stock_Master产品维护'!$A$2:$E992,3,FALSE()),"Item type not found"))</f>
        <v/>
      </c>
      <c r="J620" s="53"/>
      <c r="K620" s="53"/>
      <c r="L620" s="53"/>
      <c r="M620" s="53"/>
      <c r="N620" s="53"/>
      <c r="O620" s="52" t="str">
        <f t="shared" si="1"/>
        <v/>
      </c>
      <c r="P620" s="53"/>
      <c r="Q620" s="52" t="str">
        <f t="shared" si="9"/>
        <v/>
      </c>
      <c r="R620" s="52" t="str">
        <f t="shared" si="3"/>
        <v/>
      </c>
      <c r="S620" s="52" t="str">
        <f t="shared" si="10"/>
        <v/>
      </c>
      <c r="T620" s="52" t="str">
        <f t="shared" si="5"/>
        <v/>
      </c>
      <c r="U620" s="52"/>
      <c r="V620" s="53"/>
      <c r="W620" s="52" t="str">
        <f t="shared" si="6"/>
        <v/>
      </c>
      <c r="X620" s="52">
        <f t="shared" si="7"/>
        <v>0</v>
      </c>
      <c r="Y620" s="52">
        <f t="shared" si="8"/>
        <v>0</v>
      </c>
      <c r="Z620" s="52" t="str">
        <f>IF(G620="","",IFERROR(VLOOKUP(G620,'Product_Stock_Master产品维护'!$A$2:$L992,11,FALSE),"No"))</f>
        <v/>
      </c>
      <c r="AA620" s="52" t="str">
        <f>IF(G620="","",IFERROR(VLOOKUP(G620,'Product_Stock_Master产品维护'!$A$2:$L992,12,FALSE),""))</f>
        <v/>
      </c>
      <c r="AB620" s="52" t="str">
        <f t="shared" si="11"/>
        <v/>
      </c>
      <c r="AC620" s="52">
        <f t="shared" si="12"/>
        <v>0</v>
      </c>
    </row>
    <row r="621" ht="15.75" customHeight="1">
      <c r="A621" s="171"/>
      <c r="B621" s="171"/>
      <c r="C621" s="53"/>
      <c r="D621" s="53"/>
      <c r="E621" s="53"/>
      <c r="F621" s="53"/>
      <c r="G621" s="53"/>
      <c r="H621" s="52" t="str">
        <f>IF(G621="","",IFERROR(VLOOKUP(G621,'Product_Stock_Master产品维护'!$A$2:$E992,2,FALSE()),"SKU not found"))</f>
        <v/>
      </c>
      <c r="I621" s="52" t="str">
        <f>IF(G621="","",IFERROR(VLOOKUP(G621,'Product_Stock_Master产品维护'!$A$2:$E992,3,FALSE()),"Item type not found"))</f>
        <v/>
      </c>
      <c r="J621" s="53"/>
      <c r="K621" s="53"/>
      <c r="L621" s="53"/>
      <c r="M621" s="53"/>
      <c r="N621" s="53"/>
      <c r="O621" s="52" t="str">
        <f t="shared" si="1"/>
        <v/>
      </c>
      <c r="P621" s="53"/>
      <c r="Q621" s="52" t="str">
        <f t="shared" si="9"/>
        <v/>
      </c>
      <c r="R621" s="52" t="str">
        <f t="shared" si="3"/>
        <v/>
      </c>
      <c r="S621" s="52" t="str">
        <f t="shared" si="10"/>
        <v/>
      </c>
      <c r="T621" s="52" t="str">
        <f t="shared" si="5"/>
        <v/>
      </c>
      <c r="U621" s="52"/>
      <c r="V621" s="53"/>
      <c r="W621" s="52" t="str">
        <f t="shared" si="6"/>
        <v/>
      </c>
      <c r="X621" s="52">
        <f t="shared" si="7"/>
        <v>0</v>
      </c>
      <c r="Y621" s="52">
        <f t="shared" si="8"/>
        <v>0</v>
      </c>
      <c r="Z621" s="52" t="str">
        <f>IF(G621="","",IFERROR(VLOOKUP(G621,'Product_Stock_Master产品维护'!$A$2:$L992,11,FALSE),"No"))</f>
        <v/>
      </c>
      <c r="AA621" s="52" t="str">
        <f>IF(G621="","",IFERROR(VLOOKUP(G621,'Product_Stock_Master产品维护'!$A$2:$L992,12,FALSE),""))</f>
        <v/>
      </c>
      <c r="AB621" s="52" t="str">
        <f t="shared" si="11"/>
        <v/>
      </c>
      <c r="AC621" s="52">
        <f t="shared" si="12"/>
        <v>0</v>
      </c>
    </row>
    <row r="622" ht="15.75" customHeight="1">
      <c r="A622" s="171"/>
      <c r="B622" s="171"/>
      <c r="C622" s="53"/>
      <c r="D622" s="53"/>
      <c r="E622" s="53"/>
      <c r="F622" s="53"/>
      <c r="G622" s="53"/>
      <c r="H622" s="52" t="str">
        <f>IF(G622="","",IFERROR(VLOOKUP(G622,'Product_Stock_Master产品维护'!$A$2:$E992,2,FALSE()),"SKU not found"))</f>
        <v/>
      </c>
      <c r="I622" s="52" t="str">
        <f>IF(G622="","",IFERROR(VLOOKUP(G622,'Product_Stock_Master产品维护'!$A$2:$E992,3,FALSE()),"Item type not found"))</f>
        <v/>
      </c>
      <c r="J622" s="53"/>
      <c r="K622" s="53"/>
      <c r="L622" s="53"/>
      <c r="M622" s="53"/>
      <c r="N622" s="53"/>
      <c r="O622" s="52" t="str">
        <f t="shared" si="1"/>
        <v/>
      </c>
      <c r="P622" s="53"/>
      <c r="Q622" s="52" t="str">
        <f t="shared" si="9"/>
        <v/>
      </c>
      <c r="R622" s="52" t="str">
        <f t="shared" si="3"/>
        <v/>
      </c>
      <c r="S622" s="52" t="str">
        <f t="shared" si="10"/>
        <v/>
      </c>
      <c r="T622" s="52" t="str">
        <f t="shared" si="5"/>
        <v/>
      </c>
      <c r="U622" s="52"/>
      <c r="V622" s="53"/>
      <c r="W622" s="52" t="str">
        <f t="shared" si="6"/>
        <v/>
      </c>
      <c r="X622" s="52">
        <f t="shared" si="7"/>
        <v>0</v>
      </c>
      <c r="Y622" s="52">
        <f t="shared" si="8"/>
        <v>0</v>
      </c>
      <c r="Z622" s="52" t="str">
        <f>IF(G622="","",IFERROR(VLOOKUP(G622,'Product_Stock_Master产品维护'!$A$2:$L992,11,FALSE),"No"))</f>
        <v/>
      </c>
      <c r="AA622" s="52" t="str">
        <f>IF(G622="","",IFERROR(VLOOKUP(G622,'Product_Stock_Master产品维护'!$A$2:$L992,12,FALSE),""))</f>
        <v/>
      </c>
      <c r="AB622" s="52" t="str">
        <f t="shared" si="11"/>
        <v/>
      </c>
      <c r="AC622" s="52">
        <f t="shared" si="12"/>
        <v>0</v>
      </c>
    </row>
    <row r="623" ht="15.75" customHeight="1">
      <c r="A623" s="171"/>
      <c r="B623" s="171"/>
      <c r="C623" s="53"/>
      <c r="D623" s="53"/>
      <c r="E623" s="53"/>
      <c r="F623" s="53"/>
      <c r="G623" s="53"/>
      <c r="H623" s="52" t="str">
        <f>IF(G623="","",IFERROR(VLOOKUP(G623,'Product_Stock_Master产品维护'!$A$2:$E992,2,FALSE()),"SKU not found"))</f>
        <v/>
      </c>
      <c r="I623" s="52" t="str">
        <f>IF(G623="","",IFERROR(VLOOKUP(G623,'Product_Stock_Master产品维护'!$A$2:$E992,3,FALSE()),"Item type not found"))</f>
        <v/>
      </c>
      <c r="J623" s="53"/>
      <c r="K623" s="53"/>
      <c r="L623" s="53"/>
      <c r="M623" s="53"/>
      <c r="N623" s="53"/>
      <c r="O623" s="52" t="str">
        <f t="shared" si="1"/>
        <v/>
      </c>
      <c r="P623" s="53"/>
      <c r="Q623" s="52" t="str">
        <f t="shared" si="9"/>
        <v/>
      </c>
      <c r="R623" s="52" t="str">
        <f t="shared" si="3"/>
        <v/>
      </c>
      <c r="S623" s="52" t="str">
        <f t="shared" si="10"/>
        <v/>
      </c>
      <c r="T623" s="52" t="str">
        <f t="shared" si="5"/>
        <v/>
      </c>
      <c r="U623" s="52"/>
      <c r="V623" s="53"/>
      <c r="W623" s="52" t="str">
        <f t="shared" si="6"/>
        <v/>
      </c>
      <c r="X623" s="52">
        <f t="shared" si="7"/>
        <v>0</v>
      </c>
      <c r="Y623" s="52">
        <f t="shared" si="8"/>
        <v>0</v>
      </c>
      <c r="Z623" s="52" t="str">
        <f>IF(G623="","",IFERROR(VLOOKUP(G623,'Product_Stock_Master产品维护'!$A$2:$L992,11,FALSE),"No"))</f>
        <v/>
      </c>
      <c r="AA623" s="52" t="str">
        <f>IF(G623="","",IFERROR(VLOOKUP(G623,'Product_Stock_Master产品维护'!$A$2:$L992,12,FALSE),""))</f>
        <v/>
      </c>
      <c r="AB623" s="52" t="str">
        <f t="shared" si="11"/>
        <v/>
      </c>
      <c r="AC623" s="52">
        <f t="shared" si="12"/>
        <v>0</v>
      </c>
    </row>
    <row r="624" ht="15.75" customHeight="1">
      <c r="A624" s="171"/>
      <c r="B624" s="171"/>
      <c r="C624" s="53"/>
      <c r="D624" s="53"/>
      <c r="E624" s="53"/>
      <c r="F624" s="53"/>
      <c r="G624" s="53"/>
      <c r="H624" s="52" t="str">
        <f>IF(G624="","",IFERROR(VLOOKUP(G624,'Product_Stock_Master产品维护'!$A$2:$E992,2,FALSE()),"SKU not found"))</f>
        <v/>
      </c>
      <c r="I624" s="52" t="str">
        <f>IF(G624="","",IFERROR(VLOOKUP(G624,'Product_Stock_Master产品维护'!$A$2:$E992,3,FALSE()),"Item type not found"))</f>
        <v/>
      </c>
      <c r="J624" s="53"/>
      <c r="K624" s="53"/>
      <c r="L624" s="53"/>
      <c r="M624" s="53"/>
      <c r="N624" s="53"/>
      <c r="O624" s="52" t="str">
        <f t="shared" si="1"/>
        <v/>
      </c>
      <c r="P624" s="53"/>
      <c r="Q624" s="52" t="str">
        <f t="shared" si="9"/>
        <v/>
      </c>
      <c r="R624" s="52" t="str">
        <f t="shared" si="3"/>
        <v/>
      </c>
      <c r="S624" s="52" t="str">
        <f t="shared" si="10"/>
        <v/>
      </c>
      <c r="T624" s="52" t="str">
        <f t="shared" si="5"/>
        <v/>
      </c>
      <c r="U624" s="52"/>
      <c r="V624" s="53"/>
      <c r="W624" s="52" t="str">
        <f t="shared" si="6"/>
        <v/>
      </c>
      <c r="X624" s="52">
        <f t="shared" si="7"/>
        <v>0</v>
      </c>
      <c r="Y624" s="52">
        <f t="shared" si="8"/>
        <v>0</v>
      </c>
      <c r="Z624" s="52" t="str">
        <f>IF(G624="","",IFERROR(VLOOKUP(G624,'Product_Stock_Master产品维护'!$A$2:$L992,11,FALSE),"No"))</f>
        <v/>
      </c>
      <c r="AA624" s="52" t="str">
        <f>IF(G624="","",IFERROR(VLOOKUP(G624,'Product_Stock_Master产品维护'!$A$2:$L992,12,FALSE),""))</f>
        <v/>
      </c>
      <c r="AB624" s="52" t="str">
        <f t="shared" si="11"/>
        <v/>
      </c>
      <c r="AC624" s="52">
        <f t="shared" si="12"/>
        <v>0</v>
      </c>
    </row>
    <row r="625" ht="15.75" customHeight="1">
      <c r="A625" s="171"/>
      <c r="B625" s="171"/>
      <c r="C625" s="53"/>
      <c r="D625" s="53"/>
      <c r="E625" s="53"/>
      <c r="F625" s="53"/>
      <c r="G625" s="53"/>
      <c r="H625" s="52" t="str">
        <f>IF(G625="","",IFERROR(VLOOKUP(G625,'Product_Stock_Master产品维护'!$A$2:$E992,2,FALSE()),"SKU not found"))</f>
        <v/>
      </c>
      <c r="I625" s="52" t="str">
        <f>IF(G625="","",IFERROR(VLOOKUP(G625,'Product_Stock_Master产品维护'!$A$2:$E992,3,FALSE()),"Item type not found"))</f>
        <v/>
      </c>
      <c r="J625" s="53"/>
      <c r="K625" s="53"/>
      <c r="L625" s="53"/>
      <c r="M625" s="53"/>
      <c r="N625" s="53"/>
      <c r="O625" s="52" t="str">
        <f t="shared" si="1"/>
        <v/>
      </c>
      <c r="P625" s="53"/>
      <c r="Q625" s="52" t="str">
        <f t="shared" si="9"/>
        <v/>
      </c>
      <c r="R625" s="52" t="str">
        <f t="shared" si="3"/>
        <v/>
      </c>
      <c r="S625" s="52" t="str">
        <f t="shared" si="10"/>
        <v/>
      </c>
      <c r="T625" s="52" t="str">
        <f t="shared" si="5"/>
        <v/>
      </c>
      <c r="U625" s="52"/>
      <c r="V625" s="53"/>
      <c r="W625" s="52" t="str">
        <f t="shared" si="6"/>
        <v/>
      </c>
      <c r="X625" s="52">
        <f t="shared" si="7"/>
        <v>0</v>
      </c>
      <c r="Y625" s="52">
        <f t="shared" si="8"/>
        <v>0</v>
      </c>
      <c r="Z625" s="52" t="str">
        <f>IF(G625="","",IFERROR(VLOOKUP(G625,'Product_Stock_Master产品维护'!$A$2:$L992,11,FALSE),"No"))</f>
        <v/>
      </c>
      <c r="AA625" s="52" t="str">
        <f>IF(G625="","",IFERROR(VLOOKUP(G625,'Product_Stock_Master产品维护'!$A$2:$L992,12,FALSE),""))</f>
        <v/>
      </c>
      <c r="AB625" s="52" t="str">
        <f t="shared" si="11"/>
        <v/>
      </c>
      <c r="AC625" s="52">
        <f t="shared" si="12"/>
        <v>0</v>
      </c>
    </row>
    <row r="626" ht="15.75" customHeight="1">
      <c r="A626" s="171"/>
      <c r="B626" s="171"/>
      <c r="C626" s="53"/>
      <c r="D626" s="53"/>
      <c r="E626" s="53"/>
      <c r="F626" s="53"/>
      <c r="G626" s="53"/>
      <c r="H626" s="52" t="str">
        <f>IF(G626="","",IFERROR(VLOOKUP(G626,'Product_Stock_Master产品维护'!$A$2:$E992,2,FALSE()),"SKU not found"))</f>
        <v/>
      </c>
      <c r="I626" s="52" t="str">
        <f>IF(G626="","",IFERROR(VLOOKUP(G626,'Product_Stock_Master产品维护'!$A$2:$E992,3,FALSE()),"Item type not found"))</f>
        <v/>
      </c>
      <c r="J626" s="53"/>
      <c r="K626" s="53"/>
      <c r="L626" s="53"/>
      <c r="M626" s="53"/>
      <c r="N626" s="53"/>
      <c r="O626" s="52" t="str">
        <f t="shared" si="1"/>
        <v/>
      </c>
      <c r="P626" s="53"/>
      <c r="Q626" s="52" t="str">
        <f t="shared" si="9"/>
        <v/>
      </c>
      <c r="R626" s="52" t="str">
        <f t="shared" si="3"/>
        <v/>
      </c>
      <c r="S626" s="52" t="str">
        <f t="shared" si="10"/>
        <v/>
      </c>
      <c r="T626" s="52" t="str">
        <f t="shared" si="5"/>
        <v/>
      </c>
      <c r="U626" s="52"/>
      <c r="V626" s="53"/>
      <c r="W626" s="52" t="str">
        <f t="shared" si="6"/>
        <v/>
      </c>
      <c r="X626" s="52">
        <f t="shared" si="7"/>
        <v>0</v>
      </c>
      <c r="Y626" s="52">
        <f t="shared" si="8"/>
        <v>0</v>
      </c>
      <c r="Z626" s="52" t="str">
        <f>IF(G626="","",IFERROR(VLOOKUP(G626,'Product_Stock_Master产品维护'!$A$2:$L992,11,FALSE),"No"))</f>
        <v/>
      </c>
      <c r="AA626" s="52" t="str">
        <f>IF(G626="","",IFERROR(VLOOKUP(G626,'Product_Stock_Master产品维护'!$A$2:$L992,12,FALSE),""))</f>
        <v/>
      </c>
      <c r="AB626" s="52" t="str">
        <f t="shared" si="11"/>
        <v/>
      </c>
      <c r="AC626" s="52">
        <f t="shared" si="12"/>
        <v>0</v>
      </c>
    </row>
    <row r="627" ht="15.75" customHeight="1">
      <c r="A627" s="171"/>
      <c r="B627" s="171"/>
      <c r="C627" s="53"/>
      <c r="D627" s="53"/>
      <c r="E627" s="53"/>
      <c r="F627" s="53"/>
      <c r="G627" s="53"/>
      <c r="H627" s="52" t="str">
        <f>IF(G627="","",IFERROR(VLOOKUP(G627,'Product_Stock_Master产品维护'!$A$2:$E992,2,FALSE()),"SKU not found"))</f>
        <v/>
      </c>
      <c r="I627" s="52" t="str">
        <f>IF(G627="","",IFERROR(VLOOKUP(G627,'Product_Stock_Master产品维护'!$A$2:$E992,3,FALSE()),"Item type not found"))</f>
        <v/>
      </c>
      <c r="J627" s="53"/>
      <c r="K627" s="53"/>
      <c r="L627" s="53"/>
      <c r="M627" s="53"/>
      <c r="N627" s="53"/>
      <c r="O627" s="52" t="str">
        <f t="shared" si="1"/>
        <v/>
      </c>
      <c r="P627" s="53"/>
      <c r="Q627" s="52" t="str">
        <f t="shared" si="9"/>
        <v/>
      </c>
      <c r="R627" s="52" t="str">
        <f t="shared" si="3"/>
        <v/>
      </c>
      <c r="S627" s="52" t="str">
        <f t="shared" si="10"/>
        <v/>
      </c>
      <c r="T627" s="52" t="str">
        <f t="shared" si="5"/>
        <v/>
      </c>
      <c r="U627" s="52"/>
      <c r="V627" s="53"/>
      <c r="W627" s="52" t="str">
        <f t="shared" si="6"/>
        <v/>
      </c>
      <c r="X627" s="52">
        <f t="shared" si="7"/>
        <v>0</v>
      </c>
      <c r="Y627" s="52">
        <f t="shared" si="8"/>
        <v>0</v>
      </c>
      <c r="Z627" s="52" t="str">
        <f>IF(G627="","",IFERROR(VLOOKUP(G627,'Product_Stock_Master产品维护'!$A$2:$L992,11,FALSE),"No"))</f>
        <v/>
      </c>
      <c r="AA627" s="52" t="str">
        <f>IF(G627="","",IFERROR(VLOOKUP(G627,'Product_Stock_Master产品维护'!$A$2:$L992,12,FALSE),""))</f>
        <v/>
      </c>
      <c r="AB627" s="52" t="str">
        <f t="shared" si="11"/>
        <v/>
      </c>
      <c r="AC627" s="52">
        <f t="shared" si="12"/>
        <v>0</v>
      </c>
    </row>
    <row r="628" ht="15.75" customHeight="1">
      <c r="A628" s="171"/>
      <c r="B628" s="171"/>
      <c r="C628" s="53"/>
      <c r="D628" s="53"/>
      <c r="E628" s="53"/>
      <c r="F628" s="53"/>
      <c r="G628" s="53"/>
      <c r="H628" s="52" t="str">
        <f>IF(G628="","",IFERROR(VLOOKUP(G628,'Product_Stock_Master产品维护'!$A$2:$E992,2,FALSE()),"SKU not found"))</f>
        <v/>
      </c>
      <c r="I628" s="52" t="str">
        <f>IF(G628="","",IFERROR(VLOOKUP(G628,'Product_Stock_Master产品维护'!$A$2:$E992,3,FALSE()),"Item type not found"))</f>
        <v/>
      </c>
      <c r="J628" s="53"/>
      <c r="K628" s="53"/>
      <c r="L628" s="53"/>
      <c r="M628" s="53"/>
      <c r="N628" s="53"/>
      <c r="O628" s="52" t="str">
        <f t="shared" si="1"/>
        <v/>
      </c>
      <c r="P628" s="53"/>
      <c r="Q628" s="52" t="str">
        <f t="shared" si="9"/>
        <v/>
      </c>
      <c r="R628" s="52" t="str">
        <f t="shared" si="3"/>
        <v/>
      </c>
      <c r="S628" s="52" t="str">
        <f t="shared" si="10"/>
        <v/>
      </c>
      <c r="T628" s="52" t="str">
        <f t="shared" si="5"/>
        <v/>
      </c>
      <c r="U628" s="52"/>
      <c r="V628" s="53"/>
      <c r="W628" s="52" t="str">
        <f t="shared" si="6"/>
        <v/>
      </c>
      <c r="X628" s="52">
        <f t="shared" si="7"/>
        <v>0</v>
      </c>
      <c r="Y628" s="52">
        <f t="shared" si="8"/>
        <v>0</v>
      </c>
      <c r="Z628" s="52" t="str">
        <f>IF(G628="","",IFERROR(VLOOKUP(G628,'Product_Stock_Master产品维护'!$A$2:$L992,11,FALSE),"No"))</f>
        <v/>
      </c>
      <c r="AA628" s="52" t="str">
        <f>IF(G628="","",IFERROR(VLOOKUP(G628,'Product_Stock_Master产品维护'!$A$2:$L992,12,FALSE),""))</f>
        <v/>
      </c>
      <c r="AB628" s="52" t="str">
        <f t="shared" si="11"/>
        <v/>
      </c>
      <c r="AC628" s="52">
        <f t="shared" si="12"/>
        <v>0</v>
      </c>
    </row>
    <row r="629" ht="15.75" customHeight="1">
      <c r="A629" s="171"/>
      <c r="B629" s="171"/>
      <c r="C629" s="53"/>
      <c r="D629" s="53"/>
      <c r="E629" s="53"/>
      <c r="F629" s="53"/>
      <c r="G629" s="53"/>
      <c r="H629" s="52" t="str">
        <f>IF(G629="","",IFERROR(VLOOKUP(G629,'Product_Stock_Master产品维护'!$A$2:$E992,2,FALSE()),"SKU not found"))</f>
        <v/>
      </c>
      <c r="I629" s="52" t="str">
        <f>IF(G629="","",IFERROR(VLOOKUP(G629,'Product_Stock_Master产品维护'!$A$2:$E992,3,FALSE()),"Item type not found"))</f>
        <v/>
      </c>
      <c r="J629" s="53"/>
      <c r="K629" s="53"/>
      <c r="L629" s="53"/>
      <c r="M629" s="53"/>
      <c r="N629" s="53"/>
      <c r="O629" s="52" t="str">
        <f t="shared" si="1"/>
        <v/>
      </c>
      <c r="P629" s="53"/>
      <c r="Q629" s="52" t="str">
        <f t="shared" si="9"/>
        <v/>
      </c>
      <c r="R629" s="52" t="str">
        <f t="shared" si="3"/>
        <v/>
      </c>
      <c r="S629" s="52" t="str">
        <f t="shared" si="10"/>
        <v/>
      </c>
      <c r="T629" s="52" t="str">
        <f t="shared" si="5"/>
        <v/>
      </c>
      <c r="U629" s="52"/>
      <c r="V629" s="53"/>
      <c r="W629" s="52" t="str">
        <f t="shared" si="6"/>
        <v/>
      </c>
      <c r="X629" s="52">
        <f t="shared" si="7"/>
        <v>0</v>
      </c>
      <c r="Y629" s="52">
        <f t="shared" si="8"/>
        <v>0</v>
      </c>
      <c r="Z629" s="52" t="str">
        <f>IF(G629="","",IFERROR(VLOOKUP(G629,'Product_Stock_Master产品维护'!$A$2:$L992,11,FALSE),"No"))</f>
        <v/>
      </c>
      <c r="AA629" s="52" t="str">
        <f>IF(G629="","",IFERROR(VLOOKUP(G629,'Product_Stock_Master产品维护'!$A$2:$L992,12,FALSE),""))</f>
        <v/>
      </c>
      <c r="AB629" s="52" t="str">
        <f t="shared" si="11"/>
        <v/>
      </c>
      <c r="AC629" s="52">
        <f t="shared" si="12"/>
        <v>0</v>
      </c>
    </row>
    <row r="630" ht="15.75" customHeight="1">
      <c r="A630" s="171"/>
      <c r="B630" s="171"/>
      <c r="C630" s="53"/>
      <c r="D630" s="53"/>
      <c r="E630" s="53"/>
      <c r="F630" s="53"/>
      <c r="G630" s="53"/>
      <c r="H630" s="52" t="str">
        <f>IF(G630="","",IFERROR(VLOOKUP(G630,'Product_Stock_Master产品维护'!$A$2:$E992,2,FALSE()),"SKU not found"))</f>
        <v/>
      </c>
      <c r="I630" s="52" t="str">
        <f>IF(G630="","",IFERROR(VLOOKUP(G630,'Product_Stock_Master产品维护'!$A$2:$E992,3,FALSE()),"Item type not found"))</f>
        <v/>
      </c>
      <c r="J630" s="53"/>
      <c r="K630" s="53"/>
      <c r="L630" s="53"/>
      <c r="M630" s="53"/>
      <c r="N630" s="53"/>
      <c r="O630" s="52" t="str">
        <f t="shared" si="1"/>
        <v/>
      </c>
      <c r="P630" s="53"/>
      <c r="Q630" s="52" t="str">
        <f t="shared" si="9"/>
        <v/>
      </c>
      <c r="R630" s="52" t="str">
        <f t="shared" si="3"/>
        <v/>
      </c>
      <c r="S630" s="52" t="str">
        <f t="shared" si="10"/>
        <v/>
      </c>
      <c r="T630" s="52" t="str">
        <f t="shared" si="5"/>
        <v/>
      </c>
      <c r="U630" s="52"/>
      <c r="V630" s="53"/>
      <c r="W630" s="52" t="str">
        <f t="shared" si="6"/>
        <v/>
      </c>
      <c r="X630" s="52">
        <f t="shared" si="7"/>
        <v>0</v>
      </c>
      <c r="Y630" s="52">
        <f t="shared" si="8"/>
        <v>0</v>
      </c>
      <c r="Z630" s="52" t="str">
        <f>IF(G630="","",IFERROR(VLOOKUP(G630,'Product_Stock_Master产品维护'!$A$2:$L992,11,FALSE),"No"))</f>
        <v/>
      </c>
      <c r="AA630" s="52" t="str">
        <f>IF(G630="","",IFERROR(VLOOKUP(G630,'Product_Stock_Master产品维护'!$A$2:$L992,12,FALSE),""))</f>
        <v/>
      </c>
      <c r="AB630" s="52" t="str">
        <f t="shared" si="11"/>
        <v/>
      </c>
      <c r="AC630" s="52">
        <f t="shared" si="12"/>
        <v>0</v>
      </c>
    </row>
    <row r="631" ht="15.75" customHeight="1">
      <c r="A631" s="171"/>
      <c r="B631" s="171"/>
      <c r="C631" s="53"/>
      <c r="D631" s="53"/>
      <c r="E631" s="53"/>
      <c r="F631" s="53"/>
      <c r="G631" s="53"/>
      <c r="H631" s="52" t="str">
        <f>IF(G631="","",IFERROR(VLOOKUP(G631,'Product_Stock_Master产品维护'!$A$2:$E992,2,FALSE()),"SKU not found"))</f>
        <v/>
      </c>
      <c r="I631" s="52" t="str">
        <f>IF(G631="","",IFERROR(VLOOKUP(G631,'Product_Stock_Master产品维护'!$A$2:$E992,3,FALSE()),"Item type not found"))</f>
        <v/>
      </c>
      <c r="J631" s="53"/>
      <c r="K631" s="53"/>
      <c r="L631" s="53"/>
      <c r="M631" s="53"/>
      <c r="N631" s="53"/>
      <c r="O631" s="52" t="str">
        <f t="shared" si="1"/>
        <v/>
      </c>
      <c r="P631" s="53"/>
      <c r="Q631" s="52" t="str">
        <f t="shared" si="9"/>
        <v/>
      </c>
      <c r="R631" s="52" t="str">
        <f t="shared" si="3"/>
        <v/>
      </c>
      <c r="S631" s="52" t="str">
        <f t="shared" si="10"/>
        <v/>
      </c>
      <c r="T631" s="52" t="str">
        <f t="shared" si="5"/>
        <v/>
      </c>
      <c r="U631" s="52"/>
      <c r="V631" s="53"/>
      <c r="W631" s="52" t="str">
        <f t="shared" si="6"/>
        <v/>
      </c>
      <c r="X631" s="52">
        <f t="shared" si="7"/>
        <v>0</v>
      </c>
      <c r="Y631" s="52">
        <f t="shared" si="8"/>
        <v>0</v>
      </c>
      <c r="Z631" s="52" t="str">
        <f>IF(G631="","",IFERROR(VLOOKUP(G631,'Product_Stock_Master产品维护'!$A$2:$L992,11,FALSE),"No"))</f>
        <v/>
      </c>
      <c r="AA631" s="52" t="str">
        <f>IF(G631="","",IFERROR(VLOOKUP(G631,'Product_Stock_Master产品维护'!$A$2:$L992,12,FALSE),""))</f>
        <v/>
      </c>
      <c r="AB631" s="52" t="str">
        <f t="shared" si="11"/>
        <v/>
      </c>
      <c r="AC631" s="52">
        <f t="shared" si="12"/>
        <v>0</v>
      </c>
    </row>
    <row r="632" ht="15.75" customHeight="1">
      <c r="A632" s="171"/>
      <c r="B632" s="171"/>
      <c r="C632" s="53"/>
      <c r="D632" s="53"/>
      <c r="E632" s="53"/>
      <c r="F632" s="53"/>
      <c r="G632" s="53"/>
      <c r="H632" s="52" t="str">
        <f>IF(G632="","",IFERROR(VLOOKUP(G632,'Product_Stock_Master产品维护'!$A$2:$E992,2,FALSE()),"SKU not found"))</f>
        <v/>
      </c>
      <c r="I632" s="52" t="str">
        <f>IF(G632="","",IFERROR(VLOOKUP(G632,'Product_Stock_Master产品维护'!$A$2:$E992,3,FALSE()),"Item type not found"))</f>
        <v/>
      </c>
      <c r="J632" s="53"/>
      <c r="K632" s="53"/>
      <c r="L632" s="53"/>
      <c r="M632" s="53"/>
      <c r="N632" s="53"/>
      <c r="O632" s="52" t="str">
        <f t="shared" si="1"/>
        <v/>
      </c>
      <c r="P632" s="53"/>
      <c r="Q632" s="52" t="str">
        <f t="shared" si="9"/>
        <v/>
      </c>
      <c r="R632" s="52" t="str">
        <f t="shared" si="3"/>
        <v/>
      </c>
      <c r="S632" s="52" t="str">
        <f t="shared" si="10"/>
        <v/>
      </c>
      <c r="T632" s="52" t="str">
        <f t="shared" si="5"/>
        <v/>
      </c>
      <c r="U632" s="52"/>
      <c r="V632" s="53"/>
      <c r="W632" s="52" t="str">
        <f t="shared" si="6"/>
        <v/>
      </c>
      <c r="X632" s="52">
        <f t="shared" si="7"/>
        <v>0</v>
      </c>
      <c r="Y632" s="52">
        <f t="shared" si="8"/>
        <v>0</v>
      </c>
      <c r="Z632" s="52" t="str">
        <f>IF(G632="","",IFERROR(VLOOKUP(G632,'Product_Stock_Master产品维护'!$A$2:$L992,11,FALSE),"No"))</f>
        <v/>
      </c>
      <c r="AA632" s="52" t="str">
        <f>IF(G632="","",IFERROR(VLOOKUP(G632,'Product_Stock_Master产品维护'!$A$2:$L992,12,FALSE),""))</f>
        <v/>
      </c>
      <c r="AB632" s="52" t="str">
        <f t="shared" si="11"/>
        <v/>
      </c>
      <c r="AC632" s="52">
        <f t="shared" si="12"/>
        <v>0</v>
      </c>
    </row>
    <row r="633" ht="15.75" customHeight="1">
      <c r="A633" s="171"/>
      <c r="B633" s="171"/>
      <c r="C633" s="53"/>
      <c r="D633" s="53"/>
      <c r="E633" s="53"/>
      <c r="F633" s="53"/>
      <c r="G633" s="53"/>
      <c r="H633" s="52" t="str">
        <f>IF(G633="","",IFERROR(VLOOKUP(G633,'Product_Stock_Master产品维护'!$A$2:$E992,2,FALSE()),"SKU not found"))</f>
        <v/>
      </c>
      <c r="I633" s="52" t="str">
        <f>IF(G633="","",IFERROR(VLOOKUP(G633,'Product_Stock_Master产品维护'!$A$2:$E992,3,FALSE()),"Item type not found"))</f>
        <v/>
      </c>
      <c r="J633" s="53"/>
      <c r="K633" s="53"/>
      <c r="L633" s="53"/>
      <c r="M633" s="53"/>
      <c r="N633" s="53"/>
      <c r="O633" s="52" t="str">
        <f t="shared" si="1"/>
        <v/>
      </c>
      <c r="P633" s="53"/>
      <c r="Q633" s="52" t="str">
        <f t="shared" si="9"/>
        <v/>
      </c>
      <c r="R633" s="52" t="str">
        <f t="shared" si="3"/>
        <v/>
      </c>
      <c r="S633" s="52" t="str">
        <f t="shared" si="10"/>
        <v/>
      </c>
      <c r="T633" s="52" t="str">
        <f t="shared" si="5"/>
        <v/>
      </c>
      <c r="U633" s="52"/>
      <c r="V633" s="53"/>
      <c r="W633" s="52" t="str">
        <f t="shared" si="6"/>
        <v/>
      </c>
      <c r="X633" s="52">
        <f t="shared" si="7"/>
        <v>0</v>
      </c>
      <c r="Y633" s="52">
        <f t="shared" si="8"/>
        <v>0</v>
      </c>
      <c r="Z633" s="52" t="str">
        <f>IF(G633="","",IFERROR(VLOOKUP(G633,'Product_Stock_Master产品维护'!$A$2:$L992,11,FALSE),"No"))</f>
        <v/>
      </c>
      <c r="AA633" s="52" t="str">
        <f>IF(G633="","",IFERROR(VLOOKUP(G633,'Product_Stock_Master产品维护'!$A$2:$L992,12,FALSE),""))</f>
        <v/>
      </c>
      <c r="AB633" s="52" t="str">
        <f t="shared" si="11"/>
        <v/>
      </c>
      <c r="AC633" s="52">
        <f t="shared" si="12"/>
        <v>0</v>
      </c>
    </row>
    <row r="634" ht="15.75" customHeight="1">
      <c r="A634" s="171"/>
      <c r="B634" s="171"/>
      <c r="C634" s="53"/>
      <c r="D634" s="53"/>
      <c r="E634" s="53"/>
      <c r="F634" s="53"/>
      <c r="G634" s="53"/>
      <c r="H634" s="52" t="str">
        <f>IF(G634="","",IFERROR(VLOOKUP(G634,'Product_Stock_Master产品维护'!$A$2:$E992,2,FALSE()),"SKU not found"))</f>
        <v/>
      </c>
      <c r="I634" s="52" t="str">
        <f>IF(G634="","",IFERROR(VLOOKUP(G634,'Product_Stock_Master产品维护'!$A$2:$E992,3,FALSE()),"Item type not found"))</f>
        <v/>
      </c>
      <c r="J634" s="53"/>
      <c r="K634" s="53"/>
      <c r="L634" s="53"/>
      <c r="M634" s="53"/>
      <c r="N634" s="53"/>
      <c r="O634" s="52" t="str">
        <f t="shared" si="1"/>
        <v/>
      </c>
      <c r="P634" s="53"/>
      <c r="Q634" s="52" t="str">
        <f t="shared" si="9"/>
        <v/>
      </c>
      <c r="R634" s="52" t="str">
        <f t="shared" si="3"/>
        <v/>
      </c>
      <c r="S634" s="52" t="str">
        <f t="shared" si="10"/>
        <v/>
      </c>
      <c r="T634" s="52" t="str">
        <f t="shared" si="5"/>
        <v/>
      </c>
      <c r="U634" s="52"/>
      <c r="V634" s="53"/>
      <c r="W634" s="52" t="str">
        <f t="shared" si="6"/>
        <v/>
      </c>
      <c r="X634" s="52">
        <f t="shared" si="7"/>
        <v>0</v>
      </c>
      <c r="Y634" s="52">
        <f t="shared" si="8"/>
        <v>0</v>
      </c>
      <c r="Z634" s="52" t="str">
        <f>IF(G634="","",IFERROR(VLOOKUP(G634,'Product_Stock_Master产品维护'!$A$2:$L992,11,FALSE),"No"))</f>
        <v/>
      </c>
      <c r="AA634" s="52" t="str">
        <f>IF(G634="","",IFERROR(VLOOKUP(G634,'Product_Stock_Master产品维护'!$A$2:$L992,12,FALSE),""))</f>
        <v/>
      </c>
      <c r="AB634" s="52" t="str">
        <f t="shared" si="11"/>
        <v/>
      </c>
      <c r="AC634" s="52">
        <f t="shared" si="12"/>
        <v>0</v>
      </c>
    </row>
    <row r="635" ht="15.75" customHeight="1">
      <c r="A635" s="171"/>
      <c r="B635" s="171"/>
      <c r="C635" s="53"/>
      <c r="D635" s="53"/>
      <c r="E635" s="53"/>
      <c r="F635" s="53"/>
      <c r="G635" s="53"/>
      <c r="H635" s="52" t="str">
        <f>IF(G635="","",IFERROR(VLOOKUP(G635,'Product_Stock_Master产品维护'!$A$2:$E992,2,FALSE()),"SKU not found"))</f>
        <v/>
      </c>
      <c r="I635" s="52" t="str">
        <f>IF(G635="","",IFERROR(VLOOKUP(G635,'Product_Stock_Master产品维护'!$A$2:$E992,3,FALSE()),"Item type not found"))</f>
        <v/>
      </c>
      <c r="J635" s="53"/>
      <c r="K635" s="53"/>
      <c r="L635" s="53"/>
      <c r="M635" s="53"/>
      <c r="N635" s="53"/>
      <c r="O635" s="52" t="str">
        <f t="shared" si="1"/>
        <v/>
      </c>
      <c r="P635" s="53"/>
      <c r="Q635" s="52" t="str">
        <f t="shared" si="9"/>
        <v/>
      </c>
      <c r="R635" s="52" t="str">
        <f t="shared" si="3"/>
        <v/>
      </c>
      <c r="S635" s="52" t="str">
        <f t="shared" si="10"/>
        <v/>
      </c>
      <c r="T635" s="52" t="str">
        <f t="shared" si="5"/>
        <v/>
      </c>
      <c r="U635" s="52"/>
      <c r="V635" s="53"/>
      <c r="W635" s="52" t="str">
        <f t="shared" si="6"/>
        <v/>
      </c>
      <c r="X635" s="52">
        <f t="shared" si="7"/>
        <v>0</v>
      </c>
      <c r="Y635" s="52">
        <f t="shared" si="8"/>
        <v>0</v>
      </c>
      <c r="Z635" s="52" t="str">
        <f>IF(G635="","",IFERROR(VLOOKUP(G635,'Product_Stock_Master产品维护'!$A$2:$L992,11,FALSE),"No"))</f>
        <v/>
      </c>
      <c r="AA635" s="52" t="str">
        <f>IF(G635="","",IFERROR(VLOOKUP(G635,'Product_Stock_Master产品维护'!$A$2:$L992,12,FALSE),""))</f>
        <v/>
      </c>
      <c r="AB635" s="52" t="str">
        <f t="shared" si="11"/>
        <v/>
      </c>
      <c r="AC635" s="52">
        <f t="shared" si="12"/>
        <v>0</v>
      </c>
    </row>
    <row r="636" ht="15.75" customHeight="1">
      <c r="A636" s="171"/>
      <c r="B636" s="171"/>
      <c r="C636" s="53"/>
      <c r="D636" s="53"/>
      <c r="E636" s="53"/>
      <c r="F636" s="53"/>
      <c r="G636" s="53"/>
      <c r="H636" s="52" t="str">
        <f>IF(G636="","",IFERROR(VLOOKUP(G636,'Product_Stock_Master产品维护'!$A$2:$E992,2,FALSE()),"SKU not found"))</f>
        <v/>
      </c>
      <c r="I636" s="52" t="str">
        <f>IF(G636="","",IFERROR(VLOOKUP(G636,'Product_Stock_Master产品维护'!$A$2:$E992,3,FALSE()),"Item type not found"))</f>
        <v/>
      </c>
      <c r="J636" s="53"/>
      <c r="K636" s="53"/>
      <c r="L636" s="53"/>
      <c r="M636" s="53"/>
      <c r="N636" s="53"/>
      <c r="O636" s="52" t="str">
        <f t="shared" si="1"/>
        <v/>
      </c>
      <c r="P636" s="53"/>
      <c r="Q636" s="52" t="str">
        <f t="shared" si="9"/>
        <v/>
      </c>
      <c r="R636" s="52" t="str">
        <f t="shared" si="3"/>
        <v/>
      </c>
      <c r="S636" s="52" t="str">
        <f t="shared" si="10"/>
        <v/>
      </c>
      <c r="T636" s="52" t="str">
        <f t="shared" si="5"/>
        <v/>
      </c>
      <c r="U636" s="52"/>
      <c r="V636" s="53"/>
      <c r="W636" s="52" t="str">
        <f t="shared" si="6"/>
        <v/>
      </c>
      <c r="X636" s="52">
        <f t="shared" si="7"/>
        <v>0</v>
      </c>
      <c r="Y636" s="52">
        <f t="shared" si="8"/>
        <v>0</v>
      </c>
      <c r="Z636" s="52" t="str">
        <f>IF(G636="","",IFERROR(VLOOKUP(G636,'Product_Stock_Master产品维护'!$A$2:$L992,11,FALSE),"No"))</f>
        <v/>
      </c>
      <c r="AA636" s="52" t="str">
        <f>IF(G636="","",IFERROR(VLOOKUP(G636,'Product_Stock_Master产品维护'!$A$2:$L992,12,FALSE),""))</f>
        <v/>
      </c>
      <c r="AB636" s="52" t="str">
        <f t="shared" si="11"/>
        <v/>
      </c>
      <c r="AC636" s="52">
        <f t="shared" si="12"/>
        <v>0</v>
      </c>
    </row>
    <row r="637" ht="15.75" customHeight="1">
      <c r="A637" s="171"/>
      <c r="B637" s="171"/>
      <c r="C637" s="53"/>
      <c r="D637" s="53"/>
      <c r="E637" s="53"/>
      <c r="F637" s="53"/>
      <c r="G637" s="53"/>
      <c r="H637" s="52" t="str">
        <f>IF(G637="","",IFERROR(VLOOKUP(G637,'Product_Stock_Master产品维护'!$A$2:$E992,2,FALSE()),"SKU not found"))</f>
        <v/>
      </c>
      <c r="I637" s="52" t="str">
        <f>IF(G637="","",IFERROR(VLOOKUP(G637,'Product_Stock_Master产品维护'!$A$2:$E992,3,FALSE()),"Item type not found"))</f>
        <v/>
      </c>
      <c r="J637" s="53"/>
      <c r="K637" s="53"/>
      <c r="L637" s="53"/>
      <c r="M637" s="53"/>
      <c r="N637" s="53"/>
      <c r="O637" s="52" t="str">
        <f t="shared" si="1"/>
        <v/>
      </c>
      <c r="P637" s="53"/>
      <c r="Q637" s="52" t="str">
        <f t="shared" si="9"/>
        <v/>
      </c>
      <c r="R637" s="52" t="str">
        <f t="shared" si="3"/>
        <v/>
      </c>
      <c r="S637" s="52" t="str">
        <f t="shared" si="10"/>
        <v/>
      </c>
      <c r="T637" s="52" t="str">
        <f t="shared" si="5"/>
        <v/>
      </c>
      <c r="U637" s="52"/>
      <c r="V637" s="53"/>
      <c r="W637" s="52" t="str">
        <f t="shared" si="6"/>
        <v/>
      </c>
      <c r="X637" s="52">
        <f t="shared" si="7"/>
        <v>0</v>
      </c>
      <c r="Y637" s="52">
        <f t="shared" si="8"/>
        <v>0</v>
      </c>
      <c r="Z637" s="52" t="str">
        <f>IF(G637="","",IFERROR(VLOOKUP(G637,'Product_Stock_Master产品维护'!$A$2:$L992,11,FALSE),"No"))</f>
        <v/>
      </c>
      <c r="AA637" s="52" t="str">
        <f>IF(G637="","",IFERROR(VLOOKUP(G637,'Product_Stock_Master产品维护'!$A$2:$L992,12,FALSE),""))</f>
        <v/>
      </c>
      <c r="AB637" s="52" t="str">
        <f t="shared" si="11"/>
        <v/>
      </c>
      <c r="AC637" s="52">
        <f t="shared" si="12"/>
        <v>0</v>
      </c>
    </row>
    <row r="638" ht="15.75" customHeight="1">
      <c r="A638" s="171"/>
      <c r="B638" s="171"/>
      <c r="C638" s="53"/>
      <c r="D638" s="53"/>
      <c r="E638" s="53"/>
      <c r="F638" s="53"/>
      <c r="G638" s="53"/>
      <c r="H638" s="52" t="str">
        <f>IF(G638="","",IFERROR(VLOOKUP(G638,'Product_Stock_Master产品维护'!$A$2:$E992,2,FALSE()),"SKU not found"))</f>
        <v/>
      </c>
      <c r="I638" s="52" t="str">
        <f>IF(G638="","",IFERROR(VLOOKUP(G638,'Product_Stock_Master产品维护'!$A$2:$E992,3,FALSE()),"Item type not found"))</f>
        <v/>
      </c>
      <c r="J638" s="53"/>
      <c r="K638" s="53"/>
      <c r="L638" s="53"/>
      <c r="M638" s="53"/>
      <c r="N638" s="53"/>
      <c r="O638" s="52" t="str">
        <f t="shared" si="1"/>
        <v/>
      </c>
      <c r="P638" s="53"/>
      <c r="Q638" s="52" t="str">
        <f t="shared" si="9"/>
        <v/>
      </c>
      <c r="R638" s="52" t="str">
        <f t="shared" si="3"/>
        <v/>
      </c>
      <c r="S638" s="52" t="str">
        <f t="shared" si="10"/>
        <v/>
      </c>
      <c r="T638" s="52" t="str">
        <f t="shared" si="5"/>
        <v/>
      </c>
      <c r="U638" s="52"/>
      <c r="V638" s="53"/>
      <c r="W638" s="52" t="str">
        <f t="shared" si="6"/>
        <v/>
      </c>
      <c r="X638" s="52">
        <f t="shared" si="7"/>
        <v>0</v>
      </c>
      <c r="Y638" s="52">
        <f t="shared" si="8"/>
        <v>0</v>
      </c>
      <c r="Z638" s="52" t="str">
        <f>IF(G638="","",IFERROR(VLOOKUP(G638,'Product_Stock_Master产品维护'!$A$2:$L992,11,FALSE),"No"))</f>
        <v/>
      </c>
      <c r="AA638" s="52" t="str">
        <f>IF(G638="","",IFERROR(VLOOKUP(G638,'Product_Stock_Master产品维护'!$A$2:$L992,12,FALSE),""))</f>
        <v/>
      </c>
      <c r="AB638" s="52" t="str">
        <f t="shared" si="11"/>
        <v/>
      </c>
      <c r="AC638" s="52">
        <f t="shared" si="12"/>
        <v>0</v>
      </c>
    </row>
    <row r="639" ht="15.75" customHeight="1">
      <c r="A639" s="171"/>
      <c r="B639" s="171"/>
      <c r="C639" s="53"/>
      <c r="D639" s="53"/>
      <c r="E639" s="53"/>
      <c r="F639" s="53"/>
      <c r="G639" s="53"/>
      <c r="H639" s="52" t="str">
        <f>IF(G639="","",IFERROR(VLOOKUP(G639,'Product_Stock_Master产品维护'!$A$2:$E992,2,FALSE()),"SKU not found"))</f>
        <v/>
      </c>
      <c r="I639" s="52" t="str">
        <f>IF(G639="","",IFERROR(VLOOKUP(G639,'Product_Stock_Master产品维护'!$A$2:$E992,3,FALSE()),"Item type not found"))</f>
        <v/>
      </c>
      <c r="J639" s="53"/>
      <c r="K639" s="53"/>
      <c r="L639" s="53"/>
      <c r="M639" s="53"/>
      <c r="N639" s="53"/>
      <c r="O639" s="52" t="str">
        <f t="shared" si="1"/>
        <v/>
      </c>
      <c r="P639" s="53"/>
      <c r="Q639" s="52" t="str">
        <f t="shared" si="9"/>
        <v/>
      </c>
      <c r="R639" s="52" t="str">
        <f t="shared" si="3"/>
        <v/>
      </c>
      <c r="S639" s="52" t="str">
        <f t="shared" si="10"/>
        <v/>
      </c>
      <c r="T639" s="52" t="str">
        <f t="shared" si="5"/>
        <v/>
      </c>
      <c r="U639" s="52"/>
      <c r="V639" s="53"/>
      <c r="W639" s="52" t="str">
        <f t="shared" si="6"/>
        <v/>
      </c>
      <c r="X639" s="52">
        <f t="shared" si="7"/>
        <v>0</v>
      </c>
      <c r="Y639" s="52">
        <f t="shared" si="8"/>
        <v>0</v>
      </c>
      <c r="Z639" s="52" t="str">
        <f>IF(G639="","",IFERROR(VLOOKUP(G639,'Product_Stock_Master产品维护'!$A$2:$L992,11,FALSE),"No"))</f>
        <v/>
      </c>
      <c r="AA639" s="52" t="str">
        <f>IF(G639="","",IFERROR(VLOOKUP(G639,'Product_Stock_Master产品维护'!$A$2:$L992,12,FALSE),""))</f>
        <v/>
      </c>
      <c r="AB639" s="52" t="str">
        <f t="shared" si="11"/>
        <v/>
      </c>
      <c r="AC639" s="52">
        <f t="shared" si="12"/>
        <v>0</v>
      </c>
    </row>
    <row r="640" ht="15.75" customHeight="1">
      <c r="A640" s="171"/>
      <c r="B640" s="171"/>
      <c r="C640" s="53"/>
      <c r="D640" s="53"/>
      <c r="E640" s="53"/>
      <c r="F640" s="53"/>
      <c r="G640" s="53"/>
      <c r="H640" s="52" t="str">
        <f>IF(G640="","",IFERROR(VLOOKUP(G640,'Product_Stock_Master产品维护'!$A$2:$E992,2,FALSE()),"SKU not found"))</f>
        <v/>
      </c>
      <c r="I640" s="52" t="str">
        <f>IF(G640="","",IFERROR(VLOOKUP(G640,'Product_Stock_Master产品维护'!$A$2:$E992,3,FALSE()),"Item type not found"))</f>
        <v/>
      </c>
      <c r="J640" s="53"/>
      <c r="K640" s="53"/>
      <c r="L640" s="53"/>
      <c r="M640" s="53"/>
      <c r="N640" s="53"/>
      <c r="O640" s="52" t="str">
        <f t="shared" si="1"/>
        <v/>
      </c>
      <c r="P640" s="53"/>
      <c r="Q640" s="52" t="str">
        <f t="shared" si="9"/>
        <v/>
      </c>
      <c r="R640" s="52" t="str">
        <f t="shared" si="3"/>
        <v/>
      </c>
      <c r="S640" s="52" t="str">
        <f t="shared" si="10"/>
        <v/>
      </c>
      <c r="T640" s="52" t="str">
        <f t="shared" si="5"/>
        <v/>
      </c>
      <c r="U640" s="52"/>
      <c r="V640" s="53"/>
      <c r="W640" s="52" t="str">
        <f t="shared" si="6"/>
        <v/>
      </c>
      <c r="X640" s="52">
        <f t="shared" si="7"/>
        <v>0</v>
      </c>
      <c r="Y640" s="52">
        <f t="shared" si="8"/>
        <v>0</v>
      </c>
      <c r="Z640" s="52" t="str">
        <f>IF(G640="","",IFERROR(VLOOKUP(G640,'Product_Stock_Master产品维护'!$A$2:$L992,11,FALSE),"No"))</f>
        <v/>
      </c>
      <c r="AA640" s="52" t="str">
        <f>IF(G640="","",IFERROR(VLOOKUP(G640,'Product_Stock_Master产品维护'!$A$2:$L992,12,FALSE),""))</f>
        <v/>
      </c>
      <c r="AB640" s="52" t="str">
        <f t="shared" si="11"/>
        <v/>
      </c>
      <c r="AC640" s="52">
        <f t="shared" si="12"/>
        <v>0</v>
      </c>
    </row>
    <row r="641" ht="15.75" customHeight="1">
      <c r="A641" s="171"/>
      <c r="B641" s="171"/>
      <c r="C641" s="53"/>
      <c r="D641" s="53"/>
      <c r="E641" s="53"/>
      <c r="F641" s="53"/>
      <c r="G641" s="53"/>
      <c r="H641" s="52" t="str">
        <f>IF(G641="","",IFERROR(VLOOKUP(G641,'Product_Stock_Master产品维护'!$A$2:$E992,2,FALSE()),"SKU not found"))</f>
        <v/>
      </c>
      <c r="I641" s="52" t="str">
        <f>IF(G641="","",IFERROR(VLOOKUP(G641,'Product_Stock_Master产品维护'!$A$2:$E992,3,FALSE()),"Item type not found"))</f>
        <v/>
      </c>
      <c r="J641" s="53"/>
      <c r="K641" s="53"/>
      <c r="L641" s="53"/>
      <c r="M641" s="53"/>
      <c r="N641" s="53"/>
      <c r="O641" s="52" t="str">
        <f t="shared" si="1"/>
        <v/>
      </c>
      <c r="P641" s="53"/>
      <c r="Q641" s="52" t="str">
        <f t="shared" si="9"/>
        <v/>
      </c>
      <c r="R641" s="52" t="str">
        <f t="shared" si="3"/>
        <v/>
      </c>
      <c r="S641" s="52" t="str">
        <f t="shared" si="10"/>
        <v/>
      </c>
      <c r="T641" s="52" t="str">
        <f t="shared" si="5"/>
        <v/>
      </c>
      <c r="U641" s="52"/>
      <c r="V641" s="53"/>
      <c r="W641" s="52" t="str">
        <f t="shared" si="6"/>
        <v/>
      </c>
      <c r="X641" s="52">
        <f t="shared" si="7"/>
        <v>0</v>
      </c>
      <c r="Y641" s="52">
        <f t="shared" si="8"/>
        <v>0</v>
      </c>
      <c r="Z641" s="52" t="str">
        <f>IF(G641="","",IFERROR(VLOOKUP(G641,'Product_Stock_Master产品维护'!$A$2:$L992,11,FALSE),"No"))</f>
        <v/>
      </c>
      <c r="AA641" s="52" t="str">
        <f>IF(G641="","",IFERROR(VLOOKUP(G641,'Product_Stock_Master产品维护'!$A$2:$L992,12,FALSE),""))</f>
        <v/>
      </c>
      <c r="AB641" s="52" t="str">
        <f t="shared" si="11"/>
        <v/>
      </c>
      <c r="AC641" s="52">
        <f t="shared" si="12"/>
        <v>0</v>
      </c>
    </row>
    <row r="642" ht="15.75" customHeight="1">
      <c r="A642" s="171"/>
      <c r="B642" s="171"/>
      <c r="C642" s="53"/>
      <c r="D642" s="53"/>
      <c r="E642" s="53"/>
      <c r="F642" s="53"/>
      <c r="G642" s="53"/>
      <c r="H642" s="52" t="str">
        <f>IF(G642="","",IFERROR(VLOOKUP(G642,'Product_Stock_Master产品维护'!$A$2:$E992,2,FALSE()),"SKU not found"))</f>
        <v/>
      </c>
      <c r="I642" s="52" t="str">
        <f>IF(G642="","",IFERROR(VLOOKUP(G642,'Product_Stock_Master产品维护'!$A$2:$E992,3,FALSE()),"Item type not found"))</f>
        <v/>
      </c>
      <c r="J642" s="53"/>
      <c r="K642" s="53"/>
      <c r="L642" s="53"/>
      <c r="M642" s="53"/>
      <c r="N642" s="53"/>
      <c r="O642" s="52" t="str">
        <f t="shared" si="1"/>
        <v/>
      </c>
      <c r="P642" s="53"/>
      <c r="Q642" s="52" t="str">
        <f t="shared" si="9"/>
        <v/>
      </c>
      <c r="R642" s="52" t="str">
        <f t="shared" si="3"/>
        <v/>
      </c>
      <c r="S642" s="52" t="str">
        <f t="shared" si="10"/>
        <v/>
      </c>
      <c r="T642" s="52" t="str">
        <f t="shared" si="5"/>
        <v/>
      </c>
      <c r="U642" s="52"/>
      <c r="V642" s="53"/>
      <c r="W642" s="52" t="str">
        <f t="shared" si="6"/>
        <v/>
      </c>
      <c r="X642" s="52">
        <f t="shared" si="7"/>
        <v>0</v>
      </c>
      <c r="Y642" s="52">
        <f t="shared" si="8"/>
        <v>0</v>
      </c>
      <c r="Z642" s="52" t="str">
        <f>IF(G642="","",IFERROR(VLOOKUP(G642,'Product_Stock_Master产品维护'!$A$2:$L992,11,FALSE),"No"))</f>
        <v/>
      </c>
      <c r="AA642" s="52" t="str">
        <f>IF(G642="","",IFERROR(VLOOKUP(G642,'Product_Stock_Master产品维护'!$A$2:$L992,12,FALSE),""))</f>
        <v/>
      </c>
      <c r="AB642" s="52" t="str">
        <f t="shared" si="11"/>
        <v/>
      </c>
      <c r="AC642" s="52">
        <f t="shared" si="12"/>
        <v>0</v>
      </c>
    </row>
    <row r="643" ht="15.75" customHeight="1">
      <c r="A643" s="171"/>
      <c r="B643" s="171"/>
      <c r="C643" s="53"/>
      <c r="D643" s="53"/>
      <c r="E643" s="53"/>
      <c r="F643" s="53"/>
      <c r="G643" s="53"/>
      <c r="H643" s="52" t="str">
        <f>IF(G643="","",IFERROR(VLOOKUP(G643,'Product_Stock_Master产品维护'!$A$2:$E992,2,FALSE()),"SKU not found"))</f>
        <v/>
      </c>
      <c r="I643" s="52" t="str">
        <f>IF(G643="","",IFERROR(VLOOKUP(G643,'Product_Stock_Master产品维护'!$A$2:$E992,3,FALSE()),"Item type not found"))</f>
        <v/>
      </c>
      <c r="J643" s="53"/>
      <c r="K643" s="53"/>
      <c r="L643" s="53"/>
      <c r="M643" s="53"/>
      <c r="N643" s="53"/>
      <c r="O643" s="52" t="str">
        <f t="shared" si="1"/>
        <v/>
      </c>
      <c r="P643" s="53"/>
      <c r="Q643" s="52" t="str">
        <f t="shared" si="9"/>
        <v/>
      </c>
      <c r="R643" s="52" t="str">
        <f t="shared" si="3"/>
        <v/>
      </c>
      <c r="S643" s="52" t="str">
        <f t="shared" si="10"/>
        <v/>
      </c>
      <c r="T643" s="52" t="str">
        <f t="shared" si="5"/>
        <v/>
      </c>
      <c r="U643" s="52"/>
      <c r="V643" s="53"/>
      <c r="W643" s="52" t="str">
        <f t="shared" si="6"/>
        <v/>
      </c>
      <c r="X643" s="52">
        <f t="shared" si="7"/>
        <v>0</v>
      </c>
      <c r="Y643" s="52">
        <f t="shared" si="8"/>
        <v>0</v>
      </c>
      <c r="Z643" s="52" t="str">
        <f>IF(G643="","",IFERROR(VLOOKUP(G643,'Product_Stock_Master产品维护'!$A$2:$L992,11,FALSE),"No"))</f>
        <v/>
      </c>
      <c r="AA643" s="52" t="str">
        <f>IF(G643="","",IFERROR(VLOOKUP(G643,'Product_Stock_Master产品维护'!$A$2:$L992,12,FALSE),""))</f>
        <v/>
      </c>
      <c r="AB643" s="52" t="str">
        <f t="shared" si="11"/>
        <v/>
      </c>
      <c r="AC643" s="52">
        <f t="shared" si="12"/>
        <v>0</v>
      </c>
    </row>
    <row r="644" ht="15.75" customHeight="1">
      <c r="A644" s="171"/>
      <c r="B644" s="171"/>
      <c r="C644" s="53"/>
      <c r="D644" s="53"/>
      <c r="E644" s="53"/>
      <c r="F644" s="53"/>
      <c r="G644" s="53"/>
      <c r="H644" s="52" t="str">
        <f>IF(G644="","",IFERROR(VLOOKUP(G644,'Product_Stock_Master产品维护'!$A$2:$E992,2,FALSE()),"SKU not found"))</f>
        <v/>
      </c>
      <c r="I644" s="52" t="str">
        <f>IF(G644="","",IFERROR(VLOOKUP(G644,'Product_Stock_Master产品维护'!$A$2:$E992,3,FALSE()),"Item type not found"))</f>
        <v/>
      </c>
      <c r="J644" s="53"/>
      <c r="K644" s="53"/>
      <c r="L644" s="53"/>
      <c r="M644" s="53"/>
      <c r="N644" s="53"/>
      <c r="O644" s="52" t="str">
        <f t="shared" si="1"/>
        <v/>
      </c>
      <c r="P644" s="53"/>
      <c r="Q644" s="52" t="str">
        <f t="shared" si="9"/>
        <v/>
      </c>
      <c r="R644" s="52" t="str">
        <f t="shared" si="3"/>
        <v/>
      </c>
      <c r="S644" s="52" t="str">
        <f t="shared" si="10"/>
        <v/>
      </c>
      <c r="T644" s="52" t="str">
        <f t="shared" si="5"/>
        <v/>
      </c>
      <c r="U644" s="52"/>
      <c r="V644" s="53"/>
      <c r="W644" s="52" t="str">
        <f t="shared" si="6"/>
        <v/>
      </c>
      <c r="X644" s="52">
        <f t="shared" si="7"/>
        <v>0</v>
      </c>
      <c r="Y644" s="52">
        <f t="shared" si="8"/>
        <v>0</v>
      </c>
      <c r="Z644" s="52" t="str">
        <f>IF(G644="","",IFERROR(VLOOKUP(G644,'Product_Stock_Master产品维护'!$A$2:$L992,11,FALSE),"No"))</f>
        <v/>
      </c>
      <c r="AA644" s="52" t="str">
        <f>IF(G644="","",IFERROR(VLOOKUP(G644,'Product_Stock_Master产品维护'!$A$2:$L992,12,FALSE),""))</f>
        <v/>
      </c>
      <c r="AB644" s="52" t="str">
        <f t="shared" si="11"/>
        <v/>
      </c>
      <c r="AC644" s="52">
        <f t="shared" si="12"/>
        <v>0</v>
      </c>
    </row>
    <row r="645" ht="15.75" customHeight="1">
      <c r="A645" s="171"/>
      <c r="B645" s="171"/>
      <c r="C645" s="53"/>
      <c r="D645" s="53"/>
      <c r="E645" s="53"/>
      <c r="F645" s="53"/>
      <c r="G645" s="53"/>
      <c r="H645" s="52" t="str">
        <f>IF(G645="","",IFERROR(VLOOKUP(G645,'Product_Stock_Master产品维护'!$A$2:$E992,2,FALSE()),"SKU not found"))</f>
        <v/>
      </c>
      <c r="I645" s="52" t="str">
        <f>IF(G645="","",IFERROR(VLOOKUP(G645,'Product_Stock_Master产品维护'!$A$2:$E992,3,FALSE()),"Item type not found"))</f>
        <v/>
      </c>
      <c r="J645" s="53"/>
      <c r="K645" s="53"/>
      <c r="L645" s="53"/>
      <c r="M645" s="53"/>
      <c r="N645" s="53"/>
      <c r="O645" s="52" t="str">
        <f t="shared" si="1"/>
        <v/>
      </c>
      <c r="P645" s="53"/>
      <c r="Q645" s="52" t="str">
        <f t="shared" si="9"/>
        <v/>
      </c>
      <c r="R645" s="52" t="str">
        <f t="shared" si="3"/>
        <v/>
      </c>
      <c r="S645" s="52" t="str">
        <f t="shared" si="10"/>
        <v/>
      </c>
      <c r="T645" s="52" t="str">
        <f t="shared" si="5"/>
        <v/>
      </c>
      <c r="U645" s="52"/>
      <c r="V645" s="53"/>
      <c r="W645" s="52" t="str">
        <f t="shared" si="6"/>
        <v/>
      </c>
      <c r="X645" s="52">
        <f t="shared" si="7"/>
        <v>0</v>
      </c>
      <c r="Y645" s="52">
        <f t="shared" si="8"/>
        <v>0</v>
      </c>
      <c r="Z645" s="52" t="str">
        <f>IF(G645="","",IFERROR(VLOOKUP(G645,'Product_Stock_Master产品维护'!$A$2:$L992,11,FALSE),"No"))</f>
        <v/>
      </c>
      <c r="AA645" s="52" t="str">
        <f>IF(G645="","",IFERROR(VLOOKUP(G645,'Product_Stock_Master产品维护'!$A$2:$L992,12,FALSE),""))</f>
        <v/>
      </c>
      <c r="AB645" s="52" t="str">
        <f t="shared" si="11"/>
        <v/>
      </c>
      <c r="AC645" s="52">
        <f t="shared" si="12"/>
        <v>0</v>
      </c>
    </row>
    <row r="646" ht="15.75" customHeight="1">
      <c r="A646" s="171"/>
      <c r="B646" s="171"/>
      <c r="C646" s="53"/>
      <c r="D646" s="53"/>
      <c r="E646" s="53"/>
      <c r="F646" s="53"/>
      <c r="G646" s="53"/>
      <c r="H646" s="52" t="str">
        <f>IF(G646="","",IFERROR(VLOOKUP(G646,'Product_Stock_Master产品维护'!$A$2:$E992,2,FALSE()),"SKU not found"))</f>
        <v/>
      </c>
      <c r="I646" s="52" t="str">
        <f>IF(G646="","",IFERROR(VLOOKUP(G646,'Product_Stock_Master产品维护'!$A$2:$E992,3,FALSE()),"Item type not found"))</f>
        <v/>
      </c>
      <c r="J646" s="53"/>
      <c r="K646" s="53"/>
      <c r="L646" s="53"/>
      <c r="M646" s="53"/>
      <c r="N646" s="53"/>
      <c r="O646" s="52" t="str">
        <f t="shared" si="1"/>
        <v/>
      </c>
      <c r="P646" s="53"/>
      <c r="Q646" s="52" t="str">
        <f t="shared" si="9"/>
        <v/>
      </c>
      <c r="R646" s="52" t="str">
        <f t="shared" si="3"/>
        <v/>
      </c>
      <c r="S646" s="52" t="str">
        <f t="shared" si="10"/>
        <v/>
      </c>
      <c r="T646" s="52" t="str">
        <f t="shared" si="5"/>
        <v/>
      </c>
      <c r="U646" s="52"/>
      <c r="V646" s="53"/>
      <c r="W646" s="52" t="str">
        <f t="shared" si="6"/>
        <v/>
      </c>
      <c r="X646" s="52">
        <f t="shared" si="7"/>
        <v>0</v>
      </c>
      <c r="Y646" s="52">
        <f t="shared" si="8"/>
        <v>0</v>
      </c>
      <c r="Z646" s="52" t="str">
        <f>IF(G646="","",IFERROR(VLOOKUP(G646,'Product_Stock_Master产品维护'!$A$2:$L992,11,FALSE),"No"))</f>
        <v/>
      </c>
      <c r="AA646" s="52" t="str">
        <f>IF(G646="","",IFERROR(VLOOKUP(G646,'Product_Stock_Master产品维护'!$A$2:$L992,12,FALSE),""))</f>
        <v/>
      </c>
      <c r="AB646" s="52" t="str">
        <f t="shared" si="11"/>
        <v/>
      </c>
      <c r="AC646" s="52">
        <f t="shared" si="12"/>
        <v>0</v>
      </c>
    </row>
    <row r="647" ht="15.75" customHeight="1">
      <c r="A647" s="171"/>
      <c r="B647" s="171"/>
      <c r="C647" s="53"/>
      <c r="D647" s="53"/>
      <c r="E647" s="53"/>
      <c r="F647" s="53"/>
      <c r="G647" s="53"/>
      <c r="H647" s="52" t="str">
        <f>IF(G647="","",IFERROR(VLOOKUP(G647,'Product_Stock_Master产品维护'!$A$2:$E992,2,FALSE()),"SKU not found"))</f>
        <v/>
      </c>
      <c r="I647" s="52" t="str">
        <f>IF(G647="","",IFERROR(VLOOKUP(G647,'Product_Stock_Master产品维护'!$A$2:$E992,3,FALSE()),"Item type not found"))</f>
        <v/>
      </c>
      <c r="J647" s="53"/>
      <c r="K647" s="53"/>
      <c r="L647" s="53"/>
      <c r="M647" s="53"/>
      <c r="N647" s="53"/>
      <c r="O647" s="52" t="str">
        <f t="shared" si="1"/>
        <v/>
      </c>
      <c r="P647" s="53"/>
      <c r="Q647" s="52" t="str">
        <f t="shared" si="9"/>
        <v/>
      </c>
      <c r="R647" s="52" t="str">
        <f t="shared" si="3"/>
        <v/>
      </c>
      <c r="S647" s="52" t="str">
        <f t="shared" si="10"/>
        <v/>
      </c>
      <c r="T647" s="52" t="str">
        <f t="shared" si="5"/>
        <v/>
      </c>
      <c r="U647" s="52"/>
      <c r="V647" s="53"/>
      <c r="W647" s="52" t="str">
        <f t="shared" si="6"/>
        <v/>
      </c>
      <c r="X647" s="52">
        <f t="shared" si="7"/>
        <v>0</v>
      </c>
      <c r="Y647" s="52">
        <f t="shared" si="8"/>
        <v>0</v>
      </c>
      <c r="Z647" s="52" t="str">
        <f>IF(G647="","",IFERROR(VLOOKUP(G647,'Product_Stock_Master产品维护'!$A$2:$L992,11,FALSE),"No"))</f>
        <v/>
      </c>
      <c r="AA647" s="52" t="str">
        <f>IF(G647="","",IFERROR(VLOOKUP(G647,'Product_Stock_Master产品维护'!$A$2:$L992,12,FALSE),""))</f>
        <v/>
      </c>
      <c r="AB647" s="52" t="str">
        <f t="shared" si="11"/>
        <v/>
      </c>
      <c r="AC647" s="52">
        <f t="shared" si="12"/>
        <v>0</v>
      </c>
    </row>
    <row r="648" ht="15.75" customHeight="1">
      <c r="A648" s="171"/>
      <c r="B648" s="171"/>
      <c r="C648" s="53"/>
      <c r="D648" s="53"/>
      <c r="E648" s="53"/>
      <c r="F648" s="53"/>
      <c r="G648" s="53"/>
      <c r="H648" s="52" t="str">
        <f>IF(G648="","",IFERROR(VLOOKUP(G648,'Product_Stock_Master产品维护'!$A$2:$E992,2,FALSE()),"SKU not found"))</f>
        <v/>
      </c>
      <c r="I648" s="52" t="str">
        <f>IF(G648="","",IFERROR(VLOOKUP(G648,'Product_Stock_Master产品维护'!$A$2:$E992,3,FALSE()),"Item type not found"))</f>
        <v/>
      </c>
      <c r="J648" s="53"/>
      <c r="K648" s="53"/>
      <c r="L648" s="53"/>
      <c r="M648" s="53"/>
      <c r="N648" s="53"/>
      <c r="O648" s="52" t="str">
        <f t="shared" si="1"/>
        <v/>
      </c>
      <c r="P648" s="53"/>
      <c r="Q648" s="52" t="str">
        <f t="shared" si="9"/>
        <v/>
      </c>
      <c r="R648" s="52" t="str">
        <f t="shared" si="3"/>
        <v/>
      </c>
      <c r="S648" s="52" t="str">
        <f t="shared" si="10"/>
        <v/>
      </c>
      <c r="T648" s="52" t="str">
        <f t="shared" si="5"/>
        <v/>
      </c>
      <c r="U648" s="52"/>
      <c r="V648" s="53"/>
      <c r="W648" s="52" t="str">
        <f t="shared" si="6"/>
        <v/>
      </c>
      <c r="X648" s="52">
        <f t="shared" si="7"/>
        <v>0</v>
      </c>
      <c r="Y648" s="52">
        <f t="shared" si="8"/>
        <v>0</v>
      </c>
      <c r="Z648" s="52" t="str">
        <f>IF(G648="","",IFERROR(VLOOKUP(G648,'Product_Stock_Master产品维护'!$A$2:$L992,11,FALSE),"No"))</f>
        <v/>
      </c>
      <c r="AA648" s="52" t="str">
        <f>IF(G648="","",IFERROR(VLOOKUP(G648,'Product_Stock_Master产品维护'!$A$2:$L992,12,FALSE),""))</f>
        <v/>
      </c>
      <c r="AB648" s="52" t="str">
        <f t="shared" si="11"/>
        <v/>
      </c>
      <c r="AC648" s="52">
        <f t="shared" si="12"/>
        <v>0</v>
      </c>
    </row>
    <row r="649" ht="15.75" customHeight="1">
      <c r="A649" s="171"/>
      <c r="B649" s="171"/>
      <c r="C649" s="53"/>
      <c r="D649" s="53"/>
      <c r="E649" s="53"/>
      <c r="F649" s="53"/>
      <c r="G649" s="53"/>
      <c r="H649" s="52" t="str">
        <f>IF(G649="","",IFERROR(VLOOKUP(G649,'Product_Stock_Master产品维护'!$A$2:$E992,2,FALSE()),"SKU not found"))</f>
        <v/>
      </c>
      <c r="I649" s="52" t="str">
        <f>IF(G649="","",IFERROR(VLOOKUP(G649,'Product_Stock_Master产品维护'!$A$2:$E992,3,FALSE()),"Item type not found"))</f>
        <v/>
      </c>
      <c r="J649" s="53"/>
      <c r="K649" s="53"/>
      <c r="L649" s="53"/>
      <c r="M649" s="53"/>
      <c r="N649" s="53"/>
      <c r="O649" s="52" t="str">
        <f t="shared" si="1"/>
        <v/>
      </c>
      <c r="P649" s="53"/>
      <c r="Q649" s="52" t="str">
        <f t="shared" si="9"/>
        <v/>
      </c>
      <c r="R649" s="52" t="str">
        <f t="shared" si="3"/>
        <v/>
      </c>
      <c r="S649" s="52" t="str">
        <f t="shared" si="10"/>
        <v/>
      </c>
      <c r="T649" s="52" t="str">
        <f t="shared" si="5"/>
        <v/>
      </c>
      <c r="U649" s="52"/>
      <c r="V649" s="53"/>
      <c r="W649" s="52" t="str">
        <f t="shared" si="6"/>
        <v/>
      </c>
      <c r="X649" s="52">
        <f t="shared" si="7"/>
        <v>0</v>
      </c>
      <c r="Y649" s="52">
        <f t="shared" si="8"/>
        <v>0</v>
      </c>
      <c r="Z649" s="52" t="str">
        <f>IF(G649="","",IFERROR(VLOOKUP(G649,'Product_Stock_Master产品维护'!$A$2:$L992,11,FALSE),"No"))</f>
        <v/>
      </c>
      <c r="AA649" s="52" t="str">
        <f>IF(G649="","",IFERROR(VLOOKUP(G649,'Product_Stock_Master产品维护'!$A$2:$L992,12,FALSE),""))</f>
        <v/>
      </c>
      <c r="AB649" s="52" t="str">
        <f t="shared" si="11"/>
        <v/>
      </c>
      <c r="AC649" s="52">
        <f t="shared" si="12"/>
        <v>0</v>
      </c>
    </row>
    <row r="650" ht="15.75" customHeight="1">
      <c r="A650" s="171"/>
      <c r="B650" s="171"/>
      <c r="C650" s="53"/>
      <c r="D650" s="53"/>
      <c r="E650" s="53"/>
      <c r="F650" s="53"/>
      <c r="G650" s="53"/>
      <c r="H650" s="52" t="str">
        <f>IF(G650="","",IFERROR(VLOOKUP(G650,'Product_Stock_Master产品维护'!$A$2:$E992,2,FALSE()),"SKU not found"))</f>
        <v/>
      </c>
      <c r="I650" s="52" t="str">
        <f>IF(G650="","",IFERROR(VLOOKUP(G650,'Product_Stock_Master产品维护'!$A$2:$E992,3,FALSE()),"Item type not found"))</f>
        <v/>
      </c>
      <c r="J650" s="53"/>
      <c r="K650" s="53"/>
      <c r="L650" s="53"/>
      <c r="M650" s="53"/>
      <c r="N650" s="53"/>
      <c r="O650" s="52" t="str">
        <f t="shared" si="1"/>
        <v/>
      </c>
      <c r="P650" s="53"/>
      <c r="Q650" s="52" t="str">
        <f t="shared" si="9"/>
        <v/>
      </c>
      <c r="R650" s="52" t="str">
        <f t="shared" si="3"/>
        <v/>
      </c>
      <c r="S650" s="52" t="str">
        <f t="shared" si="10"/>
        <v/>
      </c>
      <c r="T650" s="52" t="str">
        <f t="shared" si="5"/>
        <v/>
      </c>
      <c r="U650" s="52"/>
      <c r="V650" s="53"/>
      <c r="W650" s="52" t="str">
        <f t="shared" si="6"/>
        <v/>
      </c>
      <c r="X650" s="52">
        <f t="shared" si="7"/>
        <v>0</v>
      </c>
      <c r="Y650" s="52">
        <f t="shared" si="8"/>
        <v>0</v>
      </c>
      <c r="Z650" s="52" t="str">
        <f>IF(G650="","",IFERROR(VLOOKUP(G650,'Product_Stock_Master产品维护'!$A$2:$L992,11,FALSE),"No"))</f>
        <v/>
      </c>
      <c r="AA650" s="52" t="str">
        <f>IF(G650="","",IFERROR(VLOOKUP(G650,'Product_Stock_Master产品维护'!$A$2:$L992,12,FALSE),""))</f>
        <v/>
      </c>
      <c r="AB650" s="52" t="str">
        <f t="shared" si="11"/>
        <v/>
      </c>
      <c r="AC650" s="52">
        <f t="shared" si="12"/>
        <v>0</v>
      </c>
    </row>
    <row r="651" ht="15.75" customHeight="1">
      <c r="A651" s="171"/>
      <c r="B651" s="171"/>
      <c r="C651" s="53"/>
      <c r="D651" s="53"/>
      <c r="E651" s="53"/>
      <c r="F651" s="53"/>
      <c r="G651" s="53"/>
      <c r="H651" s="52" t="str">
        <f>IF(G651="","",IFERROR(VLOOKUP(G651,'Product_Stock_Master产品维护'!$A$2:$E992,2,FALSE()),"SKU not found"))</f>
        <v/>
      </c>
      <c r="I651" s="52" t="str">
        <f>IF(G651="","",IFERROR(VLOOKUP(G651,'Product_Stock_Master产品维护'!$A$2:$E992,3,FALSE()),"Item type not found"))</f>
        <v/>
      </c>
      <c r="J651" s="53"/>
      <c r="K651" s="53"/>
      <c r="L651" s="53"/>
      <c r="M651" s="53"/>
      <c r="N651" s="53"/>
      <c r="O651" s="52" t="str">
        <f t="shared" si="1"/>
        <v/>
      </c>
      <c r="P651" s="53"/>
      <c r="Q651" s="52" t="str">
        <f t="shared" si="9"/>
        <v/>
      </c>
      <c r="R651" s="52" t="str">
        <f t="shared" si="3"/>
        <v/>
      </c>
      <c r="S651" s="52" t="str">
        <f t="shared" si="10"/>
        <v/>
      </c>
      <c r="T651" s="52" t="str">
        <f t="shared" si="5"/>
        <v/>
      </c>
      <c r="U651" s="52"/>
      <c r="V651" s="53"/>
      <c r="W651" s="52" t="str">
        <f t="shared" si="6"/>
        <v/>
      </c>
      <c r="X651" s="52">
        <f t="shared" si="7"/>
        <v>0</v>
      </c>
      <c r="Y651" s="52">
        <f t="shared" si="8"/>
        <v>0</v>
      </c>
      <c r="Z651" s="52" t="str">
        <f>IF(G651="","",IFERROR(VLOOKUP(G651,'Product_Stock_Master产品维护'!$A$2:$L992,11,FALSE),"No"))</f>
        <v/>
      </c>
      <c r="AA651" s="52" t="str">
        <f>IF(G651="","",IFERROR(VLOOKUP(G651,'Product_Stock_Master产品维护'!$A$2:$L992,12,FALSE),""))</f>
        <v/>
      </c>
      <c r="AB651" s="52" t="str">
        <f t="shared" si="11"/>
        <v/>
      </c>
      <c r="AC651" s="52">
        <f t="shared" si="12"/>
        <v>0</v>
      </c>
    </row>
    <row r="652" ht="15.75" customHeight="1">
      <c r="A652" s="171"/>
      <c r="B652" s="171"/>
      <c r="C652" s="53"/>
      <c r="D652" s="53"/>
      <c r="E652" s="53"/>
      <c r="F652" s="53"/>
      <c r="G652" s="53"/>
      <c r="H652" s="52" t="str">
        <f>IF(G652="","",IFERROR(VLOOKUP(G652,'Product_Stock_Master产品维护'!$A$2:$E992,2,FALSE()),"SKU not found"))</f>
        <v/>
      </c>
      <c r="I652" s="52" t="str">
        <f>IF(G652="","",IFERROR(VLOOKUP(G652,'Product_Stock_Master产品维护'!$A$2:$E992,3,FALSE()),"Item type not found"))</f>
        <v/>
      </c>
      <c r="J652" s="53"/>
      <c r="K652" s="53"/>
      <c r="L652" s="53"/>
      <c r="M652" s="53"/>
      <c r="N652" s="53"/>
      <c r="O652" s="52" t="str">
        <f t="shared" si="1"/>
        <v/>
      </c>
      <c r="P652" s="53"/>
      <c r="Q652" s="52" t="str">
        <f t="shared" si="9"/>
        <v/>
      </c>
      <c r="R652" s="52" t="str">
        <f t="shared" si="3"/>
        <v/>
      </c>
      <c r="S652" s="52" t="str">
        <f t="shared" si="10"/>
        <v/>
      </c>
      <c r="T652" s="52" t="str">
        <f t="shared" si="5"/>
        <v/>
      </c>
      <c r="U652" s="52"/>
      <c r="V652" s="53"/>
      <c r="W652" s="52" t="str">
        <f t="shared" si="6"/>
        <v/>
      </c>
      <c r="X652" s="52">
        <f t="shared" si="7"/>
        <v>0</v>
      </c>
      <c r="Y652" s="52">
        <f t="shared" si="8"/>
        <v>0</v>
      </c>
      <c r="Z652" s="52" t="str">
        <f>IF(G652="","",IFERROR(VLOOKUP(G652,'Product_Stock_Master产品维护'!$A$2:$L992,11,FALSE),"No"))</f>
        <v/>
      </c>
      <c r="AA652" s="52" t="str">
        <f>IF(G652="","",IFERROR(VLOOKUP(G652,'Product_Stock_Master产品维护'!$A$2:$L992,12,FALSE),""))</f>
        <v/>
      </c>
      <c r="AB652" s="52" t="str">
        <f t="shared" si="11"/>
        <v/>
      </c>
      <c r="AC652" s="52">
        <f t="shared" si="12"/>
        <v>0</v>
      </c>
    </row>
    <row r="653" ht="15.75" customHeight="1">
      <c r="A653" s="171"/>
      <c r="B653" s="171"/>
      <c r="C653" s="53"/>
      <c r="D653" s="53"/>
      <c r="E653" s="53"/>
      <c r="F653" s="53"/>
      <c r="G653" s="53"/>
      <c r="H653" s="52" t="str">
        <f>IF(G653="","",IFERROR(VLOOKUP(G653,'Product_Stock_Master产品维护'!$A$2:$E992,2,FALSE()),"SKU not found"))</f>
        <v/>
      </c>
      <c r="I653" s="52" t="str">
        <f>IF(G653="","",IFERROR(VLOOKUP(G653,'Product_Stock_Master产品维护'!$A$2:$E992,3,FALSE()),"Item type not found"))</f>
        <v/>
      </c>
      <c r="J653" s="53"/>
      <c r="K653" s="53"/>
      <c r="L653" s="53"/>
      <c r="M653" s="53"/>
      <c r="N653" s="53"/>
      <c r="O653" s="52" t="str">
        <f t="shared" si="1"/>
        <v/>
      </c>
      <c r="P653" s="53"/>
      <c r="Q653" s="52" t="str">
        <f t="shared" si="9"/>
        <v/>
      </c>
      <c r="R653" s="52" t="str">
        <f t="shared" si="3"/>
        <v/>
      </c>
      <c r="S653" s="52" t="str">
        <f t="shared" si="10"/>
        <v/>
      </c>
      <c r="T653" s="52" t="str">
        <f t="shared" si="5"/>
        <v/>
      </c>
      <c r="U653" s="52"/>
      <c r="V653" s="53"/>
      <c r="W653" s="52" t="str">
        <f t="shared" si="6"/>
        <v/>
      </c>
      <c r="X653" s="52">
        <f t="shared" si="7"/>
        <v>0</v>
      </c>
      <c r="Y653" s="52">
        <f t="shared" si="8"/>
        <v>0</v>
      </c>
      <c r="Z653" s="52" t="str">
        <f>IF(G653="","",IFERROR(VLOOKUP(G653,'Product_Stock_Master产品维护'!$A$2:$L992,11,FALSE),"No"))</f>
        <v/>
      </c>
      <c r="AA653" s="52" t="str">
        <f>IF(G653="","",IFERROR(VLOOKUP(G653,'Product_Stock_Master产品维护'!$A$2:$L992,12,FALSE),""))</f>
        <v/>
      </c>
      <c r="AB653" s="52" t="str">
        <f t="shared" si="11"/>
        <v/>
      </c>
      <c r="AC653" s="52">
        <f t="shared" si="12"/>
        <v>0</v>
      </c>
    </row>
    <row r="654" ht="15.75" customHeight="1">
      <c r="A654" s="171"/>
      <c r="B654" s="171"/>
      <c r="C654" s="53"/>
      <c r="D654" s="53"/>
      <c r="E654" s="53"/>
      <c r="F654" s="53"/>
      <c r="G654" s="53"/>
      <c r="H654" s="52" t="str">
        <f>IF(G654="","",IFERROR(VLOOKUP(G654,'Product_Stock_Master产品维护'!$A$2:$E992,2,FALSE()),"SKU not found"))</f>
        <v/>
      </c>
      <c r="I654" s="52" t="str">
        <f>IF(G654="","",IFERROR(VLOOKUP(G654,'Product_Stock_Master产品维护'!$A$2:$E992,3,FALSE()),"Item type not found"))</f>
        <v/>
      </c>
      <c r="J654" s="53"/>
      <c r="K654" s="53"/>
      <c r="L654" s="53"/>
      <c r="M654" s="53"/>
      <c r="N654" s="53"/>
      <c r="O654" s="52" t="str">
        <f t="shared" si="1"/>
        <v/>
      </c>
      <c r="P654" s="53"/>
      <c r="Q654" s="52" t="str">
        <f t="shared" si="9"/>
        <v/>
      </c>
      <c r="R654" s="52" t="str">
        <f t="shared" si="3"/>
        <v/>
      </c>
      <c r="S654" s="52" t="str">
        <f t="shared" si="10"/>
        <v/>
      </c>
      <c r="T654" s="52" t="str">
        <f t="shared" si="5"/>
        <v/>
      </c>
      <c r="U654" s="52"/>
      <c r="V654" s="53"/>
      <c r="W654" s="52" t="str">
        <f t="shared" si="6"/>
        <v/>
      </c>
      <c r="X654" s="52">
        <f t="shared" si="7"/>
        <v>0</v>
      </c>
      <c r="Y654" s="52">
        <f t="shared" si="8"/>
        <v>0</v>
      </c>
      <c r="Z654" s="52" t="str">
        <f>IF(G654="","",IFERROR(VLOOKUP(G654,'Product_Stock_Master产品维护'!$A$2:$L992,11,FALSE),"No"))</f>
        <v/>
      </c>
      <c r="AA654" s="52" t="str">
        <f>IF(G654="","",IFERROR(VLOOKUP(G654,'Product_Stock_Master产品维护'!$A$2:$L992,12,FALSE),""))</f>
        <v/>
      </c>
      <c r="AB654" s="52" t="str">
        <f t="shared" si="11"/>
        <v/>
      </c>
      <c r="AC654" s="52">
        <f t="shared" si="12"/>
        <v>0</v>
      </c>
    </row>
    <row r="655" ht="15.75" customHeight="1">
      <c r="A655" s="171"/>
      <c r="B655" s="171"/>
      <c r="C655" s="53"/>
      <c r="D655" s="53"/>
      <c r="E655" s="53"/>
      <c r="F655" s="53"/>
      <c r="G655" s="53"/>
      <c r="H655" s="52" t="str">
        <f>IF(G655="","",IFERROR(VLOOKUP(G655,'Product_Stock_Master产品维护'!$A$2:$E992,2,FALSE()),"SKU not found"))</f>
        <v/>
      </c>
      <c r="I655" s="52" t="str">
        <f>IF(G655="","",IFERROR(VLOOKUP(G655,'Product_Stock_Master产品维护'!$A$2:$E992,3,FALSE()),"Item type not found"))</f>
        <v/>
      </c>
      <c r="J655" s="53"/>
      <c r="K655" s="53"/>
      <c r="L655" s="53"/>
      <c r="M655" s="53"/>
      <c r="N655" s="53"/>
      <c r="O655" s="52" t="str">
        <f t="shared" si="1"/>
        <v/>
      </c>
      <c r="P655" s="53"/>
      <c r="Q655" s="52" t="str">
        <f t="shared" si="9"/>
        <v/>
      </c>
      <c r="R655" s="52" t="str">
        <f t="shared" si="3"/>
        <v/>
      </c>
      <c r="S655" s="52" t="str">
        <f t="shared" si="10"/>
        <v/>
      </c>
      <c r="T655" s="52" t="str">
        <f t="shared" si="5"/>
        <v/>
      </c>
      <c r="U655" s="52"/>
      <c r="V655" s="53"/>
      <c r="W655" s="52" t="str">
        <f t="shared" si="6"/>
        <v/>
      </c>
      <c r="X655" s="52">
        <f t="shared" si="7"/>
        <v>0</v>
      </c>
      <c r="Y655" s="52">
        <f t="shared" si="8"/>
        <v>0</v>
      </c>
      <c r="Z655" s="52" t="str">
        <f>IF(G655="","",IFERROR(VLOOKUP(G655,'Product_Stock_Master产品维护'!$A$2:$L992,11,FALSE),"No"))</f>
        <v/>
      </c>
      <c r="AA655" s="52" t="str">
        <f>IF(G655="","",IFERROR(VLOOKUP(G655,'Product_Stock_Master产品维护'!$A$2:$L992,12,FALSE),""))</f>
        <v/>
      </c>
      <c r="AB655" s="52" t="str">
        <f t="shared" si="11"/>
        <v/>
      </c>
      <c r="AC655" s="52">
        <f t="shared" si="12"/>
        <v>0</v>
      </c>
    </row>
    <row r="656" ht="15.75" customHeight="1">
      <c r="A656" s="171"/>
      <c r="B656" s="171"/>
      <c r="C656" s="53"/>
      <c r="D656" s="53"/>
      <c r="E656" s="53"/>
      <c r="F656" s="53"/>
      <c r="G656" s="53"/>
      <c r="H656" s="52" t="str">
        <f>IF(G656="","",IFERROR(VLOOKUP(G656,'Product_Stock_Master产品维护'!$A$2:$E992,2,FALSE()),"SKU not found"))</f>
        <v/>
      </c>
      <c r="I656" s="52" t="str">
        <f>IF(G656="","",IFERROR(VLOOKUP(G656,'Product_Stock_Master产品维护'!$A$2:$E992,3,FALSE()),"Item type not found"))</f>
        <v/>
      </c>
      <c r="J656" s="53"/>
      <c r="K656" s="53"/>
      <c r="L656" s="53"/>
      <c r="M656" s="53"/>
      <c r="N656" s="53"/>
      <c r="O656" s="52" t="str">
        <f t="shared" si="1"/>
        <v/>
      </c>
      <c r="P656" s="53"/>
      <c r="Q656" s="52" t="str">
        <f t="shared" si="9"/>
        <v/>
      </c>
      <c r="R656" s="52" t="str">
        <f t="shared" si="3"/>
        <v/>
      </c>
      <c r="S656" s="52" t="str">
        <f t="shared" si="10"/>
        <v/>
      </c>
      <c r="T656" s="52" t="str">
        <f t="shared" si="5"/>
        <v/>
      </c>
      <c r="U656" s="52"/>
      <c r="V656" s="53"/>
      <c r="W656" s="52" t="str">
        <f t="shared" si="6"/>
        <v/>
      </c>
      <c r="X656" s="52">
        <f t="shared" si="7"/>
        <v>0</v>
      </c>
      <c r="Y656" s="52">
        <f t="shared" si="8"/>
        <v>0</v>
      </c>
      <c r="Z656" s="52" t="str">
        <f>IF(G656="","",IFERROR(VLOOKUP(G656,'Product_Stock_Master产品维护'!$A$2:$L992,11,FALSE),"No"))</f>
        <v/>
      </c>
      <c r="AA656" s="52" t="str">
        <f>IF(G656="","",IFERROR(VLOOKUP(G656,'Product_Stock_Master产品维护'!$A$2:$L992,12,FALSE),""))</f>
        <v/>
      </c>
      <c r="AB656" s="52" t="str">
        <f t="shared" si="11"/>
        <v/>
      </c>
      <c r="AC656" s="52">
        <f t="shared" si="12"/>
        <v>0</v>
      </c>
    </row>
    <row r="657" ht="15.75" customHeight="1">
      <c r="A657" s="171"/>
      <c r="B657" s="171"/>
      <c r="C657" s="53"/>
      <c r="D657" s="53"/>
      <c r="E657" s="53"/>
      <c r="F657" s="53"/>
      <c r="G657" s="53"/>
      <c r="H657" s="52" t="str">
        <f>IF(G657="","",IFERROR(VLOOKUP(G657,'Product_Stock_Master产品维护'!$A$2:$E992,2,FALSE()),"SKU not found"))</f>
        <v/>
      </c>
      <c r="I657" s="52" t="str">
        <f>IF(G657="","",IFERROR(VLOOKUP(G657,'Product_Stock_Master产品维护'!$A$2:$E992,3,FALSE()),"Item type not found"))</f>
        <v/>
      </c>
      <c r="J657" s="53"/>
      <c r="K657" s="53"/>
      <c r="L657" s="53"/>
      <c r="M657" s="53"/>
      <c r="N657" s="53"/>
      <c r="O657" s="52" t="str">
        <f t="shared" si="1"/>
        <v/>
      </c>
      <c r="P657" s="53"/>
      <c r="Q657" s="52" t="str">
        <f t="shared" si="9"/>
        <v/>
      </c>
      <c r="R657" s="52" t="str">
        <f t="shared" si="3"/>
        <v/>
      </c>
      <c r="S657" s="52" t="str">
        <f t="shared" si="10"/>
        <v/>
      </c>
      <c r="T657" s="52" t="str">
        <f t="shared" si="5"/>
        <v/>
      </c>
      <c r="U657" s="52"/>
      <c r="V657" s="53"/>
      <c r="W657" s="52" t="str">
        <f t="shared" si="6"/>
        <v/>
      </c>
      <c r="X657" s="52">
        <f t="shared" si="7"/>
        <v>0</v>
      </c>
      <c r="Y657" s="52">
        <f t="shared" si="8"/>
        <v>0</v>
      </c>
      <c r="Z657" s="52" t="str">
        <f>IF(G657="","",IFERROR(VLOOKUP(G657,'Product_Stock_Master产品维护'!$A$2:$L992,11,FALSE),"No"))</f>
        <v/>
      </c>
      <c r="AA657" s="52" t="str">
        <f>IF(G657="","",IFERROR(VLOOKUP(G657,'Product_Stock_Master产品维护'!$A$2:$L992,12,FALSE),""))</f>
        <v/>
      </c>
      <c r="AB657" s="52" t="str">
        <f t="shared" si="11"/>
        <v/>
      </c>
      <c r="AC657" s="52">
        <f t="shared" si="12"/>
        <v>0</v>
      </c>
    </row>
    <row r="658" ht="15.75" customHeight="1">
      <c r="A658" s="171"/>
      <c r="B658" s="171"/>
      <c r="C658" s="53"/>
      <c r="D658" s="53"/>
      <c r="E658" s="53"/>
      <c r="F658" s="53"/>
      <c r="G658" s="53"/>
      <c r="H658" s="52" t="str">
        <f>IF(G658="","",IFERROR(VLOOKUP(G658,'Product_Stock_Master产品维护'!$A$2:$E992,2,FALSE()),"SKU not found"))</f>
        <v/>
      </c>
      <c r="I658" s="52" t="str">
        <f>IF(G658="","",IFERROR(VLOOKUP(G658,'Product_Stock_Master产品维护'!$A$2:$E992,3,FALSE()),"Item type not found"))</f>
        <v/>
      </c>
      <c r="J658" s="53"/>
      <c r="K658" s="53"/>
      <c r="L658" s="53"/>
      <c r="M658" s="53"/>
      <c r="N658" s="53"/>
      <c r="O658" s="52" t="str">
        <f t="shared" si="1"/>
        <v/>
      </c>
      <c r="P658" s="53"/>
      <c r="Q658" s="52" t="str">
        <f t="shared" si="9"/>
        <v/>
      </c>
      <c r="R658" s="52" t="str">
        <f t="shared" si="3"/>
        <v/>
      </c>
      <c r="S658" s="52" t="str">
        <f t="shared" si="10"/>
        <v/>
      </c>
      <c r="T658" s="52" t="str">
        <f t="shared" si="5"/>
        <v/>
      </c>
      <c r="U658" s="52"/>
      <c r="V658" s="53"/>
      <c r="W658" s="52" t="str">
        <f t="shared" si="6"/>
        <v/>
      </c>
      <c r="X658" s="52">
        <f t="shared" si="7"/>
        <v>0</v>
      </c>
      <c r="Y658" s="52">
        <f t="shared" si="8"/>
        <v>0</v>
      </c>
      <c r="Z658" s="52" t="str">
        <f>IF(G658="","",IFERROR(VLOOKUP(G658,'Product_Stock_Master产品维护'!$A$2:$L992,11,FALSE),"No"))</f>
        <v/>
      </c>
      <c r="AA658" s="52" t="str">
        <f>IF(G658="","",IFERROR(VLOOKUP(G658,'Product_Stock_Master产品维护'!$A$2:$L992,12,FALSE),""))</f>
        <v/>
      </c>
      <c r="AB658" s="52" t="str">
        <f t="shared" si="11"/>
        <v/>
      </c>
      <c r="AC658" s="52">
        <f t="shared" si="12"/>
        <v>0</v>
      </c>
    </row>
    <row r="659" ht="15.75" customHeight="1">
      <c r="A659" s="171"/>
      <c r="B659" s="171"/>
      <c r="C659" s="53"/>
      <c r="D659" s="53"/>
      <c r="E659" s="53"/>
      <c r="F659" s="53"/>
      <c r="G659" s="53"/>
      <c r="H659" s="52" t="str">
        <f>IF(G659="","",IFERROR(VLOOKUP(G659,'Product_Stock_Master产品维护'!$A$2:$E992,2,FALSE()),"SKU not found"))</f>
        <v/>
      </c>
      <c r="I659" s="52" t="str">
        <f>IF(G659="","",IFERROR(VLOOKUP(G659,'Product_Stock_Master产品维护'!$A$2:$E992,3,FALSE()),"Item type not found"))</f>
        <v/>
      </c>
      <c r="J659" s="53"/>
      <c r="K659" s="53"/>
      <c r="L659" s="53"/>
      <c r="M659" s="53"/>
      <c r="N659" s="53"/>
      <c r="O659" s="52" t="str">
        <f t="shared" si="1"/>
        <v/>
      </c>
      <c r="P659" s="53"/>
      <c r="Q659" s="52" t="str">
        <f t="shared" si="9"/>
        <v/>
      </c>
      <c r="R659" s="52" t="str">
        <f t="shared" si="3"/>
        <v/>
      </c>
      <c r="S659" s="52" t="str">
        <f t="shared" si="10"/>
        <v/>
      </c>
      <c r="T659" s="52" t="str">
        <f t="shared" si="5"/>
        <v/>
      </c>
      <c r="U659" s="52"/>
      <c r="V659" s="53"/>
      <c r="W659" s="52" t="str">
        <f t="shared" si="6"/>
        <v/>
      </c>
      <c r="X659" s="52">
        <f t="shared" si="7"/>
        <v>0</v>
      </c>
      <c r="Y659" s="52">
        <f t="shared" si="8"/>
        <v>0</v>
      </c>
      <c r="Z659" s="52" t="str">
        <f>IF(G659="","",IFERROR(VLOOKUP(G659,'Product_Stock_Master产品维护'!$A$2:$L992,11,FALSE),"No"))</f>
        <v/>
      </c>
      <c r="AA659" s="52" t="str">
        <f>IF(G659="","",IFERROR(VLOOKUP(G659,'Product_Stock_Master产品维护'!$A$2:$L992,12,FALSE),""))</f>
        <v/>
      </c>
      <c r="AB659" s="52" t="str">
        <f t="shared" si="11"/>
        <v/>
      </c>
      <c r="AC659" s="52">
        <f t="shared" si="12"/>
        <v>0</v>
      </c>
    </row>
    <row r="660" ht="15.75" customHeight="1">
      <c r="A660" s="171"/>
      <c r="B660" s="171"/>
      <c r="C660" s="53"/>
      <c r="D660" s="53"/>
      <c r="E660" s="53"/>
      <c r="F660" s="53"/>
      <c r="G660" s="53"/>
      <c r="H660" s="52" t="str">
        <f>IF(G660="","",IFERROR(VLOOKUP(G660,'Product_Stock_Master产品维护'!$A$2:$E992,2,FALSE()),"SKU not found"))</f>
        <v/>
      </c>
      <c r="I660" s="52" t="str">
        <f>IF(G660="","",IFERROR(VLOOKUP(G660,'Product_Stock_Master产品维护'!$A$2:$E992,3,FALSE()),"Item type not found"))</f>
        <v/>
      </c>
      <c r="J660" s="53"/>
      <c r="K660" s="53"/>
      <c r="L660" s="53"/>
      <c r="M660" s="53"/>
      <c r="N660" s="53"/>
      <c r="O660" s="52" t="str">
        <f t="shared" si="1"/>
        <v/>
      </c>
      <c r="P660" s="53"/>
      <c r="Q660" s="52" t="str">
        <f t="shared" si="9"/>
        <v/>
      </c>
      <c r="R660" s="52" t="str">
        <f t="shared" si="3"/>
        <v/>
      </c>
      <c r="S660" s="52" t="str">
        <f t="shared" si="10"/>
        <v/>
      </c>
      <c r="T660" s="52" t="str">
        <f t="shared" si="5"/>
        <v/>
      </c>
      <c r="U660" s="52"/>
      <c r="V660" s="53"/>
      <c r="W660" s="52" t="str">
        <f t="shared" si="6"/>
        <v/>
      </c>
      <c r="X660" s="52">
        <f t="shared" si="7"/>
        <v>0</v>
      </c>
      <c r="Y660" s="52">
        <f t="shared" si="8"/>
        <v>0</v>
      </c>
      <c r="Z660" s="52" t="str">
        <f>IF(G660="","",IFERROR(VLOOKUP(G660,'Product_Stock_Master产品维护'!$A$2:$L992,11,FALSE),"No"))</f>
        <v/>
      </c>
      <c r="AA660" s="52" t="str">
        <f>IF(G660="","",IFERROR(VLOOKUP(G660,'Product_Stock_Master产品维护'!$A$2:$L992,12,FALSE),""))</f>
        <v/>
      </c>
      <c r="AB660" s="52" t="str">
        <f t="shared" si="11"/>
        <v/>
      </c>
      <c r="AC660" s="52">
        <f t="shared" si="12"/>
        <v>0</v>
      </c>
    </row>
    <row r="661" ht="15.75" customHeight="1">
      <c r="A661" s="171"/>
      <c r="B661" s="171"/>
      <c r="C661" s="53"/>
      <c r="D661" s="53"/>
      <c r="E661" s="53"/>
      <c r="F661" s="53"/>
      <c r="G661" s="53"/>
      <c r="H661" s="52" t="str">
        <f>IF(G661="","",IFERROR(VLOOKUP(G661,'Product_Stock_Master产品维护'!$A$2:$E992,2,FALSE()),"SKU not found"))</f>
        <v/>
      </c>
      <c r="I661" s="52" t="str">
        <f>IF(G661="","",IFERROR(VLOOKUP(G661,'Product_Stock_Master产品维护'!$A$2:$E992,3,FALSE()),"Item type not found"))</f>
        <v/>
      </c>
      <c r="J661" s="53"/>
      <c r="K661" s="53"/>
      <c r="L661" s="53"/>
      <c r="M661" s="53"/>
      <c r="N661" s="53"/>
      <c r="O661" s="52" t="str">
        <f t="shared" si="1"/>
        <v/>
      </c>
      <c r="P661" s="53"/>
      <c r="Q661" s="52" t="str">
        <f t="shared" si="9"/>
        <v/>
      </c>
      <c r="R661" s="52" t="str">
        <f t="shared" si="3"/>
        <v/>
      </c>
      <c r="S661" s="52" t="str">
        <f t="shared" si="10"/>
        <v/>
      </c>
      <c r="T661" s="52" t="str">
        <f t="shared" si="5"/>
        <v/>
      </c>
      <c r="U661" s="52"/>
      <c r="V661" s="53"/>
      <c r="W661" s="52" t="str">
        <f t="shared" si="6"/>
        <v/>
      </c>
      <c r="X661" s="52">
        <f t="shared" si="7"/>
        <v>0</v>
      </c>
      <c r="Y661" s="52">
        <f t="shared" si="8"/>
        <v>0</v>
      </c>
      <c r="Z661" s="52" t="str">
        <f>IF(G661="","",IFERROR(VLOOKUP(G661,'Product_Stock_Master产品维护'!$A$2:$L992,11,FALSE),"No"))</f>
        <v/>
      </c>
      <c r="AA661" s="52" t="str">
        <f>IF(G661="","",IFERROR(VLOOKUP(G661,'Product_Stock_Master产品维护'!$A$2:$L992,12,FALSE),""))</f>
        <v/>
      </c>
      <c r="AB661" s="52" t="str">
        <f t="shared" si="11"/>
        <v/>
      </c>
      <c r="AC661" s="52">
        <f t="shared" si="12"/>
        <v>0</v>
      </c>
    </row>
    <row r="662" ht="15.75" customHeight="1">
      <c r="A662" s="171"/>
      <c r="B662" s="171"/>
      <c r="C662" s="53"/>
      <c r="D662" s="53"/>
      <c r="E662" s="53"/>
      <c r="F662" s="53"/>
      <c r="G662" s="53"/>
      <c r="H662" s="52" t="str">
        <f>IF(G662="","",IFERROR(VLOOKUP(G662,'Product_Stock_Master产品维护'!$A$2:$E992,2,FALSE()),"SKU not found"))</f>
        <v/>
      </c>
      <c r="I662" s="52" t="str">
        <f>IF(G662="","",IFERROR(VLOOKUP(G662,'Product_Stock_Master产品维护'!$A$2:$E992,3,FALSE()),"Item type not found"))</f>
        <v/>
      </c>
      <c r="J662" s="53"/>
      <c r="K662" s="53"/>
      <c r="L662" s="53"/>
      <c r="M662" s="53"/>
      <c r="N662" s="53"/>
      <c r="O662" s="52" t="str">
        <f t="shared" si="1"/>
        <v/>
      </c>
      <c r="P662" s="53"/>
      <c r="Q662" s="52" t="str">
        <f t="shared" si="9"/>
        <v/>
      </c>
      <c r="R662" s="52" t="str">
        <f t="shared" si="3"/>
        <v/>
      </c>
      <c r="S662" s="52" t="str">
        <f t="shared" si="10"/>
        <v/>
      </c>
      <c r="T662" s="52" t="str">
        <f t="shared" si="5"/>
        <v/>
      </c>
      <c r="U662" s="52"/>
      <c r="V662" s="53"/>
      <c r="W662" s="52" t="str">
        <f t="shared" si="6"/>
        <v/>
      </c>
      <c r="X662" s="52">
        <f t="shared" si="7"/>
        <v>0</v>
      </c>
      <c r="Y662" s="52">
        <f t="shared" si="8"/>
        <v>0</v>
      </c>
      <c r="Z662" s="52" t="str">
        <f>IF(G662="","",IFERROR(VLOOKUP(G662,'Product_Stock_Master产品维护'!$A$2:$L992,11,FALSE),"No"))</f>
        <v/>
      </c>
      <c r="AA662" s="52" t="str">
        <f>IF(G662="","",IFERROR(VLOOKUP(G662,'Product_Stock_Master产品维护'!$A$2:$L992,12,FALSE),""))</f>
        <v/>
      </c>
      <c r="AB662" s="52" t="str">
        <f t="shared" si="11"/>
        <v/>
      </c>
      <c r="AC662" s="52">
        <f t="shared" si="12"/>
        <v>0</v>
      </c>
    </row>
    <row r="663" ht="15.75" customHeight="1">
      <c r="A663" s="171"/>
      <c r="B663" s="171"/>
      <c r="C663" s="53"/>
      <c r="D663" s="53"/>
      <c r="E663" s="53"/>
      <c r="F663" s="53"/>
      <c r="G663" s="53"/>
      <c r="H663" s="52" t="str">
        <f>IF(G663="","",IFERROR(VLOOKUP(G663,'Product_Stock_Master产品维护'!$A$2:$E992,2,FALSE()),"SKU not found"))</f>
        <v/>
      </c>
      <c r="I663" s="52" t="str">
        <f>IF(G663="","",IFERROR(VLOOKUP(G663,'Product_Stock_Master产品维护'!$A$2:$E992,3,FALSE()),"Item type not found"))</f>
        <v/>
      </c>
      <c r="J663" s="53"/>
      <c r="K663" s="53"/>
      <c r="L663" s="53"/>
      <c r="M663" s="53"/>
      <c r="N663" s="53"/>
      <c r="O663" s="52" t="str">
        <f t="shared" si="1"/>
        <v/>
      </c>
      <c r="P663" s="53"/>
      <c r="Q663" s="52" t="str">
        <f t="shared" si="9"/>
        <v/>
      </c>
      <c r="R663" s="52" t="str">
        <f t="shared" si="3"/>
        <v/>
      </c>
      <c r="S663" s="52" t="str">
        <f t="shared" si="10"/>
        <v/>
      </c>
      <c r="T663" s="52" t="str">
        <f t="shared" si="5"/>
        <v/>
      </c>
      <c r="U663" s="52"/>
      <c r="V663" s="53"/>
      <c r="W663" s="52" t="str">
        <f t="shared" si="6"/>
        <v/>
      </c>
      <c r="X663" s="52">
        <f t="shared" si="7"/>
        <v>0</v>
      </c>
      <c r="Y663" s="52">
        <f t="shared" si="8"/>
        <v>0</v>
      </c>
      <c r="Z663" s="52" t="str">
        <f>IF(G663="","",IFERROR(VLOOKUP(G663,'Product_Stock_Master产品维护'!$A$2:$L992,11,FALSE),"No"))</f>
        <v/>
      </c>
      <c r="AA663" s="52" t="str">
        <f>IF(G663="","",IFERROR(VLOOKUP(G663,'Product_Stock_Master产品维护'!$A$2:$L992,12,FALSE),""))</f>
        <v/>
      </c>
      <c r="AB663" s="52" t="str">
        <f t="shared" si="11"/>
        <v/>
      </c>
      <c r="AC663" s="52">
        <f t="shared" si="12"/>
        <v>0</v>
      </c>
    </row>
    <row r="664" ht="15.75" customHeight="1">
      <c r="A664" s="171"/>
      <c r="B664" s="171"/>
      <c r="C664" s="53"/>
      <c r="D664" s="53"/>
      <c r="E664" s="53"/>
      <c r="F664" s="53"/>
      <c r="G664" s="53"/>
      <c r="H664" s="52" t="str">
        <f>IF(G664="","",IFERROR(VLOOKUP(G664,'Product_Stock_Master产品维护'!$A$2:$E992,2,FALSE()),"SKU not found"))</f>
        <v/>
      </c>
      <c r="I664" s="52" t="str">
        <f>IF(G664="","",IFERROR(VLOOKUP(G664,'Product_Stock_Master产品维护'!$A$2:$E992,3,FALSE()),"Item type not found"))</f>
        <v/>
      </c>
      <c r="J664" s="53"/>
      <c r="K664" s="53"/>
      <c r="L664" s="53"/>
      <c r="M664" s="53"/>
      <c r="N664" s="53"/>
      <c r="O664" s="52" t="str">
        <f t="shared" si="1"/>
        <v/>
      </c>
      <c r="P664" s="53"/>
      <c r="Q664" s="52" t="str">
        <f t="shared" si="9"/>
        <v/>
      </c>
      <c r="R664" s="52" t="str">
        <f t="shared" si="3"/>
        <v/>
      </c>
      <c r="S664" s="52" t="str">
        <f t="shared" si="10"/>
        <v/>
      </c>
      <c r="T664" s="52" t="str">
        <f t="shared" si="5"/>
        <v/>
      </c>
      <c r="U664" s="52"/>
      <c r="V664" s="53"/>
      <c r="W664" s="52" t="str">
        <f t="shared" si="6"/>
        <v/>
      </c>
      <c r="X664" s="52">
        <f t="shared" si="7"/>
        <v>0</v>
      </c>
      <c r="Y664" s="52">
        <f t="shared" si="8"/>
        <v>0</v>
      </c>
      <c r="Z664" s="52" t="str">
        <f>IF(G664="","",IFERROR(VLOOKUP(G664,'Product_Stock_Master产品维护'!$A$2:$L992,11,FALSE),"No"))</f>
        <v/>
      </c>
      <c r="AA664" s="52" t="str">
        <f>IF(G664="","",IFERROR(VLOOKUP(G664,'Product_Stock_Master产品维护'!$A$2:$L992,12,FALSE),""))</f>
        <v/>
      </c>
      <c r="AB664" s="52" t="str">
        <f t="shared" si="11"/>
        <v/>
      </c>
      <c r="AC664" s="52">
        <f t="shared" si="12"/>
        <v>0</v>
      </c>
    </row>
    <row r="665" ht="15.75" customHeight="1">
      <c r="A665" s="171"/>
      <c r="B665" s="171"/>
      <c r="C665" s="53"/>
      <c r="D665" s="53"/>
      <c r="E665" s="53"/>
      <c r="F665" s="53"/>
      <c r="G665" s="53"/>
      <c r="H665" s="52" t="str">
        <f>IF(G665="","",IFERROR(VLOOKUP(G665,'Product_Stock_Master产品维护'!$A$2:$E992,2,FALSE()),"SKU not found"))</f>
        <v/>
      </c>
      <c r="I665" s="52" t="str">
        <f>IF(G665="","",IFERROR(VLOOKUP(G665,'Product_Stock_Master产品维护'!$A$2:$E992,3,FALSE()),"Item type not found"))</f>
        <v/>
      </c>
      <c r="J665" s="53"/>
      <c r="K665" s="53"/>
      <c r="L665" s="53"/>
      <c r="M665" s="53"/>
      <c r="N665" s="53"/>
      <c r="O665" s="52" t="str">
        <f t="shared" si="1"/>
        <v/>
      </c>
      <c r="P665" s="53"/>
      <c r="Q665" s="52" t="str">
        <f t="shared" si="9"/>
        <v/>
      </c>
      <c r="R665" s="52" t="str">
        <f t="shared" si="3"/>
        <v/>
      </c>
      <c r="S665" s="52" t="str">
        <f t="shared" si="10"/>
        <v/>
      </c>
      <c r="T665" s="52" t="str">
        <f t="shared" si="5"/>
        <v/>
      </c>
      <c r="U665" s="52"/>
      <c r="V665" s="53"/>
      <c r="W665" s="52" t="str">
        <f t="shared" si="6"/>
        <v/>
      </c>
      <c r="X665" s="52">
        <f t="shared" si="7"/>
        <v>0</v>
      </c>
      <c r="Y665" s="52">
        <f t="shared" si="8"/>
        <v>0</v>
      </c>
      <c r="Z665" s="52" t="str">
        <f>IF(G665="","",IFERROR(VLOOKUP(G665,'Product_Stock_Master产品维护'!$A$2:$L992,11,FALSE),"No"))</f>
        <v/>
      </c>
      <c r="AA665" s="52" t="str">
        <f>IF(G665="","",IFERROR(VLOOKUP(G665,'Product_Stock_Master产品维护'!$A$2:$L992,12,FALSE),""))</f>
        <v/>
      </c>
      <c r="AB665" s="52" t="str">
        <f t="shared" si="11"/>
        <v/>
      </c>
      <c r="AC665" s="52">
        <f t="shared" si="12"/>
        <v>0</v>
      </c>
    </row>
    <row r="666" ht="15.75" customHeight="1">
      <c r="A666" s="171"/>
      <c r="B666" s="171"/>
      <c r="C666" s="53"/>
      <c r="D666" s="53"/>
      <c r="E666" s="53"/>
      <c r="F666" s="53"/>
      <c r="G666" s="53"/>
      <c r="H666" s="52" t="str">
        <f>IF(G666="","",IFERROR(VLOOKUP(G666,'Product_Stock_Master产品维护'!$A$2:$E992,2,FALSE()),"SKU not found"))</f>
        <v/>
      </c>
      <c r="I666" s="52" t="str">
        <f>IF(G666="","",IFERROR(VLOOKUP(G666,'Product_Stock_Master产品维护'!$A$2:$E992,3,FALSE()),"Item type not found"))</f>
        <v/>
      </c>
      <c r="J666" s="53"/>
      <c r="K666" s="53"/>
      <c r="L666" s="53"/>
      <c r="M666" s="53"/>
      <c r="N666" s="53"/>
      <c r="O666" s="52" t="str">
        <f t="shared" si="1"/>
        <v/>
      </c>
      <c r="P666" s="53"/>
      <c r="Q666" s="52" t="str">
        <f t="shared" si="9"/>
        <v/>
      </c>
      <c r="R666" s="52" t="str">
        <f t="shared" si="3"/>
        <v/>
      </c>
      <c r="S666" s="52" t="str">
        <f t="shared" si="10"/>
        <v/>
      </c>
      <c r="T666" s="52" t="str">
        <f t="shared" si="5"/>
        <v/>
      </c>
      <c r="U666" s="52"/>
      <c r="V666" s="53"/>
      <c r="W666" s="52" t="str">
        <f t="shared" si="6"/>
        <v/>
      </c>
      <c r="X666" s="52">
        <f t="shared" si="7"/>
        <v>0</v>
      </c>
      <c r="Y666" s="52">
        <f t="shared" si="8"/>
        <v>0</v>
      </c>
      <c r="Z666" s="52" t="str">
        <f>IF(G666="","",IFERROR(VLOOKUP(G666,'Product_Stock_Master产品维护'!$A$2:$L992,11,FALSE),"No"))</f>
        <v/>
      </c>
      <c r="AA666" s="52" t="str">
        <f>IF(G666="","",IFERROR(VLOOKUP(G666,'Product_Stock_Master产品维护'!$A$2:$L992,12,FALSE),""))</f>
        <v/>
      </c>
      <c r="AB666" s="52" t="str">
        <f t="shared" si="11"/>
        <v/>
      </c>
      <c r="AC666" s="52">
        <f t="shared" si="12"/>
        <v>0</v>
      </c>
    </row>
    <row r="667" ht="15.75" customHeight="1">
      <c r="A667" s="171"/>
      <c r="B667" s="171"/>
      <c r="C667" s="53"/>
      <c r="D667" s="53"/>
      <c r="E667" s="53"/>
      <c r="F667" s="53"/>
      <c r="G667" s="53"/>
      <c r="H667" s="52" t="str">
        <f>IF(G667="","",IFERROR(VLOOKUP(G667,'Product_Stock_Master产品维护'!$A$2:$E992,2,FALSE()),"SKU not found"))</f>
        <v/>
      </c>
      <c r="I667" s="52" t="str">
        <f>IF(G667="","",IFERROR(VLOOKUP(G667,'Product_Stock_Master产品维护'!$A$2:$E992,3,FALSE()),"Item type not found"))</f>
        <v/>
      </c>
      <c r="J667" s="53"/>
      <c r="K667" s="53"/>
      <c r="L667" s="53"/>
      <c r="M667" s="53"/>
      <c r="N667" s="53"/>
      <c r="O667" s="52" t="str">
        <f t="shared" si="1"/>
        <v/>
      </c>
      <c r="P667" s="53"/>
      <c r="Q667" s="52" t="str">
        <f t="shared" si="9"/>
        <v/>
      </c>
      <c r="R667" s="52" t="str">
        <f t="shared" si="3"/>
        <v/>
      </c>
      <c r="S667" s="52" t="str">
        <f t="shared" si="10"/>
        <v/>
      </c>
      <c r="T667" s="52" t="str">
        <f t="shared" si="5"/>
        <v/>
      </c>
      <c r="U667" s="52"/>
      <c r="V667" s="53"/>
      <c r="W667" s="52" t="str">
        <f t="shared" si="6"/>
        <v/>
      </c>
      <c r="X667" s="52">
        <f t="shared" si="7"/>
        <v>0</v>
      </c>
      <c r="Y667" s="52">
        <f t="shared" si="8"/>
        <v>0</v>
      </c>
      <c r="Z667" s="52" t="str">
        <f>IF(G667="","",IFERROR(VLOOKUP(G667,'Product_Stock_Master产品维护'!$A$2:$L992,11,FALSE),"No"))</f>
        <v/>
      </c>
      <c r="AA667" s="52" t="str">
        <f>IF(G667="","",IFERROR(VLOOKUP(G667,'Product_Stock_Master产品维护'!$A$2:$L992,12,FALSE),""))</f>
        <v/>
      </c>
      <c r="AB667" s="52" t="str">
        <f t="shared" si="11"/>
        <v/>
      </c>
      <c r="AC667" s="52">
        <f t="shared" si="12"/>
        <v>0</v>
      </c>
    </row>
    <row r="668" ht="15.75" customHeight="1">
      <c r="A668" s="171"/>
      <c r="B668" s="171"/>
      <c r="C668" s="53"/>
      <c r="D668" s="53"/>
      <c r="E668" s="53"/>
      <c r="F668" s="53"/>
      <c r="G668" s="53"/>
      <c r="H668" s="52" t="str">
        <f>IF(G668="","",IFERROR(VLOOKUP(G668,'Product_Stock_Master产品维护'!$A$2:$E992,2,FALSE()),"SKU not found"))</f>
        <v/>
      </c>
      <c r="I668" s="52" t="str">
        <f>IF(G668="","",IFERROR(VLOOKUP(G668,'Product_Stock_Master产品维护'!$A$2:$E992,3,FALSE()),"Item type not found"))</f>
        <v/>
      </c>
      <c r="J668" s="53"/>
      <c r="K668" s="53"/>
      <c r="L668" s="53"/>
      <c r="M668" s="53"/>
      <c r="N668" s="53"/>
      <c r="O668" s="52" t="str">
        <f t="shared" si="1"/>
        <v/>
      </c>
      <c r="P668" s="53"/>
      <c r="Q668" s="52" t="str">
        <f t="shared" si="9"/>
        <v/>
      </c>
      <c r="R668" s="52" t="str">
        <f t="shared" si="3"/>
        <v/>
      </c>
      <c r="S668" s="52" t="str">
        <f t="shared" si="10"/>
        <v/>
      </c>
      <c r="T668" s="52" t="str">
        <f t="shared" si="5"/>
        <v/>
      </c>
      <c r="U668" s="52"/>
      <c r="V668" s="53"/>
      <c r="W668" s="52" t="str">
        <f t="shared" si="6"/>
        <v/>
      </c>
      <c r="X668" s="52">
        <f t="shared" si="7"/>
        <v>0</v>
      </c>
      <c r="Y668" s="52">
        <f t="shared" si="8"/>
        <v>0</v>
      </c>
      <c r="Z668" s="52" t="str">
        <f>IF(G668="","",IFERROR(VLOOKUP(G668,'Product_Stock_Master产品维护'!$A$2:$L992,11,FALSE),"No"))</f>
        <v/>
      </c>
      <c r="AA668" s="52" t="str">
        <f>IF(G668="","",IFERROR(VLOOKUP(G668,'Product_Stock_Master产品维护'!$A$2:$L992,12,FALSE),""))</f>
        <v/>
      </c>
      <c r="AB668" s="52" t="str">
        <f t="shared" si="11"/>
        <v/>
      </c>
      <c r="AC668" s="52">
        <f t="shared" si="12"/>
        <v>0</v>
      </c>
    </row>
    <row r="669" ht="15.75" customHeight="1">
      <c r="A669" s="171"/>
      <c r="B669" s="171"/>
      <c r="C669" s="53"/>
      <c r="D669" s="53"/>
      <c r="E669" s="53"/>
      <c r="F669" s="53"/>
      <c r="G669" s="53"/>
      <c r="H669" s="52" t="str">
        <f>IF(G669="","",IFERROR(VLOOKUP(G669,'Product_Stock_Master产品维护'!$A$2:$E992,2,FALSE()),"SKU not found"))</f>
        <v/>
      </c>
      <c r="I669" s="52" t="str">
        <f>IF(G669="","",IFERROR(VLOOKUP(G669,'Product_Stock_Master产品维护'!$A$2:$E992,3,FALSE()),"Item type not found"))</f>
        <v/>
      </c>
      <c r="J669" s="53"/>
      <c r="K669" s="53"/>
      <c r="L669" s="53"/>
      <c r="M669" s="53"/>
      <c r="N669" s="53"/>
      <c r="O669" s="52" t="str">
        <f t="shared" si="1"/>
        <v/>
      </c>
      <c r="P669" s="53"/>
      <c r="Q669" s="52" t="str">
        <f t="shared" si="9"/>
        <v/>
      </c>
      <c r="R669" s="52" t="str">
        <f t="shared" si="3"/>
        <v/>
      </c>
      <c r="S669" s="52" t="str">
        <f t="shared" si="10"/>
        <v/>
      </c>
      <c r="T669" s="52" t="str">
        <f t="shared" si="5"/>
        <v/>
      </c>
      <c r="U669" s="52"/>
      <c r="V669" s="53"/>
      <c r="W669" s="52" t="str">
        <f t="shared" si="6"/>
        <v/>
      </c>
      <c r="X669" s="52">
        <f t="shared" si="7"/>
        <v>0</v>
      </c>
      <c r="Y669" s="52">
        <f t="shared" si="8"/>
        <v>0</v>
      </c>
      <c r="Z669" s="52" t="str">
        <f>IF(G669="","",IFERROR(VLOOKUP(G669,'Product_Stock_Master产品维护'!$A$2:$L992,11,FALSE),"No"))</f>
        <v/>
      </c>
      <c r="AA669" s="52" t="str">
        <f>IF(G669="","",IFERROR(VLOOKUP(G669,'Product_Stock_Master产品维护'!$A$2:$L992,12,FALSE),""))</f>
        <v/>
      </c>
      <c r="AB669" s="52" t="str">
        <f t="shared" si="11"/>
        <v/>
      </c>
      <c r="AC669" s="52">
        <f t="shared" si="12"/>
        <v>0</v>
      </c>
    </row>
    <row r="670" ht="15.75" customHeight="1">
      <c r="A670" s="171"/>
      <c r="B670" s="171"/>
      <c r="C670" s="53"/>
      <c r="D670" s="53"/>
      <c r="E670" s="53"/>
      <c r="F670" s="53"/>
      <c r="G670" s="53"/>
      <c r="H670" s="52" t="str">
        <f>IF(G670="","",IFERROR(VLOOKUP(G670,'Product_Stock_Master产品维护'!$A$2:$E992,2,FALSE()),"SKU not found"))</f>
        <v/>
      </c>
      <c r="I670" s="52" t="str">
        <f>IF(G670="","",IFERROR(VLOOKUP(G670,'Product_Stock_Master产品维护'!$A$2:$E992,3,FALSE()),"Item type not found"))</f>
        <v/>
      </c>
      <c r="J670" s="53"/>
      <c r="K670" s="53"/>
      <c r="L670" s="53"/>
      <c r="M670" s="53"/>
      <c r="N670" s="53"/>
      <c r="O670" s="52" t="str">
        <f t="shared" si="1"/>
        <v/>
      </c>
      <c r="P670" s="53"/>
      <c r="Q670" s="52" t="str">
        <f t="shared" si="9"/>
        <v/>
      </c>
      <c r="R670" s="52" t="str">
        <f t="shared" si="3"/>
        <v/>
      </c>
      <c r="S670" s="52" t="str">
        <f t="shared" si="10"/>
        <v/>
      </c>
      <c r="T670" s="52" t="str">
        <f t="shared" si="5"/>
        <v/>
      </c>
      <c r="U670" s="52"/>
      <c r="V670" s="53"/>
      <c r="W670" s="52" t="str">
        <f t="shared" si="6"/>
        <v/>
      </c>
      <c r="X670" s="52">
        <f t="shared" si="7"/>
        <v>0</v>
      </c>
      <c r="Y670" s="52">
        <f t="shared" si="8"/>
        <v>0</v>
      </c>
      <c r="Z670" s="52" t="str">
        <f>IF(G670="","",IFERROR(VLOOKUP(G670,'Product_Stock_Master产品维护'!$A$2:$L992,11,FALSE),"No"))</f>
        <v/>
      </c>
      <c r="AA670" s="52" t="str">
        <f>IF(G670="","",IFERROR(VLOOKUP(G670,'Product_Stock_Master产品维护'!$A$2:$L992,12,FALSE),""))</f>
        <v/>
      </c>
      <c r="AB670" s="52" t="str">
        <f t="shared" si="11"/>
        <v/>
      </c>
      <c r="AC670" s="52">
        <f t="shared" si="12"/>
        <v>0</v>
      </c>
    </row>
    <row r="671" ht="15.75" customHeight="1">
      <c r="A671" s="171"/>
      <c r="B671" s="171"/>
      <c r="C671" s="53"/>
      <c r="D671" s="53"/>
      <c r="E671" s="53"/>
      <c r="F671" s="53"/>
      <c r="G671" s="53"/>
      <c r="H671" s="52" t="str">
        <f>IF(G671="","",IFERROR(VLOOKUP(G671,'Product_Stock_Master产品维护'!$A$2:$E992,2,FALSE()),"SKU not found"))</f>
        <v/>
      </c>
      <c r="I671" s="52" t="str">
        <f>IF(G671="","",IFERROR(VLOOKUP(G671,'Product_Stock_Master产品维护'!$A$2:$E992,3,FALSE()),"Item type not found"))</f>
        <v/>
      </c>
      <c r="J671" s="53"/>
      <c r="K671" s="53"/>
      <c r="L671" s="53"/>
      <c r="M671" s="53"/>
      <c r="N671" s="53"/>
      <c r="O671" s="52" t="str">
        <f t="shared" si="1"/>
        <v/>
      </c>
      <c r="P671" s="53"/>
      <c r="Q671" s="52" t="str">
        <f t="shared" si="9"/>
        <v/>
      </c>
      <c r="R671" s="52" t="str">
        <f t="shared" si="3"/>
        <v/>
      </c>
      <c r="S671" s="52" t="str">
        <f t="shared" si="10"/>
        <v/>
      </c>
      <c r="T671" s="52" t="str">
        <f t="shared" si="5"/>
        <v/>
      </c>
      <c r="U671" s="52"/>
      <c r="V671" s="53"/>
      <c r="W671" s="52" t="str">
        <f t="shared" si="6"/>
        <v/>
      </c>
      <c r="X671" s="52">
        <f t="shared" si="7"/>
        <v>0</v>
      </c>
      <c r="Y671" s="52">
        <f t="shared" si="8"/>
        <v>0</v>
      </c>
      <c r="Z671" s="52" t="str">
        <f>IF(G671="","",IFERROR(VLOOKUP(G671,'Product_Stock_Master产品维护'!$A$2:$L992,11,FALSE),"No"))</f>
        <v/>
      </c>
      <c r="AA671" s="52" t="str">
        <f>IF(G671="","",IFERROR(VLOOKUP(G671,'Product_Stock_Master产品维护'!$A$2:$L992,12,FALSE),""))</f>
        <v/>
      </c>
      <c r="AB671" s="52" t="str">
        <f t="shared" si="11"/>
        <v/>
      </c>
      <c r="AC671" s="52">
        <f t="shared" si="12"/>
        <v>0</v>
      </c>
    </row>
    <row r="672" ht="15.75" customHeight="1">
      <c r="A672" s="171"/>
      <c r="B672" s="171"/>
      <c r="C672" s="53"/>
      <c r="D672" s="53"/>
      <c r="E672" s="53"/>
      <c r="F672" s="53"/>
      <c r="G672" s="53"/>
      <c r="H672" s="52" t="str">
        <f>IF(G672="","",IFERROR(VLOOKUP(G672,'Product_Stock_Master产品维护'!$A$2:$E992,2,FALSE()),"SKU not found"))</f>
        <v/>
      </c>
      <c r="I672" s="52" t="str">
        <f>IF(G672="","",IFERROR(VLOOKUP(G672,'Product_Stock_Master产品维护'!$A$2:$E992,3,FALSE()),"Item type not found"))</f>
        <v/>
      </c>
      <c r="J672" s="53"/>
      <c r="K672" s="53"/>
      <c r="L672" s="53"/>
      <c r="M672" s="53"/>
      <c r="N672" s="53"/>
      <c r="O672" s="52" t="str">
        <f t="shared" si="1"/>
        <v/>
      </c>
      <c r="P672" s="53"/>
      <c r="Q672" s="52" t="str">
        <f t="shared" si="9"/>
        <v/>
      </c>
      <c r="R672" s="52" t="str">
        <f t="shared" si="3"/>
        <v/>
      </c>
      <c r="S672" s="52" t="str">
        <f t="shared" si="10"/>
        <v/>
      </c>
      <c r="T672" s="52" t="str">
        <f t="shared" si="5"/>
        <v/>
      </c>
      <c r="U672" s="52"/>
      <c r="V672" s="53"/>
      <c r="W672" s="52" t="str">
        <f t="shared" si="6"/>
        <v/>
      </c>
      <c r="X672" s="52">
        <f t="shared" si="7"/>
        <v>0</v>
      </c>
      <c r="Y672" s="52">
        <f t="shared" si="8"/>
        <v>0</v>
      </c>
      <c r="Z672" s="52" t="str">
        <f>IF(G672="","",IFERROR(VLOOKUP(G672,'Product_Stock_Master产品维护'!$A$2:$L992,11,FALSE),"No"))</f>
        <v/>
      </c>
      <c r="AA672" s="52" t="str">
        <f>IF(G672="","",IFERROR(VLOOKUP(G672,'Product_Stock_Master产品维护'!$A$2:$L992,12,FALSE),""))</f>
        <v/>
      </c>
      <c r="AB672" s="52" t="str">
        <f t="shared" si="11"/>
        <v/>
      </c>
      <c r="AC672" s="52">
        <f t="shared" si="12"/>
        <v>0</v>
      </c>
    </row>
    <row r="673" ht="15.75" customHeight="1">
      <c r="A673" s="171"/>
      <c r="B673" s="171"/>
      <c r="C673" s="53"/>
      <c r="D673" s="53"/>
      <c r="E673" s="53"/>
      <c r="F673" s="53"/>
      <c r="G673" s="53"/>
      <c r="H673" s="52" t="str">
        <f>IF(G673="","",IFERROR(VLOOKUP(G673,'Product_Stock_Master产品维护'!$A$2:$E992,2,FALSE()),"SKU not found"))</f>
        <v/>
      </c>
      <c r="I673" s="52" t="str">
        <f>IF(G673="","",IFERROR(VLOOKUP(G673,'Product_Stock_Master产品维护'!$A$2:$E992,3,FALSE()),"Item type not found"))</f>
        <v/>
      </c>
      <c r="J673" s="53"/>
      <c r="K673" s="53"/>
      <c r="L673" s="53"/>
      <c r="M673" s="53"/>
      <c r="N673" s="53"/>
      <c r="O673" s="52" t="str">
        <f t="shared" si="1"/>
        <v/>
      </c>
      <c r="P673" s="53"/>
      <c r="Q673" s="52" t="str">
        <f t="shared" si="9"/>
        <v/>
      </c>
      <c r="R673" s="52" t="str">
        <f t="shared" si="3"/>
        <v/>
      </c>
      <c r="S673" s="52" t="str">
        <f t="shared" si="10"/>
        <v/>
      </c>
      <c r="T673" s="52" t="str">
        <f t="shared" si="5"/>
        <v/>
      </c>
      <c r="U673" s="52"/>
      <c r="V673" s="53"/>
      <c r="W673" s="52" t="str">
        <f t="shared" si="6"/>
        <v/>
      </c>
      <c r="X673" s="52">
        <f t="shared" si="7"/>
        <v>0</v>
      </c>
      <c r="Y673" s="52">
        <f t="shared" si="8"/>
        <v>0</v>
      </c>
      <c r="Z673" s="52" t="str">
        <f>IF(G673="","",IFERROR(VLOOKUP(G673,'Product_Stock_Master产品维护'!$A$2:$L992,11,FALSE),"No"))</f>
        <v/>
      </c>
      <c r="AA673" s="52" t="str">
        <f>IF(G673="","",IFERROR(VLOOKUP(G673,'Product_Stock_Master产品维护'!$A$2:$L992,12,FALSE),""))</f>
        <v/>
      </c>
      <c r="AB673" s="52" t="str">
        <f t="shared" si="11"/>
        <v/>
      </c>
      <c r="AC673" s="52">
        <f t="shared" si="12"/>
        <v>0</v>
      </c>
    </row>
    <row r="674" ht="15.75" customHeight="1">
      <c r="A674" s="171"/>
      <c r="B674" s="171"/>
      <c r="C674" s="53"/>
      <c r="D674" s="53"/>
      <c r="E674" s="53"/>
      <c r="F674" s="53"/>
      <c r="G674" s="53"/>
      <c r="H674" s="52" t="str">
        <f>IF(G674="","",IFERROR(VLOOKUP(G674,'Product_Stock_Master产品维护'!$A$2:$E992,2,FALSE()),"SKU not found"))</f>
        <v/>
      </c>
      <c r="I674" s="52" t="str">
        <f>IF(G674="","",IFERROR(VLOOKUP(G674,'Product_Stock_Master产品维护'!$A$2:$E992,3,FALSE()),"Item type not found"))</f>
        <v/>
      </c>
      <c r="J674" s="53"/>
      <c r="K674" s="53"/>
      <c r="L674" s="53"/>
      <c r="M674" s="53"/>
      <c r="N674" s="53"/>
      <c r="O674" s="52" t="str">
        <f t="shared" si="1"/>
        <v/>
      </c>
      <c r="P674" s="53"/>
      <c r="Q674" s="52" t="str">
        <f t="shared" si="9"/>
        <v/>
      </c>
      <c r="R674" s="52" t="str">
        <f t="shared" si="3"/>
        <v/>
      </c>
      <c r="S674" s="52" t="str">
        <f t="shared" si="10"/>
        <v/>
      </c>
      <c r="T674" s="52" t="str">
        <f t="shared" si="5"/>
        <v/>
      </c>
      <c r="U674" s="52"/>
      <c r="V674" s="53"/>
      <c r="W674" s="52" t="str">
        <f t="shared" si="6"/>
        <v/>
      </c>
      <c r="X674" s="52">
        <f t="shared" si="7"/>
        <v>0</v>
      </c>
      <c r="Y674" s="52">
        <f t="shared" si="8"/>
        <v>0</v>
      </c>
      <c r="Z674" s="52" t="str">
        <f>IF(G674="","",IFERROR(VLOOKUP(G674,'Product_Stock_Master产品维护'!$A$2:$L992,11,FALSE),"No"))</f>
        <v/>
      </c>
      <c r="AA674" s="52" t="str">
        <f>IF(G674="","",IFERROR(VLOOKUP(G674,'Product_Stock_Master产品维护'!$A$2:$L992,12,FALSE),""))</f>
        <v/>
      </c>
      <c r="AB674" s="52" t="str">
        <f t="shared" si="11"/>
        <v/>
      </c>
      <c r="AC674" s="52">
        <f t="shared" si="12"/>
        <v>0</v>
      </c>
    </row>
    <row r="675" ht="15.75" customHeight="1">
      <c r="A675" s="171"/>
      <c r="B675" s="171"/>
      <c r="C675" s="53"/>
      <c r="D675" s="53"/>
      <c r="E675" s="53"/>
      <c r="F675" s="53"/>
      <c r="G675" s="53"/>
      <c r="H675" s="52" t="str">
        <f>IF(G675="","",IFERROR(VLOOKUP(G675,'Product_Stock_Master产品维护'!$A$2:$E992,2,FALSE()),"SKU not found"))</f>
        <v/>
      </c>
      <c r="I675" s="52" t="str">
        <f>IF(G675="","",IFERROR(VLOOKUP(G675,'Product_Stock_Master产品维护'!$A$2:$E992,3,FALSE()),"Item type not found"))</f>
        <v/>
      </c>
      <c r="J675" s="53"/>
      <c r="K675" s="53"/>
      <c r="L675" s="53"/>
      <c r="M675" s="53"/>
      <c r="N675" s="53"/>
      <c r="O675" s="52" t="str">
        <f t="shared" si="1"/>
        <v/>
      </c>
      <c r="P675" s="53"/>
      <c r="Q675" s="52" t="str">
        <f t="shared" si="9"/>
        <v/>
      </c>
      <c r="R675" s="52" t="str">
        <f t="shared" si="3"/>
        <v/>
      </c>
      <c r="S675" s="52" t="str">
        <f t="shared" si="10"/>
        <v/>
      </c>
      <c r="T675" s="52" t="str">
        <f t="shared" si="5"/>
        <v/>
      </c>
      <c r="U675" s="52"/>
      <c r="V675" s="53"/>
      <c r="W675" s="52" t="str">
        <f t="shared" si="6"/>
        <v/>
      </c>
      <c r="X675" s="52">
        <f t="shared" si="7"/>
        <v>0</v>
      </c>
      <c r="Y675" s="52">
        <f t="shared" si="8"/>
        <v>0</v>
      </c>
      <c r="Z675" s="52" t="str">
        <f>IF(G675="","",IFERROR(VLOOKUP(G675,'Product_Stock_Master产品维护'!$A$2:$L992,11,FALSE),"No"))</f>
        <v/>
      </c>
      <c r="AA675" s="52" t="str">
        <f>IF(G675="","",IFERROR(VLOOKUP(G675,'Product_Stock_Master产品维护'!$A$2:$L992,12,FALSE),""))</f>
        <v/>
      </c>
      <c r="AB675" s="52" t="str">
        <f t="shared" si="11"/>
        <v/>
      </c>
      <c r="AC675" s="52">
        <f t="shared" si="12"/>
        <v>0</v>
      </c>
    </row>
    <row r="676" ht="15.75" customHeight="1">
      <c r="A676" s="171"/>
      <c r="B676" s="171"/>
      <c r="C676" s="53"/>
      <c r="D676" s="53"/>
      <c r="E676" s="53"/>
      <c r="F676" s="53"/>
      <c r="G676" s="53"/>
      <c r="H676" s="52" t="str">
        <f>IF(G676="","",IFERROR(VLOOKUP(G676,'Product_Stock_Master产品维护'!$A$2:$E992,2,FALSE()),"SKU not found"))</f>
        <v/>
      </c>
      <c r="I676" s="52" t="str">
        <f>IF(G676="","",IFERROR(VLOOKUP(G676,'Product_Stock_Master产品维护'!$A$2:$E992,3,FALSE()),"Item type not found"))</f>
        <v/>
      </c>
      <c r="J676" s="53"/>
      <c r="K676" s="53"/>
      <c r="L676" s="53"/>
      <c r="M676" s="53"/>
      <c r="N676" s="53"/>
      <c r="O676" s="52" t="str">
        <f t="shared" si="1"/>
        <v/>
      </c>
      <c r="P676" s="53"/>
      <c r="Q676" s="52" t="str">
        <f t="shared" si="9"/>
        <v/>
      </c>
      <c r="R676" s="52" t="str">
        <f t="shared" si="3"/>
        <v/>
      </c>
      <c r="S676" s="52" t="str">
        <f t="shared" si="10"/>
        <v/>
      </c>
      <c r="T676" s="52" t="str">
        <f t="shared" si="5"/>
        <v/>
      </c>
      <c r="U676" s="52"/>
      <c r="V676" s="53"/>
      <c r="W676" s="52" t="str">
        <f t="shared" si="6"/>
        <v/>
      </c>
      <c r="X676" s="52">
        <f t="shared" si="7"/>
        <v>0</v>
      </c>
      <c r="Y676" s="52">
        <f t="shared" si="8"/>
        <v>0</v>
      </c>
      <c r="Z676" s="52" t="str">
        <f>IF(G676="","",IFERROR(VLOOKUP(G676,'Product_Stock_Master产品维护'!$A$2:$L992,11,FALSE),"No"))</f>
        <v/>
      </c>
      <c r="AA676" s="52" t="str">
        <f>IF(G676="","",IFERROR(VLOOKUP(G676,'Product_Stock_Master产品维护'!$A$2:$L992,12,FALSE),""))</f>
        <v/>
      </c>
      <c r="AB676" s="52" t="str">
        <f t="shared" si="11"/>
        <v/>
      </c>
      <c r="AC676" s="52">
        <f t="shared" si="12"/>
        <v>0</v>
      </c>
    </row>
    <row r="677" ht="15.75" customHeight="1">
      <c r="A677" s="171"/>
      <c r="B677" s="171"/>
      <c r="C677" s="53"/>
      <c r="D677" s="53"/>
      <c r="E677" s="53"/>
      <c r="F677" s="53"/>
      <c r="G677" s="53"/>
      <c r="H677" s="52" t="str">
        <f>IF(G677="","",IFERROR(VLOOKUP(G677,'Product_Stock_Master产品维护'!$A$2:$E992,2,FALSE()),"SKU not found"))</f>
        <v/>
      </c>
      <c r="I677" s="52" t="str">
        <f>IF(G677="","",IFERROR(VLOOKUP(G677,'Product_Stock_Master产品维护'!$A$2:$E992,3,FALSE()),"Item type not found"))</f>
        <v/>
      </c>
      <c r="J677" s="53"/>
      <c r="K677" s="53"/>
      <c r="L677" s="53"/>
      <c r="M677" s="53"/>
      <c r="N677" s="53"/>
      <c r="O677" s="52" t="str">
        <f t="shared" si="1"/>
        <v/>
      </c>
      <c r="P677" s="53"/>
      <c r="Q677" s="52" t="str">
        <f t="shared" si="9"/>
        <v/>
      </c>
      <c r="R677" s="52" t="str">
        <f t="shared" si="3"/>
        <v/>
      </c>
      <c r="S677" s="52" t="str">
        <f t="shared" si="10"/>
        <v/>
      </c>
      <c r="T677" s="52" t="str">
        <f t="shared" si="5"/>
        <v/>
      </c>
      <c r="U677" s="52"/>
      <c r="V677" s="53"/>
      <c r="W677" s="52" t="str">
        <f t="shared" si="6"/>
        <v/>
      </c>
      <c r="X677" s="52">
        <f t="shared" si="7"/>
        <v>0</v>
      </c>
      <c r="Y677" s="52">
        <f t="shared" si="8"/>
        <v>0</v>
      </c>
      <c r="Z677" s="52" t="str">
        <f>IF(G677="","",IFERROR(VLOOKUP(G677,'Product_Stock_Master产品维护'!$A$2:$L992,11,FALSE),"No"))</f>
        <v/>
      </c>
      <c r="AA677" s="52" t="str">
        <f>IF(G677="","",IFERROR(VLOOKUP(G677,'Product_Stock_Master产品维护'!$A$2:$L992,12,FALSE),""))</f>
        <v/>
      </c>
      <c r="AB677" s="52" t="str">
        <f t="shared" si="11"/>
        <v/>
      </c>
      <c r="AC677" s="52">
        <f t="shared" si="12"/>
        <v>0</v>
      </c>
    </row>
    <row r="678" ht="15.75" customHeight="1">
      <c r="A678" s="171"/>
      <c r="B678" s="171"/>
      <c r="C678" s="53"/>
      <c r="D678" s="53"/>
      <c r="E678" s="53"/>
      <c r="F678" s="53"/>
      <c r="G678" s="53"/>
      <c r="H678" s="52" t="str">
        <f>IF(G678="","",IFERROR(VLOOKUP(G678,'Product_Stock_Master产品维护'!$A$2:$E992,2,FALSE()),"SKU not found"))</f>
        <v/>
      </c>
      <c r="I678" s="52" t="str">
        <f>IF(G678="","",IFERROR(VLOOKUP(G678,'Product_Stock_Master产品维护'!$A$2:$E992,3,FALSE()),"Item type not found"))</f>
        <v/>
      </c>
      <c r="J678" s="53"/>
      <c r="K678" s="53"/>
      <c r="L678" s="53"/>
      <c r="M678" s="53"/>
      <c r="N678" s="53"/>
      <c r="O678" s="52" t="str">
        <f t="shared" si="1"/>
        <v/>
      </c>
      <c r="P678" s="53"/>
      <c r="Q678" s="52" t="str">
        <f t="shared" si="9"/>
        <v/>
      </c>
      <c r="R678" s="52" t="str">
        <f t="shared" si="3"/>
        <v/>
      </c>
      <c r="S678" s="52" t="str">
        <f t="shared" si="10"/>
        <v/>
      </c>
      <c r="T678" s="52" t="str">
        <f t="shared" si="5"/>
        <v/>
      </c>
      <c r="U678" s="52"/>
      <c r="V678" s="53"/>
      <c r="W678" s="52" t="str">
        <f t="shared" si="6"/>
        <v/>
      </c>
      <c r="X678" s="52">
        <f t="shared" si="7"/>
        <v>0</v>
      </c>
      <c r="Y678" s="52">
        <f t="shared" si="8"/>
        <v>0</v>
      </c>
      <c r="Z678" s="52" t="str">
        <f>IF(G678="","",IFERROR(VLOOKUP(G678,'Product_Stock_Master产品维护'!$A$2:$L992,11,FALSE),"No"))</f>
        <v/>
      </c>
      <c r="AA678" s="52" t="str">
        <f>IF(G678="","",IFERROR(VLOOKUP(G678,'Product_Stock_Master产品维护'!$A$2:$L992,12,FALSE),""))</f>
        <v/>
      </c>
      <c r="AB678" s="52" t="str">
        <f t="shared" si="11"/>
        <v/>
      </c>
      <c r="AC678" s="52">
        <f t="shared" si="12"/>
        <v>0</v>
      </c>
    </row>
    <row r="679" ht="15.75" customHeight="1">
      <c r="A679" s="171"/>
      <c r="B679" s="171"/>
      <c r="C679" s="53"/>
      <c r="D679" s="53"/>
      <c r="E679" s="53"/>
      <c r="F679" s="53"/>
      <c r="G679" s="53"/>
      <c r="H679" s="52" t="str">
        <f>IF(G679="","",IFERROR(VLOOKUP(G679,'Product_Stock_Master产品维护'!$A$2:$E992,2,FALSE()),"SKU not found"))</f>
        <v/>
      </c>
      <c r="I679" s="52" t="str">
        <f>IF(G679="","",IFERROR(VLOOKUP(G679,'Product_Stock_Master产品维护'!$A$2:$E992,3,FALSE()),"Item type not found"))</f>
        <v/>
      </c>
      <c r="J679" s="53"/>
      <c r="K679" s="53"/>
      <c r="L679" s="53"/>
      <c r="M679" s="53"/>
      <c r="N679" s="53"/>
      <c r="O679" s="52" t="str">
        <f t="shared" si="1"/>
        <v/>
      </c>
      <c r="P679" s="53"/>
      <c r="Q679" s="52" t="str">
        <f t="shared" si="9"/>
        <v/>
      </c>
      <c r="R679" s="52" t="str">
        <f t="shared" si="3"/>
        <v/>
      </c>
      <c r="S679" s="52" t="str">
        <f t="shared" si="10"/>
        <v/>
      </c>
      <c r="T679" s="52" t="str">
        <f t="shared" si="5"/>
        <v/>
      </c>
      <c r="U679" s="52"/>
      <c r="V679" s="53"/>
      <c r="W679" s="52" t="str">
        <f t="shared" si="6"/>
        <v/>
      </c>
      <c r="X679" s="52">
        <f t="shared" si="7"/>
        <v>0</v>
      </c>
      <c r="Y679" s="52">
        <f t="shared" si="8"/>
        <v>0</v>
      </c>
      <c r="Z679" s="52" t="str">
        <f>IF(G679="","",IFERROR(VLOOKUP(G679,'Product_Stock_Master产品维护'!$A$2:$L992,11,FALSE),"No"))</f>
        <v/>
      </c>
      <c r="AA679" s="52" t="str">
        <f>IF(G679="","",IFERROR(VLOOKUP(G679,'Product_Stock_Master产品维护'!$A$2:$L992,12,FALSE),""))</f>
        <v/>
      </c>
      <c r="AB679" s="52" t="str">
        <f t="shared" si="11"/>
        <v/>
      </c>
      <c r="AC679" s="52">
        <f t="shared" si="12"/>
        <v>0</v>
      </c>
    </row>
    <row r="680" ht="15.75" customHeight="1">
      <c r="A680" s="171"/>
      <c r="B680" s="171"/>
      <c r="C680" s="53"/>
      <c r="D680" s="53"/>
      <c r="E680" s="53"/>
      <c r="F680" s="53"/>
      <c r="G680" s="53"/>
      <c r="H680" s="52" t="str">
        <f>IF(G680="","",IFERROR(VLOOKUP(G680,'Product_Stock_Master产品维护'!$A$2:$E992,2,FALSE()),"SKU not found"))</f>
        <v/>
      </c>
      <c r="I680" s="52" t="str">
        <f>IF(G680="","",IFERROR(VLOOKUP(G680,'Product_Stock_Master产品维护'!$A$2:$E992,3,FALSE()),"Item type not found"))</f>
        <v/>
      </c>
      <c r="J680" s="53"/>
      <c r="K680" s="53"/>
      <c r="L680" s="53"/>
      <c r="M680" s="53"/>
      <c r="N680" s="53"/>
      <c r="O680" s="52" t="str">
        <f t="shared" si="1"/>
        <v/>
      </c>
      <c r="P680" s="53"/>
      <c r="Q680" s="52" t="str">
        <f t="shared" si="9"/>
        <v/>
      </c>
      <c r="R680" s="52" t="str">
        <f t="shared" si="3"/>
        <v/>
      </c>
      <c r="S680" s="52" t="str">
        <f t="shared" si="10"/>
        <v/>
      </c>
      <c r="T680" s="52" t="str">
        <f t="shared" si="5"/>
        <v/>
      </c>
      <c r="U680" s="52"/>
      <c r="V680" s="53"/>
      <c r="W680" s="52" t="str">
        <f t="shared" si="6"/>
        <v/>
      </c>
      <c r="X680" s="52">
        <f t="shared" si="7"/>
        <v>0</v>
      </c>
      <c r="Y680" s="52">
        <f t="shared" si="8"/>
        <v>0</v>
      </c>
      <c r="Z680" s="52" t="str">
        <f>IF(G680="","",IFERROR(VLOOKUP(G680,'Product_Stock_Master产品维护'!$A$2:$L992,11,FALSE),"No"))</f>
        <v/>
      </c>
      <c r="AA680" s="52" t="str">
        <f>IF(G680="","",IFERROR(VLOOKUP(G680,'Product_Stock_Master产品维护'!$A$2:$L992,12,FALSE),""))</f>
        <v/>
      </c>
      <c r="AB680" s="52" t="str">
        <f t="shared" si="11"/>
        <v/>
      </c>
      <c r="AC680" s="52">
        <f t="shared" si="12"/>
        <v>0</v>
      </c>
    </row>
    <row r="681" ht="15.75" customHeight="1">
      <c r="A681" s="171"/>
      <c r="B681" s="171"/>
      <c r="C681" s="53"/>
      <c r="D681" s="53"/>
      <c r="E681" s="53"/>
      <c r="F681" s="53"/>
      <c r="G681" s="53"/>
      <c r="H681" s="52" t="str">
        <f>IF(G681="","",IFERROR(VLOOKUP(G681,'Product_Stock_Master产品维护'!$A$2:$E992,2,FALSE()),"SKU not found"))</f>
        <v/>
      </c>
      <c r="I681" s="52" t="str">
        <f>IF(G681="","",IFERROR(VLOOKUP(G681,'Product_Stock_Master产品维护'!$A$2:$E992,3,FALSE()),"Item type not found"))</f>
        <v/>
      </c>
      <c r="J681" s="53"/>
      <c r="K681" s="53"/>
      <c r="L681" s="53"/>
      <c r="M681" s="53"/>
      <c r="N681" s="53"/>
      <c r="O681" s="52" t="str">
        <f t="shared" si="1"/>
        <v/>
      </c>
      <c r="P681" s="53"/>
      <c r="Q681" s="52" t="str">
        <f t="shared" si="9"/>
        <v/>
      </c>
      <c r="R681" s="52" t="str">
        <f t="shared" si="3"/>
        <v/>
      </c>
      <c r="S681" s="52" t="str">
        <f t="shared" si="10"/>
        <v/>
      </c>
      <c r="T681" s="52" t="str">
        <f t="shared" si="5"/>
        <v/>
      </c>
      <c r="U681" s="52"/>
      <c r="V681" s="53"/>
      <c r="W681" s="52" t="str">
        <f t="shared" si="6"/>
        <v/>
      </c>
      <c r="X681" s="52">
        <f t="shared" si="7"/>
        <v>0</v>
      </c>
      <c r="Y681" s="52">
        <f t="shared" si="8"/>
        <v>0</v>
      </c>
      <c r="Z681" s="52" t="str">
        <f>IF(G681="","",IFERROR(VLOOKUP(G681,'Product_Stock_Master产品维护'!$A$2:$L992,11,FALSE),"No"))</f>
        <v/>
      </c>
      <c r="AA681" s="52" t="str">
        <f>IF(G681="","",IFERROR(VLOOKUP(G681,'Product_Stock_Master产品维护'!$A$2:$L992,12,FALSE),""))</f>
        <v/>
      </c>
      <c r="AB681" s="52" t="str">
        <f t="shared" si="11"/>
        <v/>
      </c>
      <c r="AC681" s="52">
        <f t="shared" si="12"/>
        <v>0</v>
      </c>
    </row>
    <row r="682" ht="15.75" customHeight="1">
      <c r="A682" s="171"/>
      <c r="B682" s="171"/>
      <c r="C682" s="53"/>
      <c r="D682" s="53"/>
      <c r="E682" s="53"/>
      <c r="F682" s="53"/>
      <c r="G682" s="53"/>
      <c r="H682" s="52" t="str">
        <f>IF(G682="","",IFERROR(VLOOKUP(G682,'Product_Stock_Master产品维护'!$A$2:$E992,2,FALSE()),"SKU not found"))</f>
        <v/>
      </c>
      <c r="I682" s="52" t="str">
        <f>IF(G682="","",IFERROR(VLOOKUP(G682,'Product_Stock_Master产品维护'!$A$2:$E992,3,FALSE()),"Item type not found"))</f>
        <v/>
      </c>
      <c r="J682" s="53"/>
      <c r="K682" s="53"/>
      <c r="L682" s="53"/>
      <c r="M682" s="53"/>
      <c r="N682" s="53"/>
      <c r="O682" s="52" t="str">
        <f t="shared" si="1"/>
        <v/>
      </c>
      <c r="P682" s="53"/>
      <c r="Q682" s="52" t="str">
        <f t="shared" si="9"/>
        <v/>
      </c>
      <c r="R682" s="52" t="str">
        <f t="shared" si="3"/>
        <v/>
      </c>
      <c r="S682" s="52" t="str">
        <f t="shared" si="10"/>
        <v/>
      </c>
      <c r="T682" s="52" t="str">
        <f t="shared" si="5"/>
        <v/>
      </c>
      <c r="U682" s="52"/>
      <c r="V682" s="53"/>
      <c r="W682" s="52" t="str">
        <f t="shared" si="6"/>
        <v/>
      </c>
      <c r="X682" s="52">
        <f t="shared" si="7"/>
        <v>0</v>
      </c>
      <c r="Y682" s="52">
        <f t="shared" si="8"/>
        <v>0</v>
      </c>
      <c r="Z682" s="52" t="str">
        <f>IF(G682="","",IFERROR(VLOOKUP(G682,'Product_Stock_Master产品维护'!$A$2:$L992,11,FALSE),"No"))</f>
        <v/>
      </c>
      <c r="AA682" s="52" t="str">
        <f>IF(G682="","",IFERROR(VLOOKUP(G682,'Product_Stock_Master产品维护'!$A$2:$L992,12,FALSE),""))</f>
        <v/>
      </c>
      <c r="AB682" s="52" t="str">
        <f t="shared" si="11"/>
        <v/>
      </c>
      <c r="AC682" s="52">
        <f t="shared" si="12"/>
        <v>0</v>
      </c>
    </row>
    <row r="683" ht="15.75" customHeight="1">
      <c r="A683" s="171"/>
      <c r="B683" s="171"/>
      <c r="C683" s="53"/>
      <c r="D683" s="53"/>
      <c r="E683" s="53"/>
      <c r="F683" s="53"/>
      <c r="G683" s="53"/>
      <c r="H683" s="52" t="str">
        <f>IF(G683="","",IFERROR(VLOOKUP(G683,'Product_Stock_Master产品维护'!$A$2:$E992,2,FALSE()),"SKU not found"))</f>
        <v/>
      </c>
      <c r="I683" s="52" t="str">
        <f>IF(G683="","",IFERROR(VLOOKUP(G683,'Product_Stock_Master产品维护'!$A$2:$E992,3,FALSE()),"Item type not found"))</f>
        <v/>
      </c>
      <c r="J683" s="53"/>
      <c r="K683" s="53"/>
      <c r="L683" s="53"/>
      <c r="M683" s="53"/>
      <c r="N683" s="53"/>
      <c r="O683" s="52" t="str">
        <f t="shared" si="1"/>
        <v/>
      </c>
      <c r="P683" s="53"/>
      <c r="Q683" s="52" t="str">
        <f t="shared" si="9"/>
        <v/>
      </c>
      <c r="R683" s="52" t="str">
        <f t="shared" si="3"/>
        <v/>
      </c>
      <c r="S683" s="52" t="str">
        <f t="shared" si="10"/>
        <v/>
      </c>
      <c r="T683" s="52" t="str">
        <f t="shared" si="5"/>
        <v/>
      </c>
      <c r="U683" s="52"/>
      <c r="V683" s="53"/>
      <c r="W683" s="52" t="str">
        <f t="shared" si="6"/>
        <v/>
      </c>
      <c r="X683" s="52">
        <f t="shared" si="7"/>
        <v>0</v>
      </c>
      <c r="Y683" s="52">
        <f t="shared" si="8"/>
        <v>0</v>
      </c>
      <c r="Z683" s="52" t="str">
        <f>IF(G683="","",IFERROR(VLOOKUP(G683,'Product_Stock_Master产品维护'!$A$2:$L992,11,FALSE),"No"))</f>
        <v/>
      </c>
      <c r="AA683" s="52" t="str">
        <f>IF(G683="","",IFERROR(VLOOKUP(G683,'Product_Stock_Master产品维护'!$A$2:$L992,12,FALSE),""))</f>
        <v/>
      </c>
      <c r="AB683" s="52" t="str">
        <f t="shared" si="11"/>
        <v/>
      </c>
      <c r="AC683" s="52">
        <f t="shared" si="12"/>
        <v>0</v>
      </c>
    </row>
    <row r="684" ht="15.75" customHeight="1">
      <c r="A684" s="171"/>
      <c r="B684" s="171"/>
      <c r="C684" s="53"/>
      <c r="D684" s="53"/>
      <c r="E684" s="53"/>
      <c r="F684" s="53"/>
      <c r="G684" s="53"/>
      <c r="H684" s="52" t="str">
        <f>IF(G684="","",IFERROR(VLOOKUP(G684,'Product_Stock_Master产品维护'!$A$2:$E992,2,FALSE()),"SKU not found"))</f>
        <v/>
      </c>
      <c r="I684" s="52" t="str">
        <f>IF(G684="","",IFERROR(VLOOKUP(G684,'Product_Stock_Master产品维护'!$A$2:$E992,3,FALSE()),"Item type not found"))</f>
        <v/>
      </c>
      <c r="J684" s="53"/>
      <c r="K684" s="53"/>
      <c r="L684" s="53"/>
      <c r="M684" s="53"/>
      <c r="N684" s="53"/>
      <c r="O684" s="52" t="str">
        <f t="shared" si="1"/>
        <v/>
      </c>
      <c r="P684" s="53"/>
      <c r="Q684" s="52" t="str">
        <f t="shared" si="9"/>
        <v/>
      </c>
      <c r="R684" s="52" t="str">
        <f t="shared" si="3"/>
        <v/>
      </c>
      <c r="S684" s="52" t="str">
        <f t="shared" si="10"/>
        <v/>
      </c>
      <c r="T684" s="52" t="str">
        <f t="shared" si="5"/>
        <v/>
      </c>
      <c r="U684" s="52"/>
      <c r="V684" s="53"/>
      <c r="W684" s="52" t="str">
        <f t="shared" si="6"/>
        <v/>
      </c>
      <c r="X684" s="52">
        <f t="shared" si="7"/>
        <v>0</v>
      </c>
      <c r="Y684" s="52">
        <f t="shared" si="8"/>
        <v>0</v>
      </c>
      <c r="Z684" s="52" t="str">
        <f>IF(G684="","",IFERROR(VLOOKUP(G684,'Product_Stock_Master产品维护'!$A$2:$L992,11,FALSE),"No"))</f>
        <v/>
      </c>
      <c r="AA684" s="52" t="str">
        <f>IF(G684="","",IFERROR(VLOOKUP(G684,'Product_Stock_Master产品维护'!$A$2:$L992,12,FALSE),""))</f>
        <v/>
      </c>
      <c r="AB684" s="52" t="str">
        <f t="shared" si="11"/>
        <v/>
      </c>
      <c r="AC684" s="52">
        <f t="shared" si="12"/>
        <v>0</v>
      </c>
    </row>
    <row r="685" ht="15.75" customHeight="1">
      <c r="A685" s="171"/>
      <c r="B685" s="171"/>
      <c r="C685" s="53"/>
      <c r="D685" s="53"/>
      <c r="E685" s="53"/>
      <c r="F685" s="53"/>
      <c r="G685" s="53"/>
      <c r="H685" s="52" t="str">
        <f>IF(G685="","",IFERROR(VLOOKUP(G685,'Product_Stock_Master产品维护'!$A$2:$E992,2,FALSE()),"SKU not found"))</f>
        <v/>
      </c>
      <c r="I685" s="52" t="str">
        <f>IF(G685="","",IFERROR(VLOOKUP(G685,'Product_Stock_Master产品维护'!$A$2:$E992,3,FALSE()),"Item type not found"))</f>
        <v/>
      </c>
      <c r="J685" s="53"/>
      <c r="K685" s="53"/>
      <c r="L685" s="53"/>
      <c r="M685" s="53"/>
      <c r="N685" s="53"/>
      <c r="O685" s="52" t="str">
        <f t="shared" si="1"/>
        <v/>
      </c>
      <c r="P685" s="53"/>
      <c r="Q685" s="52" t="str">
        <f t="shared" si="9"/>
        <v/>
      </c>
      <c r="R685" s="52" t="str">
        <f t="shared" si="3"/>
        <v/>
      </c>
      <c r="S685" s="52" t="str">
        <f t="shared" si="10"/>
        <v/>
      </c>
      <c r="T685" s="52" t="str">
        <f t="shared" si="5"/>
        <v/>
      </c>
      <c r="U685" s="52"/>
      <c r="V685" s="53"/>
      <c r="W685" s="52" t="str">
        <f t="shared" si="6"/>
        <v/>
      </c>
      <c r="X685" s="52">
        <f t="shared" si="7"/>
        <v>0</v>
      </c>
      <c r="Y685" s="52">
        <f t="shared" si="8"/>
        <v>0</v>
      </c>
      <c r="Z685" s="52" t="str">
        <f>IF(G685="","",IFERROR(VLOOKUP(G685,'Product_Stock_Master产品维护'!$A$2:$L992,11,FALSE),"No"))</f>
        <v/>
      </c>
      <c r="AA685" s="52" t="str">
        <f>IF(G685="","",IFERROR(VLOOKUP(G685,'Product_Stock_Master产品维护'!$A$2:$L992,12,FALSE),""))</f>
        <v/>
      </c>
      <c r="AB685" s="52" t="str">
        <f t="shared" si="11"/>
        <v/>
      </c>
      <c r="AC685" s="52">
        <f t="shared" si="12"/>
        <v>0</v>
      </c>
    </row>
    <row r="686" ht="15.75" customHeight="1">
      <c r="A686" s="171"/>
      <c r="B686" s="171"/>
      <c r="C686" s="53"/>
      <c r="D686" s="53"/>
      <c r="E686" s="53"/>
      <c r="F686" s="53"/>
      <c r="G686" s="53"/>
      <c r="H686" s="52" t="str">
        <f>IF(G686="","",IFERROR(VLOOKUP(G686,'Product_Stock_Master产品维护'!$A$2:$E992,2,FALSE()),"SKU not found"))</f>
        <v/>
      </c>
      <c r="I686" s="52" t="str">
        <f>IF(G686="","",IFERROR(VLOOKUP(G686,'Product_Stock_Master产品维护'!$A$2:$E992,3,FALSE()),"Item type not found"))</f>
        <v/>
      </c>
      <c r="J686" s="53"/>
      <c r="K686" s="53"/>
      <c r="L686" s="53"/>
      <c r="M686" s="53"/>
      <c r="N686" s="53"/>
      <c r="O686" s="52" t="str">
        <f t="shared" si="1"/>
        <v/>
      </c>
      <c r="P686" s="53"/>
      <c r="Q686" s="52" t="str">
        <f t="shared" si="9"/>
        <v/>
      </c>
      <c r="R686" s="52" t="str">
        <f t="shared" si="3"/>
        <v/>
      </c>
      <c r="S686" s="52" t="str">
        <f t="shared" si="10"/>
        <v/>
      </c>
      <c r="T686" s="52" t="str">
        <f t="shared" si="5"/>
        <v/>
      </c>
      <c r="U686" s="52"/>
      <c r="V686" s="53"/>
      <c r="W686" s="52" t="str">
        <f t="shared" si="6"/>
        <v/>
      </c>
      <c r="X686" s="52">
        <f t="shared" si="7"/>
        <v>0</v>
      </c>
      <c r="Y686" s="52">
        <f t="shared" si="8"/>
        <v>0</v>
      </c>
      <c r="Z686" s="52" t="str">
        <f>IF(G686="","",IFERROR(VLOOKUP(G686,'Product_Stock_Master产品维护'!$A$2:$L992,11,FALSE),"No"))</f>
        <v/>
      </c>
      <c r="AA686" s="52" t="str">
        <f>IF(G686="","",IFERROR(VLOOKUP(G686,'Product_Stock_Master产品维护'!$A$2:$L992,12,FALSE),""))</f>
        <v/>
      </c>
      <c r="AB686" s="52" t="str">
        <f t="shared" si="11"/>
        <v/>
      </c>
      <c r="AC686" s="52">
        <f t="shared" si="12"/>
        <v>0</v>
      </c>
    </row>
    <row r="687" ht="15.75" customHeight="1">
      <c r="A687" s="171"/>
      <c r="B687" s="171"/>
      <c r="C687" s="53"/>
      <c r="D687" s="53"/>
      <c r="E687" s="53"/>
      <c r="F687" s="53"/>
      <c r="G687" s="53"/>
      <c r="H687" s="52" t="str">
        <f>IF(G687="","",IFERROR(VLOOKUP(G687,'Product_Stock_Master产品维护'!$A$2:$E992,2,FALSE()),"SKU not found"))</f>
        <v/>
      </c>
      <c r="I687" s="52" t="str">
        <f>IF(G687="","",IFERROR(VLOOKUP(G687,'Product_Stock_Master产品维护'!$A$2:$E992,3,FALSE()),"Item type not found"))</f>
        <v/>
      </c>
      <c r="J687" s="53"/>
      <c r="K687" s="53"/>
      <c r="L687" s="53"/>
      <c r="M687" s="53"/>
      <c r="N687" s="53"/>
      <c r="O687" s="52" t="str">
        <f t="shared" si="1"/>
        <v/>
      </c>
      <c r="P687" s="53"/>
      <c r="Q687" s="52" t="str">
        <f t="shared" si="9"/>
        <v/>
      </c>
      <c r="R687" s="52" t="str">
        <f t="shared" si="3"/>
        <v/>
      </c>
      <c r="S687" s="52" t="str">
        <f t="shared" si="10"/>
        <v/>
      </c>
      <c r="T687" s="52" t="str">
        <f t="shared" si="5"/>
        <v/>
      </c>
      <c r="U687" s="52"/>
      <c r="V687" s="53"/>
      <c r="W687" s="52" t="str">
        <f t="shared" si="6"/>
        <v/>
      </c>
      <c r="X687" s="52">
        <f t="shared" si="7"/>
        <v>0</v>
      </c>
      <c r="Y687" s="52">
        <f t="shared" si="8"/>
        <v>0</v>
      </c>
      <c r="Z687" s="52" t="str">
        <f>IF(G687="","",IFERROR(VLOOKUP(G687,'Product_Stock_Master产品维护'!$A$2:$L992,11,FALSE),"No"))</f>
        <v/>
      </c>
      <c r="AA687" s="52" t="str">
        <f>IF(G687="","",IFERROR(VLOOKUP(G687,'Product_Stock_Master产品维护'!$A$2:$L992,12,FALSE),""))</f>
        <v/>
      </c>
      <c r="AB687" s="52" t="str">
        <f t="shared" si="11"/>
        <v/>
      </c>
      <c r="AC687" s="52">
        <f t="shared" si="12"/>
        <v>0</v>
      </c>
    </row>
    <row r="688" ht="15.75" customHeight="1">
      <c r="A688" s="171"/>
      <c r="B688" s="171"/>
      <c r="C688" s="53"/>
      <c r="D688" s="53"/>
      <c r="E688" s="53"/>
      <c r="F688" s="53"/>
      <c r="G688" s="53"/>
      <c r="H688" s="52" t="str">
        <f>IF(G688="","",IFERROR(VLOOKUP(G688,'Product_Stock_Master产品维护'!$A$2:$E992,2,FALSE()),"SKU not found"))</f>
        <v/>
      </c>
      <c r="I688" s="52" t="str">
        <f>IF(G688="","",IFERROR(VLOOKUP(G688,'Product_Stock_Master产品维护'!$A$2:$E992,3,FALSE()),"Item type not found"))</f>
        <v/>
      </c>
      <c r="J688" s="53"/>
      <c r="K688" s="53"/>
      <c r="L688" s="53"/>
      <c r="M688" s="53"/>
      <c r="N688" s="53"/>
      <c r="O688" s="52" t="str">
        <f t="shared" si="1"/>
        <v/>
      </c>
      <c r="P688" s="53"/>
      <c r="Q688" s="52" t="str">
        <f t="shared" si="9"/>
        <v/>
      </c>
      <c r="R688" s="52" t="str">
        <f t="shared" si="3"/>
        <v/>
      </c>
      <c r="S688" s="52" t="str">
        <f t="shared" si="10"/>
        <v/>
      </c>
      <c r="T688" s="52" t="str">
        <f t="shared" si="5"/>
        <v/>
      </c>
      <c r="U688" s="52"/>
      <c r="V688" s="53"/>
      <c r="W688" s="52" t="str">
        <f t="shared" si="6"/>
        <v/>
      </c>
      <c r="X688" s="52">
        <f t="shared" si="7"/>
        <v>0</v>
      </c>
      <c r="Y688" s="52">
        <f t="shared" si="8"/>
        <v>0</v>
      </c>
      <c r="Z688" s="52" t="str">
        <f>IF(G688="","",IFERROR(VLOOKUP(G688,'Product_Stock_Master产品维护'!$A$2:$L992,11,FALSE),"No"))</f>
        <v/>
      </c>
      <c r="AA688" s="52" t="str">
        <f>IF(G688="","",IFERROR(VLOOKUP(G688,'Product_Stock_Master产品维护'!$A$2:$L992,12,FALSE),""))</f>
        <v/>
      </c>
      <c r="AB688" s="52" t="str">
        <f t="shared" si="11"/>
        <v/>
      </c>
      <c r="AC688" s="52">
        <f t="shared" si="12"/>
        <v>0</v>
      </c>
    </row>
    <row r="689" ht="15.75" customHeight="1">
      <c r="A689" s="171"/>
      <c r="B689" s="171"/>
      <c r="C689" s="53"/>
      <c r="D689" s="53"/>
      <c r="E689" s="53"/>
      <c r="F689" s="53"/>
      <c r="G689" s="53"/>
      <c r="H689" s="52" t="str">
        <f>IF(G689="","",IFERROR(VLOOKUP(G689,'Product_Stock_Master产品维护'!$A$2:$E992,2,FALSE()),"SKU not found"))</f>
        <v/>
      </c>
      <c r="I689" s="52" t="str">
        <f>IF(G689="","",IFERROR(VLOOKUP(G689,'Product_Stock_Master产品维护'!$A$2:$E992,3,FALSE()),"Item type not found"))</f>
        <v/>
      </c>
      <c r="J689" s="53"/>
      <c r="K689" s="53"/>
      <c r="L689" s="53"/>
      <c r="M689" s="53"/>
      <c r="N689" s="53"/>
      <c r="O689" s="52" t="str">
        <f t="shared" si="1"/>
        <v/>
      </c>
      <c r="P689" s="53"/>
      <c r="Q689" s="52" t="str">
        <f t="shared" si="9"/>
        <v/>
      </c>
      <c r="R689" s="52" t="str">
        <f t="shared" si="3"/>
        <v/>
      </c>
      <c r="S689" s="52" t="str">
        <f t="shared" si="10"/>
        <v/>
      </c>
      <c r="T689" s="52" t="str">
        <f t="shared" si="5"/>
        <v/>
      </c>
      <c r="U689" s="52"/>
      <c r="V689" s="53"/>
      <c r="W689" s="52" t="str">
        <f t="shared" si="6"/>
        <v/>
      </c>
      <c r="X689" s="52">
        <f t="shared" si="7"/>
        <v>0</v>
      </c>
      <c r="Y689" s="52">
        <f t="shared" si="8"/>
        <v>0</v>
      </c>
      <c r="Z689" s="52" t="str">
        <f>IF(G689="","",IFERROR(VLOOKUP(G689,'Product_Stock_Master产品维护'!$A$2:$L992,11,FALSE),"No"))</f>
        <v/>
      </c>
      <c r="AA689" s="52" t="str">
        <f>IF(G689="","",IFERROR(VLOOKUP(G689,'Product_Stock_Master产品维护'!$A$2:$L992,12,FALSE),""))</f>
        <v/>
      </c>
      <c r="AB689" s="52" t="str">
        <f t="shared" si="11"/>
        <v/>
      </c>
      <c r="AC689" s="52">
        <f t="shared" si="12"/>
        <v>0</v>
      </c>
    </row>
    <row r="690" ht="15.75" customHeight="1">
      <c r="A690" s="171"/>
      <c r="B690" s="171"/>
      <c r="C690" s="53"/>
      <c r="D690" s="53"/>
      <c r="E690" s="53"/>
      <c r="F690" s="53"/>
      <c r="G690" s="53"/>
      <c r="H690" s="52" t="str">
        <f>IF(G690="","",IFERROR(VLOOKUP(G690,'Product_Stock_Master产品维护'!$A$2:$E992,2,FALSE()),"SKU not found"))</f>
        <v/>
      </c>
      <c r="I690" s="52" t="str">
        <f>IF(G690="","",IFERROR(VLOOKUP(G690,'Product_Stock_Master产品维护'!$A$2:$E992,3,FALSE()),"Item type not found"))</f>
        <v/>
      </c>
      <c r="J690" s="53"/>
      <c r="K690" s="53"/>
      <c r="L690" s="53"/>
      <c r="M690" s="53"/>
      <c r="N690" s="53"/>
      <c r="O690" s="52" t="str">
        <f t="shared" si="1"/>
        <v/>
      </c>
      <c r="P690" s="53"/>
      <c r="Q690" s="52" t="str">
        <f t="shared" si="9"/>
        <v/>
      </c>
      <c r="R690" s="52" t="str">
        <f t="shared" si="3"/>
        <v/>
      </c>
      <c r="S690" s="52" t="str">
        <f t="shared" si="10"/>
        <v/>
      </c>
      <c r="T690" s="52" t="str">
        <f t="shared" si="5"/>
        <v/>
      </c>
      <c r="U690" s="52"/>
      <c r="V690" s="53"/>
      <c r="W690" s="52" t="str">
        <f t="shared" si="6"/>
        <v/>
      </c>
      <c r="X690" s="52">
        <f t="shared" si="7"/>
        <v>0</v>
      </c>
      <c r="Y690" s="52">
        <f t="shared" si="8"/>
        <v>0</v>
      </c>
      <c r="Z690" s="52" t="str">
        <f>IF(G690="","",IFERROR(VLOOKUP(G690,'Product_Stock_Master产品维护'!$A$2:$L992,11,FALSE),"No"))</f>
        <v/>
      </c>
      <c r="AA690" s="52" t="str">
        <f>IF(G690="","",IFERROR(VLOOKUP(G690,'Product_Stock_Master产品维护'!$A$2:$L992,12,FALSE),""))</f>
        <v/>
      </c>
      <c r="AB690" s="52" t="str">
        <f t="shared" si="11"/>
        <v/>
      </c>
      <c r="AC690" s="52">
        <f t="shared" si="12"/>
        <v>0</v>
      </c>
    </row>
    <row r="691" ht="15.75" customHeight="1">
      <c r="A691" s="171"/>
      <c r="B691" s="171"/>
      <c r="C691" s="53"/>
      <c r="D691" s="53"/>
      <c r="E691" s="53"/>
      <c r="F691" s="53"/>
      <c r="G691" s="53"/>
      <c r="H691" s="52" t="str">
        <f>IF(G691="","",IFERROR(VLOOKUP(G691,'Product_Stock_Master产品维护'!$A$2:$E992,2,FALSE()),"SKU not found"))</f>
        <v/>
      </c>
      <c r="I691" s="52" t="str">
        <f>IF(G691="","",IFERROR(VLOOKUP(G691,'Product_Stock_Master产品维护'!$A$2:$E992,3,FALSE()),"Item type not found"))</f>
        <v/>
      </c>
      <c r="J691" s="53"/>
      <c r="K691" s="53"/>
      <c r="L691" s="53"/>
      <c r="M691" s="53"/>
      <c r="N691" s="53"/>
      <c r="O691" s="52" t="str">
        <f t="shared" si="1"/>
        <v/>
      </c>
      <c r="P691" s="53"/>
      <c r="Q691" s="52" t="str">
        <f t="shared" si="9"/>
        <v/>
      </c>
      <c r="R691" s="52" t="str">
        <f t="shared" si="3"/>
        <v/>
      </c>
      <c r="S691" s="52" t="str">
        <f t="shared" si="10"/>
        <v/>
      </c>
      <c r="T691" s="52" t="str">
        <f t="shared" si="5"/>
        <v/>
      </c>
      <c r="U691" s="52"/>
      <c r="V691" s="53"/>
      <c r="W691" s="52" t="str">
        <f t="shared" si="6"/>
        <v/>
      </c>
      <c r="X691" s="52">
        <f t="shared" si="7"/>
        <v>0</v>
      </c>
      <c r="Y691" s="52">
        <f t="shared" si="8"/>
        <v>0</v>
      </c>
      <c r="Z691" s="52" t="str">
        <f>IF(G691="","",IFERROR(VLOOKUP(G691,'Product_Stock_Master产品维护'!$A$2:$L992,11,FALSE),"No"))</f>
        <v/>
      </c>
      <c r="AA691" s="52" t="str">
        <f>IF(G691="","",IFERROR(VLOOKUP(G691,'Product_Stock_Master产品维护'!$A$2:$L992,12,FALSE),""))</f>
        <v/>
      </c>
      <c r="AB691" s="52" t="str">
        <f t="shared" si="11"/>
        <v/>
      </c>
      <c r="AC691" s="52">
        <f t="shared" si="12"/>
        <v>0</v>
      </c>
    </row>
    <row r="692" ht="15.75" customHeight="1">
      <c r="A692" s="171"/>
      <c r="B692" s="171"/>
      <c r="C692" s="53"/>
      <c r="D692" s="53"/>
      <c r="E692" s="53"/>
      <c r="F692" s="53"/>
      <c r="G692" s="53"/>
      <c r="H692" s="52" t="str">
        <f>IF(G692="","",IFERROR(VLOOKUP(G692,'Product_Stock_Master产品维护'!$A$2:$E992,2,FALSE()),"SKU not found"))</f>
        <v/>
      </c>
      <c r="I692" s="52" t="str">
        <f>IF(G692="","",IFERROR(VLOOKUP(G692,'Product_Stock_Master产品维护'!$A$2:$E992,3,FALSE()),"Item type not found"))</f>
        <v/>
      </c>
      <c r="J692" s="53"/>
      <c r="K692" s="53"/>
      <c r="L692" s="53"/>
      <c r="M692" s="53"/>
      <c r="N692" s="53"/>
      <c r="O692" s="52" t="str">
        <f t="shared" si="1"/>
        <v/>
      </c>
      <c r="P692" s="53"/>
      <c r="Q692" s="52" t="str">
        <f t="shared" si="9"/>
        <v/>
      </c>
      <c r="R692" s="52" t="str">
        <f t="shared" si="3"/>
        <v/>
      </c>
      <c r="S692" s="52" t="str">
        <f t="shared" si="10"/>
        <v/>
      </c>
      <c r="T692" s="52" t="str">
        <f t="shared" si="5"/>
        <v/>
      </c>
      <c r="U692" s="52"/>
      <c r="V692" s="53"/>
      <c r="W692" s="52" t="str">
        <f t="shared" si="6"/>
        <v/>
      </c>
      <c r="X692" s="52">
        <f t="shared" si="7"/>
        <v>0</v>
      </c>
      <c r="Y692" s="52">
        <f t="shared" si="8"/>
        <v>0</v>
      </c>
      <c r="Z692" s="52" t="str">
        <f>IF(G692="","",IFERROR(VLOOKUP(G692,'Product_Stock_Master产品维护'!$A$2:$L992,11,FALSE),"No"))</f>
        <v/>
      </c>
      <c r="AA692" s="52" t="str">
        <f>IF(G692="","",IFERROR(VLOOKUP(G692,'Product_Stock_Master产品维护'!$A$2:$L992,12,FALSE),""))</f>
        <v/>
      </c>
      <c r="AB692" s="52" t="str">
        <f t="shared" si="11"/>
        <v/>
      </c>
      <c r="AC692" s="52">
        <f t="shared" si="12"/>
        <v>0</v>
      </c>
    </row>
    <row r="693" ht="15.75" customHeight="1">
      <c r="A693" s="171"/>
      <c r="B693" s="171"/>
      <c r="C693" s="53"/>
      <c r="D693" s="53"/>
      <c r="E693" s="53"/>
      <c r="F693" s="53"/>
      <c r="G693" s="53"/>
      <c r="H693" s="52" t="str">
        <f>IF(G693="","",IFERROR(VLOOKUP(G693,'Product_Stock_Master产品维护'!$A$2:$E992,2,FALSE()),"SKU not found"))</f>
        <v/>
      </c>
      <c r="I693" s="52" t="str">
        <f>IF(G693="","",IFERROR(VLOOKUP(G693,'Product_Stock_Master产品维护'!$A$2:$E992,3,FALSE()),"Item type not found"))</f>
        <v/>
      </c>
      <c r="J693" s="53"/>
      <c r="K693" s="53"/>
      <c r="L693" s="53"/>
      <c r="M693" s="53"/>
      <c r="N693" s="53"/>
      <c r="O693" s="52" t="str">
        <f t="shared" si="1"/>
        <v/>
      </c>
      <c r="P693" s="53"/>
      <c r="Q693" s="52" t="str">
        <f t="shared" si="9"/>
        <v/>
      </c>
      <c r="R693" s="52" t="str">
        <f t="shared" si="3"/>
        <v/>
      </c>
      <c r="S693" s="52" t="str">
        <f t="shared" si="10"/>
        <v/>
      </c>
      <c r="T693" s="52" t="str">
        <f t="shared" si="5"/>
        <v/>
      </c>
      <c r="U693" s="52"/>
      <c r="V693" s="53"/>
      <c r="W693" s="52" t="str">
        <f t="shared" si="6"/>
        <v/>
      </c>
      <c r="X693" s="52">
        <f t="shared" si="7"/>
        <v>0</v>
      </c>
      <c r="Y693" s="52">
        <f t="shared" si="8"/>
        <v>0</v>
      </c>
      <c r="Z693" s="52" t="str">
        <f>IF(G693="","",IFERROR(VLOOKUP(G693,'Product_Stock_Master产品维护'!$A$2:$L992,11,FALSE),"No"))</f>
        <v/>
      </c>
      <c r="AA693" s="52" t="str">
        <f>IF(G693="","",IFERROR(VLOOKUP(G693,'Product_Stock_Master产品维护'!$A$2:$L992,12,FALSE),""))</f>
        <v/>
      </c>
      <c r="AB693" s="52" t="str">
        <f t="shared" si="11"/>
        <v/>
      </c>
      <c r="AC693" s="52">
        <f t="shared" si="12"/>
        <v>0</v>
      </c>
    </row>
    <row r="694" ht="15.75" customHeight="1">
      <c r="A694" s="171"/>
      <c r="B694" s="171"/>
      <c r="C694" s="53"/>
      <c r="D694" s="53"/>
      <c r="E694" s="53"/>
      <c r="F694" s="53"/>
      <c r="G694" s="53"/>
      <c r="H694" s="52" t="str">
        <f>IF(G694="","",IFERROR(VLOOKUP(G694,'Product_Stock_Master产品维护'!$A$2:$E992,2,FALSE()),"SKU not found"))</f>
        <v/>
      </c>
      <c r="I694" s="52" t="str">
        <f>IF(G694="","",IFERROR(VLOOKUP(G694,'Product_Stock_Master产品维护'!$A$2:$E992,3,FALSE()),"Item type not found"))</f>
        <v/>
      </c>
      <c r="J694" s="53"/>
      <c r="K694" s="53"/>
      <c r="L694" s="53"/>
      <c r="M694" s="53"/>
      <c r="N694" s="53"/>
      <c r="O694" s="52" t="str">
        <f t="shared" si="1"/>
        <v/>
      </c>
      <c r="P694" s="53"/>
      <c r="Q694" s="52" t="str">
        <f t="shared" si="9"/>
        <v/>
      </c>
      <c r="R694" s="52" t="str">
        <f t="shared" si="3"/>
        <v/>
      </c>
      <c r="S694" s="52" t="str">
        <f t="shared" si="10"/>
        <v/>
      </c>
      <c r="T694" s="52" t="str">
        <f t="shared" si="5"/>
        <v/>
      </c>
      <c r="U694" s="52"/>
      <c r="V694" s="53"/>
      <c r="W694" s="52" t="str">
        <f t="shared" si="6"/>
        <v/>
      </c>
      <c r="X694" s="52">
        <f t="shared" si="7"/>
        <v>0</v>
      </c>
      <c r="Y694" s="52">
        <f t="shared" si="8"/>
        <v>0</v>
      </c>
      <c r="Z694" s="52" t="str">
        <f>IF(G694="","",IFERROR(VLOOKUP(G694,'Product_Stock_Master产品维护'!$A$2:$L992,11,FALSE),"No"))</f>
        <v/>
      </c>
      <c r="AA694" s="52" t="str">
        <f>IF(G694="","",IFERROR(VLOOKUP(G694,'Product_Stock_Master产品维护'!$A$2:$L992,12,FALSE),""))</f>
        <v/>
      </c>
      <c r="AB694" s="52" t="str">
        <f t="shared" si="11"/>
        <v/>
      </c>
      <c r="AC694" s="52">
        <f t="shared" si="12"/>
        <v>0</v>
      </c>
    </row>
    <row r="695" ht="15.75" customHeight="1">
      <c r="A695" s="171"/>
      <c r="B695" s="171"/>
      <c r="C695" s="53"/>
      <c r="D695" s="53"/>
      <c r="E695" s="53"/>
      <c r="F695" s="53"/>
      <c r="G695" s="53"/>
      <c r="H695" s="52" t="str">
        <f>IF(G695="","",IFERROR(VLOOKUP(G695,'Product_Stock_Master产品维护'!$A$2:$E992,2,FALSE()),"SKU not found"))</f>
        <v/>
      </c>
      <c r="I695" s="52" t="str">
        <f>IF(G695="","",IFERROR(VLOOKUP(G695,'Product_Stock_Master产品维护'!$A$2:$E992,3,FALSE()),"Item type not found"))</f>
        <v/>
      </c>
      <c r="J695" s="53"/>
      <c r="K695" s="53"/>
      <c r="L695" s="53"/>
      <c r="M695" s="53"/>
      <c r="N695" s="53"/>
      <c r="O695" s="52" t="str">
        <f t="shared" si="1"/>
        <v/>
      </c>
      <c r="P695" s="53"/>
      <c r="Q695" s="52" t="str">
        <f t="shared" si="9"/>
        <v/>
      </c>
      <c r="R695" s="52" t="str">
        <f t="shared" si="3"/>
        <v/>
      </c>
      <c r="S695" s="52" t="str">
        <f t="shared" si="10"/>
        <v/>
      </c>
      <c r="T695" s="52" t="str">
        <f t="shared" si="5"/>
        <v/>
      </c>
      <c r="U695" s="52"/>
      <c r="V695" s="53"/>
      <c r="W695" s="52" t="str">
        <f t="shared" si="6"/>
        <v/>
      </c>
      <c r="X695" s="52">
        <f t="shared" si="7"/>
        <v>0</v>
      </c>
      <c r="Y695" s="52">
        <f t="shared" si="8"/>
        <v>0</v>
      </c>
      <c r="Z695" s="52" t="str">
        <f>IF(G695="","",IFERROR(VLOOKUP(G695,'Product_Stock_Master产品维护'!$A$2:$L992,11,FALSE),"No"))</f>
        <v/>
      </c>
      <c r="AA695" s="52" t="str">
        <f>IF(G695="","",IFERROR(VLOOKUP(G695,'Product_Stock_Master产品维护'!$A$2:$L992,12,FALSE),""))</f>
        <v/>
      </c>
      <c r="AB695" s="52" t="str">
        <f t="shared" si="11"/>
        <v/>
      </c>
      <c r="AC695" s="52">
        <f t="shared" si="12"/>
        <v>0</v>
      </c>
    </row>
    <row r="696" ht="15.75" customHeight="1">
      <c r="A696" s="171"/>
      <c r="B696" s="171"/>
      <c r="C696" s="53"/>
      <c r="D696" s="53"/>
      <c r="E696" s="53"/>
      <c r="F696" s="53"/>
      <c r="G696" s="53"/>
      <c r="H696" s="52" t="str">
        <f>IF(G696="","",IFERROR(VLOOKUP(G696,'Product_Stock_Master产品维护'!$A$2:$E992,2,FALSE()),"SKU not found"))</f>
        <v/>
      </c>
      <c r="I696" s="52" t="str">
        <f>IF(G696="","",IFERROR(VLOOKUP(G696,'Product_Stock_Master产品维护'!$A$2:$E992,3,FALSE()),"Item type not found"))</f>
        <v/>
      </c>
      <c r="J696" s="53"/>
      <c r="K696" s="53"/>
      <c r="L696" s="53"/>
      <c r="M696" s="53"/>
      <c r="N696" s="53"/>
      <c r="O696" s="52" t="str">
        <f t="shared" si="1"/>
        <v/>
      </c>
      <c r="P696" s="53"/>
      <c r="Q696" s="52" t="str">
        <f t="shared" si="9"/>
        <v/>
      </c>
      <c r="R696" s="52" t="str">
        <f t="shared" si="3"/>
        <v/>
      </c>
      <c r="S696" s="52" t="str">
        <f t="shared" si="10"/>
        <v/>
      </c>
      <c r="T696" s="52" t="str">
        <f t="shared" si="5"/>
        <v/>
      </c>
      <c r="U696" s="52"/>
      <c r="V696" s="53"/>
      <c r="W696" s="52" t="str">
        <f t="shared" si="6"/>
        <v/>
      </c>
      <c r="X696" s="52">
        <f t="shared" si="7"/>
        <v>0</v>
      </c>
      <c r="Y696" s="52">
        <f t="shared" si="8"/>
        <v>0</v>
      </c>
      <c r="Z696" s="52" t="str">
        <f>IF(G696="","",IFERROR(VLOOKUP(G696,'Product_Stock_Master产品维护'!$A$2:$L992,11,FALSE),"No"))</f>
        <v/>
      </c>
      <c r="AA696" s="52" t="str">
        <f>IF(G696="","",IFERROR(VLOOKUP(G696,'Product_Stock_Master产品维护'!$A$2:$L992,12,FALSE),""))</f>
        <v/>
      </c>
      <c r="AB696" s="52" t="str">
        <f t="shared" si="11"/>
        <v/>
      </c>
      <c r="AC696" s="52">
        <f t="shared" si="12"/>
        <v>0</v>
      </c>
    </row>
    <row r="697" ht="15.75" customHeight="1">
      <c r="A697" s="171"/>
      <c r="B697" s="171"/>
      <c r="C697" s="53"/>
      <c r="D697" s="53"/>
      <c r="E697" s="53"/>
      <c r="F697" s="53"/>
      <c r="G697" s="53"/>
      <c r="H697" s="52" t="str">
        <f>IF(G697="","",IFERROR(VLOOKUP(G697,'Product_Stock_Master产品维护'!$A$2:$E992,2,FALSE()),"SKU not found"))</f>
        <v/>
      </c>
      <c r="I697" s="52" t="str">
        <f>IF(G697="","",IFERROR(VLOOKUP(G697,'Product_Stock_Master产品维护'!$A$2:$E992,3,FALSE()),"Item type not found"))</f>
        <v/>
      </c>
      <c r="J697" s="53"/>
      <c r="K697" s="53"/>
      <c r="L697" s="53"/>
      <c r="M697" s="53"/>
      <c r="N697" s="53"/>
      <c r="O697" s="52" t="str">
        <f t="shared" si="1"/>
        <v/>
      </c>
      <c r="P697" s="53"/>
      <c r="Q697" s="52" t="str">
        <f t="shared" si="9"/>
        <v/>
      </c>
      <c r="R697" s="52" t="str">
        <f t="shared" si="3"/>
        <v/>
      </c>
      <c r="S697" s="52" t="str">
        <f t="shared" si="10"/>
        <v/>
      </c>
      <c r="T697" s="52" t="str">
        <f t="shared" si="5"/>
        <v/>
      </c>
      <c r="U697" s="52"/>
      <c r="V697" s="53"/>
      <c r="W697" s="52" t="str">
        <f t="shared" si="6"/>
        <v/>
      </c>
      <c r="X697" s="52">
        <f t="shared" si="7"/>
        <v>0</v>
      </c>
      <c r="Y697" s="52">
        <f t="shared" si="8"/>
        <v>0</v>
      </c>
      <c r="Z697" s="52" t="str">
        <f>IF(G697="","",IFERROR(VLOOKUP(G697,'Product_Stock_Master产品维护'!$A$2:$L992,11,FALSE),"No"))</f>
        <v/>
      </c>
      <c r="AA697" s="52" t="str">
        <f>IF(G697="","",IFERROR(VLOOKUP(G697,'Product_Stock_Master产品维护'!$A$2:$L992,12,FALSE),""))</f>
        <v/>
      </c>
      <c r="AB697" s="52" t="str">
        <f t="shared" si="11"/>
        <v/>
      </c>
      <c r="AC697" s="52">
        <f t="shared" si="12"/>
        <v>0</v>
      </c>
    </row>
    <row r="698" ht="15.75" customHeight="1">
      <c r="A698" s="171"/>
      <c r="B698" s="171"/>
      <c r="C698" s="53"/>
      <c r="D698" s="53"/>
      <c r="E698" s="53"/>
      <c r="F698" s="53"/>
      <c r="G698" s="53"/>
      <c r="H698" s="52" t="str">
        <f>IF(G698="","",IFERROR(VLOOKUP(G698,'Product_Stock_Master产品维护'!$A$2:$E992,2,FALSE()),"SKU not found"))</f>
        <v/>
      </c>
      <c r="I698" s="52" t="str">
        <f>IF(G698="","",IFERROR(VLOOKUP(G698,'Product_Stock_Master产品维护'!$A$2:$E992,3,FALSE()),"Item type not found"))</f>
        <v/>
      </c>
      <c r="J698" s="53"/>
      <c r="K698" s="53"/>
      <c r="L698" s="53"/>
      <c r="M698" s="53"/>
      <c r="N698" s="53"/>
      <c r="O698" s="52" t="str">
        <f t="shared" si="1"/>
        <v/>
      </c>
      <c r="P698" s="53"/>
      <c r="Q698" s="52" t="str">
        <f t="shared" si="9"/>
        <v/>
      </c>
      <c r="R698" s="52" t="str">
        <f t="shared" si="3"/>
        <v/>
      </c>
      <c r="S698" s="52" t="str">
        <f t="shared" si="10"/>
        <v/>
      </c>
      <c r="T698" s="52" t="str">
        <f t="shared" si="5"/>
        <v/>
      </c>
      <c r="U698" s="52"/>
      <c r="V698" s="53"/>
      <c r="W698" s="52" t="str">
        <f t="shared" si="6"/>
        <v/>
      </c>
      <c r="X698" s="52">
        <f t="shared" si="7"/>
        <v>0</v>
      </c>
      <c r="Y698" s="52">
        <f t="shared" si="8"/>
        <v>0</v>
      </c>
      <c r="Z698" s="52" t="str">
        <f>IF(G698="","",IFERROR(VLOOKUP(G698,'Product_Stock_Master产品维护'!$A$2:$L992,11,FALSE),"No"))</f>
        <v/>
      </c>
      <c r="AA698" s="52" t="str">
        <f>IF(G698="","",IFERROR(VLOOKUP(G698,'Product_Stock_Master产品维护'!$A$2:$L992,12,FALSE),""))</f>
        <v/>
      </c>
      <c r="AB698" s="52" t="str">
        <f t="shared" si="11"/>
        <v/>
      </c>
      <c r="AC698" s="52">
        <f t="shared" si="12"/>
        <v>0</v>
      </c>
    </row>
    <row r="699" ht="15.75" customHeight="1">
      <c r="A699" s="171"/>
      <c r="B699" s="171"/>
      <c r="C699" s="53"/>
      <c r="D699" s="53"/>
      <c r="E699" s="53"/>
      <c r="F699" s="53"/>
      <c r="G699" s="53"/>
      <c r="H699" s="52" t="str">
        <f>IF(G699="","",IFERROR(VLOOKUP(G699,'Product_Stock_Master产品维护'!$A$2:$E992,2,FALSE()),"SKU not found"))</f>
        <v/>
      </c>
      <c r="I699" s="52" t="str">
        <f>IF(G699="","",IFERROR(VLOOKUP(G699,'Product_Stock_Master产品维护'!$A$2:$E992,3,FALSE()),"Item type not found"))</f>
        <v/>
      </c>
      <c r="J699" s="53"/>
      <c r="K699" s="53"/>
      <c r="L699" s="53"/>
      <c r="M699" s="53"/>
      <c r="N699" s="53"/>
      <c r="O699" s="52" t="str">
        <f t="shared" si="1"/>
        <v/>
      </c>
      <c r="P699" s="53"/>
      <c r="Q699" s="52" t="str">
        <f t="shared" si="9"/>
        <v/>
      </c>
      <c r="R699" s="52" t="str">
        <f t="shared" si="3"/>
        <v/>
      </c>
      <c r="S699" s="52" t="str">
        <f t="shared" si="10"/>
        <v/>
      </c>
      <c r="T699" s="52" t="str">
        <f t="shared" si="5"/>
        <v/>
      </c>
      <c r="U699" s="52"/>
      <c r="V699" s="53"/>
      <c r="W699" s="52" t="str">
        <f t="shared" si="6"/>
        <v/>
      </c>
      <c r="X699" s="52">
        <f t="shared" si="7"/>
        <v>0</v>
      </c>
      <c r="Y699" s="52">
        <f t="shared" si="8"/>
        <v>0</v>
      </c>
      <c r="Z699" s="52" t="str">
        <f>IF(G699="","",IFERROR(VLOOKUP(G699,'Product_Stock_Master产品维护'!$A$2:$L992,11,FALSE),"No"))</f>
        <v/>
      </c>
      <c r="AA699" s="52" t="str">
        <f>IF(G699="","",IFERROR(VLOOKUP(G699,'Product_Stock_Master产品维护'!$A$2:$L992,12,FALSE),""))</f>
        <v/>
      </c>
      <c r="AB699" s="52" t="str">
        <f t="shared" si="11"/>
        <v/>
      </c>
      <c r="AC699" s="52">
        <f t="shared" si="12"/>
        <v>0</v>
      </c>
    </row>
    <row r="700" ht="15.75" customHeight="1">
      <c r="A700" s="171"/>
      <c r="B700" s="171"/>
      <c r="C700" s="53"/>
      <c r="D700" s="53"/>
      <c r="E700" s="53"/>
      <c r="F700" s="53"/>
      <c r="G700" s="53"/>
      <c r="H700" s="52" t="str">
        <f>IF(G700="","",IFERROR(VLOOKUP(G700,'Product_Stock_Master产品维护'!$A$2:$E992,2,FALSE()),"SKU not found"))</f>
        <v/>
      </c>
      <c r="I700" s="52" t="str">
        <f>IF(G700="","",IFERROR(VLOOKUP(G700,'Product_Stock_Master产品维护'!$A$2:$E992,3,FALSE()),"Item type not found"))</f>
        <v/>
      </c>
      <c r="J700" s="53"/>
      <c r="K700" s="53"/>
      <c r="L700" s="53"/>
      <c r="M700" s="53"/>
      <c r="N700" s="53"/>
      <c r="O700" s="52" t="str">
        <f t="shared" si="1"/>
        <v/>
      </c>
      <c r="P700" s="53"/>
      <c r="Q700" s="52" t="str">
        <f t="shared" si="9"/>
        <v/>
      </c>
      <c r="R700" s="52" t="str">
        <f t="shared" si="3"/>
        <v/>
      </c>
      <c r="S700" s="52" t="str">
        <f t="shared" si="10"/>
        <v/>
      </c>
      <c r="T700" s="52" t="str">
        <f t="shared" si="5"/>
        <v/>
      </c>
      <c r="U700" s="52"/>
      <c r="V700" s="53"/>
      <c r="W700" s="52" t="str">
        <f t="shared" si="6"/>
        <v/>
      </c>
      <c r="X700" s="52">
        <f t="shared" si="7"/>
        <v>0</v>
      </c>
      <c r="Y700" s="52">
        <f t="shared" si="8"/>
        <v>0</v>
      </c>
      <c r="Z700" s="52" t="str">
        <f>IF(G700="","",IFERROR(VLOOKUP(G700,'Product_Stock_Master产品维护'!$A$2:$L992,11,FALSE),"No"))</f>
        <v/>
      </c>
      <c r="AA700" s="52" t="str">
        <f>IF(G700="","",IFERROR(VLOOKUP(G700,'Product_Stock_Master产品维护'!$A$2:$L992,12,FALSE),""))</f>
        <v/>
      </c>
      <c r="AB700" s="52" t="str">
        <f t="shared" si="11"/>
        <v/>
      </c>
      <c r="AC700" s="52">
        <f t="shared" si="12"/>
        <v>0</v>
      </c>
    </row>
    <row r="701" ht="15.75" customHeight="1">
      <c r="A701" s="171"/>
      <c r="B701" s="171"/>
      <c r="C701" s="53"/>
      <c r="D701" s="53"/>
      <c r="E701" s="53"/>
      <c r="F701" s="53"/>
      <c r="G701" s="53"/>
      <c r="H701" s="52" t="str">
        <f>IF(G701="","",IFERROR(VLOOKUP(G701,'Product_Stock_Master产品维护'!$A$2:$E992,2,FALSE()),"SKU not found"))</f>
        <v/>
      </c>
      <c r="I701" s="52" t="str">
        <f>IF(G701="","",IFERROR(VLOOKUP(G701,'Product_Stock_Master产品维护'!$A$2:$E992,3,FALSE()),"Item type not found"))</f>
        <v/>
      </c>
      <c r="J701" s="53"/>
      <c r="K701" s="53"/>
      <c r="L701" s="53"/>
      <c r="M701" s="53"/>
      <c r="N701" s="53"/>
      <c r="O701" s="52" t="str">
        <f t="shared" si="1"/>
        <v/>
      </c>
      <c r="P701" s="53"/>
      <c r="Q701" s="52" t="str">
        <f t="shared" si="9"/>
        <v/>
      </c>
      <c r="R701" s="52" t="str">
        <f t="shared" si="3"/>
        <v/>
      </c>
      <c r="S701" s="52" t="str">
        <f t="shared" si="10"/>
        <v/>
      </c>
      <c r="T701" s="52" t="str">
        <f t="shared" si="5"/>
        <v/>
      </c>
      <c r="U701" s="52"/>
      <c r="V701" s="53"/>
      <c r="W701" s="52" t="str">
        <f t="shared" si="6"/>
        <v/>
      </c>
      <c r="X701" s="52">
        <f t="shared" si="7"/>
        <v>0</v>
      </c>
      <c r="Y701" s="52">
        <f t="shared" si="8"/>
        <v>0</v>
      </c>
      <c r="Z701" s="52" t="str">
        <f>IF(G701="","",IFERROR(VLOOKUP(G701,'Product_Stock_Master产品维护'!$A$2:$L992,11,FALSE),"No"))</f>
        <v/>
      </c>
      <c r="AA701" s="52" t="str">
        <f>IF(G701="","",IFERROR(VLOOKUP(G701,'Product_Stock_Master产品维护'!$A$2:$L992,12,FALSE),""))</f>
        <v/>
      </c>
      <c r="AB701" s="52" t="str">
        <f t="shared" si="11"/>
        <v/>
      </c>
      <c r="AC701" s="52">
        <f t="shared" si="12"/>
        <v>0</v>
      </c>
    </row>
    <row r="702" ht="15.75" customHeight="1">
      <c r="A702" s="171"/>
      <c r="B702" s="171"/>
      <c r="C702" s="53"/>
      <c r="D702" s="53"/>
      <c r="E702" s="53"/>
      <c r="F702" s="53"/>
      <c r="G702" s="53"/>
      <c r="H702" s="52" t="str">
        <f>IF(G702="","",IFERROR(VLOOKUP(G702,'Product_Stock_Master产品维护'!$A$2:$E992,2,FALSE()),"SKU not found"))</f>
        <v/>
      </c>
      <c r="I702" s="52" t="str">
        <f>IF(G702="","",IFERROR(VLOOKUP(G702,'Product_Stock_Master产品维护'!$A$2:$E992,3,FALSE()),"Item type not found"))</f>
        <v/>
      </c>
      <c r="J702" s="53"/>
      <c r="K702" s="53"/>
      <c r="L702" s="53"/>
      <c r="M702" s="53"/>
      <c r="N702" s="53"/>
      <c r="O702" s="52" t="str">
        <f t="shared" si="1"/>
        <v/>
      </c>
      <c r="P702" s="53"/>
      <c r="Q702" s="52" t="str">
        <f t="shared" si="9"/>
        <v/>
      </c>
      <c r="R702" s="52" t="str">
        <f t="shared" si="3"/>
        <v/>
      </c>
      <c r="S702" s="52" t="str">
        <f t="shared" si="10"/>
        <v/>
      </c>
      <c r="T702" s="52" t="str">
        <f t="shared" si="5"/>
        <v/>
      </c>
      <c r="U702" s="52"/>
      <c r="V702" s="53"/>
      <c r="W702" s="52" t="str">
        <f t="shared" si="6"/>
        <v/>
      </c>
      <c r="X702" s="52">
        <f t="shared" si="7"/>
        <v>0</v>
      </c>
      <c r="Y702" s="52">
        <f t="shared" si="8"/>
        <v>0</v>
      </c>
      <c r="Z702" s="52" t="str">
        <f>IF(G702="","",IFERROR(VLOOKUP(G702,'Product_Stock_Master产品维护'!$A$2:$L992,11,FALSE),"No"))</f>
        <v/>
      </c>
      <c r="AA702" s="52" t="str">
        <f>IF(G702="","",IFERROR(VLOOKUP(G702,'Product_Stock_Master产品维护'!$A$2:$L992,12,FALSE),""))</f>
        <v/>
      </c>
      <c r="AB702" s="52" t="str">
        <f t="shared" si="11"/>
        <v/>
      </c>
      <c r="AC702" s="52">
        <f t="shared" si="12"/>
        <v>0</v>
      </c>
    </row>
    <row r="703" ht="15.75" customHeight="1">
      <c r="A703" s="171"/>
      <c r="B703" s="171"/>
      <c r="C703" s="53"/>
      <c r="D703" s="53"/>
      <c r="E703" s="53"/>
      <c r="F703" s="53"/>
      <c r="G703" s="53"/>
      <c r="H703" s="52" t="str">
        <f>IF(G703="","",IFERROR(VLOOKUP(G703,'Product_Stock_Master产品维护'!$A$2:$E992,2,FALSE()),"SKU not found"))</f>
        <v/>
      </c>
      <c r="I703" s="52" t="str">
        <f>IF(G703="","",IFERROR(VLOOKUP(G703,'Product_Stock_Master产品维护'!$A$2:$E992,3,FALSE()),"Item type not found"))</f>
        <v/>
      </c>
      <c r="J703" s="53"/>
      <c r="K703" s="53"/>
      <c r="L703" s="53"/>
      <c r="M703" s="53"/>
      <c r="N703" s="53"/>
      <c r="O703" s="52" t="str">
        <f t="shared" si="1"/>
        <v/>
      </c>
      <c r="P703" s="53"/>
      <c r="Q703" s="52" t="str">
        <f t="shared" si="9"/>
        <v/>
      </c>
      <c r="R703" s="52" t="str">
        <f t="shared" si="3"/>
        <v/>
      </c>
      <c r="S703" s="52" t="str">
        <f t="shared" si="10"/>
        <v/>
      </c>
      <c r="T703" s="52" t="str">
        <f t="shared" si="5"/>
        <v/>
      </c>
      <c r="U703" s="52"/>
      <c r="V703" s="53"/>
      <c r="W703" s="52" t="str">
        <f t="shared" si="6"/>
        <v/>
      </c>
      <c r="X703" s="52">
        <f t="shared" si="7"/>
        <v>0</v>
      </c>
      <c r="Y703" s="52">
        <f t="shared" si="8"/>
        <v>0</v>
      </c>
      <c r="Z703" s="52" t="str">
        <f>IF(G703="","",IFERROR(VLOOKUP(G703,'Product_Stock_Master产品维护'!$A$2:$L992,11,FALSE),"No"))</f>
        <v/>
      </c>
      <c r="AA703" s="52" t="str">
        <f>IF(G703="","",IFERROR(VLOOKUP(G703,'Product_Stock_Master产品维护'!$A$2:$L992,12,FALSE),""))</f>
        <v/>
      </c>
      <c r="AB703" s="52" t="str">
        <f t="shared" si="11"/>
        <v/>
      </c>
      <c r="AC703" s="52">
        <f t="shared" si="12"/>
        <v>0</v>
      </c>
    </row>
    <row r="704" ht="15.75" customHeight="1">
      <c r="A704" s="171"/>
      <c r="B704" s="171"/>
      <c r="C704" s="53"/>
      <c r="D704" s="53"/>
      <c r="E704" s="53"/>
      <c r="F704" s="53"/>
      <c r="G704" s="53"/>
      <c r="H704" s="52" t="str">
        <f>IF(G704="","",IFERROR(VLOOKUP(G704,'Product_Stock_Master产品维护'!$A$2:$E992,2,FALSE()),"SKU not found"))</f>
        <v/>
      </c>
      <c r="I704" s="52" t="str">
        <f>IF(G704="","",IFERROR(VLOOKUP(G704,'Product_Stock_Master产品维护'!$A$2:$E992,3,FALSE()),"Item type not found"))</f>
        <v/>
      </c>
      <c r="J704" s="53"/>
      <c r="K704" s="53"/>
      <c r="L704" s="53"/>
      <c r="M704" s="53"/>
      <c r="N704" s="53"/>
      <c r="O704" s="52" t="str">
        <f t="shared" si="1"/>
        <v/>
      </c>
      <c r="P704" s="53"/>
      <c r="Q704" s="52" t="str">
        <f t="shared" si="9"/>
        <v/>
      </c>
      <c r="R704" s="52" t="str">
        <f t="shared" si="3"/>
        <v/>
      </c>
      <c r="S704" s="52" t="str">
        <f t="shared" si="10"/>
        <v/>
      </c>
      <c r="T704" s="52" t="str">
        <f t="shared" si="5"/>
        <v/>
      </c>
      <c r="U704" s="52"/>
      <c r="V704" s="53"/>
      <c r="W704" s="52" t="str">
        <f t="shared" si="6"/>
        <v/>
      </c>
      <c r="X704" s="52">
        <f t="shared" si="7"/>
        <v>0</v>
      </c>
      <c r="Y704" s="52">
        <f t="shared" si="8"/>
        <v>0</v>
      </c>
      <c r="Z704" s="52" t="str">
        <f>IF(G704="","",IFERROR(VLOOKUP(G704,'Product_Stock_Master产品维护'!$A$2:$L992,11,FALSE),"No"))</f>
        <v/>
      </c>
      <c r="AA704" s="52" t="str">
        <f>IF(G704="","",IFERROR(VLOOKUP(G704,'Product_Stock_Master产品维护'!$A$2:$L992,12,FALSE),""))</f>
        <v/>
      </c>
      <c r="AB704" s="52" t="str">
        <f t="shared" si="11"/>
        <v/>
      </c>
      <c r="AC704" s="52">
        <f t="shared" si="12"/>
        <v>0</v>
      </c>
    </row>
    <row r="705" ht="15.75" customHeight="1">
      <c r="A705" s="171"/>
      <c r="B705" s="171"/>
      <c r="C705" s="53"/>
      <c r="D705" s="53"/>
      <c r="E705" s="53"/>
      <c r="F705" s="53"/>
      <c r="G705" s="53"/>
      <c r="H705" s="52" t="str">
        <f>IF(G705="","",IFERROR(VLOOKUP(G705,'Product_Stock_Master产品维护'!$A$2:$E992,2,FALSE()),"SKU not found"))</f>
        <v/>
      </c>
      <c r="I705" s="52" t="str">
        <f>IF(G705="","",IFERROR(VLOOKUP(G705,'Product_Stock_Master产品维护'!$A$2:$E992,3,FALSE()),"Item type not found"))</f>
        <v/>
      </c>
      <c r="J705" s="53"/>
      <c r="K705" s="53"/>
      <c r="L705" s="53"/>
      <c r="M705" s="53"/>
      <c r="N705" s="53"/>
      <c r="O705" s="52" t="str">
        <f t="shared" si="1"/>
        <v/>
      </c>
      <c r="P705" s="53"/>
      <c r="Q705" s="52" t="str">
        <f t="shared" si="9"/>
        <v/>
      </c>
      <c r="R705" s="52" t="str">
        <f t="shared" si="3"/>
        <v/>
      </c>
      <c r="S705" s="52" t="str">
        <f t="shared" si="10"/>
        <v/>
      </c>
      <c r="T705" s="52" t="str">
        <f t="shared" si="5"/>
        <v/>
      </c>
      <c r="U705" s="52"/>
      <c r="V705" s="53"/>
      <c r="W705" s="52" t="str">
        <f t="shared" si="6"/>
        <v/>
      </c>
      <c r="X705" s="52">
        <f t="shared" si="7"/>
        <v>0</v>
      </c>
      <c r="Y705" s="52">
        <f t="shared" si="8"/>
        <v>0</v>
      </c>
      <c r="Z705" s="52" t="str">
        <f>IF(G705="","",IFERROR(VLOOKUP(G705,'Product_Stock_Master产品维护'!$A$2:$L992,11,FALSE),"No"))</f>
        <v/>
      </c>
      <c r="AA705" s="52" t="str">
        <f>IF(G705="","",IFERROR(VLOOKUP(G705,'Product_Stock_Master产品维护'!$A$2:$L992,12,FALSE),""))</f>
        <v/>
      </c>
      <c r="AB705" s="52" t="str">
        <f t="shared" si="11"/>
        <v/>
      </c>
      <c r="AC705" s="52">
        <f t="shared" si="12"/>
        <v>0</v>
      </c>
    </row>
    <row r="706" ht="15.75" customHeight="1">
      <c r="A706" s="171"/>
      <c r="B706" s="171"/>
      <c r="C706" s="53"/>
      <c r="D706" s="53"/>
      <c r="E706" s="53"/>
      <c r="F706" s="53"/>
      <c r="G706" s="53"/>
      <c r="H706" s="52" t="str">
        <f>IF(G706="","",IFERROR(VLOOKUP(G706,'Product_Stock_Master产品维护'!$A$2:$E992,2,FALSE()),"SKU not found"))</f>
        <v/>
      </c>
      <c r="I706" s="52" t="str">
        <f>IF(G706="","",IFERROR(VLOOKUP(G706,'Product_Stock_Master产品维护'!$A$2:$E992,3,FALSE()),"Item type not found"))</f>
        <v/>
      </c>
      <c r="J706" s="53"/>
      <c r="K706" s="53"/>
      <c r="L706" s="53"/>
      <c r="M706" s="53"/>
      <c r="N706" s="53"/>
      <c r="O706" s="52" t="str">
        <f t="shared" si="1"/>
        <v/>
      </c>
      <c r="P706" s="53"/>
      <c r="Q706" s="52" t="str">
        <f t="shared" si="9"/>
        <v/>
      </c>
      <c r="R706" s="52" t="str">
        <f t="shared" si="3"/>
        <v/>
      </c>
      <c r="S706" s="52" t="str">
        <f t="shared" si="10"/>
        <v/>
      </c>
      <c r="T706" s="52" t="str">
        <f t="shared" si="5"/>
        <v/>
      </c>
      <c r="U706" s="52"/>
      <c r="V706" s="53"/>
      <c r="W706" s="52" t="str">
        <f t="shared" si="6"/>
        <v/>
      </c>
      <c r="X706" s="52">
        <f t="shared" si="7"/>
        <v>0</v>
      </c>
      <c r="Y706" s="52">
        <f t="shared" si="8"/>
        <v>0</v>
      </c>
      <c r="Z706" s="52" t="str">
        <f>IF(G706="","",IFERROR(VLOOKUP(G706,'Product_Stock_Master产品维护'!$A$2:$L992,11,FALSE),"No"))</f>
        <v/>
      </c>
      <c r="AA706" s="52" t="str">
        <f>IF(G706="","",IFERROR(VLOOKUP(G706,'Product_Stock_Master产品维护'!$A$2:$L992,12,FALSE),""))</f>
        <v/>
      </c>
      <c r="AB706" s="52" t="str">
        <f t="shared" si="11"/>
        <v/>
      </c>
      <c r="AC706" s="52">
        <f t="shared" si="12"/>
        <v>0</v>
      </c>
    </row>
    <row r="707" ht="15.75" customHeight="1">
      <c r="A707" s="171"/>
      <c r="B707" s="171"/>
      <c r="C707" s="53"/>
      <c r="D707" s="53"/>
      <c r="E707" s="53"/>
      <c r="F707" s="53"/>
      <c r="G707" s="53"/>
      <c r="H707" s="52" t="str">
        <f>IF(G707="","",IFERROR(VLOOKUP(G707,'Product_Stock_Master产品维护'!$A$2:$E992,2,FALSE()),"SKU not found"))</f>
        <v/>
      </c>
      <c r="I707" s="52" t="str">
        <f>IF(G707="","",IFERROR(VLOOKUP(G707,'Product_Stock_Master产品维护'!$A$2:$E992,3,FALSE()),"Item type not found"))</f>
        <v/>
      </c>
      <c r="J707" s="53"/>
      <c r="K707" s="53"/>
      <c r="L707" s="53"/>
      <c r="M707" s="53"/>
      <c r="N707" s="53"/>
      <c r="O707" s="52" t="str">
        <f t="shared" si="1"/>
        <v/>
      </c>
      <c r="P707" s="53"/>
      <c r="Q707" s="52" t="str">
        <f t="shared" si="9"/>
        <v/>
      </c>
      <c r="R707" s="52" t="str">
        <f t="shared" si="3"/>
        <v/>
      </c>
      <c r="S707" s="52" t="str">
        <f t="shared" si="10"/>
        <v/>
      </c>
      <c r="T707" s="52" t="str">
        <f t="shared" si="5"/>
        <v/>
      </c>
      <c r="U707" s="52"/>
      <c r="V707" s="53"/>
      <c r="W707" s="52" t="str">
        <f t="shared" si="6"/>
        <v/>
      </c>
      <c r="X707" s="52">
        <f t="shared" si="7"/>
        <v>0</v>
      </c>
      <c r="Y707" s="52">
        <f t="shared" si="8"/>
        <v>0</v>
      </c>
      <c r="Z707" s="52" t="str">
        <f>IF(G707="","",IFERROR(VLOOKUP(G707,'Product_Stock_Master产品维护'!$A$2:$L992,11,FALSE),"No"))</f>
        <v/>
      </c>
      <c r="AA707" s="52" t="str">
        <f>IF(G707="","",IFERROR(VLOOKUP(G707,'Product_Stock_Master产品维护'!$A$2:$L992,12,FALSE),""))</f>
        <v/>
      </c>
      <c r="AB707" s="52" t="str">
        <f t="shared" si="11"/>
        <v/>
      </c>
      <c r="AC707" s="52">
        <f t="shared" si="12"/>
        <v>0</v>
      </c>
    </row>
    <row r="708" ht="15.75" customHeight="1">
      <c r="A708" s="171"/>
      <c r="B708" s="171"/>
      <c r="C708" s="53"/>
      <c r="D708" s="53"/>
      <c r="E708" s="53"/>
      <c r="F708" s="53"/>
      <c r="G708" s="53"/>
      <c r="H708" s="52" t="str">
        <f>IF(G708="","",IFERROR(VLOOKUP(G708,'Product_Stock_Master产品维护'!$A$2:$E992,2,FALSE()),"SKU not found"))</f>
        <v/>
      </c>
      <c r="I708" s="52" t="str">
        <f>IF(G708="","",IFERROR(VLOOKUP(G708,'Product_Stock_Master产品维护'!$A$2:$E992,3,FALSE()),"Item type not found"))</f>
        <v/>
      </c>
      <c r="J708" s="53"/>
      <c r="K708" s="53"/>
      <c r="L708" s="53"/>
      <c r="M708" s="53"/>
      <c r="N708" s="53"/>
      <c r="O708" s="52" t="str">
        <f t="shared" si="1"/>
        <v/>
      </c>
      <c r="P708" s="53"/>
      <c r="Q708" s="52" t="str">
        <f t="shared" si="9"/>
        <v/>
      </c>
      <c r="R708" s="52" t="str">
        <f t="shared" si="3"/>
        <v/>
      </c>
      <c r="S708" s="52" t="str">
        <f t="shared" si="10"/>
        <v/>
      </c>
      <c r="T708" s="52" t="str">
        <f t="shared" si="5"/>
        <v/>
      </c>
      <c r="U708" s="52"/>
      <c r="V708" s="53"/>
      <c r="W708" s="52" t="str">
        <f t="shared" si="6"/>
        <v/>
      </c>
      <c r="X708" s="52">
        <f t="shared" si="7"/>
        <v>0</v>
      </c>
      <c r="Y708" s="52">
        <f t="shared" si="8"/>
        <v>0</v>
      </c>
      <c r="Z708" s="52" t="str">
        <f>IF(G708="","",IFERROR(VLOOKUP(G708,'Product_Stock_Master产品维护'!$A$2:$L992,11,FALSE),"No"))</f>
        <v/>
      </c>
      <c r="AA708" s="52" t="str">
        <f>IF(G708="","",IFERROR(VLOOKUP(G708,'Product_Stock_Master产品维护'!$A$2:$L992,12,FALSE),""))</f>
        <v/>
      </c>
      <c r="AB708" s="52" t="str">
        <f t="shared" si="11"/>
        <v/>
      </c>
      <c r="AC708" s="52">
        <f t="shared" si="12"/>
        <v>0</v>
      </c>
    </row>
    <row r="709" ht="15.75" customHeight="1">
      <c r="A709" s="171"/>
      <c r="B709" s="171"/>
      <c r="C709" s="53"/>
      <c r="D709" s="53"/>
      <c r="E709" s="53"/>
      <c r="F709" s="53"/>
      <c r="G709" s="53"/>
      <c r="H709" s="52" t="str">
        <f>IF(G709="","",IFERROR(VLOOKUP(G709,'Product_Stock_Master产品维护'!$A$2:$E992,2,FALSE()),"SKU not found"))</f>
        <v/>
      </c>
      <c r="I709" s="52" t="str">
        <f>IF(G709="","",IFERROR(VLOOKUP(G709,'Product_Stock_Master产品维护'!$A$2:$E992,3,FALSE()),"Item type not found"))</f>
        <v/>
      </c>
      <c r="J709" s="53"/>
      <c r="K709" s="53"/>
      <c r="L709" s="53"/>
      <c r="M709" s="53"/>
      <c r="N709" s="53"/>
      <c r="O709" s="52" t="str">
        <f t="shared" si="1"/>
        <v/>
      </c>
      <c r="P709" s="53"/>
      <c r="Q709" s="52" t="str">
        <f t="shared" si="9"/>
        <v/>
      </c>
      <c r="R709" s="52" t="str">
        <f t="shared" si="3"/>
        <v/>
      </c>
      <c r="S709" s="52" t="str">
        <f t="shared" si="10"/>
        <v/>
      </c>
      <c r="T709" s="52" t="str">
        <f t="shared" si="5"/>
        <v/>
      </c>
      <c r="U709" s="52"/>
      <c r="V709" s="53"/>
      <c r="W709" s="52" t="str">
        <f t="shared" si="6"/>
        <v/>
      </c>
      <c r="X709" s="52">
        <f t="shared" si="7"/>
        <v>0</v>
      </c>
      <c r="Y709" s="52">
        <f t="shared" si="8"/>
        <v>0</v>
      </c>
      <c r="Z709" s="52" t="str">
        <f>IF(G709="","",IFERROR(VLOOKUP(G709,'Product_Stock_Master产品维护'!$A$2:$L992,11,FALSE),"No"))</f>
        <v/>
      </c>
      <c r="AA709" s="52" t="str">
        <f>IF(G709="","",IFERROR(VLOOKUP(G709,'Product_Stock_Master产品维护'!$A$2:$L992,12,FALSE),""))</f>
        <v/>
      </c>
      <c r="AB709" s="52" t="str">
        <f t="shared" si="11"/>
        <v/>
      </c>
      <c r="AC709" s="52">
        <f t="shared" si="12"/>
        <v>0</v>
      </c>
    </row>
    <row r="710" ht="15.75" customHeight="1">
      <c r="A710" s="171"/>
      <c r="B710" s="171"/>
      <c r="C710" s="53"/>
      <c r="D710" s="53"/>
      <c r="E710" s="53"/>
      <c r="F710" s="53"/>
      <c r="G710" s="53"/>
      <c r="H710" s="52" t="str">
        <f>IF(G710="","",IFERROR(VLOOKUP(G710,'Product_Stock_Master产品维护'!$A$2:$E992,2,FALSE()),"SKU not found"))</f>
        <v/>
      </c>
      <c r="I710" s="52" t="str">
        <f>IF(G710="","",IFERROR(VLOOKUP(G710,'Product_Stock_Master产品维护'!$A$2:$E992,3,FALSE()),"Item type not found"))</f>
        <v/>
      </c>
      <c r="J710" s="53"/>
      <c r="K710" s="53"/>
      <c r="L710" s="53"/>
      <c r="M710" s="53"/>
      <c r="N710" s="53"/>
      <c r="O710" s="52" t="str">
        <f t="shared" si="1"/>
        <v/>
      </c>
      <c r="P710" s="53"/>
      <c r="Q710" s="52" t="str">
        <f t="shared" si="9"/>
        <v/>
      </c>
      <c r="R710" s="52" t="str">
        <f t="shared" si="3"/>
        <v/>
      </c>
      <c r="S710" s="52" t="str">
        <f t="shared" si="10"/>
        <v/>
      </c>
      <c r="T710" s="52" t="str">
        <f t="shared" si="5"/>
        <v/>
      </c>
      <c r="U710" s="52"/>
      <c r="V710" s="53"/>
      <c r="W710" s="52" t="str">
        <f t="shared" si="6"/>
        <v/>
      </c>
      <c r="X710" s="52">
        <f t="shared" si="7"/>
        <v>0</v>
      </c>
      <c r="Y710" s="52">
        <f t="shared" si="8"/>
        <v>0</v>
      </c>
      <c r="Z710" s="52" t="str">
        <f>IF(G710="","",IFERROR(VLOOKUP(G710,'Product_Stock_Master产品维护'!$A$2:$L992,11,FALSE),"No"))</f>
        <v/>
      </c>
      <c r="AA710" s="52" t="str">
        <f>IF(G710="","",IFERROR(VLOOKUP(G710,'Product_Stock_Master产品维护'!$A$2:$L992,12,FALSE),""))</f>
        <v/>
      </c>
      <c r="AB710" s="52" t="str">
        <f t="shared" si="11"/>
        <v/>
      </c>
      <c r="AC710" s="52">
        <f t="shared" si="12"/>
        <v>0</v>
      </c>
    </row>
    <row r="711" ht="15.75" customHeight="1">
      <c r="A711" s="171"/>
      <c r="B711" s="171"/>
      <c r="C711" s="53"/>
      <c r="D711" s="53"/>
      <c r="E711" s="53"/>
      <c r="F711" s="53"/>
      <c r="G711" s="53"/>
      <c r="H711" s="52" t="str">
        <f>IF(G711="","",IFERROR(VLOOKUP(G711,'Product_Stock_Master产品维护'!$A$2:$E992,2,FALSE()),"SKU not found"))</f>
        <v/>
      </c>
      <c r="I711" s="52" t="str">
        <f>IF(G711="","",IFERROR(VLOOKUP(G711,'Product_Stock_Master产品维护'!$A$2:$E992,3,FALSE()),"Item type not found"))</f>
        <v/>
      </c>
      <c r="J711" s="53"/>
      <c r="K711" s="53"/>
      <c r="L711" s="53"/>
      <c r="M711" s="53"/>
      <c r="N711" s="53"/>
      <c r="O711" s="52" t="str">
        <f t="shared" si="1"/>
        <v/>
      </c>
      <c r="P711" s="53"/>
      <c r="Q711" s="52" t="str">
        <f t="shared" si="9"/>
        <v/>
      </c>
      <c r="R711" s="52" t="str">
        <f t="shared" si="3"/>
        <v/>
      </c>
      <c r="S711" s="52" t="str">
        <f t="shared" si="10"/>
        <v/>
      </c>
      <c r="T711" s="52" t="str">
        <f t="shared" si="5"/>
        <v/>
      </c>
      <c r="U711" s="52"/>
      <c r="V711" s="53"/>
      <c r="W711" s="52" t="str">
        <f t="shared" si="6"/>
        <v/>
      </c>
      <c r="X711" s="52">
        <f t="shared" si="7"/>
        <v>0</v>
      </c>
      <c r="Y711" s="52">
        <f t="shared" si="8"/>
        <v>0</v>
      </c>
      <c r="Z711" s="52" t="str">
        <f>IF(G711="","",IFERROR(VLOOKUP(G711,'Product_Stock_Master产品维护'!$A$2:$L992,11,FALSE),"No"))</f>
        <v/>
      </c>
      <c r="AA711" s="52" t="str">
        <f>IF(G711="","",IFERROR(VLOOKUP(G711,'Product_Stock_Master产品维护'!$A$2:$L992,12,FALSE),""))</f>
        <v/>
      </c>
      <c r="AB711" s="52" t="str">
        <f t="shared" si="11"/>
        <v/>
      </c>
      <c r="AC711" s="52">
        <f t="shared" si="12"/>
        <v>0</v>
      </c>
    </row>
    <row r="712" ht="15.75" customHeight="1">
      <c r="A712" s="171"/>
      <c r="B712" s="171"/>
      <c r="C712" s="53"/>
      <c r="D712" s="53"/>
      <c r="E712" s="53"/>
      <c r="F712" s="53"/>
      <c r="G712" s="53"/>
      <c r="H712" s="52" t="str">
        <f>IF(G712="","",IFERROR(VLOOKUP(G712,'Product_Stock_Master产品维护'!$A$2:$E992,2,FALSE()),"SKU not found"))</f>
        <v/>
      </c>
      <c r="I712" s="52" t="str">
        <f>IF(G712="","",IFERROR(VLOOKUP(G712,'Product_Stock_Master产品维护'!$A$2:$E992,3,FALSE()),"Item type not found"))</f>
        <v/>
      </c>
      <c r="J712" s="53"/>
      <c r="K712" s="53"/>
      <c r="L712" s="53"/>
      <c r="M712" s="53"/>
      <c r="N712" s="53"/>
      <c r="O712" s="52" t="str">
        <f t="shared" si="1"/>
        <v/>
      </c>
      <c r="P712" s="53"/>
      <c r="Q712" s="52" t="str">
        <f t="shared" si="9"/>
        <v/>
      </c>
      <c r="R712" s="52" t="str">
        <f t="shared" si="3"/>
        <v/>
      </c>
      <c r="S712" s="52" t="str">
        <f t="shared" si="10"/>
        <v/>
      </c>
      <c r="T712" s="52" t="str">
        <f t="shared" si="5"/>
        <v/>
      </c>
      <c r="U712" s="52"/>
      <c r="V712" s="53"/>
      <c r="W712" s="52" t="str">
        <f t="shared" si="6"/>
        <v/>
      </c>
      <c r="X712" s="52">
        <f t="shared" si="7"/>
        <v>0</v>
      </c>
      <c r="Y712" s="52">
        <f t="shared" si="8"/>
        <v>0</v>
      </c>
      <c r="Z712" s="52" t="str">
        <f>IF(G712="","",IFERROR(VLOOKUP(G712,'Product_Stock_Master产品维护'!$A$2:$L992,11,FALSE),"No"))</f>
        <v/>
      </c>
      <c r="AA712" s="52" t="str">
        <f>IF(G712="","",IFERROR(VLOOKUP(G712,'Product_Stock_Master产品维护'!$A$2:$L992,12,FALSE),""))</f>
        <v/>
      </c>
      <c r="AB712" s="52" t="str">
        <f t="shared" si="11"/>
        <v/>
      </c>
      <c r="AC712" s="52">
        <f t="shared" si="12"/>
        <v>0</v>
      </c>
    </row>
    <row r="713" ht="15.75" customHeight="1">
      <c r="A713" s="171"/>
      <c r="B713" s="171"/>
      <c r="C713" s="53"/>
      <c r="D713" s="53"/>
      <c r="E713" s="53"/>
      <c r="F713" s="53"/>
      <c r="G713" s="53"/>
      <c r="H713" s="52" t="str">
        <f>IF(G713="","",IFERROR(VLOOKUP(G713,'Product_Stock_Master产品维护'!$A$2:$E992,2,FALSE()),"SKU not found"))</f>
        <v/>
      </c>
      <c r="I713" s="52" t="str">
        <f>IF(G713="","",IFERROR(VLOOKUP(G713,'Product_Stock_Master产品维护'!$A$2:$E992,3,FALSE()),"Item type not found"))</f>
        <v/>
      </c>
      <c r="J713" s="53"/>
      <c r="K713" s="53"/>
      <c r="L713" s="53"/>
      <c r="M713" s="53"/>
      <c r="N713" s="53"/>
      <c r="O713" s="52" t="str">
        <f t="shared" si="1"/>
        <v/>
      </c>
      <c r="P713" s="53"/>
      <c r="Q713" s="52" t="str">
        <f t="shared" si="9"/>
        <v/>
      </c>
      <c r="R713" s="52" t="str">
        <f t="shared" si="3"/>
        <v/>
      </c>
      <c r="S713" s="52" t="str">
        <f t="shared" si="10"/>
        <v/>
      </c>
      <c r="T713" s="52" t="str">
        <f t="shared" si="5"/>
        <v/>
      </c>
      <c r="U713" s="52"/>
      <c r="V713" s="53"/>
      <c r="W713" s="52" t="str">
        <f t="shared" si="6"/>
        <v/>
      </c>
      <c r="X713" s="52">
        <f t="shared" si="7"/>
        <v>0</v>
      </c>
      <c r="Y713" s="52">
        <f t="shared" si="8"/>
        <v>0</v>
      </c>
      <c r="Z713" s="52" t="str">
        <f>IF(G713="","",IFERROR(VLOOKUP(G713,'Product_Stock_Master产品维护'!$A$2:$L992,11,FALSE),"No"))</f>
        <v/>
      </c>
      <c r="AA713" s="52" t="str">
        <f>IF(G713="","",IFERROR(VLOOKUP(G713,'Product_Stock_Master产品维护'!$A$2:$L992,12,FALSE),""))</f>
        <v/>
      </c>
      <c r="AB713" s="52" t="str">
        <f t="shared" si="11"/>
        <v/>
      </c>
      <c r="AC713" s="52">
        <f t="shared" si="12"/>
        <v>0</v>
      </c>
    </row>
    <row r="714" ht="15.75" customHeight="1">
      <c r="A714" s="171"/>
      <c r="B714" s="171"/>
      <c r="C714" s="53"/>
      <c r="D714" s="53"/>
      <c r="E714" s="53"/>
      <c r="F714" s="53"/>
      <c r="G714" s="53"/>
      <c r="H714" s="52" t="str">
        <f>IF(G714="","",IFERROR(VLOOKUP(G714,'Product_Stock_Master产品维护'!$A$2:$E992,2,FALSE()),"SKU not found"))</f>
        <v/>
      </c>
      <c r="I714" s="52" t="str">
        <f>IF(G714="","",IFERROR(VLOOKUP(G714,'Product_Stock_Master产品维护'!$A$2:$E992,3,FALSE()),"Item type not found"))</f>
        <v/>
      </c>
      <c r="J714" s="53"/>
      <c r="K714" s="53"/>
      <c r="L714" s="53"/>
      <c r="M714" s="53"/>
      <c r="N714" s="53"/>
      <c r="O714" s="52" t="str">
        <f t="shared" si="1"/>
        <v/>
      </c>
      <c r="P714" s="53"/>
      <c r="Q714" s="52" t="str">
        <f t="shared" si="9"/>
        <v/>
      </c>
      <c r="R714" s="52" t="str">
        <f t="shared" si="3"/>
        <v/>
      </c>
      <c r="S714" s="52" t="str">
        <f t="shared" si="10"/>
        <v/>
      </c>
      <c r="T714" s="52" t="str">
        <f t="shared" si="5"/>
        <v/>
      </c>
      <c r="U714" s="52"/>
      <c r="V714" s="53"/>
      <c r="W714" s="52" t="str">
        <f t="shared" si="6"/>
        <v/>
      </c>
      <c r="X714" s="52">
        <f t="shared" si="7"/>
        <v>0</v>
      </c>
      <c r="Y714" s="52">
        <f t="shared" si="8"/>
        <v>0</v>
      </c>
      <c r="Z714" s="52" t="str">
        <f>IF(G714="","",IFERROR(VLOOKUP(G714,'Product_Stock_Master产品维护'!$A$2:$L992,11,FALSE),"No"))</f>
        <v/>
      </c>
      <c r="AA714" s="52" t="str">
        <f>IF(G714="","",IFERROR(VLOOKUP(G714,'Product_Stock_Master产品维护'!$A$2:$L992,12,FALSE),""))</f>
        <v/>
      </c>
      <c r="AB714" s="52" t="str">
        <f t="shared" si="11"/>
        <v/>
      </c>
      <c r="AC714" s="52">
        <f t="shared" si="12"/>
        <v>0</v>
      </c>
    </row>
    <row r="715" ht="15.75" customHeight="1">
      <c r="A715" s="171"/>
      <c r="B715" s="171"/>
      <c r="C715" s="53"/>
      <c r="D715" s="53"/>
      <c r="E715" s="53"/>
      <c r="F715" s="53"/>
      <c r="G715" s="53"/>
      <c r="H715" s="52" t="str">
        <f>IF(G715="","",IFERROR(VLOOKUP(G715,'Product_Stock_Master产品维护'!$A$2:$E992,2,FALSE()),"SKU not found"))</f>
        <v/>
      </c>
      <c r="I715" s="52" t="str">
        <f>IF(G715="","",IFERROR(VLOOKUP(G715,'Product_Stock_Master产品维护'!$A$2:$E992,3,FALSE()),"Item type not found"))</f>
        <v/>
      </c>
      <c r="J715" s="53"/>
      <c r="K715" s="53"/>
      <c r="L715" s="53"/>
      <c r="M715" s="53"/>
      <c r="N715" s="53"/>
      <c r="O715" s="52" t="str">
        <f t="shared" si="1"/>
        <v/>
      </c>
      <c r="P715" s="53"/>
      <c r="Q715" s="52" t="str">
        <f t="shared" si="9"/>
        <v/>
      </c>
      <c r="R715" s="52" t="str">
        <f t="shared" si="3"/>
        <v/>
      </c>
      <c r="S715" s="52" t="str">
        <f t="shared" si="10"/>
        <v/>
      </c>
      <c r="T715" s="52" t="str">
        <f t="shared" si="5"/>
        <v/>
      </c>
      <c r="U715" s="52"/>
      <c r="V715" s="53"/>
      <c r="W715" s="52" t="str">
        <f t="shared" si="6"/>
        <v/>
      </c>
      <c r="X715" s="52">
        <f t="shared" si="7"/>
        <v>0</v>
      </c>
      <c r="Y715" s="52">
        <f t="shared" si="8"/>
        <v>0</v>
      </c>
      <c r="Z715" s="52" t="str">
        <f>IF(G715="","",IFERROR(VLOOKUP(G715,'Product_Stock_Master产品维护'!$A$2:$L992,11,FALSE),"No"))</f>
        <v/>
      </c>
      <c r="AA715" s="52" t="str">
        <f>IF(G715="","",IFERROR(VLOOKUP(G715,'Product_Stock_Master产品维护'!$A$2:$L992,12,FALSE),""))</f>
        <v/>
      </c>
      <c r="AB715" s="52" t="str">
        <f t="shared" si="11"/>
        <v/>
      </c>
      <c r="AC715" s="52">
        <f t="shared" si="12"/>
        <v>0</v>
      </c>
    </row>
    <row r="716" ht="15.75" customHeight="1">
      <c r="A716" s="171"/>
      <c r="B716" s="171"/>
      <c r="C716" s="53"/>
      <c r="D716" s="53"/>
      <c r="E716" s="53"/>
      <c r="F716" s="53"/>
      <c r="G716" s="53"/>
      <c r="H716" s="52" t="str">
        <f>IF(G716="","",IFERROR(VLOOKUP(G716,'Product_Stock_Master产品维护'!$A$2:$E992,2,FALSE()),"SKU not found"))</f>
        <v/>
      </c>
      <c r="I716" s="52" t="str">
        <f>IF(G716="","",IFERROR(VLOOKUP(G716,'Product_Stock_Master产品维护'!$A$2:$E992,3,FALSE()),"Item type not found"))</f>
        <v/>
      </c>
      <c r="J716" s="53"/>
      <c r="K716" s="53"/>
      <c r="L716" s="53"/>
      <c r="M716" s="53"/>
      <c r="N716" s="53"/>
      <c r="O716" s="52" t="str">
        <f t="shared" si="1"/>
        <v/>
      </c>
      <c r="P716" s="53"/>
      <c r="Q716" s="52" t="str">
        <f t="shared" si="9"/>
        <v/>
      </c>
      <c r="R716" s="52" t="str">
        <f t="shared" si="3"/>
        <v/>
      </c>
      <c r="S716" s="52" t="str">
        <f t="shared" si="10"/>
        <v/>
      </c>
      <c r="T716" s="52" t="str">
        <f t="shared" si="5"/>
        <v/>
      </c>
      <c r="U716" s="52"/>
      <c r="V716" s="53"/>
      <c r="W716" s="52" t="str">
        <f t="shared" si="6"/>
        <v/>
      </c>
      <c r="X716" s="52">
        <f t="shared" si="7"/>
        <v>0</v>
      </c>
      <c r="Y716" s="52">
        <f t="shared" si="8"/>
        <v>0</v>
      </c>
      <c r="Z716" s="52" t="str">
        <f>IF(G716="","",IFERROR(VLOOKUP(G716,'Product_Stock_Master产品维护'!$A$2:$L992,11,FALSE),"No"))</f>
        <v/>
      </c>
      <c r="AA716" s="52" t="str">
        <f>IF(G716="","",IFERROR(VLOOKUP(G716,'Product_Stock_Master产品维护'!$A$2:$L992,12,FALSE),""))</f>
        <v/>
      </c>
      <c r="AB716" s="52" t="str">
        <f t="shared" si="11"/>
        <v/>
      </c>
      <c r="AC716" s="52">
        <f t="shared" si="12"/>
        <v>0</v>
      </c>
    </row>
    <row r="717" ht="15.75" customHeight="1">
      <c r="A717" s="171"/>
      <c r="B717" s="171"/>
      <c r="C717" s="53"/>
      <c r="D717" s="53"/>
      <c r="E717" s="53"/>
      <c r="F717" s="53"/>
      <c r="G717" s="53"/>
      <c r="H717" s="52" t="str">
        <f>IF(G717="","",IFERROR(VLOOKUP(G717,'Product_Stock_Master产品维护'!$A$2:$E992,2,FALSE()),"SKU not found"))</f>
        <v/>
      </c>
      <c r="I717" s="52" t="str">
        <f>IF(G717="","",IFERROR(VLOOKUP(G717,'Product_Stock_Master产品维护'!$A$2:$E992,3,FALSE()),"Item type not found"))</f>
        <v/>
      </c>
      <c r="J717" s="53"/>
      <c r="K717" s="53"/>
      <c r="L717" s="53"/>
      <c r="M717" s="53"/>
      <c r="N717" s="53"/>
      <c r="O717" s="52" t="str">
        <f t="shared" si="1"/>
        <v/>
      </c>
      <c r="P717" s="53"/>
      <c r="Q717" s="52" t="str">
        <f t="shared" si="9"/>
        <v/>
      </c>
      <c r="R717" s="52" t="str">
        <f t="shared" si="3"/>
        <v/>
      </c>
      <c r="S717" s="52" t="str">
        <f t="shared" si="10"/>
        <v/>
      </c>
      <c r="T717" s="52" t="str">
        <f t="shared" si="5"/>
        <v/>
      </c>
      <c r="U717" s="52"/>
      <c r="V717" s="53"/>
      <c r="W717" s="52" t="str">
        <f t="shared" si="6"/>
        <v/>
      </c>
      <c r="X717" s="52">
        <f t="shared" si="7"/>
        <v>0</v>
      </c>
      <c r="Y717" s="52">
        <f t="shared" si="8"/>
        <v>0</v>
      </c>
      <c r="Z717" s="52" t="str">
        <f>IF(G717="","",IFERROR(VLOOKUP(G717,'Product_Stock_Master产品维护'!$A$2:$L992,11,FALSE),"No"))</f>
        <v/>
      </c>
      <c r="AA717" s="52" t="str">
        <f>IF(G717="","",IFERROR(VLOOKUP(G717,'Product_Stock_Master产品维护'!$A$2:$L992,12,FALSE),""))</f>
        <v/>
      </c>
      <c r="AB717" s="52" t="str">
        <f t="shared" si="11"/>
        <v/>
      </c>
      <c r="AC717" s="52">
        <f t="shared" si="12"/>
        <v>0</v>
      </c>
    </row>
    <row r="718" ht="15.75" customHeight="1">
      <c r="A718" s="171"/>
      <c r="B718" s="171"/>
      <c r="C718" s="53"/>
      <c r="D718" s="53"/>
      <c r="E718" s="53"/>
      <c r="F718" s="53"/>
      <c r="G718" s="53"/>
      <c r="H718" s="52" t="str">
        <f>IF(G718="","",IFERROR(VLOOKUP(G718,'Product_Stock_Master产品维护'!$A$2:$E992,2,FALSE()),"SKU not found"))</f>
        <v/>
      </c>
      <c r="I718" s="52" t="str">
        <f>IF(G718="","",IFERROR(VLOOKUP(G718,'Product_Stock_Master产品维护'!$A$2:$E992,3,FALSE()),"Item type not found"))</f>
        <v/>
      </c>
      <c r="J718" s="53"/>
      <c r="K718" s="53"/>
      <c r="L718" s="53"/>
      <c r="M718" s="53"/>
      <c r="N718" s="53"/>
      <c r="O718" s="52" t="str">
        <f t="shared" si="1"/>
        <v/>
      </c>
      <c r="P718" s="53"/>
      <c r="Q718" s="52" t="str">
        <f t="shared" si="9"/>
        <v/>
      </c>
      <c r="R718" s="52" t="str">
        <f t="shared" si="3"/>
        <v/>
      </c>
      <c r="S718" s="52" t="str">
        <f t="shared" si="10"/>
        <v/>
      </c>
      <c r="T718" s="52" t="str">
        <f t="shared" si="5"/>
        <v/>
      </c>
      <c r="U718" s="52"/>
      <c r="V718" s="53"/>
      <c r="W718" s="52" t="str">
        <f t="shared" si="6"/>
        <v/>
      </c>
      <c r="X718" s="52">
        <f t="shared" si="7"/>
        <v>0</v>
      </c>
      <c r="Y718" s="52">
        <f t="shared" si="8"/>
        <v>0</v>
      </c>
      <c r="Z718" s="52" t="str">
        <f>IF(G718="","",IFERROR(VLOOKUP(G718,'Product_Stock_Master产品维护'!$A$2:$L992,11,FALSE),"No"))</f>
        <v/>
      </c>
      <c r="AA718" s="52" t="str">
        <f>IF(G718="","",IFERROR(VLOOKUP(G718,'Product_Stock_Master产品维护'!$A$2:$L992,12,FALSE),""))</f>
        <v/>
      </c>
      <c r="AB718" s="52" t="str">
        <f t="shared" si="11"/>
        <v/>
      </c>
      <c r="AC718" s="52">
        <f t="shared" si="12"/>
        <v>0</v>
      </c>
    </row>
    <row r="719" ht="15.75" customHeight="1">
      <c r="A719" s="171"/>
      <c r="B719" s="171"/>
      <c r="C719" s="53"/>
      <c r="D719" s="53"/>
      <c r="E719" s="53"/>
      <c r="F719" s="53"/>
      <c r="G719" s="53"/>
      <c r="H719" s="52" t="str">
        <f>IF(G719="","",IFERROR(VLOOKUP(G719,'Product_Stock_Master产品维护'!$A$2:$E992,2,FALSE()),"SKU not found"))</f>
        <v/>
      </c>
      <c r="I719" s="52" t="str">
        <f>IF(G719="","",IFERROR(VLOOKUP(G719,'Product_Stock_Master产品维护'!$A$2:$E992,3,FALSE()),"Item type not found"))</f>
        <v/>
      </c>
      <c r="J719" s="53"/>
      <c r="K719" s="53"/>
      <c r="L719" s="53"/>
      <c r="M719" s="53"/>
      <c r="N719" s="53"/>
      <c r="O719" s="52" t="str">
        <f t="shared" si="1"/>
        <v/>
      </c>
      <c r="P719" s="53"/>
      <c r="Q719" s="52" t="str">
        <f t="shared" si="9"/>
        <v/>
      </c>
      <c r="R719" s="52" t="str">
        <f t="shared" si="3"/>
        <v/>
      </c>
      <c r="S719" s="52" t="str">
        <f t="shared" si="10"/>
        <v/>
      </c>
      <c r="T719" s="52" t="str">
        <f t="shared" si="5"/>
        <v/>
      </c>
      <c r="U719" s="52"/>
      <c r="V719" s="53"/>
      <c r="W719" s="52" t="str">
        <f t="shared" si="6"/>
        <v/>
      </c>
      <c r="X719" s="52">
        <f t="shared" si="7"/>
        <v>0</v>
      </c>
      <c r="Y719" s="52">
        <f t="shared" si="8"/>
        <v>0</v>
      </c>
      <c r="Z719" s="52" t="str">
        <f>IF(G719="","",IFERROR(VLOOKUP(G719,'Product_Stock_Master产品维护'!$A$2:$L992,11,FALSE),"No"))</f>
        <v/>
      </c>
      <c r="AA719" s="52" t="str">
        <f>IF(G719="","",IFERROR(VLOOKUP(G719,'Product_Stock_Master产品维护'!$A$2:$L992,12,FALSE),""))</f>
        <v/>
      </c>
      <c r="AB719" s="52" t="str">
        <f t="shared" si="11"/>
        <v/>
      </c>
      <c r="AC719" s="52">
        <f t="shared" si="12"/>
        <v>0</v>
      </c>
    </row>
    <row r="720" ht="15.75" customHeight="1">
      <c r="A720" s="171"/>
      <c r="B720" s="171"/>
      <c r="C720" s="53"/>
      <c r="D720" s="53"/>
      <c r="E720" s="53"/>
      <c r="F720" s="53"/>
      <c r="G720" s="53"/>
      <c r="H720" s="52" t="str">
        <f>IF(G720="","",IFERROR(VLOOKUP(G720,'Product_Stock_Master产品维护'!$A$2:$E992,2,FALSE()),"SKU not found"))</f>
        <v/>
      </c>
      <c r="I720" s="52" t="str">
        <f>IF(G720="","",IFERROR(VLOOKUP(G720,'Product_Stock_Master产品维护'!$A$2:$E992,3,FALSE()),"Item type not found"))</f>
        <v/>
      </c>
      <c r="J720" s="53"/>
      <c r="K720" s="53"/>
      <c r="L720" s="53"/>
      <c r="M720" s="53"/>
      <c r="N720" s="53"/>
      <c r="O720" s="52" t="str">
        <f t="shared" si="1"/>
        <v/>
      </c>
      <c r="P720" s="53"/>
      <c r="Q720" s="52" t="str">
        <f t="shared" si="9"/>
        <v/>
      </c>
      <c r="R720" s="52" t="str">
        <f t="shared" si="3"/>
        <v/>
      </c>
      <c r="S720" s="52" t="str">
        <f t="shared" si="10"/>
        <v/>
      </c>
      <c r="T720" s="52" t="str">
        <f t="shared" si="5"/>
        <v/>
      </c>
      <c r="U720" s="52"/>
      <c r="V720" s="53"/>
      <c r="W720" s="52" t="str">
        <f t="shared" si="6"/>
        <v/>
      </c>
      <c r="X720" s="52">
        <f t="shared" si="7"/>
        <v>0</v>
      </c>
      <c r="Y720" s="52">
        <f t="shared" si="8"/>
        <v>0</v>
      </c>
      <c r="Z720" s="52" t="str">
        <f>IF(G720="","",IFERROR(VLOOKUP(G720,'Product_Stock_Master产品维护'!$A$2:$L992,11,FALSE),"No"))</f>
        <v/>
      </c>
      <c r="AA720" s="52" t="str">
        <f>IF(G720="","",IFERROR(VLOOKUP(G720,'Product_Stock_Master产品维护'!$A$2:$L992,12,FALSE),""))</f>
        <v/>
      </c>
      <c r="AB720" s="52" t="str">
        <f t="shared" si="11"/>
        <v/>
      </c>
      <c r="AC720" s="52">
        <f t="shared" si="12"/>
        <v>0</v>
      </c>
    </row>
    <row r="721" ht="15.75" customHeight="1">
      <c r="A721" s="171"/>
      <c r="B721" s="171"/>
      <c r="C721" s="53"/>
      <c r="D721" s="53"/>
      <c r="E721" s="53"/>
      <c r="F721" s="53"/>
      <c r="G721" s="53"/>
      <c r="H721" s="52" t="str">
        <f>IF(G721="","",IFERROR(VLOOKUP(G721,'Product_Stock_Master产品维护'!$A$2:$E992,2,FALSE()),"SKU not found"))</f>
        <v/>
      </c>
      <c r="I721" s="52" t="str">
        <f>IF(G721="","",IFERROR(VLOOKUP(G721,'Product_Stock_Master产品维护'!$A$2:$E992,3,FALSE()),"Item type not found"))</f>
        <v/>
      </c>
      <c r="J721" s="53"/>
      <c r="K721" s="53"/>
      <c r="L721" s="53"/>
      <c r="M721" s="53"/>
      <c r="N721" s="53"/>
      <c r="O721" s="52" t="str">
        <f t="shared" si="1"/>
        <v/>
      </c>
      <c r="P721" s="53"/>
      <c r="Q721" s="52" t="str">
        <f t="shared" si="9"/>
        <v/>
      </c>
      <c r="R721" s="52" t="str">
        <f t="shared" si="3"/>
        <v/>
      </c>
      <c r="S721" s="52" t="str">
        <f t="shared" si="10"/>
        <v/>
      </c>
      <c r="T721" s="52" t="str">
        <f t="shared" si="5"/>
        <v/>
      </c>
      <c r="U721" s="52"/>
      <c r="V721" s="53"/>
      <c r="W721" s="52" t="str">
        <f t="shared" si="6"/>
        <v/>
      </c>
      <c r="X721" s="52">
        <f t="shared" si="7"/>
        <v>0</v>
      </c>
      <c r="Y721" s="52">
        <f t="shared" si="8"/>
        <v>0</v>
      </c>
      <c r="Z721" s="52" t="str">
        <f>IF(G721="","",IFERROR(VLOOKUP(G721,'Product_Stock_Master产品维护'!$A$2:$L992,11,FALSE),"No"))</f>
        <v/>
      </c>
      <c r="AA721" s="52" t="str">
        <f>IF(G721="","",IFERROR(VLOOKUP(G721,'Product_Stock_Master产品维护'!$A$2:$L992,12,FALSE),""))</f>
        <v/>
      </c>
      <c r="AB721" s="52" t="str">
        <f t="shared" si="11"/>
        <v/>
      </c>
      <c r="AC721" s="52">
        <f t="shared" si="12"/>
        <v>0</v>
      </c>
    </row>
    <row r="722" ht="15.75" customHeight="1">
      <c r="A722" s="171"/>
      <c r="B722" s="171"/>
      <c r="C722" s="53"/>
      <c r="D722" s="53"/>
      <c r="E722" s="53"/>
      <c r="F722" s="53"/>
      <c r="G722" s="53"/>
      <c r="H722" s="52" t="str">
        <f>IF(G722="","",IFERROR(VLOOKUP(G722,'Product_Stock_Master产品维护'!$A$2:$E992,2,FALSE()),"SKU not found"))</f>
        <v/>
      </c>
      <c r="I722" s="52" t="str">
        <f>IF(G722="","",IFERROR(VLOOKUP(G722,'Product_Stock_Master产品维护'!$A$2:$E992,3,FALSE()),"Item type not found"))</f>
        <v/>
      </c>
      <c r="J722" s="53"/>
      <c r="K722" s="53"/>
      <c r="L722" s="53"/>
      <c r="M722" s="53"/>
      <c r="N722" s="53"/>
      <c r="O722" s="52" t="str">
        <f t="shared" si="1"/>
        <v/>
      </c>
      <c r="P722" s="53"/>
      <c r="Q722" s="52" t="str">
        <f t="shared" si="9"/>
        <v/>
      </c>
      <c r="R722" s="52" t="str">
        <f t="shared" si="3"/>
        <v/>
      </c>
      <c r="S722" s="52" t="str">
        <f t="shared" si="10"/>
        <v/>
      </c>
      <c r="T722" s="52" t="str">
        <f t="shared" si="5"/>
        <v/>
      </c>
      <c r="U722" s="52"/>
      <c r="V722" s="53"/>
      <c r="W722" s="52" t="str">
        <f t="shared" si="6"/>
        <v/>
      </c>
      <c r="X722" s="52">
        <f t="shared" si="7"/>
        <v>0</v>
      </c>
      <c r="Y722" s="52">
        <f t="shared" si="8"/>
        <v>0</v>
      </c>
      <c r="Z722" s="52" t="str">
        <f>IF(G722="","",IFERROR(VLOOKUP(G722,'Product_Stock_Master产品维护'!$A$2:$L992,11,FALSE),"No"))</f>
        <v/>
      </c>
      <c r="AA722" s="52" t="str">
        <f>IF(G722="","",IFERROR(VLOOKUP(G722,'Product_Stock_Master产品维护'!$A$2:$L992,12,FALSE),""))</f>
        <v/>
      </c>
      <c r="AB722" s="52" t="str">
        <f t="shared" si="11"/>
        <v/>
      </c>
      <c r="AC722" s="52">
        <f t="shared" si="12"/>
        <v>0</v>
      </c>
    </row>
    <row r="723" ht="15.75" customHeight="1">
      <c r="A723" s="171"/>
      <c r="B723" s="171"/>
      <c r="C723" s="53"/>
      <c r="D723" s="53"/>
      <c r="E723" s="53"/>
      <c r="F723" s="53"/>
      <c r="G723" s="53"/>
      <c r="H723" s="52" t="str">
        <f>IF(G723="","",IFERROR(VLOOKUP(G723,'Product_Stock_Master产品维护'!$A$2:$E992,2,FALSE()),"SKU not found"))</f>
        <v/>
      </c>
      <c r="I723" s="52" t="str">
        <f>IF(G723="","",IFERROR(VLOOKUP(G723,'Product_Stock_Master产品维护'!$A$2:$E992,3,FALSE()),"Item type not found"))</f>
        <v/>
      </c>
      <c r="J723" s="53"/>
      <c r="K723" s="53"/>
      <c r="L723" s="53"/>
      <c r="M723" s="53"/>
      <c r="N723" s="53"/>
      <c r="O723" s="52" t="str">
        <f t="shared" si="1"/>
        <v/>
      </c>
      <c r="P723" s="53"/>
      <c r="Q723" s="52" t="str">
        <f t="shared" si="9"/>
        <v/>
      </c>
      <c r="R723" s="52" t="str">
        <f t="shared" si="3"/>
        <v/>
      </c>
      <c r="S723" s="52" t="str">
        <f t="shared" si="10"/>
        <v/>
      </c>
      <c r="T723" s="52" t="str">
        <f t="shared" si="5"/>
        <v/>
      </c>
      <c r="U723" s="52"/>
      <c r="V723" s="53"/>
      <c r="W723" s="52" t="str">
        <f t="shared" si="6"/>
        <v/>
      </c>
      <c r="X723" s="52">
        <f t="shared" si="7"/>
        <v>0</v>
      </c>
      <c r="Y723" s="52">
        <f t="shared" si="8"/>
        <v>0</v>
      </c>
      <c r="Z723" s="52" t="str">
        <f>IF(G723="","",IFERROR(VLOOKUP(G723,'Product_Stock_Master产品维护'!$A$2:$L992,11,FALSE),"No"))</f>
        <v/>
      </c>
      <c r="AA723" s="52" t="str">
        <f>IF(G723="","",IFERROR(VLOOKUP(G723,'Product_Stock_Master产品维护'!$A$2:$L992,12,FALSE),""))</f>
        <v/>
      </c>
      <c r="AB723" s="52" t="str">
        <f t="shared" si="11"/>
        <v/>
      </c>
      <c r="AC723" s="52">
        <f t="shared" si="12"/>
        <v>0</v>
      </c>
    </row>
    <row r="724" ht="15.75" customHeight="1">
      <c r="A724" s="171"/>
      <c r="B724" s="171"/>
      <c r="C724" s="53"/>
      <c r="D724" s="53"/>
      <c r="E724" s="53"/>
      <c r="F724" s="53"/>
      <c r="G724" s="53"/>
      <c r="H724" s="52" t="str">
        <f>IF(G724="","",IFERROR(VLOOKUP(G724,'Product_Stock_Master产品维护'!$A$2:$E992,2,FALSE()),"SKU not found"))</f>
        <v/>
      </c>
      <c r="I724" s="52" t="str">
        <f>IF(G724="","",IFERROR(VLOOKUP(G724,'Product_Stock_Master产品维护'!$A$2:$E992,3,FALSE()),"Item type not found"))</f>
        <v/>
      </c>
      <c r="J724" s="53"/>
      <c r="K724" s="53"/>
      <c r="L724" s="53"/>
      <c r="M724" s="53"/>
      <c r="N724" s="53"/>
      <c r="O724" s="52" t="str">
        <f t="shared" si="1"/>
        <v/>
      </c>
      <c r="P724" s="53"/>
      <c r="Q724" s="52" t="str">
        <f t="shared" si="9"/>
        <v/>
      </c>
      <c r="R724" s="52" t="str">
        <f t="shared" si="3"/>
        <v/>
      </c>
      <c r="S724" s="52" t="str">
        <f t="shared" si="10"/>
        <v/>
      </c>
      <c r="T724" s="52" t="str">
        <f t="shared" si="5"/>
        <v/>
      </c>
      <c r="U724" s="52"/>
      <c r="V724" s="53"/>
      <c r="W724" s="52" t="str">
        <f t="shared" si="6"/>
        <v/>
      </c>
      <c r="X724" s="52">
        <f t="shared" si="7"/>
        <v>0</v>
      </c>
      <c r="Y724" s="52">
        <f t="shared" si="8"/>
        <v>0</v>
      </c>
      <c r="Z724" s="52" t="str">
        <f>IF(G724="","",IFERROR(VLOOKUP(G724,'Product_Stock_Master产品维护'!$A$2:$L992,11,FALSE),"No"))</f>
        <v/>
      </c>
      <c r="AA724" s="52" t="str">
        <f>IF(G724="","",IFERROR(VLOOKUP(G724,'Product_Stock_Master产品维护'!$A$2:$L992,12,FALSE),""))</f>
        <v/>
      </c>
      <c r="AB724" s="52" t="str">
        <f t="shared" si="11"/>
        <v/>
      </c>
      <c r="AC724" s="52">
        <f t="shared" si="12"/>
        <v>0</v>
      </c>
    </row>
    <row r="725" ht="15.75" customHeight="1">
      <c r="A725" s="171"/>
      <c r="B725" s="171"/>
      <c r="C725" s="53"/>
      <c r="D725" s="53"/>
      <c r="E725" s="53"/>
      <c r="F725" s="53"/>
      <c r="G725" s="53"/>
      <c r="H725" s="52" t="str">
        <f>IF(G725="","",IFERROR(VLOOKUP(G725,'Product_Stock_Master产品维护'!$A$2:$E992,2,FALSE()),"SKU not found"))</f>
        <v/>
      </c>
      <c r="I725" s="52" t="str">
        <f>IF(G725="","",IFERROR(VLOOKUP(G725,'Product_Stock_Master产品维护'!$A$2:$E992,3,FALSE()),"Item type not found"))</f>
        <v/>
      </c>
      <c r="J725" s="53"/>
      <c r="K725" s="53"/>
      <c r="L725" s="53"/>
      <c r="M725" s="53"/>
      <c r="N725" s="53"/>
      <c r="O725" s="52" t="str">
        <f t="shared" si="1"/>
        <v/>
      </c>
      <c r="P725" s="53"/>
      <c r="Q725" s="52" t="str">
        <f t="shared" si="9"/>
        <v/>
      </c>
      <c r="R725" s="52" t="str">
        <f t="shared" si="3"/>
        <v/>
      </c>
      <c r="S725" s="52" t="str">
        <f t="shared" si="10"/>
        <v/>
      </c>
      <c r="T725" s="52" t="str">
        <f t="shared" si="5"/>
        <v/>
      </c>
      <c r="U725" s="52"/>
      <c r="V725" s="53"/>
      <c r="W725" s="52" t="str">
        <f t="shared" si="6"/>
        <v/>
      </c>
      <c r="X725" s="52">
        <f t="shared" si="7"/>
        <v>0</v>
      </c>
      <c r="Y725" s="52">
        <f t="shared" si="8"/>
        <v>0</v>
      </c>
      <c r="Z725" s="52" t="str">
        <f>IF(G725="","",IFERROR(VLOOKUP(G725,'Product_Stock_Master产品维护'!$A$2:$L992,11,FALSE),"No"))</f>
        <v/>
      </c>
      <c r="AA725" s="52" t="str">
        <f>IF(G725="","",IFERROR(VLOOKUP(G725,'Product_Stock_Master产品维护'!$A$2:$L992,12,FALSE),""))</f>
        <v/>
      </c>
      <c r="AB725" s="52" t="str">
        <f t="shared" si="11"/>
        <v/>
      </c>
      <c r="AC725" s="52">
        <f t="shared" si="12"/>
        <v>0</v>
      </c>
    </row>
    <row r="726" ht="15.75" customHeight="1">
      <c r="A726" s="171"/>
      <c r="B726" s="171"/>
      <c r="C726" s="53"/>
      <c r="D726" s="53"/>
      <c r="E726" s="53"/>
      <c r="F726" s="53"/>
      <c r="G726" s="53"/>
      <c r="H726" s="52" t="str">
        <f>IF(G726="","",IFERROR(VLOOKUP(G726,'Product_Stock_Master产品维护'!$A$2:$E992,2,FALSE()),"SKU not found"))</f>
        <v/>
      </c>
      <c r="I726" s="52" t="str">
        <f>IF(G726="","",IFERROR(VLOOKUP(G726,'Product_Stock_Master产品维护'!$A$2:$E992,3,FALSE()),"Item type not found"))</f>
        <v/>
      </c>
      <c r="J726" s="53"/>
      <c r="K726" s="53"/>
      <c r="L726" s="53"/>
      <c r="M726" s="53"/>
      <c r="N726" s="53"/>
      <c r="O726" s="52" t="str">
        <f t="shared" si="1"/>
        <v/>
      </c>
      <c r="P726" s="53"/>
      <c r="Q726" s="52" t="str">
        <f t="shared" si="9"/>
        <v/>
      </c>
      <c r="R726" s="52" t="str">
        <f t="shared" si="3"/>
        <v/>
      </c>
      <c r="S726" s="52" t="str">
        <f t="shared" si="10"/>
        <v/>
      </c>
      <c r="T726" s="52" t="str">
        <f t="shared" si="5"/>
        <v/>
      </c>
      <c r="U726" s="52"/>
      <c r="V726" s="53"/>
      <c r="W726" s="52" t="str">
        <f t="shared" si="6"/>
        <v/>
      </c>
      <c r="X726" s="52">
        <f t="shared" si="7"/>
        <v>0</v>
      </c>
      <c r="Y726" s="52">
        <f t="shared" si="8"/>
        <v>0</v>
      </c>
      <c r="Z726" s="52" t="str">
        <f>IF(G726="","",IFERROR(VLOOKUP(G726,'Product_Stock_Master产品维护'!$A$2:$L992,11,FALSE),"No"))</f>
        <v/>
      </c>
      <c r="AA726" s="52" t="str">
        <f>IF(G726="","",IFERROR(VLOOKUP(G726,'Product_Stock_Master产品维护'!$A$2:$L992,12,FALSE),""))</f>
        <v/>
      </c>
      <c r="AB726" s="52" t="str">
        <f t="shared" si="11"/>
        <v/>
      </c>
      <c r="AC726" s="52">
        <f t="shared" si="12"/>
        <v>0</v>
      </c>
    </row>
    <row r="727" ht="15.75" customHeight="1">
      <c r="A727" s="171"/>
      <c r="B727" s="171"/>
      <c r="C727" s="53"/>
      <c r="D727" s="53"/>
      <c r="E727" s="53"/>
      <c r="F727" s="53"/>
      <c r="G727" s="53"/>
      <c r="H727" s="52" t="str">
        <f>IF(G727="","",IFERROR(VLOOKUP(G727,'Product_Stock_Master产品维护'!$A$2:$E992,2,FALSE()),"SKU not found"))</f>
        <v/>
      </c>
      <c r="I727" s="52" t="str">
        <f>IF(G727="","",IFERROR(VLOOKUP(G727,'Product_Stock_Master产品维护'!$A$2:$E992,3,FALSE()),"Item type not found"))</f>
        <v/>
      </c>
      <c r="J727" s="53"/>
      <c r="K727" s="53"/>
      <c r="L727" s="53"/>
      <c r="M727" s="53"/>
      <c r="N727" s="53"/>
      <c r="O727" s="52" t="str">
        <f t="shared" si="1"/>
        <v/>
      </c>
      <c r="P727" s="53"/>
      <c r="Q727" s="52" t="str">
        <f t="shared" si="9"/>
        <v/>
      </c>
      <c r="R727" s="52" t="str">
        <f t="shared" si="3"/>
        <v/>
      </c>
      <c r="S727" s="52" t="str">
        <f t="shared" si="10"/>
        <v/>
      </c>
      <c r="T727" s="52" t="str">
        <f t="shared" si="5"/>
        <v/>
      </c>
      <c r="U727" s="52"/>
      <c r="V727" s="53"/>
      <c r="W727" s="52" t="str">
        <f t="shared" si="6"/>
        <v/>
      </c>
      <c r="X727" s="52">
        <f t="shared" si="7"/>
        <v>0</v>
      </c>
      <c r="Y727" s="52">
        <f t="shared" si="8"/>
        <v>0</v>
      </c>
      <c r="Z727" s="52" t="str">
        <f>IF(G727="","",IFERROR(VLOOKUP(G727,'Product_Stock_Master产品维护'!$A$2:$L992,11,FALSE),"No"))</f>
        <v/>
      </c>
      <c r="AA727" s="52" t="str">
        <f>IF(G727="","",IFERROR(VLOOKUP(G727,'Product_Stock_Master产品维护'!$A$2:$L992,12,FALSE),""))</f>
        <v/>
      </c>
      <c r="AB727" s="52" t="str">
        <f t="shared" si="11"/>
        <v/>
      </c>
      <c r="AC727" s="52">
        <f t="shared" si="12"/>
        <v>0</v>
      </c>
    </row>
    <row r="728" ht="15.75" customHeight="1">
      <c r="A728" s="171"/>
      <c r="B728" s="171"/>
      <c r="C728" s="53"/>
      <c r="D728" s="53"/>
      <c r="E728" s="53"/>
      <c r="F728" s="53"/>
      <c r="G728" s="53"/>
      <c r="H728" s="52" t="str">
        <f>IF(G728="","",IFERROR(VLOOKUP(G728,'Product_Stock_Master产品维护'!$A$2:$E992,2,FALSE()),"SKU not found"))</f>
        <v/>
      </c>
      <c r="I728" s="52" t="str">
        <f>IF(G728="","",IFERROR(VLOOKUP(G728,'Product_Stock_Master产品维护'!$A$2:$E992,3,FALSE()),"Item type not found"))</f>
        <v/>
      </c>
      <c r="J728" s="53"/>
      <c r="K728" s="53"/>
      <c r="L728" s="53"/>
      <c r="M728" s="53"/>
      <c r="N728" s="53"/>
      <c r="O728" s="52" t="str">
        <f t="shared" si="1"/>
        <v/>
      </c>
      <c r="P728" s="53"/>
      <c r="Q728" s="52" t="str">
        <f t="shared" si="9"/>
        <v/>
      </c>
      <c r="R728" s="52" t="str">
        <f t="shared" si="3"/>
        <v/>
      </c>
      <c r="S728" s="52" t="str">
        <f t="shared" si="10"/>
        <v/>
      </c>
      <c r="T728" s="52" t="str">
        <f t="shared" si="5"/>
        <v/>
      </c>
      <c r="U728" s="52"/>
      <c r="V728" s="53"/>
      <c r="W728" s="52" t="str">
        <f t="shared" si="6"/>
        <v/>
      </c>
      <c r="X728" s="52">
        <f t="shared" si="7"/>
        <v>0</v>
      </c>
      <c r="Y728" s="52">
        <f t="shared" si="8"/>
        <v>0</v>
      </c>
      <c r="Z728" s="52" t="str">
        <f>IF(G728="","",IFERROR(VLOOKUP(G728,'Product_Stock_Master产品维护'!$A$2:$L992,11,FALSE),"No"))</f>
        <v/>
      </c>
      <c r="AA728" s="52" t="str">
        <f>IF(G728="","",IFERROR(VLOOKUP(G728,'Product_Stock_Master产品维护'!$A$2:$L992,12,FALSE),""))</f>
        <v/>
      </c>
      <c r="AB728" s="52" t="str">
        <f t="shared" si="11"/>
        <v/>
      </c>
      <c r="AC728" s="52">
        <f t="shared" si="12"/>
        <v>0</v>
      </c>
    </row>
    <row r="729" ht="15.75" customHeight="1">
      <c r="A729" s="171"/>
      <c r="B729" s="171"/>
      <c r="C729" s="53"/>
      <c r="D729" s="53"/>
      <c r="E729" s="53"/>
      <c r="F729" s="53"/>
      <c r="G729" s="53"/>
      <c r="H729" s="52" t="str">
        <f>IF(G729="","",IFERROR(VLOOKUP(G729,'Product_Stock_Master产品维护'!$A$2:$E992,2,FALSE()),"SKU not found"))</f>
        <v/>
      </c>
      <c r="I729" s="52" t="str">
        <f>IF(G729="","",IFERROR(VLOOKUP(G729,'Product_Stock_Master产品维护'!$A$2:$E992,3,FALSE()),"Item type not found"))</f>
        <v/>
      </c>
      <c r="J729" s="53"/>
      <c r="K729" s="53"/>
      <c r="L729" s="53"/>
      <c r="M729" s="53"/>
      <c r="N729" s="53"/>
      <c r="O729" s="52" t="str">
        <f t="shared" si="1"/>
        <v/>
      </c>
      <c r="P729" s="53"/>
      <c r="Q729" s="52" t="str">
        <f t="shared" si="9"/>
        <v/>
      </c>
      <c r="R729" s="52" t="str">
        <f t="shared" si="3"/>
        <v/>
      </c>
      <c r="S729" s="52" t="str">
        <f t="shared" si="10"/>
        <v/>
      </c>
      <c r="T729" s="52" t="str">
        <f t="shared" si="5"/>
        <v/>
      </c>
      <c r="U729" s="52"/>
      <c r="V729" s="53"/>
      <c r="W729" s="52" t="str">
        <f t="shared" si="6"/>
        <v/>
      </c>
      <c r="X729" s="52">
        <f t="shared" si="7"/>
        <v>0</v>
      </c>
      <c r="Y729" s="52">
        <f t="shared" si="8"/>
        <v>0</v>
      </c>
      <c r="Z729" s="52" t="str">
        <f>IF(G729="","",IFERROR(VLOOKUP(G729,'Product_Stock_Master产品维护'!$A$2:$L992,11,FALSE),"No"))</f>
        <v/>
      </c>
      <c r="AA729" s="52" t="str">
        <f>IF(G729="","",IFERROR(VLOOKUP(G729,'Product_Stock_Master产品维护'!$A$2:$L992,12,FALSE),""))</f>
        <v/>
      </c>
      <c r="AB729" s="52" t="str">
        <f t="shared" si="11"/>
        <v/>
      </c>
      <c r="AC729" s="52">
        <f t="shared" si="12"/>
        <v>0</v>
      </c>
    </row>
    <row r="730" ht="15.75" customHeight="1">
      <c r="A730" s="171"/>
      <c r="B730" s="171"/>
      <c r="C730" s="53"/>
      <c r="D730" s="53"/>
      <c r="E730" s="53"/>
      <c r="F730" s="53"/>
      <c r="G730" s="53"/>
      <c r="H730" s="52" t="str">
        <f>IF(G730="","",IFERROR(VLOOKUP(G730,'Product_Stock_Master产品维护'!$A$2:$E992,2,FALSE()),"SKU not found"))</f>
        <v/>
      </c>
      <c r="I730" s="52" t="str">
        <f>IF(G730="","",IFERROR(VLOOKUP(G730,'Product_Stock_Master产品维护'!$A$2:$E992,3,FALSE()),"Item type not found"))</f>
        <v/>
      </c>
      <c r="J730" s="53"/>
      <c r="K730" s="53"/>
      <c r="L730" s="53"/>
      <c r="M730" s="53"/>
      <c r="N730" s="53"/>
      <c r="O730" s="52" t="str">
        <f t="shared" si="1"/>
        <v/>
      </c>
      <c r="P730" s="53"/>
      <c r="Q730" s="52" t="str">
        <f t="shared" si="9"/>
        <v/>
      </c>
      <c r="R730" s="52" t="str">
        <f t="shared" si="3"/>
        <v/>
      </c>
      <c r="S730" s="52" t="str">
        <f t="shared" si="10"/>
        <v/>
      </c>
      <c r="T730" s="52" t="str">
        <f t="shared" si="5"/>
        <v/>
      </c>
      <c r="U730" s="52"/>
      <c r="V730" s="53"/>
      <c r="W730" s="52" t="str">
        <f t="shared" si="6"/>
        <v/>
      </c>
      <c r="X730" s="52">
        <f t="shared" si="7"/>
        <v>0</v>
      </c>
      <c r="Y730" s="52">
        <f t="shared" si="8"/>
        <v>0</v>
      </c>
      <c r="Z730" s="52" t="str">
        <f>IF(G730="","",IFERROR(VLOOKUP(G730,'Product_Stock_Master产品维护'!$A$2:$L992,11,FALSE),"No"))</f>
        <v/>
      </c>
      <c r="AA730" s="52" t="str">
        <f>IF(G730="","",IFERROR(VLOOKUP(G730,'Product_Stock_Master产品维护'!$A$2:$L992,12,FALSE),""))</f>
        <v/>
      </c>
      <c r="AB730" s="52" t="str">
        <f t="shared" si="11"/>
        <v/>
      </c>
      <c r="AC730" s="52">
        <f t="shared" si="12"/>
        <v>0</v>
      </c>
    </row>
    <row r="731" ht="15.75" customHeight="1">
      <c r="A731" s="171"/>
      <c r="B731" s="171"/>
      <c r="C731" s="53"/>
      <c r="D731" s="53"/>
      <c r="E731" s="53"/>
      <c r="F731" s="53"/>
      <c r="G731" s="53"/>
      <c r="H731" s="52" t="str">
        <f>IF(G731="","",IFERROR(VLOOKUP(G731,'Product_Stock_Master产品维护'!$A$2:$E992,2,FALSE()),"SKU not found"))</f>
        <v/>
      </c>
      <c r="I731" s="52" t="str">
        <f>IF(G731="","",IFERROR(VLOOKUP(G731,'Product_Stock_Master产品维护'!$A$2:$E992,3,FALSE()),"Item type not found"))</f>
        <v/>
      </c>
      <c r="J731" s="53"/>
      <c r="K731" s="53"/>
      <c r="L731" s="53"/>
      <c r="M731" s="53"/>
      <c r="N731" s="53"/>
      <c r="O731" s="52" t="str">
        <f t="shared" si="1"/>
        <v/>
      </c>
      <c r="P731" s="53"/>
      <c r="Q731" s="52" t="str">
        <f t="shared" si="9"/>
        <v/>
      </c>
      <c r="R731" s="52" t="str">
        <f t="shared" si="3"/>
        <v/>
      </c>
      <c r="S731" s="52" t="str">
        <f t="shared" si="10"/>
        <v/>
      </c>
      <c r="T731" s="52" t="str">
        <f t="shared" si="5"/>
        <v/>
      </c>
      <c r="U731" s="52"/>
      <c r="V731" s="53"/>
      <c r="W731" s="52" t="str">
        <f t="shared" si="6"/>
        <v/>
      </c>
      <c r="X731" s="52">
        <f t="shared" si="7"/>
        <v>0</v>
      </c>
      <c r="Y731" s="52">
        <f t="shared" si="8"/>
        <v>0</v>
      </c>
      <c r="Z731" s="52" t="str">
        <f>IF(G731="","",IFERROR(VLOOKUP(G731,'Product_Stock_Master产品维护'!$A$2:$L992,11,FALSE),"No"))</f>
        <v/>
      </c>
      <c r="AA731" s="52" t="str">
        <f>IF(G731="","",IFERROR(VLOOKUP(G731,'Product_Stock_Master产品维护'!$A$2:$L992,12,FALSE),""))</f>
        <v/>
      </c>
      <c r="AB731" s="52" t="str">
        <f t="shared" si="11"/>
        <v/>
      </c>
      <c r="AC731" s="52">
        <f t="shared" si="12"/>
        <v>0</v>
      </c>
    </row>
    <row r="732" ht="15.75" customHeight="1">
      <c r="A732" s="171"/>
      <c r="B732" s="171"/>
      <c r="C732" s="53"/>
      <c r="D732" s="53"/>
      <c r="E732" s="53"/>
      <c r="F732" s="53"/>
      <c r="G732" s="53"/>
      <c r="H732" s="52" t="str">
        <f>IF(G732="","",IFERROR(VLOOKUP(G732,'Product_Stock_Master产品维护'!$A$2:$E992,2,FALSE()),"SKU not found"))</f>
        <v/>
      </c>
      <c r="I732" s="52" t="str">
        <f>IF(G732="","",IFERROR(VLOOKUP(G732,'Product_Stock_Master产品维护'!$A$2:$E992,3,FALSE()),"Item type not found"))</f>
        <v/>
      </c>
      <c r="J732" s="53"/>
      <c r="K732" s="53"/>
      <c r="L732" s="53"/>
      <c r="M732" s="53"/>
      <c r="N732" s="53"/>
      <c r="O732" s="52" t="str">
        <f t="shared" si="1"/>
        <v/>
      </c>
      <c r="P732" s="53"/>
      <c r="Q732" s="52" t="str">
        <f t="shared" si="9"/>
        <v/>
      </c>
      <c r="R732" s="52" t="str">
        <f t="shared" si="3"/>
        <v/>
      </c>
      <c r="S732" s="52" t="str">
        <f t="shared" si="10"/>
        <v/>
      </c>
      <c r="T732" s="52" t="str">
        <f t="shared" si="5"/>
        <v/>
      </c>
      <c r="U732" s="52"/>
      <c r="V732" s="53"/>
      <c r="W732" s="52" t="str">
        <f t="shared" si="6"/>
        <v/>
      </c>
      <c r="X732" s="52">
        <f t="shared" si="7"/>
        <v>0</v>
      </c>
      <c r="Y732" s="52">
        <f t="shared" si="8"/>
        <v>0</v>
      </c>
      <c r="Z732" s="52" t="str">
        <f>IF(G732="","",IFERROR(VLOOKUP(G732,'Product_Stock_Master产品维护'!$A$2:$L992,11,FALSE),"No"))</f>
        <v/>
      </c>
      <c r="AA732" s="52" t="str">
        <f>IF(G732="","",IFERROR(VLOOKUP(G732,'Product_Stock_Master产品维护'!$A$2:$L992,12,FALSE),""))</f>
        <v/>
      </c>
      <c r="AB732" s="52" t="str">
        <f t="shared" si="11"/>
        <v/>
      </c>
      <c r="AC732" s="52">
        <f t="shared" si="12"/>
        <v>0</v>
      </c>
    </row>
    <row r="733" ht="15.75" customHeight="1">
      <c r="A733" s="171"/>
      <c r="B733" s="171"/>
      <c r="C733" s="53"/>
      <c r="D733" s="53"/>
      <c r="E733" s="53"/>
      <c r="F733" s="53"/>
      <c r="G733" s="53"/>
      <c r="H733" s="52" t="str">
        <f>IF(G733="","",IFERROR(VLOOKUP(G733,'Product_Stock_Master产品维护'!$A$2:$E992,2,FALSE()),"SKU not found"))</f>
        <v/>
      </c>
      <c r="I733" s="52" t="str">
        <f>IF(G733="","",IFERROR(VLOOKUP(G733,'Product_Stock_Master产品维护'!$A$2:$E992,3,FALSE()),"Item type not found"))</f>
        <v/>
      </c>
      <c r="J733" s="53"/>
      <c r="K733" s="53"/>
      <c r="L733" s="53"/>
      <c r="M733" s="53"/>
      <c r="N733" s="53"/>
      <c r="O733" s="52" t="str">
        <f t="shared" si="1"/>
        <v/>
      </c>
      <c r="P733" s="53"/>
      <c r="Q733" s="52" t="str">
        <f t="shared" si="9"/>
        <v/>
      </c>
      <c r="R733" s="52" t="str">
        <f t="shared" si="3"/>
        <v/>
      </c>
      <c r="S733" s="52" t="str">
        <f t="shared" si="10"/>
        <v/>
      </c>
      <c r="T733" s="52" t="str">
        <f t="shared" si="5"/>
        <v/>
      </c>
      <c r="U733" s="52"/>
      <c r="V733" s="53"/>
      <c r="W733" s="52" t="str">
        <f t="shared" si="6"/>
        <v/>
      </c>
      <c r="X733" s="52">
        <f t="shared" si="7"/>
        <v>0</v>
      </c>
      <c r="Y733" s="52">
        <f t="shared" si="8"/>
        <v>0</v>
      </c>
      <c r="Z733" s="52" t="str">
        <f>IF(G733="","",IFERROR(VLOOKUP(G733,'Product_Stock_Master产品维护'!$A$2:$L992,11,FALSE),"No"))</f>
        <v/>
      </c>
      <c r="AA733" s="52" t="str">
        <f>IF(G733="","",IFERROR(VLOOKUP(G733,'Product_Stock_Master产品维护'!$A$2:$L992,12,FALSE),""))</f>
        <v/>
      </c>
      <c r="AB733" s="52" t="str">
        <f t="shared" si="11"/>
        <v/>
      </c>
      <c r="AC733" s="52">
        <f t="shared" si="12"/>
        <v>0</v>
      </c>
    </row>
    <row r="734" ht="15.75" customHeight="1">
      <c r="A734" s="171"/>
      <c r="B734" s="171"/>
      <c r="C734" s="53"/>
      <c r="D734" s="53"/>
      <c r="E734" s="53"/>
      <c r="F734" s="53"/>
      <c r="G734" s="53"/>
      <c r="H734" s="52" t="str">
        <f>IF(G734="","",IFERROR(VLOOKUP(G734,'Product_Stock_Master产品维护'!$A$2:$E992,2,FALSE()),"SKU not found"))</f>
        <v/>
      </c>
      <c r="I734" s="52" t="str">
        <f>IF(G734="","",IFERROR(VLOOKUP(G734,'Product_Stock_Master产品维护'!$A$2:$E992,3,FALSE()),"Item type not found"))</f>
        <v/>
      </c>
      <c r="J734" s="53"/>
      <c r="K734" s="53"/>
      <c r="L734" s="53"/>
      <c r="M734" s="53"/>
      <c r="N734" s="53"/>
      <c r="O734" s="52" t="str">
        <f t="shared" si="1"/>
        <v/>
      </c>
      <c r="P734" s="53"/>
      <c r="Q734" s="52" t="str">
        <f t="shared" si="9"/>
        <v/>
      </c>
      <c r="R734" s="52" t="str">
        <f t="shared" si="3"/>
        <v/>
      </c>
      <c r="S734" s="52" t="str">
        <f t="shared" si="10"/>
        <v/>
      </c>
      <c r="T734" s="52" t="str">
        <f t="shared" si="5"/>
        <v/>
      </c>
      <c r="U734" s="52"/>
      <c r="V734" s="53"/>
      <c r="W734" s="52" t="str">
        <f t="shared" si="6"/>
        <v/>
      </c>
      <c r="X734" s="52">
        <f t="shared" si="7"/>
        <v>0</v>
      </c>
      <c r="Y734" s="52">
        <f t="shared" si="8"/>
        <v>0</v>
      </c>
      <c r="Z734" s="52" t="str">
        <f>IF(G734="","",IFERROR(VLOOKUP(G734,'Product_Stock_Master产品维护'!$A$2:$L992,11,FALSE),"No"))</f>
        <v/>
      </c>
      <c r="AA734" s="52" t="str">
        <f>IF(G734="","",IFERROR(VLOOKUP(G734,'Product_Stock_Master产品维护'!$A$2:$L992,12,FALSE),""))</f>
        <v/>
      </c>
      <c r="AB734" s="52" t="str">
        <f t="shared" si="11"/>
        <v/>
      </c>
      <c r="AC734" s="52">
        <f t="shared" si="12"/>
        <v>0</v>
      </c>
    </row>
    <row r="735" ht="15.75" customHeight="1">
      <c r="A735" s="171"/>
      <c r="B735" s="171"/>
      <c r="C735" s="53"/>
      <c r="D735" s="53"/>
      <c r="E735" s="53"/>
      <c r="F735" s="53"/>
      <c r="G735" s="53"/>
      <c r="H735" s="52" t="str">
        <f>IF(G735="","",IFERROR(VLOOKUP(G735,'Product_Stock_Master产品维护'!$A$2:$E992,2,FALSE()),"SKU not found"))</f>
        <v/>
      </c>
      <c r="I735" s="52" t="str">
        <f>IF(G735="","",IFERROR(VLOOKUP(G735,'Product_Stock_Master产品维护'!$A$2:$E992,3,FALSE()),"Item type not found"))</f>
        <v/>
      </c>
      <c r="J735" s="53"/>
      <c r="K735" s="53"/>
      <c r="L735" s="53"/>
      <c r="M735" s="53"/>
      <c r="N735" s="53"/>
      <c r="O735" s="52" t="str">
        <f t="shared" si="1"/>
        <v/>
      </c>
      <c r="P735" s="53"/>
      <c r="Q735" s="52" t="str">
        <f t="shared" si="9"/>
        <v/>
      </c>
      <c r="R735" s="52" t="str">
        <f t="shared" si="3"/>
        <v/>
      </c>
      <c r="S735" s="52" t="str">
        <f t="shared" si="10"/>
        <v/>
      </c>
      <c r="T735" s="52" t="str">
        <f t="shared" si="5"/>
        <v/>
      </c>
      <c r="U735" s="52"/>
      <c r="V735" s="53"/>
      <c r="W735" s="52" t="str">
        <f t="shared" si="6"/>
        <v/>
      </c>
      <c r="X735" s="52">
        <f t="shared" si="7"/>
        <v>0</v>
      </c>
      <c r="Y735" s="52">
        <f t="shared" si="8"/>
        <v>0</v>
      </c>
      <c r="Z735" s="52" t="str">
        <f>IF(G735="","",IFERROR(VLOOKUP(G735,'Product_Stock_Master产品维护'!$A$2:$L992,11,FALSE),"No"))</f>
        <v/>
      </c>
      <c r="AA735" s="52" t="str">
        <f>IF(G735="","",IFERROR(VLOOKUP(G735,'Product_Stock_Master产品维护'!$A$2:$L992,12,FALSE),""))</f>
        <v/>
      </c>
      <c r="AB735" s="52" t="str">
        <f t="shared" si="11"/>
        <v/>
      </c>
      <c r="AC735" s="52">
        <f t="shared" si="12"/>
        <v>0</v>
      </c>
    </row>
    <row r="736" ht="15.75" customHeight="1">
      <c r="A736" s="171"/>
      <c r="B736" s="171"/>
      <c r="C736" s="53"/>
      <c r="D736" s="53"/>
      <c r="E736" s="53"/>
      <c r="F736" s="53"/>
      <c r="G736" s="53"/>
      <c r="H736" s="52" t="str">
        <f>IF(G736="","",IFERROR(VLOOKUP(G736,'Product_Stock_Master产品维护'!$A$2:$E992,2,FALSE()),"SKU not found"))</f>
        <v/>
      </c>
      <c r="I736" s="52" t="str">
        <f>IF(G736="","",IFERROR(VLOOKUP(G736,'Product_Stock_Master产品维护'!$A$2:$E992,3,FALSE()),"Item type not found"))</f>
        <v/>
      </c>
      <c r="J736" s="53"/>
      <c r="K736" s="53"/>
      <c r="L736" s="53"/>
      <c r="M736" s="53"/>
      <c r="N736" s="53"/>
      <c r="O736" s="52" t="str">
        <f t="shared" si="1"/>
        <v/>
      </c>
      <c r="P736" s="53"/>
      <c r="Q736" s="52" t="str">
        <f t="shared" si="9"/>
        <v/>
      </c>
      <c r="R736" s="52" t="str">
        <f t="shared" si="3"/>
        <v/>
      </c>
      <c r="S736" s="52" t="str">
        <f t="shared" si="10"/>
        <v/>
      </c>
      <c r="T736" s="52" t="str">
        <f t="shared" si="5"/>
        <v/>
      </c>
      <c r="U736" s="52"/>
      <c r="V736" s="53"/>
      <c r="W736" s="52" t="str">
        <f t="shared" si="6"/>
        <v/>
      </c>
      <c r="X736" s="52">
        <f t="shared" si="7"/>
        <v>0</v>
      </c>
      <c r="Y736" s="52">
        <f t="shared" si="8"/>
        <v>0</v>
      </c>
      <c r="Z736" s="52" t="str">
        <f>IF(G736="","",IFERROR(VLOOKUP(G736,'Product_Stock_Master产品维护'!$A$2:$L992,11,FALSE),"No"))</f>
        <v/>
      </c>
      <c r="AA736" s="52" t="str">
        <f>IF(G736="","",IFERROR(VLOOKUP(G736,'Product_Stock_Master产品维护'!$A$2:$L992,12,FALSE),""))</f>
        <v/>
      </c>
      <c r="AB736" s="52" t="str">
        <f t="shared" si="11"/>
        <v/>
      </c>
      <c r="AC736" s="52">
        <f t="shared" si="12"/>
        <v>0</v>
      </c>
    </row>
    <row r="737" ht="15.75" customHeight="1">
      <c r="A737" s="171"/>
      <c r="B737" s="171"/>
      <c r="C737" s="53"/>
      <c r="D737" s="53"/>
      <c r="E737" s="53"/>
      <c r="F737" s="53"/>
      <c r="G737" s="53"/>
      <c r="H737" s="52" t="str">
        <f>IF(G737="","",IFERROR(VLOOKUP(G737,'Product_Stock_Master产品维护'!$A$2:$E992,2,FALSE()),"SKU not found"))</f>
        <v/>
      </c>
      <c r="I737" s="52" t="str">
        <f>IF(G737="","",IFERROR(VLOOKUP(G737,'Product_Stock_Master产品维护'!$A$2:$E992,3,FALSE()),"Item type not found"))</f>
        <v/>
      </c>
      <c r="J737" s="53"/>
      <c r="K737" s="53"/>
      <c r="L737" s="53"/>
      <c r="M737" s="53"/>
      <c r="N737" s="53"/>
      <c r="O737" s="52" t="str">
        <f t="shared" si="1"/>
        <v/>
      </c>
      <c r="P737" s="53"/>
      <c r="Q737" s="52" t="str">
        <f t="shared" si="9"/>
        <v/>
      </c>
      <c r="R737" s="52" t="str">
        <f t="shared" si="3"/>
        <v/>
      </c>
      <c r="S737" s="52" t="str">
        <f t="shared" si="10"/>
        <v/>
      </c>
      <c r="T737" s="52" t="str">
        <f t="shared" si="5"/>
        <v/>
      </c>
      <c r="U737" s="52"/>
      <c r="V737" s="53"/>
      <c r="W737" s="52" t="str">
        <f t="shared" si="6"/>
        <v/>
      </c>
      <c r="X737" s="52">
        <f t="shared" si="7"/>
        <v>0</v>
      </c>
      <c r="Y737" s="52">
        <f t="shared" si="8"/>
        <v>0</v>
      </c>
      <c r="Z737" s="52" t="str">
        <f>IF(G737="","",IFERROR(VLOOKUP(G737,'Product_Stock_Master产品维护'!$A$2:$L992,11,FALSE),"No"))</f>
        <v/>
      </c>
      <c r="AA737" s="52" t="str">
        <f>IF(G737="","",IFERROR(VLOOKUP(G737,'Product_Stock_Master产品维护'!$A$2:$L992,12,FALSE),""))</f>
        <v/>
      </c>
      <c r="AB737" s="52" t="str">
        <f t="shared" si="11"/>
        <v/>
      </c>
      <c r="AC737" s="52">
        <f t="shared" si="12"/>
        <v>0</v>
      </c>
    </row>
    <row r="738" ht="15.75" customHeight="1">
      <c r="A738" s="171"/>
      <c r="B738" s="171"/>
      <c r="C738" s="53"/>
      <c r="D738" s="53"/>
      <c r="E738" s="53"/>
      <c r="F738" s="53"/>
      <c r="G738" s="53"/>
      <c r="H738" s="52" t="str">
        <f>IF(G738="","",IFERROR(VLOOKUP(G738,'Product_Stock_Master产品维护'!$A$2:$E992,2,FALSE()),"SKU not found"))</f>
        <v/>
      </c>
      <c r="I738" s="52" t="str">
        <f>IF(G738="","",IFERROR(VLOOKUP(G738,'Product_Stock_Master产品维护'!$A$2:$E992,3,FALSE()),"Item type not found"))</f>
        <v/>
      </c>
      <c r="J738" s="53"/>
      <c r="K738" s="53"/>
      <c r="L738" s="53"/>
      <c r="M738" s="53"/>
      <c r="N738" s="53"/>
      <c r="O738" s="52" t="str">
        <f t="shared" si="1"/>
        <v/>
      </c>
      <c r="P738" s="53"/>
      <c r="Q738" s="52" t="str">
        <f t="shared" si="9"/>
        <v/>
      </c>
      <c r="R738" s="52" t="str">
        <f t="shared" si="3"/>
        <v/>
      </c>
      <c r="S738" s="52" t="str">
        <f t="shared" si="10"/>
        <v/>
      </c>
      <c r="T738" s="52" t="str">
        <f t="shared" si="5"/>
        <v/>
      </c>
      <c r="U738" s="52"/>
      <c r="V738" s="53"/>
      <c r="W738" s="52" t="str">
        <f t="shared" si="6"/>
        <v/>
      </c>
      <c r="X738" s="52">
        <f t="shared" si="7"/>
        <v>0</v>
      </c>
      <c r="Y738" s="52">
        <f t="shared" si="8"/>
        <v>0</v>
      </c>
      <c r="Z738" s="52" t="str">
        <f>IF(G738="","",IFERROR(VLOOKUP(G738,'Product_Stock_Master产品维护'!$A$2:$L992,11,FALSE),"No"))</f>
        <v/>
      </c>
      <c r="AA738" s="52" t="str">
        <f>IF(G738="","",IFERROR(VLOOKUP(G738,'Product_Stock_Master产品维护'!$A$2:$L992,12,FALSE),""))</f>
        <v/>
      </c>
      <c r="AB738" s="52" t="str">
        <f t="shared" si="11"/>
        <v/>
      </c>
      <c r="AC738" s="52">
        <f t="shared" si="12"/>
        <v>0</v>
      </c>
    </row>
    <row r="739" ht="15.75" customHeight="1">
      <c r="A739" s="171"/>
      <c r="B739" s="171"/>
      <c r="C739" s="53"/>
      <c r="D739" s="53"/>
      <c r="E739" s="53"/>
      <c r="F739" s="53"/>
      <c r="G739" s="53"/>
      <c r="H739" s="52" t="str">
        <f>IF(G739="","",IFERROR(VLOOKUP(G739,'Product_Stock_Master产品维护'!$A$2:$E992,2,FALSE()),"SKU not found"))</f>
        <v/>
      </c>
      <c r="I739" s="52" t="str">
        <f>IF(G739="","",IFERROR(VLOOKUP(G739,'Product_Stock_Master产品维护'!$A$2:$E992,3,FALSE()),"Item type not found"))</f>
        <v/>
      </c>
      <c r="J739" s="53"/>
      <c r="K739" s="53"/>
      <c r="L739" s="53"/>
      <c r="M739" s="53"/>
      <c r="N739" s="53"/>
      <c r="O739" s="52" t="str">
        <f t="shared" si="1"/>
        <v/>
      </c>
      <c r="P739" s="53"/>
      <c r="Q739" s="52" t="str">
        <f t="shared" si="9"/>
        <v/>
      </c>
      <c r="R739" s="52" t="str">
        <f t="shared" si="3"/>
        <v/>
      </c>
      <c r="S739" s="52" t="str">
        <f t="shared" si="10"/>
        <v/>
      </c>
      <c r="T739" s="52" t="str">
        <f t="shared" si="5"/>
        <v/>
      </c>
      <c r="U739" s="52"/>
      <c r="V739" s="53"/>
      <c r="W739" s="52" t="str">
        <f t="shared" si="6"/>
        <v/>
      </c>
      <c r="X739" s="52">
        <f t="shared" si="7"/>
        <v>0</v>
      </c>
      <c r="Y739" s="52">
        <f t="shared" si="8"/>
        <v>0</v>
      </c>
      <c r="Z739" s="52" t="str">
        <f>IF(G739="","",IFERROR(VLOOKUP(G739,'Product_Stock_Master产品维护'!$A$2:$L992,11,FALSE),"No"))</f>
        <v/>
      </c>
      <c r="AA739" s="52" t="str">
        <f>IF(G739="","",IFERROR(VLOOKUP(G739,'Product_Stock_Master产品维护'!$A$2:$L992,12,FALSE),""))</f>
        <v/>
      </c>
      <c r="AB739" s="52" t="str">
        <f t="shared" si="11"/>
        <v/>
      </c>
      <c r="AC739" s="52">
        <f t="shared" si="12"/>
        <v>0</v>
      </c>
    </row>
    <row r="740" ht="15.75" customHeight="1">
      <c r="A740" s="171"/>
      <c r="B740" s="171"/>
      <c r="C740" s="53"/>
      <c r="D740" s="53"/>
      <c r="E740" s="53"/>
      <c r="F740" s="53"/>
      <c r="G740" s="53"/>
      <c r="H740" s="52" t="str">
        <f>IF(G740="","",IFERROR(VLOOKUP(G740,'Product_Stock_Master产品维护'!$A$2:$E992,2,FALSE()),"SKU not found"))</f>
        <v/>
      </c>
      <c r="I740" s="52" t="str">
        <f>IF(G740="","",IFERROR(VLOOKUP(G740,'Product_Stock_Master产品维护'!$A$2:$E992,3,FALSE()),"Item type not found"))</f>
        <v/>
      </c>
      <c r="J740" s="53"/>
      <c r="K740" s="53"/>
      <c r="L740" s="53"/>
      <c r="M740" s="53"/>
      <c r="N740" s="53"/>
      <c r="O740" s="52" t="str">
        <f t="shared" si="1"/>
        <v/>
      </c>
      <c r="P740" s="53"/>
      <c r="Q740" s="52" t="str">
        <f t="shared" si="9"/>
        <v/>
      </c>
      <c r="R740" s="52" t="str">
        <f t="shared" si="3"/>
        <v/>
      </c>
      <c r="S740" s="52" t="str">
        <f t="shared" si="10"/>
        <v/>
      </c>
      <c r="T740" s="52" t="str">
        <f t="shared" si="5"/>
        <v/>
      </c>
      <c r="U740" s="52"/>
      <c r="V740" s="53"/>
      <c r="W740" s="52" t="str">
        <f t="shared" si="6"/>
        <v/>
      </c>
      <c r="X740" s="52">
        <f t="shared" si="7"/>
        <v>0</v>
      </c>
      <c r="Y740" s="52">
        <f t="shared" si="8"/>
        <v>0</v>
      </c>
      <c r="Z740" s="52" t="str">
        <f>IF(G740="","",IFERROR(VLOOKUP(G740,'Product_Stock_Master产品维护'!$A$2:$L992,11,FALSE),"No"))</f>
        <v/>
      </c>
      <c r="AA740" s="52" t="str">
        <f>IF(G740="","",IFERROR(VLOOKUP(G740,'Product_Stock_Master产品维护'!$A$2:$L992,12,FALSE),""))</f>
        <v/>
      </c>
      <c r="AB740" s="52" t="str">
        <f t="shared" si="11"/>
        <v/>
      </c>
      <c r="AC740" s="52">
        <f t="shared" si="12"/>
        <v>0</v>
      </c>
    </row>
    <row r="741" ht="15.75" customHeight="1">
      <c r="A741" s="171"/>
      <c r="B741" s="171"/>
      <c r="C741" s="53"/>
      <c r="D741" s="53"/>
      <c r="E741" s="53"/>
      <c r="F741" s="53"/>
      <c r="G741" s="53"/>
      <c r="H741" s="52" t="str">
        <f>IF(G741="","",IFERROR(VLOOKUP(G741,'Product_Stock_Master产品维护'!$A$2:$E992,2,FALSE()),"SKU not found"))</f>
        <v/>
      </c>
      <c r="I741" s="52" t="str">
        <f>IF(G741="","",IFERROR(VLOOKUP(G741,'Product_Stock_Master产品维护'!$A$2:$E992,3,FALSE()),"Item type not found"))</f>
        <v/>
      </c>
      <c r="J741" s="53"/>
      <c r="K741" s="53"/>
      <c r="L741" s="53"/>
      <c r="M741" s="53"/>
      <c r="N741" s="53"/>
      <c r="O741" s="52" t="str">
        <f t="shared" si="1"/>
        <v/>
      </c>
      <c r="P741" s="53"/>
      <c r="Q741" s="52" t="str">
        <f t="shared" si="9"/>
        <v/>
      </c>
      <c r="R741" s="52" t="str">
        <f t="shared" si="3"/>
        <v/>
      </c>
      <c r="S741" s="52" t="str">
        <f t="shared" si="10"/>
        <v/>
      </c>
      <c r="T741" s="52" t="str">
        <f t="shared" si="5"/>
        <v/>
      </c>
      <c r="U741" s="52"/>
      <c r="V741" s="53"/>
      <c r="W741" s="52" t="str">
        <f t="shared" si="6"/>
        <v/>
      </c>
      <c r="X741" s="52">
        <f t="shared" si="7"/>
        <v>0</v>
      </c>
      <c r="Y741" s="52">
        <f t="shared" si="8"/>
        <v>0</v>
      </c>
      <c r="Z741" s="52" t="str">
        <f>IF(G741="","",IFERROR(VLOOKUP(G741,'Product_Stock_Master产品维护'!$A$2:$L992,11,FALSE),"No"))</f>
        <v/>
      </c>
      <c r="AA741" s="52" t="str">
        <f>IF(G741="","",IFERROR(VLOOKUP(G741,'Product_Stock_Master产品维护'!$A$2:$L992,12,FALSE),""))</f>
        <v/>
      </c>
      <c r="AB741" s="52" t="str">
        <f t="shared" si="11"/>
        <v/>
      </c>
      <c r="AC741" s="52">
        <f t="shared" si="12"/>
        <v>0</v>
      </c>
    </row>
    <row r="742" ht="15.75" customHeight="1">
      <c r="A742" s="171"/>
      <c r="B742" s="171"/>
      <c r="C742" s="53"/>
      <c r="D742" s="53"/>
      <c r="E742" s="53"/>
      <c r="F742" s="53"/>
      <c r="G742" s="53"/>
      <c r="H742" s="52" t="str">
        <f>IF(G742="","",IFERROR(VLOOKUP(G742,'Product_Stock_Master产品维护'!$A$2:$E992,2,FALSE()),"SKU not found"))</f>
        <v/>
      </c>
      <c r="I742" s="52" t="str">
        <f>IF(G742="","",IFERROR(VLOOKUP(G742,'Product_Stock_Master产品维护'!$A$2:$E992,3,FALSE()),"Item type not found"))</f>
        <v/>
      </c>
      <c r="J742" s="53"/>
      <c r="K742" s="53"/>
      <c r="L742" s="53"/>
      <c r="M742" s="53"/>
      <c r="N742" s="53"/>
      <c r="O742" s="52" t="str">
        <f t="shared" si="1"/>
        <v/>
      </c>
      <c r="P742" s="53"/>
      <c r="Q742" s="52" t="str">
        <f t="shared" si="9"/>
        <v/>
      </c>
      <c r="R742" s="52" t="str">
        <f t="shared" si="3"/>
        <v/>
      </c>
      <c r="S742" s="52" t="str">
        <f t="shared" si="10"/>
        <v/>
      </c>
      <c r="T742" s="52" t="str">
        <f t="shared" si="5"/>
        <v/>
      </c>
      <c r="U742" s="52"/>
      <c r="V742" s="53"/>
      <c r="W742" s="52" t="str">
        <f t="shared" si="6"/>
        <v/>
      </c>
      <c r="X742" s="52">
        <f t="shared" si="7"/>
        <v>0</v>
      </c>
      <c r="Y742" s="52">
        <f t="shared" si="8"/>
        <v>0</v>
      </c>
      <c r="Z742" s="52" t="str">
        <f>IF(G742="","",IFERROR(VLOOKUP(G742,'Product_Stock_Master产品维护'!$A$2:$L992,11,FALSE),"No"))</f>
        <v/>
      </c>
      <c r="AA742" s="52" t="str">
        <f>IF(G742="","",IFERROR(VLOOKUP(G742,'Product_Stock_Master产品维护'!$A$2:$L992,12,FALSE),""))</f>
        <v/>
      </c>
      <c r="AB742" s="52" t="str">
        <f t="shared" si="11"/>
        <v/>
      </c>
      <c r="AC742" s="52">
        <f t="shared" si="12"/>
        <v>0</v>
      </c>
    </row>
    <row r="743" ht="15.75" customHeight="1">
      <c r="A743" s="171"/>
      <c r="B743" s="171"/>
      <c r="C743" s="53"/>
      <c r="D743" s="53"/>
      <c r="E743" s="53"/>
      <c r="F743" s="53"/>
      <c r="G743" s="53"/>
      <c r="H743" s="52" t="str">
        <f>IF(G743="","",IFERROR(VLOOKUP(G743,'Product_Stock_Master产品维护'!$A$2:$E992,2,FALSE()),"SKU not found"))</f>
        <v/>
      </c>
      <c r="I743" s="52" t="str">
        <f>IF(G743="","",IFERROR(VLOOKUP(G743,'Product_Stock_Master产品维护'!$A$2:$E992,3,FALSE()),"Item type not found"))</f>
        <v/>
      </c>
      <c r="J743" s="53"/>
      <c r="K743" s="53"/>
      <c r="L743" s="53"/>
      <c r="M743" s="53"/>
      <c r="N743" s="53"/>
      <c r="O743" s="52" t="str">
        <f t="shared" si="1"/>
        <v/>
      </c>
      <c r="P743" s="53"/>
      <c r="Q743" s="52" t="str">
        <f t="shared" si="9"/>
        <v/>
      </c>
      <c r="R743" s="52" t="str">
        <f t="shared" si="3"/>
        <v/>
      </c>
      <c r="S743" s="52" t="str">
        <f t="shared" si="10"/>
        <v/>
      </c>
      <c r="T743" s="52" t="str">
        <f t="shared" si="5"/>
        <v/>
      </c>
      <c r="U743" s="52"/>
      <c r="V743" s="53"/>
      <c r="W743" s="52" t="str">
        <f t="shared" si="6"/>
        <v/>
      </c>
      <c r="X743" s="52">
        <f t="shared" si="7"/>
        <v>0</v>
      </c>
      <c r="Y743" s="52">
        <f t="shared" si="8"/>
        <v>0</v>
      </c>
      <c r="Z743" s="52" t="str">
        <f>IF(G743="","",IFERROR(VLOOKUP(G743,'Product_Stock_Master产品维护'!$A$2:$L992,11,FALSE),"No"))</f>
        <v/>
      </c>
      <c r="AA743" s="52" t="str">
        <f>IF(G743="","",IFERROR(VLOOKUP(G743,'Product_Stock_Master产品维护'!$A$2:$L992,12,FALSE),""))</f>
        <v/>
      </c>
      <c r="AB743" s="52" t="str">
        <f t="shared" si="11"/>
        <v/>
      </c>
      <c r="AC743" s="52">
        <f t="shared" si="12"/>
        <v>0</v>
      </c>
    </row>
    <row r="744" ht="15.75" customHeight="1">
      <c r="A744" s="171"/>
      <c r="B744" s="171"/>
      <c r="C744" s="53"/>
      <c r="D744" s="53"/>
      <c r="E744" s="53"/>
      <c r="F744" s="53"/>
      <c r="G744" s="53"/>
      <c r="H744" s="52" t="str">
        <f>IF(G744="","",IFERROR(VLOOKUP(G744,'Product_Stock_Master产品维护'!$A$2:$E992,2,FALSE()),"SKU not found"))</f>
        <v/>
      </c>
      <c r="I744" s="52" t="str">
        <f>IF(G744="","",IFERROR(VLOOKUP(G744,'Product_Stock_Master产品维护'!$A$2:$E992,3,FALSE()),"Item type not found"))</f>
        <v/>
      </c>
      <c r="J744" s="53"/>
      <c r="K744" s="53"/>
      <c r="L744" s="53"/>
      <c r="M744" s="53"/>
      <c r="N744" s="53"/>
      <c r="O744" s="52" t="str">
        <f t="shared" si="1"/>
        <v/>
      </c>
      <c r="P744" s="53"/>
      <c r="Q744" s="52" t="str">
        <f t="shared" si="9"/>
        <v/>
      </c>
      <c r="R744" s="52" t="str">
        <f t="shared" si="3"/>
        <v/>
      </c>
      <c r="S744" s="52" t="str">
        <f t="shared" si="10"/>
        <v/>
      </c>
      <c r="T744" s="52" t="str">
        <f t="shared" si="5"/>
        <v/>
      </c>
      <c r="U744" s="52"/>
      <c r="V744" s="53"/>
      <c r="W744" s="52" t="str">
        <f t="shared" si="6"/>
        <v/>
      </c>
      <c r="X744" s="52">
        <f t="shared" si="7"/>
        <v>0</v>
      </c>
      <c r="Y744" s="52">
        <f t="shared" si="8"/>
        <v>0</v>
      </c>
      <c r="Z744" s="52" t="str">
        <f>IF(G744="","",IFERROR(VLOOKUP(G744,'Product_Stock_Master产品维护'!$A$2:$L992,11,FALSE),"No"))</f>
        <v/>
      </c>
      <c r="AA744" s="52" t="str">
        <f>IF(G744="","",IFERROR(VLOOKUP(G744,'Product_Stock_Master产品维护'!$A$2:$L992,12,FALSE),""))</f>
        <v/>
      </c>
      <c r="AB744" s="52" t="str">
        <f t="shared" si="11"/>
        <v/>
      </c>
      <c r="AC744" s="52">
        <f t="shared" si="12"/>
        <v>0</v>
      </c>
    </row>
    <row r="745" ht="15.75" customHeight="1">
      <c r="A745" s="171"/>
      <c r="B745" s="171"/>
      <c r="C745" s="53"/>
      <c r="D745" s="53"/>
      <c r="E745" s="53"/>
      <c r="F745" s="53"/>
      <c r="G745" s="53"/>
      <c r="H745" s="52" t="str">
        <f>IF(G745="","",IFERROR(VLOOKUP(G745,'Product_Stock_Master产品维护'!$A$2:$E992,2,FALSE()),"SKU not found"))</f>
        <v/>
      </c>
      <c r="I745" s="52" t="str">
        <f>IF(G745="","",IFERROR(VLOOKUP(G745,'Product_Stock_Master产品维护'!$A$2:$E992,3,FALSE()),"Item type not found"))</f>
        <v/>
      </c>
      <c r="J745" s="53"/>
      <c r="K745" s="53"/>
      <c r="L745" s="53"/>
      <c r="M745" s="53"/>
      <c r="N745" s="53"/>
      <c r="O745" s="52" t="str">
        <f t="shared" si="1"/>
        <v/>
      </c>
      <c r="P745" s="53"/>
      <c r="Q745" s="52" t="str">
        <f t="shared" si="9"/>
        <v/>
      </c>
      <c r="R745" s="52" t="str">
        <f t="shared" si="3"/>
        <v/>
      </c>
      <c r="S745" s="52" t="str">
        <f t="shared" si="10"/>
        <v/>
      </c>
      <c r="T745" s="52" t="str">
        <f t="shared" si="5"/>
        <v/>
      </c>
      <c r="U745" s="52"/>
      <c r="V745" s="53"/>
      <c r="W745" s="52" t="str">
        <f t="shared" si="6"/>
        <v/>
      </c>
      <c r="X745" s="52">
        <f t="shared" si="7"/>
        <v>0</v>
      </c>
      <c r="Y745" s="52">
        <f t="shared" si="8"/>
        <v>0</v>
      </c>
      <c r="Z745" s="52" t="str">
        <f>IF(G745="","",IFERROR(VLOOKUP(G745,'Product_Stock_Master产品维护'!$A$2:$L992,11,FALSE),"No"))</f>
        <v/>
      </c>
      <c r="AA745" s="52" t="str">
        <f>IF(G745="","",IFERROR(VLOOKUP(G745,'Product_Stock_Master产品维护'!$A$2:$L992,12,FALSE),""))</f>
        <v/>
      </c>
      <c r="AB745" s="52" t="str">
        <f t="shared" si="11"/>
        <v/>
      </c>
      <c r="AC745" s="52">
        <f t="shared" si="12"/>
        <v>0</v>
      </c>
    </row>
    <row r="746" ht="15.75" customHeight="1">
      <c r="A746" s="171"/>
      <c r="B746" s="171"/>
      <c r="C746" s="53"/>
      <c r="D746" s="53"/>
      <c r="E746" s="53"/>
      <c r="F746" s="53"/>
      <c r="G746" s="53"/>
      <c r="H746" s="52" t="str">
        <f>IF(G746="","",IFERROR(VLOOKUP(G746,'Product_Stock_Master产品维护'!$A$2:$E992,2,FALSE()),"SKU not found"))</f>
        <v/>
      </c>
      <c r="I746" s="52" t="str">
        <f>IF(G746="","",IFERROR(VLOOKUP(G746,'Product_Stock_Master产品维护'!$A$2:$E992,3,FALSE()),"Item type not found"))</f>
        <v/>
      </c>
      <c r="J746" s="53"/>
      <c r="K746" s="53"/>
      <c r="L746" s="53"/>
      <c r="M746" s="53"/>
      <c r="N746" s="53"/>
      <c r="O746" s="52" t="str">
        <f t="shared" si="1"/>
        <v/>
      </c>
      <c r="P746" s="53"/>
      <c r="Q746" s="52" t="str">
        <f t="shared" si="9"/>
        <v/>
      </c>
      <c r="R746" s="52" t="str">
        <f t="shared" si="3"/>
        <v/>
      </c>
      <c r="S746" s="52" t="str">
        <f t="shared" si="10"/>
        <v/>
      </c>
      <c r="T746" s="52" t="str">
        <f t="shared" si="5"/>
        <v/>
      </c>
      <c r="U746" s="52"/>
      <c r="V746" s="53"/>
      <c r="W746" s="52" t="str">
        <f t="shared" si="6"/>
        <v/>
      </c>
      <c r="X746" s="52">
        <f t="shared" si="7"/>
        <v>0</v>
      </c>
      <c r="Y746" s="52">
        <f t="shared" si="8"/>
        <v>0</v>
      </c>
      <c r="Z746" s="52" t="str">
        <f>IF(G746="","",IFERROR(VLOOKUP(G746,'Product_Stock_Master产品维护'!$A$2:$L992,11,FALSE),"No"))</f>
        <v/>
      </c>
      <c r="AA746" s="52" t="str">
        <f>IF(G746="","",IFERROR(VLOOKUP(G746,'Product_Stock_Master产品维护'!$A$2:$L992,12,FALSE),""))</f>
        <v/>
      </c>
      <c r="AB746" s="52" t="str">
        <f t="shared" si="11"/>
        <v/>
      </c>
      <c r="AC746" s="52">
        <f t="shared" si="12"/>
        <v>0</v>
      </c>
    </row>
    <row r="747" ht="15.75" customHeight="1">
      <c r="A747" s="171"/>
      <c r="B747" s="171"/>
      <c r="C747" s="53"/>
      <c r="D747" s="53"/>
      <c r="E747" s="53"/>
      <c r="F747" s="53"/>
      <c r="G747" s="53"/>
      <c r="H747" s="52" t="str">
        <f>IF(G747="","",IFERROR(VLOOKUP(G747,'Product_Stock_Master产品维护'!$A$2:$E992,2,FALSE()),"SKU not found"))</f>
        <v/>
      </c>
      <c r="I747" s="52" t="str">
        <f>IF(G747="","",IFERROR(VLOOKUP(G747,'Product_Stock_Master产品维护'!$A$2:$E992,3,FALSE()),"Item type not found"))</f>
        <v/>
      </c>
      <c r="J747" s="53"/>
      <c r="K747" s="53"/>
      <c r="L747" s="53"/>
      <c r="M747" s="53"/>
      <c r="N747" s="53"/>
      <c r="O747" s="52" t="str">
        <f t="shared" si="1"/>
        <v/>
      </c>
      <c r="P747" s="53"/>
      <c r="Q747" s="52" t="str">
        <f t="shared" si="9"/>
        <v/>
      </c>
      <c r="R747" s="52" t="str">
        <f t="shared" si="3"/>
        <v/>
      </c>
      <c r="S747" s="52" t="str">
        <f t="shared" si="10"/>
        <v/>
      </c>
      <c r="T747" s="52" t="str">
        <f t="shared" si="5"/>
        <v/>
      </c>
      <c r="U747" s="52"/>
      <c r="V747" s="53"/>
      <c r="W747" s="52" t="str">
        <f t="shared" si="6"/>
        <v/>
      </c>
      <c r="X747" s="52">
        <f t="shared" si="7"/>
        <v>0</v>
      </c>
      <c r="Y747" s="52">
        <f t="shared" si="8"/>
        <v>0</v>
      </c>
      <c r="Z747" s="52" t="str">
        <f>IF(G747="","",IFERROR(VLOOKUP(G747,'Product_Stock_Master产品维护'!$A$2:$L992,11,FALSE),"No"))</f>
        <v/>
      </c>
      <c r="AA747" s="52" t="str">
        <f>IF(G747="","",IFERROR(VLOOKUP(G747,'Product_Stock_Master产品维护'!$A$2:$L992,12,FALSE),""))</f>
        <v/>
      </c>
      <c r="AB747" s="52" t="str">
        <f t="shared" si="11"/>
        <v/>
      </c>
      <c r="AC747" s="52">
        <f t="shared" si="12"/>
        <v>0</v>
      </c>
    </row>
    <row r="748" ht="15.75" customHeight="1">
      <c r="A748" s="171"/>
      <c r="B748" s="171"/>
      <c r="C748" s="53"/>
      <c r="D748" s="53"/>
      <c r="E748" s="53"/>
      <c r="F748" s="53"/>
      <c r="G748" s="53"/>
      <c r="H748" s="52" t="str">
        <f>IF(G748="","",IFERROR(VLOOKUP(G748,'Product_Stock_Master产品维护'!$A$2:$E992,2,FALSE()),"SKU not found"))</f>
        <v/>
      </c>
      <c r="I748" s="52" t="str">
        <f>IF(G748="","",IFERROR(VLOOKUP(G748,'Product_Stock_Master产品维护'!$A$2:$E992,3,FALSE()),"Item type not found"))</f>
        <v/>
      </c>
      <c r="J748" s="53"/>
      <c r="K748" s="53"/>
      <c r="L748" s="53"/>
      <c r="M748" s="53"/>
      <c r="N748" s="53"/>
      <c r="O748" s="52" t="str">
        <f t="shared" si="1"/>
        <v/>
      </c>
      <c r="P748" s="53"/>
      <c r="Q748" s="52" t="str">
        <f t="shared" si="9"/>
        <v/>
      </c>
      <c r="R748" s="52" t="str">
        <f t="shared" si="3"/>
        <v/>
      </c>
      <c r="S748" s="52" t="str">
        <f t="shared" si="10"/>
        <v/>
      </c>
      <c r="T748" s="52" t="str">
        <f t="shared" si="5"/>
        <v/>
      </c>
      <c r="U748" s="52"/>
      <c r="V748" s="53"/>
      <c r="W748" s="52" t="str">
        <f t="shared" si="6"/>
        <v/>
      </c>
      <c r="X748" s="52">
        <f t="shared" si="7"/>
        <v>0</v>
      </c>
      <c r="Y748" s="52">
        <f t="shared" si="8"/>
        <v>0</v>
      </c>
      <c r="Z748" s="52" t="str">
        <f>IF(G748="","",IFERROR(VLOOKUP(G748,'Product_Stock_Master产品维护'!$A$2:$L992,11,FALSE),"No"))</f>
        <v/>
      </c>
      <c r="AA748" s="52" t="str">
        <f>IF(G748="","",IFERROR(VLOOKUP(G748,'Product_Stock_Master产品维护'!$A$2:$L992,12,FALSE),""))</f>
        <v/>
      </c>
      <c r="AB748" s="52" t="str">
        <f t="shared" si="11"/>
        <v/>
      </c>
      <c r="AC748" s="52">
        <f t="shared" si="12"/>
        <v>0</v>
      </c>
    </row>
    <row r="749" ht="15.75" customHeight="1">
      <c r="A749" s="171"/>
      <c r="B749" s="171"/>
      <c r="C749" s="53"/>
      <c r="D749" s="53"/>
      <c r="E749" s="53"/>
      <c r="F749" s="53"/>
      <c r="G749" s="53"/>
      <c r="H749" s="52" t="str">
        <f>IF(G749="","",IFERROR(VLOOKUP(G749,'Product_Stock_Master产品维护'!$A$2:$E992,2,FALSE()),"SKU not found"))</f>
        <v/>
      </c>
      <c r="I749" s="52" t="str">
        <f>IF(G749="","",IFERROR(VLOOKUP(G749,'Product_Stock_Master产品维护'!$A$2:$E992,3,FALSE()),"Item type not found"))</f>
        <v/>
      </c>
      <c r="J749" s="53"/>
      <c r="K749" s="53"/>
      <c r="L749" s="53"/>
      <c r="M749" s="53"/>
      <c r="N749" s="53"/>
      <c r="O749" s="52" t="str">
        <f t="shared" si="1"/>
        <v/>
      </c>
      <c r="P749" s="53"/>
      <c r="Q749" s="52" t="str">
        <f t="shared" si="9"/>
        <v/>
      </c>
      <c r="R749" s="52" t="str">
        <f t="shared" si="3"/>
        <v/>
      </c>
      <c r="S749" s="52" t="str">
        <f t="shared" si="10"/>
        <v/>
      </c>
      <c r="T749" s="52" t="str">
        <f t="shared" si="5"/>
        <v/>
      </c>
      <c r="U749" s="52"/>
      <c r="V749" s="53"/>
      <c r="W749" s="52" t="str">
        <f t="shared" si="6"/>
        <v/>
      </c>
      <c r="X749" s="52">
        <f t="shared" si="7"/>
        <v>0</v>
      </c>
      <c r="Y749" s="52">
        <f t="shared" si="8"/>
        <v>0</v>
      </c>
      <c r="Z749" s="52" t="str">
        <f>IF(G749="","",IFERROR(VLOOKUP(G749,'Product_Stock_Master产品维护'!$A$2:$L992,11,FALSE),"No"))</f>
        <v/>
      </c>
      <c r="AA749" s="52" t="str">
        <f>IF(G749="","",IFERROR(VLOOKUP(G749,'Product_Stock_Master产品维护'!$A$2:$L992,12,FALSE),""))</f>
        <v/>
      </c>
      <c r="AB749" s="52" t="str">
        <f t="shared" si="11"/>
        <v/>
      </c>
      <c r="AC749" s="52">
        <f t="shared" si="12"/>
        <v>0</v>
      </c>
    </row>
    <row r="750" ht="15.75" customHeight="1">
      <c r="A750" s="171"/>
      <c r="B750" s="171"/>
      <c r="C750" s="53"/>
      <c r="D750" s="53"/>
      <c r="E750" s="53"/>
      <c r="F750" s="53"/>
      <c r="G750" s="53"/>
      <c r="H750" s="52" t="str">
        <f>IF(G750="","",IFERROR(VLOOKUP(G750,'Product_Stock_Master产品维护'!$A$2:$E992,2,FALSE()),"SKU not found"))</f>
        <v/>
      </c>
      <c r="I750" s="52" t="str">
        <f>IF(G750="","",IFERROR(VLOOKUP(G750,'Product_Stock_Master产品维护'!$A$2:$E992,3,FALSE()),"Item type not found"))</f>
        <v/>
      </c>
      <c r="J750" s="53"/>
      <c r="K750" s="53"/>
      <c r="L750" s="53"/>
      <c r="M750" s="53"/>
      <c r="N750" s="53"/>
      <c r="O750" s="52" t="str">
        <f t="shared" si="1"/>
        <v/>
      </c>
      <c r="P750" s="53"/>
      <c r="Q750" s="52" t="str">
        <f t="shared" si="9"/>
        <v/>
      </c>
      <c r="R750" s="52" t="str">
        <f t="shared" si="3"/>
        <v/>
      </c>
      <c r="S750" s="52" t="str">
        <f t="shared" si="10"/>
        <v/>
      </c>
      <c r="T750" s="52" t="str">
        <f t="shared" si="5"/>
        <v/>
      </c>
      <c r="U750" s="52"/>
      <c r="V750" s="53"/>
      <c r="W750" s="52" t="str">
        <f t="shared" si="6"/>
        <v/>
      </c>
      <c r="X750" s="52">
        <f t="shared" si="7"/>
        <v>0</v>
      </c>
      <c r="Y750" s="52">
        <f t="shared" si="8"/>
        <v>0</v>
      </c>
      <c r="Z750" s="52" t="str">
        <f>IF(G750="","",IFERROR(VLOOKUP(G750,'Product_Stock_Master产品维护'!$A$2:$L992,11,FALSE),"No"))</f>
        <v/>
      </c>
      <c r="AA750" s="52" t="str">
        <f>IF(G750="","",IFERROR(VLOOKUP(G750,'Product_Stock_Master产品维护'!$A$2:$L992,12,FALSE),""))</f>
        <v/>
      </c>
      <c r="AB750" s="52" t="str">
        <f t="shared" si="11"/>
        <v/>
      </c>
      <c r="AC750" s="52">
        <f t="shared" si="12"/>
        <v>0</v>
      </c>
    </row>
    <row r="751" ht="15.75" customHeight="1">
      <c r="A751" s="171"/>
      <c r="B751" s="171"/>
      <c r="C751" s="53"/>
      <c r="D751" s="53"/>
      <c r="E751" s="53"/>
      <c r="F751" s="53"/>
      <c r="G751" s="53"/>
      <c r="H751" s="52" t="str">
        <f>IF(G751="","",IFERROR(VLOOKUP(G751,'Product_Stock_Master产品维护'!$A$2:$E992,2,FALSE()),"SKU not found"))</f>
        <v/>
      </c>
      <c r="I751" s="52" t="str">
        <f>IF(G751="","",IFERROR(VLOOKUP(G751,'Product_Stock_Master产品维护'!$A$2:$E992,3,FALSE()),"Item type not found"))</f>
        <v/>
      </c>
      <c r="J751" s="53"/>
      <c r="K751" s="53"/>
      <c r="L751" s="53"/>
      <c r="M751" s="53"/>
      <c r="N751" s="53"/>
      <c r="O751" s="52" t="str">
        <f t="shared" si="1"/>
        <v/>
      </c>
      <c r="P751" s="53"/>
      <c r="Q751" s="52" t="str">
        <f t="shared" si="9"/>
        <v/>
      </c>
      <c r="R751" s="52" t="str">
        <f t="shared" si="3"/>
        <v/>
      </c>
      <c r="S751" s="52" t="str">
        <f t="shared" si="10"/>
        <v/>
      </c>
      <c r="T751" s="52" t="str">
        <f t="shared" si="5"/>
        <v/>
      </c>
      <c r="U751" s="52"/>
      <c r="V751" s="53"/>
      <c r="W751" s="52" t="str">
        <f t="shared" si="6"/>
        <v/>
      </c>
      <c r="X751" s="52">
        <f t="shared" si="7"/>
        <v>0</v>
      </c>
      <c r="Y751" s="52">
        <f t="shared" si="8"/>
        <v>0</v>
      </c>
      <c r="Z751" s="52" t="str">
        <f>IF(G751="","",IFERROR(VLOOKUP(G751,'Product_Stock_Master产品维护'!$A$2:$L992,11,FALSE),"No"))</f>
        <v/>
      </c>
      <c r="AA751" s="52" t="str">
        <f>IF(G751="","",IFERROR(VLOOKUP(G751,'Product_Stock_Master产品维护'!$A$2:$L992,12,FALSE),""))</f>
        <v/>
      </c>
      <c r="AB751" s="52" t="str">
        <f t="shared" si="11"/>
        <v/>
      </c>
      <c r="AC751" s="52">
        <f t="shared" si="12"/>
        <v>0</v>
      </c>
    </row>
    <row r="752" ht="15.75" customHeight="1">
      <c r="A752" s="171"/>
      <c r="B752" s="171"/>
      <c r="C752" s="53"/>
      <c r="D752" s="53"/>
      <c r="E752" s="53"/>
      <c r="F752" s="53"/>
      <c r="G752" s="53"/>
      <c r="H752" s="52" t="str">
        <f>IF(G752="","",IFERROR(VLOOKUP(G752,'Product_Stock_Master产品维护'!$A$2:$E992,2,FALSE()),"SKU not found"))</f>
        <v/>
      </c>
      <c r="I752" s="52" t="str">
        <f>IF(G752="","",IFERROR(VLOOKUP(G752,'Product_Stock_Master产品维护'!$A$2:$E992,3,FALSE()),"Item type not found"))</f>
        <v/>
      </c>
      <c r="J752" s="53"/>
      <c r="K752" s="53"/>
      <c r="L752" s="53"/>
      <c r="M752" s="53"/>
      <c r="N752" s="53"/>
      <c r="O752" s="52" t="str">
        <f t="shared" si="1"/>
        <v/>
      </c>
      <c r="P752" s="53"/>
      <c r="Q752" s="52" t="str">
        <f t="shared" si="9"/>
        <v/>
      </c>
      <c r="R752" s="52" t="str">
        <f t="shared" si="3"/>
        <v/>
      </c>
      <c r="S752" s="52" t="str">
        <f t="shared" si="10"/>
        <v/>
      </c>
      <c r="T752" s="52" t="str">
        <f t="shared" si="5"/>
        <v/>
      </c>
      <c r="U752" s="52"/>
      <c r="V752" s="53"/>
      <c r="W752" s="52" t="str">
        <f t="shared" si="6"/>
        <v/>
      </c>
      <c r="X752" s="52">
        <f t="shared" si="7"/>
        <v>0</v>
      </c>
      <c r="Y752" s="52">
        <f t="shared" si="8"/>
        <v>0</v>
      </c>
      <c r="Z752" s="52" t="str">
        <f>IF(G752="","",IFERROR(VLOOKUP(G752,'Product_Stock_Master产品维护'!$A$2:$L992,11,FALSE),"No"))</f>
        <v/>
      </c>
      <c r="AA752" s="52" t="str">
        <f>IF(G752="","",IFERROR(VLOOKUP(G752,'Product_Stock_Master产品维护'!$A$2:$L992,12,FALSE),""))</f>
        <v/>
      </c>
      <c r="AB752" s="52" t="str">
        <f t="shared" si="11"/>
        <v/>
      </c>
      <c r="AC752" s="52">
        <f t="shared" si="12"/>
        <v>0</v>
      </c>
    </row>
    <row r="753" ht="15.75" customHeight="1">
      <c r="A753" s="171"/>
      <c r="B753" s="171"/>
      <c r="C753" s="53"/>
      <c r="D753" s="53"/>
      <c r="E753" s="53"/>
      <c r="F753" s="53"/>
      <c r="G753" s="53"/>
      <c r="H753" s="52" t="str">
        <f>IF(G753="","",IFERROR(VLOOKUP(G753,'Product_Stock_Master产品维护'!$A$2:$E992,2,FALSE()),"SKU not found"))</f>
        <v/>
      </c>
      <c r="I753" s="52" t="str">
        <f>IF(G753="","",IFERROR(VLOOKUP(G753,'Product_Stock_Master产品维护'!$A$2:$E992,3,FALSE()),"Item type not found"))</f>
        <v/>
      </c>
      <c r="J753" s="53"/>
      <c r="K753" s="53"/>
      <c r="L753" s="53"/>
      <c r="M753" s="53"/>
      <c r="N753" s="53"/>
      <c r="O753" s="52" t="str">
        <f t="shared" si="1"/>
        <v/>
      </c>
      <c r="P753" s="53"/>
      <c r="Q753" s="52" t="str">
        <f t="shared" si="9"/>
        <v/>
      </c>
      <c r="R753" s="52" t="str">
        <f t="shared" si="3"/>
        <v/>
      </c>
      <c r="S753" s="52" t="str">
        <f t="shared" si="10"/>
        <v/>
      </c>
      <c r="T753" s="52" t="str">
        <f t="shared" si="5"/>
        <v/>
      </c>
      <c r="U753" s="52"/>
      <c r="V753" s="53"/>
      <c r="W753" s="52" t="str">
        <f t="shared" si="6"/>
        <v/>
      </c>
      <c r="X753" s="52">
        <f t="shared" si="7"/>
        <v>0</v>
      </c>
      <c r="Y753" s="52">
        <f t="shared" si="8"/>
        <v>0</v>
      </c>
      <c r="Z753" s="52" t="str">
        <f>IF(G753="","",IFERROR(VLOOKUP(G753,'Product_Stock_Master产品维护'!$A$2:$L992,11,FALSE),"No"))</f>
        <v/>
      </c>
      <c r="AA753" s="52" t="str">
        <f>IF(G753="","",IFERROR(VLOOKUP(G753,'Product_Stock_Master产品维护'!$A$2:$L992,12,FALSE),""))</f>
        <v/>
      </c>
      <c r="AB753" s="52" t="str">
        <f t="shared" si="11"/>
        <v/>
      </c>
      <c r="AC753" s="52">
        <f t="shared" si="12"/>
        <v>0</v>
      </c>
    </row>
    <row r="754" ht="15.75" customHeight="1">
      <c r="A754" s="171"/>
      <c r="B754" s="171"/>
      <c r="C754" s="53"/>
      <c r="D754" s="53"/>
      <c r="E754" s="53"/>
      <c r="F754" s="53"/>
      <c r="G754" s="53"/>
      <c r="H754" s="52" t="str">
        <f>IF(G754="","",IFERROR(VLOOKUP(G754,'Product_Stock_Master产品维护'!$A$2:$E992,2,FALSE()),"SKU not found"))</f>
        <v/>
      </c>
      <c r="I754" s="52" t="str">
        <f>IF(G754="","",IFERROR(VLOOKUP(G754,'Product_Stock_Master产品维护'!$A$2:$E992,3,FALSE()),"Item type not found"))</f>
        <v/>
      </c>
      <c r="J754" s="53"/>
      <c r="K754" s="53"/>
      <c r="L754" s="53"/>
      <c r="M754" s="53"/>
      <c r="N754" s="53"/>
      <c r="O754" s="52" t="str">
        <f t="shared" si="1"/>
        <v/>
      </c>
      <c r="P754" s="53"/>
      <c r="Q754" s="52" t="str">
        <f t="shared" si="9"/>
        <v/>
      </c>
      <c r="R754" s="52" t="str">
        <f t="shared" si="3"/>
        <v/>
      </c>
      <c r="S754" s="52" t="str">
        <f t="shared" si="10"/>
        <v/>
      </c>
      <c r="T754" s="52" t="str">
        <f t="shared" si="5"/>
        <v/>
      </c>
      <c r="U754" s="52"/>
      <c r="V754" s="53"/>
      <c r="W754" s="52" t="str">
        <f t="shared" si="6"/>
        <v/>
      </c>
      <c r="X754" s="52">
        <f t="shared" si="7"/>
        <v>0</v>
      </c>
      <c r="Y754" s="52">
        <f t="shared" si="8"/>
        <v>0</v>
      </c>
      <c r="Z754" s="52" t="str">
        <f>IF(G754="","",IFERROR(VLOOKUP(G754,'Product_Stock_Master产品维护'!$A$2:$L992,11,FALSE),"No"))</f>
        <v/>
      </c>
      <c r="AA754" s="52" t="str">
        <f>IF(G754="","",IFERROR(VLOOKUP(G754,'Product_Stock_Master产品维护'!$A$2:$L992,12,FALSE),""))</f>
        <v/>
      </c>
      <c r="AB754" s="52" t="str">
        <f t="shared" si="11"/>
        <v/>
      </c>
      <c r="AC754" s="52">
        <f t="shared" si="12"/>
        <v>0</v>
      </c>
    </row>
    <row r="755" ht="15.75" customHeight="1">
      <c r="A755" s="171"/>
      <c r="B755" s="171"/>
      <c r="C755" s="53"/>
      <c r="D755" s="53"/>
      <c r="E755" s="53"/>
      <c r="F755" s="53"/>
      <c r="G755" s="53"/>
      <c r="H755" s="52" t="str">
        <f>IF(G755="","",IFERROR(VLOOKUP(G755,'Product_Stock_Master产品维护'!$A$2:$E992,2,FALSE()),"SKU not found"))</f>
        <v/>
      </c>
      <c r="I755" s="52" t="str">
        <f>IF(G755="","",IFERROR(VLOOKUP(G755,'Product_Stock_Master产品维护'!$A$2:$E992,3,FALSE()),"Item type not found"))</f>
        <v/>
      </c>
      <c r="J755" s="53"/>
      <c r="K755" s="53"/>
      <c r="L755" s="53"/>
      <c r="M755" s="53"/>
      <c r="N755" s="53"/>
      <c r="O755" s="52" t="str">
        <f t="shared" si="1"/>
        <v/>
      </c>
      <c r="P755" s="53"/>
      <c r="Q755" s="52" t="str">
        <f t="shared" si="9"/>
        <v/>
      </c>
      <c r="R755" s="52" t="str">
        <f t="shared" si="3"/>
        <v/>
      </c>
      <c r="S755" s="52" t="str">
        <f t="shared" si="10"/>
        <v/>
      </c>
      <c r="T755" s="52" t="str">
        <f t="shared" si="5"/>
        <v/>
      </c>
      <c r="U755" s="52"/>
      <c r="V755" s="53"/>
      <c r="W755" s="52" t="str">
        <f t="shared" si="6"/>
        <v/>
      </c>
      <c r="X755" s="52">
        <f t="shared" si="7"/>
        <v>0</v>
      </c>
      <c r="Y755" s="52">
        <f t="shared" si="8"/>
        <v>0</v>
      </c>
      <c r="Z755" s="52" t="str">
        <f>IF(G755="","",IFERROR(VLOOKUP(G755,'Product_Stock_Master产品维护'!$A$2:$L992,11,FALSE),"No"))</f>
        <v/>
      </c>
      <c r="AA755" s="52" t="str">
        <f>IF(G755="","",IFERROR(VLOOKUP(G755,'Product_Stock_Master产品维护'!$A$2:$L992,12,FALSE),""))</f>
        <v/>
      </c>
      <c r="AB755" s="52" t="str">
        <f t="shared" si="11"/>
        <v/>
      </c>
      <c r="AC755" s="52">
        <f t="shared" si="12"/>
        <v>0</v>
      </c>
    </row>
    <row r="756" ht="15.75" customHeight="1">
      <c r="A756" s="171"/>
      <c r="B756" s="171"/>
      <c r="C756" s="53"/>
      <c r="D756" s="53"/>
      <c r="E756" s="53"/>
      <c r="F756" s="53"/>
      <c r="G756" s="53"/>
      <c r="H756" s="52" t="str">
        <f>IF(G756="","",IFERROR(VLOOKUP(G756,'Product_Stock_Master产品维护'!$A$2:$E992,2,FALSE()),"SKU not found"))</f>
        <v/>
      </c>
      <c r="I756" s="52" t="str">
        <f>IF(G756="","",IFERROR(VLOOKUP(G756,'Product_Stock_Master产品维护'!$A$2:$E992,3,FALSE()),"Item type not found"))</f>
        <v/>
      </c>
      <c r="J756" s="53"/>
      <c r="K756" s="53"/>
      <c r="L756" s="53"/>
      <c r="M756" s="53"/>
      <c r="N756" s="53"/>
      <c r="O756" s="52" t="str">
        <f t="shared" si="1"/>
        <v/>
      </c>
      <c r="P756" s="53"/>
      <c r="Q756" s="52" t="str">
        <f t="shared" si="9"/>
        <v/>
      </c>
      <c r="R756" s="52" t="str">
        <f t="shared" si="3"/>
        <v/>
      </c>
      <c r="S756" s="52" t="str">
        <f t="shared" si="10"/>
        <v/>
      </c>
      <c r="T756" s="52" t="str">
        <f t="shared" si="5"/>
        <v/>
      </c>
      <c r="U756" s="52"/>
      <c r="V756" s="53"/>
      <c r="W756" s="52" t="str">
        <f t="shared" si="6"/>
        <v/>
      </c>
      <c r="X756" s="52">
        <f t="shared" si="7"/>
        <v>0</v>
      </c>
      <c r="Y756" s="52">
        <f t="shared" si="8"/>
        <v>0</v>
      </c>
      <c r="Z756" s="52" t="str">
        <f>IF(G756="","",IFERROR(VLOOKUP(G756,'Product_Stock_Master产品维护'!$A$2:$L992,11,FALSE),"No"))</f>
        <v/>
      </c>
      <c r="AA756" s="52" t="str">
        <f>IF(G756="","",IFERROR(VLOOKUP(G756,'Product_Stock_Master产品维护'!$A$2:$L992,12,FALSE),""))</f>
        <v/>
      </c>
      <c r="AB756" s="52" t="str">
        <f t="shared" si="11"/>
        <v/>
      </c>
      <c r="AC756" s="52">
        <f t="shared" si="12"/>
        <v>0</v>
      </c>
    </row>
    <row r="757" ht="15.75" customHeight="1">
      <c r="A757" s="171"/>
      <c r="B757" s="171"/>
      <c r="C757" s="53"/>
      <c r="D757" s="53"/>
      <c r="E757" s="53"/>
      <c r="F757" s="53"/>
      <c r="G757" s="53"/>
      <c r="H757" s="52" t="str">
        <f>IF(G757="","",IFERROR(VLOOKUP(G757,'Product_Stock_Master产品维护'!$A$2:$E992,2,FALSE()),"SKU not found"))</f>
        <v/>
      </c>
      <c r="I757" s="52" t="str">
        <f>IF(G757="","",IFERROR(VLOOKUP(G757,'Product_Stock_Master产品维护'!$A$2:$E992,3,FALSE()),"Item type not found"))</f>
        <v/>
      </c>
      <c r="J757" s="53"/>
      <c r="K757" s="53"/>
      <c r="L757" s="53"/>
      <c r="M757" s="53"/>
      <c r="N757" s="53"/>
      <c r="O757" s="52" t="str">
        <f t="shared" si="1"/>
        <v/>
      </c>
      <c r="P757" s="53"/>
      <c r="Q757" s="52" t="str">
        <f t="shared" si="9"/>
        <v/>
      </c>
      <c r="R757" s="52" t="str">
        <f t="shared" si="3"/>
        <v/>
      </c>
      <c r="S757" s="52" t="str">
        <f t="shared" si="10"/>
        <v/>
      </c>
      <c r="T757" s="52" t="str">
        <f t="shared" si="5"/>
        <v/>
      </c>
      <c r="U757" s="52"/>
      <c r="V757" s="53"/>
      <c r="W757" s="52" t="str">
        <f t="shared" si="6"/>
        <v/>
      </c>
      <c r="X757" s="52">
        <f t="shared" si="7"/>
        <v>0</v>
      </c>
      <c r="Y757" s="52">
        <f t="shared" si="8"/>
        <v>0</v>
      </c>
      <c r="Z757" s="52" t="str">
        <f>IF(G757="","",IFERROR(VLOOKUP(G757,'Product_Stock_Master产品维护'!$A$2:$L992,11,FALSE),"No"))</f>
        <v/>
      </c>
      <c r="AA757" s="52" t="str">
        <f>IF(G757="","",IFERROR(VLOOKUP(G757,'Product_Stock_Master产品维护'!$A$2:$L992,12,FALSE),""))</f>
        <v/>
      </c>
      <c r="AB757" s="52" t="str">
        <f t="shared" si="11"/>
        <v/>
      </c>
      <c r="AC757" s="52">
        <f t="shared" si="12"/>
        <v>0</v>
      </c>
    </row>
    <row r="758" ht="15.75" customHeight="1">
      <c r="A758" s="171"/>
      <c r="B758" s="171"/>
      <c r="C758" s="53"/>
      <c r="D758" s="53"/>
      <c r="E758" s="53"/>
      <c r="F758" s="53"/>
      <c r="G758" s="53"/>
      <c r="H758" s="52" t="str">
        <f>IF(G758="","",IFERROR(VLOOKUP(G758,'Product_Stock_Master产品维护'!$A$2:$E992,2,FALSE()),"SKU not found"))</f>
        <v/>
      </c>
      <c r="I758" s="52" t="str">
        <f>IF(G758="","",IFERROR(VLOOKUP(G758,'Product_Stock_Master产品维护'!$A$2:$E992,3,FALSE()),"Item type not found"))</f>
        <v/>
      </c>
      <c r="J758" s="53"/>
      <c r="K758" s="53"/>
      <c r="L758" s="53"/>
      <c r="M758" s="53"/>
      <c r="N758" s="53"/>
      <c r="O758" s="52" t="str">
        <f t="shared" si="1"/>
        <v/>
      </c>
      <c r="P758" s="53"/>
      <c r="Q758" s="52" t="str">
        <f t="shared" si="9"/>
        <v/>
      </c>
      <c r="R758" s="52" t="str">
        <f t="shared" si="3"/>
        <v/>
      </c>
      <c r="S758" s="52" t="str">
        <f t="shared" si="10"/>
        <v/>
      </c>
      <c r="T758" s="52" t="str">
        <f t="shared" si="5"/>
        <v/>
      </c>
      <c r="U758" s="52"/>
      <c r="V758" s="53"/>
      <c r="W758" s="52" t="str">
        <f t="shared" si="6"/>
        <v/>
      </c>
      <c r="X758" s="52">
        <f t="shared" si="7"/>
        <v>0</v>
      </c>
      <c r="Y758" s="52">
        <f t="shared" si="8"/>
        <v>0</v>
      </c>
      <c r="Z758" s="52" t="str">
        <f>IF(G758="","",IFERROR(VLOOKUP(G758,'Product_Stock_Master产品维护'!$A$2:$L992,11,FALSE),"No"))</f>
        <v/>
      </c>
      <c r="AA758" s="52" t="str">
        <f>IF(G758="","",IFERROR(VLOOKUP(G758,'Product_Stock_Master产品维护'!$A$2:$L992,12,FALSE),""))</f>
        <v/>
      </c>
      <c r="AB758" s="52" t="str">
        <f t="shared" si="11"/>
        <v/>
      </c>
      <c r="AC758" s="52">
        <f t="shared" si="12"/>
        <v>0</v>
      </c>
    </row>
    <row r="759" ht="15.75" customHeight="1">
      <c r="A759" s="171"/>
      <c r="B759" s="171"/>
      <c r="C759" s="53"/>
      <c r="D759" s="53"/>
      <c r="E759" s="53"/>
      <c r="F759" s="53"/>
      <c r="G759" s="53"/>
      <c r="H759" s="52" t="str">
        <f>IF(G759="","",IFERROR(VLOOKUP(G759,'Product_Stock_Master产品维护'!$A$2:$E992,2,FALSE()),"SKU not found"))</f>
        <v/>
      </c>
      <c r="I759" s="52" t="str">
        <f>IF(G759="","",IFERROR(VLOOKUP(G759,'Product_Stock_Master产品维护'!$A$2:$E992,3,FALSE()),"Item type not found"))</f>
        <v/>
      </c>
      <c r="J759" s="53"/>
      <c r="K759" s="53"/>
      <c r="L759" s="53"/>
      <c r="M759" s="53"/>
      <c r="N759" s="53"/>
      <c r="O759" s="52" t="str">
        <f t="shared" si="1"/>
        <v/>
      </c>
      <c r="P759" s="53"/>
      <c r="Q759" s="52" t="str">
        <f t="shared" si="9"/>
        <v/>
      </c>
      <c r="R759" s="52" t="str">
        <f t="shared" si="3"/>
        <v/>
      </c>
      <c r="S759" s="52" t="str">
        <f t="shared" si="10"/>
        <v/>
      </c>
      <c r="T759" s="52" t="str">
        <f t="shared" si="5"/>
        <v/>
      </c>
      <c r="U759" s="52"/>
      <c r="V759" s="53"/>
      <c r="W759" s="52" t="str">
        <f t="shared" si="6"/>
        <v/>
      </c>
      <c r="X759" s="52">
        <f t="shared" si="7"/>
        <v>0</v>
      </c>
      <c r="Y759" s="52">
        <f t="shared" si="8"/>
        <v>0</v>
      </c>
      <c r="Z759" s="52" t="str">
        <f>IF(G759="","",IFERROR(VLOOKUP(G759,'Product_Stock_Master产品维护'!$A$2:$L992,11,FALSE),"No"))</f>
        <v/>
      </c>
      <c r="AA759" s="52" t="str">
        <f>IF(G759="","",IFERROR(VLOOKUP(G759,'Product_Stock_Master产品维护'!$A$2:$L992,12,FALSE),""))</f>
        <v/>
      </c>
      <c r="AB759" s="52" t="str">
        <f t="shared" si="11"/>
        <v/>
      </c>
      <c r="AC759" s="52">
        <f t="shared" si="12"/>
        <v>0</v>
      </c>
    </row>
    <row r="760" ht="15.75" customHeight="1">
      <c r="A760" s="171"/>
      <c r="B760" s="171"/>
      <c r="C760" s="53"/>
      <c r="D760" s="53"/>
      <c r="E760" s="53"/>
      <c r="F760" s="53"/>
      <c r="G760" s="53"/>
      <c r="H760" s="52" t="str">
        <f>IF(G760="","",IFERROR(VLOOKUP(G760,'Product_Stock_Master产品维护'!$A$2:$E992,2,FALSE()),"SKU not found"))</f>
        <v/>
      </c>
      <c r="I760" s="52" t="str">
        <f>IF(G760="","",IFERROR(VLOOKUP(G760,'Product_Stock_Master产品维护'!$A$2:$E992,3,FALSE()),"Item type not found"))</f>
        <v/>
      </c>
      <c r="J760" s="53"/>
      <c r="K760" s="53"/>
      <c r="L760" s="53"/>
      <c r="M760" s="53"/>
      <c r="N760" s="53"/>
      <c r="O760" s="52" t="str">
        <f t="shared" si="1"/>
        <v/>
      </c>
      <c r="P760" s="53"/>
      <c r="Q760" s="52" t="str">
        <f t="shared" si="9"/>
        <v/>
      </c>
      <c r="R760" s="52" t="str">
        <f t="shared" si="3"/>
        <v/>
      </c>
      <c r="S760" s="52" t="str">
        <f t="shared" si="10"/>
        <v/>
      </c>
      <c r="T760" s="52" t="str">
        <f t="shared" si="5"/>
        <v/>
      </c>
      <c r="U760" s="52"/>
      <c r="V760" s="53"/>
      <c r="W760" s="52" t="str">
        <f t="shared" si="6"/>
        <v/>
      </c>
      <c r="X760" s="52">
        <f t="shared" si="7"/>
        <v>0</v>
      </c>
      <c r="Y760" s="52">
        <f t="shared" si="8"/>
        <v>0</v>
      </c>
      <c r="Z760" s="52" t="str">
        <f>IF(G760="","",IFERROR(VLOOKUP(G760,'Product_Stock_Master产品维护'!$A$2:$L992,11,FALSE),"No"))</f>
        <v/>
      </c>
      <c r="AA760" s="52" t="str">
        <f>IF(G760="","",IFERROR(VLOOKUP(G760,'Product_Stock_Master产品维护'!$A$2:$L992,12,FALSE),""))</f>
        <v/>
      </c>
      <c r="AB760" s="52" t="str">
        <f t="shared" si="11"/>
        <v/>
      </c>
      <c r="AC760" s="52">
        <f t="shared" si="12"/>
        <v>0</v>
      </c>
    </row>
    <row r="761" ht="15.75" customHeight="1">
      <c r="A761" s="171"/>
      <c r="B761" s="171"/>
      <c r="C761" s="53"/>
      <c r="D761" s="53"/>
      <c r="E761" s="53"/>
      <c r="F761" s="53"/>
      <c r="G761" s="53"/>
      <c r="H761" s="52" t="str">
        <f>IF(G761="","",IFERROR(VLOOKUP(G761,'Product_Stock_Master产品维护'!$A$2:$E992,2,FALSE()),"SKU not found"))</f>
        <v/>
      </c>
      <c r="I761" s="52" t="str">
        <f>IF(G761="","",IFERROR(VLOOKUP(G761,'Product_Stock_Master产品维护'!$A$2:$E992,3,FALSE()),"Item type not found"))</f>
        <v/>
      </c>
      <c r="J761" s="53"/>
      <c r="K761" s="53"/>
      <c r="L761" s="53"/>
      <c r="M761" s="53"/>
      <c r="N761" s="53"/>
      <c r="O761" s="52" t="str">
        <f t="shared" si="1"/>
        <v/>
      </c>
      <c r="P761" s="53"/>
      <c r="Q761" s="52" t="str">
        <f t="shared" si="9"/>
        <v/>
      </c>
      <c r="R761" s="52" t="str">
        <f t="shared" si="3"/>
        <v/>
      </c>
      <c r="S761" s="52" t="str">
        <f t="shared" si="10"/>
        <v/>
      </c>
      <c r="T761" s="52" t="str">
        <f t="shared" si="5"/>
        <v/>
      </c>
      <c r="U761" s="52"/>
      <c r="V761" s="53"/>
      <c r="W761" s="52" t="str">
        <f t="shared" si="6"/>
        <v/>
      </c>
      <c r="X761" s="52">
        <f t="shared" si="7"/>
        <v>0</v>
      </c>
      <c r="Y761" s="52">
        <f t="shared" si="8"/>
        <v>0</v>
      </c>
      <c r="Z761" s="52" t="str">
        <f>IF(G761="","",IFERROR(VLOOKUP(G761,'Product_Stock_Master产品维护'!$A$2:$L992,11,FALSE),"No"))</f>
        <v/>
      </c>
      <c r="AA761" s="52" t="str">
        <f>IF(G761="","",IFERROR(VLOOKUP(G761,'Product_Stock_Master产品维护'!$A$2:$L992,12,FALSE),""))</f>
        <v/>
      </c>
      <c r="AB761" s="52" t="str">
        <f t="shared" si="11"/>
        <v/>
      </c>
      <c r="AC761" s="52">
        <f t="shared" si="12"/>
        <v>0</v>
      </c>
    </row>
    <row r="762" ht="15.75" customHeight="1">
      <c r="A762" s="171"/>
      <c r="B762" s="171"/>
      <c r="C762" s="53"/>
      <c r="D762" s="53"/>
      <c r="E762" s="53"/>
      <c r="F762" s="53"/>
      <c r="G762" s="53"/>
      <c r="H762" s="52" t="str">
        <f>IF(G762="","",IFERROR(VLOOKUP(G762,'Product_Stock_Master产品维护'!$A$2:$E992,2,FALSE()),"SKU not found"))</f>
        <v/>
      </c>
      <c r="I762" s="52" t="str">
        <f>IF(G762="","",IFERROR(VLOOKUP(G762,'Product_Stock_Master产品维护'!$A$2:$E992,3,FALSE()),"Item type not found"))</f>
        <v/>
      </c>
      <c r="J762" s="53"/>
      <c r="K762" s="53"/>
      <c r="L762" s="53"/>
      <c r="M762" s="53"/>
      <c r="N762" s="53"/>
      <c r="O762" s="52" t="str">
        <f t="shared" si="1"/>
        <v/>
      </c>
      <c r="P762" s="53"/>
      <c r="Q762" s="52" t="str">
        <f t="shared" si="9"/>
        <v/>
      </c>
      <c r="R762" s="52" t="str">
        <f t="shared" si="3"/>
        <v/>
      </c>
      <c r="S762" s="52" t="str">
        <f t="shared" si="10"/>
        <v/>
      </c>
      <c r="T762" s="52" t="str">
        <f t="shared" si="5"/>
        <v/>
      </c>
      <c r="U762" s="52"/>
      <c r="V762" s="53"/>
      <c r="W762" s="52" t="str">
        <f t="shared" si="6"/>
        <v/>
      </c>
      <c r="X762" s="52">
        <f t="shared" si="7"/>
        <v>0</v>
      </c>
      <c r="Y762" s="52">
        <f t="shared" si="8"/>
        <v>0</v>
      </c>
      <c r="Z762" s="52" t="str">
        <f>IF(G762="","",IFERROR(VLOOKUP(G762,'Product_Stock_Master产品维护'!$A$2:$L992,11,FALSE),"No"))</f>
        <v/>
      </c>
      <c r="AA762" s="52" t="str">
        <f>IF(G762="","",IFERROR(VLOOKUP(G762,'Product_Stock_Master产品维护'!$A$2:$L992,12,FALSE),""))</f>
        <v/>
      </c>
      <c r="AB762" s="52" t="str">
        <f t="shared" si="11"/>
        <v/>
      </c>
      <c r="AC762" s="52">
        <f t="shared" si="12"/>
        <v>0</v>
      </c>
    </row>
    <row r="763" ht="15.75" customHeight="1">
      <c r="A763" s="171"/>
      <c r="B763" s="171"/>
      <c r="C763" s="53"/>
      <c r="D763" s="53"/>
      <c r="E763" s="53"/>
      <c r="F763" s="53"/>
      <c r="G763" s="53"/>
      <c r="H763" s="52" t="str">
        <f>IF(G763="","",IFERROR(VLOOKUP(G763,'Product_Stock_Master产品维护'!$A$2:$E992,2,FALSE()),"SKU not found"))</f>
        <v/>
      </c>
      <c r="I763" s="52" t="str">
        <f>IF(G763="","",IFERROR(VLOOKUP(G763,'Product_Stock_Master产品维护'!$A$2:$E992,3,FALSE()),"Item type not found"))</f>
        <v/>
      </c>
      <c r="J763" s="53"/>
      <c r="K763" s="53"/>
      <c r="L763" s="53"/>
      <c r="M763" s="53"/>
      <c r="N763" s="53"/>
      <c r="O763" s="52" t="str">
        <f t="shared" si="1"/>
        <v/>
      </c>
      <c r="P763" s="53"/>
      <c r="Q763" s="52" t="str">
        <f t="shared" si="9"/>
        <v/>
      </c>
      <c r="R763" s="52" t="str">
        <f t="shared" si="3"/>
        <v/>
      </c>
      <c r="S763" s="52" t="str">
        <f t="shared" si="10"/>
        <v/>
      </c>
      <c r="T763" s="52" t="str">
        <f t="shared" si="5"/>
        <v/>
      </c>
      <c r="U763" s="52"/>
      <c r="V763" s="53"/>
      <c r="W763" s="52" t="str">
        <f t="shared" si="6"/>
        <v/>
      </c>
      <c r="X763" s="52">
        <f t="shared" si="7"/>
        <v>0</v>
      </c>
      <c r="Y763" s="52">
        <f t="shared" si="8"/>
        <v>0</v>
      </c>
      <c r="Z763" s="52" t="str">
        <f>IF(G763="","",IFERROR(VLOOKUP(G763,'Product_Stock_Master产品维护'!$A$2:$L992,11,FALSE),"No"))</f>
        <v/>
      </c>
      <c r="AA763" s="52" t="str">
        <f>IF(G763="","",IFERROR(VLOOKUP(G763,'Product_Stock_Master产品维护'!$A$2:$L992,12,FALSE),""))</f>
        <v/>
      </c>
      <c r="AB763" s="52" t="str">
        <f t="shared" si="11"/>
        <v/>
      </c>
      <c r="AC763" s="52">
        <f t="shared" si="12"/>
        <v>0</v>
      </c>
    </row>
    <row r="764" ht="15.75" customHeight="1">
      <c r="A764" s="171"/>
      <c r="B764" s="171"/>
      <c r="C764" s="53"/>
      <c r="D764" s="53"/>
      <c r="E764" s="53"/>
      <c r="F764" s="53"/>
      <c r="G764" s="53"/>
      <c r="H764" s="52" t="str">
        <f>IF(G764="","",IFERROR(VLOOKUP(G764,'Product_Stock_Master产品维护'!$A$2:$E992,2,FALSE()),"SKU not found"))</f>
        <v/>
      </c>
      <c r="I764" s="52" t="str">
        <f>IF(G764="","",IFERROR(VLOOKUP(G764,'Product_Stock_Master产品维护'!$A$2:$E992,3,FALSE()),"Item type not found"))</f>
        <v/>
      </c>
      <c r="J764" s="53"/>
      <c r="K764" s="53"/>
      <c r="L764" s="53"/>
      <c r="M764" s="53"/>
      <c r="N764" s="53"/>
      <c r="O764" s="52" t="str">
        <f t="shared" si="1"/>
        <v/>
      </c>
      <c r="P764" s="53"/>
      <c r="Q764" s="52" t="str">
        <f t="shared" si="9"/>
        <v/>
      </c>
      <c r="R764" s="52" t="str">
        <f t="shared" si="3"/>
        <v/>
      </c>
      <c r="S764" s="52" t="str">
        <f t="shared" si="10"/>
        <v/>
      </c>
      <c r="T764" s="52" t="str">
        <f t="shared" si="5"/>
        <v/>
      </c>
      <c r="U764" s="52"/>
      <c r="V764" s="53"/>
      <c r="W764" s="52" t="str">
        <f t="shared" si="6"/>
        <v/>
      </c>
      <c r="X764" s="52">
        <f t="shared" si="7"/>
        <v>0</v>
      </c>
      <c r="Y764" s="52">
        <f t="shared" si="8"/>
        <v>0</v>
      </c>
      <c r="Z764" s="52" t="str">
        <f>IF(G764="","",IFERROR(VLOOKUP(G764,'Product_Stock_Master产品维护'!$A$2:$L992,11,FALSE),"No"))</f>
        <v/>
      </c>
      <c r="AA764" s="52" t="str">
        <f>IF(G764="","",IFERROR(VLOOKUP(G764,'Product_Stock_Master产品维护'!$A$2:$L992,12,FALSE),""))</f>
        <v/>
      </c>
      <c r="AB764" s="52" t="str">
        <f t="shared" si="11"/>
        <v/>
      </c>
      <c r="AC764" s="52">
        <f t="shared" si="12"/>
        <v>0</v>
      </c>
    </row>
    <row r="765" ht="15.75" customHeight="1">
      <c r="A765" s="171"/>
      <c r="B765" s="171"/>
      <c r="C765" s="53"/>
      <c r="D765" s="53"/>
      <c r="E765" s="53"/>
      <c r="F765" s="53"/>
      <c r="G765" s="53"/>
      <c r="H765" s="52" t="str">
        <f>IF(G765="","",IFERROR(VLOOKUP(G765,'Product_Stock_Master产品维护'!$A$2:$E992,2,FALSE()),"SKU not found"))</f>
        <v/>
      </c>
      <c r="I765" s="52" t="str">
        <f>IF(G765="","",IFERROR(VLOOKUP(G765,'Product_Stock_Master产品维护'!$A$2:$E992,3,FALSE()),"Item type not found"))</f>
        <v/>
      </c>
      <c r="J765" s="53"/>
      <c r="K765" s="53"/>
      <c r="L765" s="53"/>
      <c r="M765" s="53"/>
      <c r="N765" s="53"/>
      <c r="O765" s="52" t="str">
        <f t="shared" si="1"/>
        <v/>
      </c>
      <c r="P765" s="53"/>
      <c r="Q765" s="52" t="str">
        <f t="shared" si="9"/>
        <v/>
      </c>
      <c r="R765" s="52" t="str">
        <f t="shared" si="3"/>
        <v/>
      </c>
      <c r="S765" s="52" t="str">
        <f t="shared" si="10"/>
        <v/>
      </c>
      <c r="T765" s="52" t="str">
        <f t="shared" si="5"/>
        <v/>
      </c>
      <c r="U765" s="52"/>
      <c r="V765" s="53"/>
      <c r="W765" s="52" t="str">
        <f t="shared" si="6"/>
        <v/>
      </c>
      <c r="X765" s="52">
        <f t="shared" si="7"/>
        <v>0</v>
      </c>
      <c r="Y765" s="52">
        <f t="shared" si="8"/>
        <v>0</v>
      </c>
      <c r="Z765" s="52" t="str">
        <f>IF(G765="","",IFERROR(VLOOKUP(G765,'Product_Stock_Master产品维护'!$A$2:$L992,11,FALSE),"No"))</f>
        <v/>
      </c>
      <c r="AA765" s="52" t="str">
        <f>IF(G765="","",IFERROR(VLOOKUP(G765,'Product_Stock_Master产品维护'!$A$2:$L992,12,FALSE),""))</f>
        <v/>
      </c>
      <c r="AB765" s="52" t="str">
        <f t="shared" si="11"/>
        <v/>
      </c>
      <c r="AC765" s="52">
        <f t="shared" si="12"/>
        <v>0</v>
      </c>
    </row>
    <row r="766" ht="15.75" customHeight="1">
      <c r="A766" s="171"/>
      <c r="B766" s="171"/>
      <c r="C766" s="53"/>
      <c r="D766" s="53"/>
      <c r="E766" s="53"/>
      <c r="F766" s="53"/>
      <c r="G766" s="53"/>
      <c r="H766" s="52" t="str">
        <f>IF(G766="","",IFERROR(VLOOKUP(G766,'Product_Stock_Master产品维护'!$A$2:$E992,2,FALSE()),"SKU not found"))</f>
        <v/>
      </c>
      <c r="I766" s="52" t="str">
        <f>IF(G766="","",IFERROR(VLOOKUP(G766,'Product_Stock_Master产品维护'!$A$2:$E992,3,FALSE()),"Item type not found"))</f>
        <v/>
      </c>
      <c r="J766" s="53"/>
      <c r="K766" s="53"/>
      <c r="L766" s="53"/>
      <c r="M766" s="53"/>
      <c r="N766" s="53"/>
      <c r="O766" s="52" t="str">
        <f t="shared" si="1"/>
        <v/>
      </c>
      <c r="P766" s="53"/>
      <c r="Q766" s="52" t="str">
        <f t="shared" si="9"/>
        <v/>
      </c>
      <c r="R766" s="52" t="str">
        <f t="shared" si="3"/>
        <v/>
      </c>
      <c r="S766" s="52" t="str">
        <f t="shared" si="10"/>
        <v/>
      </c>
      <c r="T766" s="52" t="str">
        <f t="shared" si="5"/>
        <v/>
      </c>
      <c r="U766" s="52"/>
      <c r="V766" s="53"/>
      <c r="W766" s="52" t="str">
        <f t="shared" si="6"/>
        <v/>
      </c>
      <c r="X766" s="52">
        <f t="shared" si="7"/>
        <v>0</v>
      </c>
      <c r="Y766" s="52">
        <f t="shared" si="8"/>
        <v>0</v>
      </c>
      <c r="Z766" s="52" t="str">
        <f>IF(G766="","",IFERROR(VLOOKUP(G766,'Product_Stock_Master产品维护'!$A$2:$L992,11,FALSE),"No"))</f>
        <v/>
      </c>
      <c r="AA766" s="52" t="str">
        <f>IF(G766="","",IFERROR(VLOOKUP(G766,'Product_Stock_Master产品维护'!$A$2:$L992,12,FALSE),""))</f>
        <v/>
      </c>
      <c r="AB766" s="52" t="str">
        <f t="shared" si="11"/>
        <v/>
      </c>
      <c r="AC766" s="52">
        <f t="shared" si="12"/>
        <v>0</v>
      </c>
    </row>
    <row r="767" ht="15.75" customHeight="1">
      <c r="A767" s="171"/>
      <c r="B767" s="171"/>
      <c r="C767" s="53"/>
      <c r="D767" s="53"/>
      <c r="E767" s="53"/>
      <c r="F767" s="53"/>
      <c r="G767" s="53"/>
      <c r="H767" s="52" t="str">
        <f>IF(G767="","",IFERROR(VLOOKUP(G767,'Product_Stock_Master产品维护'!$A$2:$E992,2,FALSE()),"SKU not found"))</f>
        <v/>
      </c>
      <c r="I767" s="52" t="str">
        <f>IF(G767="","",IFERROR(VLOOKUP(G767,'Product_Stock_Master产品维护'!$A$2:$E992,3,FALSE()),"Item type not found"))</f>
        <v/>
      </c>
      <c r="J767" s="53"/>
      <c r="K767" s="53"/>
      <c r="L767" s="53"/>
      <c r="M767" s="53"/>
      <c r="N767" s="53"/>
      <c r="O767" s="52" t="str">
        <f t="shared" si="1"/>
        <v/>
      </c>
      <c r="P767" s="53"/>
      <c r="Q767" s="52" t="str">
        <f t="shared" si="9"/>
        <v/>
      </c>
      <c r="R767" s="52" t="str">
        <f t="shared" si="3"/>
        <v/>
      </c>
      <c r="S767" s="52" t="str">
        <f t="shared" si="10"/>
        <v/>
      </c>
      <c r="T767" s="52" t="str">
        <f t="shared" si="5"/>
        <v/>
      </c>
      <c r="U767" s="52"/>
      <c r="V767" s="53"/>
      <c r="W767" s="52" t="str">
        <f t="shared" si="6"/>
        <v/>
      </c>
      <c r="X767" s="52">
        <f t="shared" si="7"/>
        <v>0</v>
      </c>
      <c r="Y767" s="52">
        <f t="shared" si="8"/>
        <v>0</v>
      </c>
      <c r="Z767" s="52" t="str">
        <f>IF(G767="","",IFERROR(VLOOKUP(G767,'Product_Stock_Master产品维护'!$A$2:$L992,11,FALSE),"No"))</f>
        <v/>
      </c>
      <c r="AA767" s="52" t="str">
        <f>IF(G767="","",IFERROR(VLOOKUP(G767,'Product_Stock_Master产品维护'!$A$2:$L992,12,FALSE),""))</f>
        <v/>
      </c>
      <c r="AB767" s="52" t="str">
        <f t="shared" si="11"/>
        <v/>
      </c>
      <c r="AC767" s="52">
        <f t="shared" si="12"/>
        <v>0</v>
      </c>
    </row>
    <row r="768" ht="15.75" customHeight="1">
      <c r="A768" s="171"/>
      <c r="B768" s="171"/>
      <c r="C768" s="53"/>
      <c r="D768" s="53"/>
      <c r="E768" s="53"/>
      <c r="F768" s="53"/>
      <c r="G768" s="53"/>
      <c r="H768" s="52" t="str">
        <f>IF(G768="","",IFERROR(VLOOKUP(G768,'Product_Stock_Master产品维护'!$A$2:$E992,2,FALSE()),"SKU not found"))</f>
        <v/>
      </c>
      <c r="I768" s="52" t="str">
        <f>IF(G768="","",IFERROR(VLOOKUP(G768,'Product_Stock_Master产品维护'!$A$2:$E992,3,FALSE()),"Item type not found"))</f>
        <v/>
      </c>
      <c r="J768" s="53"/>
      <c r="K768" s="53"/>
      <c r="L768" s="53"/>
      <c r="M768" s="53"/>
      <c r="N768" s="53"/>
      <c r="O768" s="52" t="str">
        <f t="shared" si="1"/>
        <v/>
      </c>
      <c r="P768" s="53"/>
      <c r="Q768" s="52" t="str">
        <f t="shared" si="9"/>
        <v/>
      </c>
      <c r="R768" s="52" t="str">
        <f t="shared" si="3"/>
        <v/>
      </c>
      <c r="S768" s="52" t="str">
        <f t="shared" si="10"/>
        <v/>
      </c>
      <c r="T768" s="52" t="str">
        <f t="shared" si="5"/>
        <v/>
      </c>
      <c r="U768" s="52"/>
      <c r="V768" s="53"/>
      <c r="W768" s="52" t="str">
        <f t="shared" si="6"/>
        <v/>
      </c>
      <c r="X768" s="52">
        <f t="shared" si="7"/>
        <v>0</v>
      </c>
      <c r="Y768" s="52">
        <f t="shared" si="8"/>
        <v>0</v>
      </c>
      <c r="Z768" s="52" t="str">
        <f>IF(G768="","",IFERROR(VLOOKUP(G768,'Product_Stock_Master产品维护'!$A$2:$L992,11,FALSE),"No"))</f>
        <v/>
      </c>
      <c r="AA768" s="52" t="str">
        <f>IF(G768="","",IFERROR(VLOOKUP(G768,'Product_Stock_Master产品维护'!$A$2:$L992,12,FALSE),""))</f>
        <v/>
      </c>
      <c r="AB768" s="52" t="str">
        <f t="shared" si="11"/>
        <v/>
      </c>
      <c r="AC768" s="52">
        <f t="shared" si="12"/>
        <v>0</v>
      </c>
    </row>
    <row r="769" ht="15.75" customHeight="1">
      <c r="A769" s="171"/>
      <c r="B769" s="171"/>
      <c r="C769" s="53"/>
      <c r="D769" s="53"/>
      <c r="E769" s="53"/>
      <c r="F769" s="53"/>
      <c r="G769" s="53"/>
      <c r="H769" s="52" t="str">
        <f>IF(G769="","",IFERROR(VLOOKUP(G769,'Product_Stock_Master产品维护'!$A$2:$E992,2,FALSE()),"SKU not found"))</f>
        <v/>
      </c>
      <c r="I769" s="52" t="str">
        <f>IF(G769="","",IFERROR(VLOOKUP(G769,'Product_Stock_Master产品维护'!$A$2:$E992,3,FALSE()),"Item type not found"))</f>
        <v/>
      </c>
      <c r="J769" s="53"/>
      <c r="K769" s="53"/>
      <c r="L769" s="53"/>
      <c r="M769" s="53"/>
      <c r="N769" s="53"/>
      <c r="O769" s="52" t="str">
        <f t="shared" si="1"/>
        <v/>
      </c>
      <c r="P769" s="53"/>
      <c r="Q769" s="52" t="str">
        <f t="shared" si="9"/>
        <v/>
      </c>
      <c r="R769" s="52" t="str">
        <f t="shared" si="3"/>
        <v/>
      </c>
      <c r="S769" s="52" t="str">
        <f t="shared" si="10"/>
        <v/>
      </c>
      <c r="T769" s="52" t="str">
        <f t="shared" si="5"/>
        <v/>
      </c>
      <c r="U769" s="52"/>
      <c r="V769" s="53"/>
      <c r="W769" s="52" t="str">
        <f t="shared" si="6"/>
        <v/>
      </c>
      <c r="X769" s="52">
        <f t="shared" si="7"/>
        <v>0</v>
      </c>
      <c r="Y769" s="52">
        <f t="shared" si="8"/>
        <v>0</v>
      </c>
      <c r="Z769" s="52" t="str">
        <f>IF(G769="","",IFERROR(VLOOKUP(G769,'Product_Stock_Master产品维护'!$A$2:$L992,11,FALSE),"No"))</f>
        <v/>
      </c>
      <c r="AA769" s="52" t="str">
        <f>IF(G769="","",IFERROR(VLOOKUP(G769,'Product_Stock_Master产品维护'!$A$2:$L992,12,FALSE),""))</f>
        <v/>
      </c>
      <c r="AB769" s="52" t="str">
        <f t="shared" si="11"/>
        <v/>
      </c>
      <c r="AC769" s="52">
        <f t="shared" si="12"/>
        <v>0</v>
      </c>
    </row>
    <row r="770" ht="15.75" customHeight="1">
      <c r="A770" s="171"/>
      <c r="B770" s="171"/>
      <c r="C770" s="53"/>
      <c r="D770" s="53"/>
      <c r="E770" s="53"/>
      <c r="F770" s="53"/>
      <c r="G770" s="53"/>
      <c r="H770" s="52" t="str">
        <f>IF(G770="","",IFERROR(VLOOKUP(G770,'Product_Stock_Master产品维护'!$A$2:$E992,2,FALSE()),"SKU not found"))</f>
        <v/>
      </c>
      <c r="I770" s="52" t="str">
        <f>IF(G770="","",IFERROR(VLOOKUP(G770,'Product_Stock_Master产品维护'!$A$2:$E992,3,FALSE()),"Item type not found"))</f>
        <v/>
      </c>
      <c r="J770" s="53"/>
      <c r="K770" s="53"/>
      <c r="L770" s="53"/>
      <c r="M770" s="53"/>
      <c r="N770" s="53"/>
      <c r="O770" s="52" t="str">
        <f t="shared" si="1"/>
        <v/>
      </c>
      <c r="P770" s="53"/>
      <c r="Q770" s="52" t="str">
        <f t="shared" si="9"/>
        <v/>
      </c>
      <c r="R770" s="52" t="str">
        <f t="shared" si="3"/>
        <v/>
      </c>
      <c r="S770" s="52" t="str">
        <f t="shared" si="10"/>
        <v/>
      </c>
      <c r="T770" s="52" t="str">
        <f t="shared" si="5"/>
        <v/>
      </c>
      <c r="U770" s="52"/>
      <c r="V770" s="53"/>
      <c r="W770" s="52" t="str">
        <f t="shared" si="6"/>
        <v/>
      </c>
      <c r="X770" s="52">
        <f t="shared" si="7"/>
        <v>0</v>
      </c>
      <c r="Y770" s="52">
        <f t="shared" si="8"/>
        <v>0</v>
      </c>
      <c r="Z770" s="52" t="str">
        <f>IF(G770="","",IFERROR(VLOOKUP(G770,'Product_Stock_Master产品维护'!$A$2:$L992,11,FALSE),"No"))</f>
        <v/>
      </c>
      <c r="AA770" s="52" t="str">
        <f>IF(G770="","",IFERROR(VLOOKUP(G770,'Product_Stock_Master产品维护'!$A$2:$L992,12,FALSE),""))</f>
        <v/>
      </c>
      <c r="AB770" s="52" t="str">
        <f t="shared" si="11"/>
        <v/>
      </c>
      <c r="AC770" s="52">
        <f t="shared" si="12"/>
        <v>0</v>
      </c>
    </row>
    <row r="771" ht="15.75" customHeight="1">
      <c r="A771" s="171"/>
      <c r="B771" s="171"/>
      <c r="C771" s="53"/>
      <c r="D771" s="53"/>
      <c r="E771" s="53"/>
      <c r="F771" s="53"/>
      <c r="G771" s="53"/>
      <c r="H771" s="52" t="str">
        <f>IF(G771="","",IFERROR(VLOOKUP(G771,'Product_Stock_Master产品维护'!$A$2:$E992,2,FALSE()),"SKU not found"))</f>
        <v/>
      </c>
      <c r="I771" s="52" t="str">
        <f>IF(G771="","",IFERROR(VLOOKUP(G771,'Product_Stock_Master产品维护'!$A$2:$E992,3,FALSE()),"Item type not found"))</f>
        <v/>
      </c>
      <c r="J771" s="53"/>
      <c r="K771" s="53"/>
      <c r="L771" s="53"/>
      <c r="M771" s="53"/>
      <c r="N771" s="53"/>
      <c r="O771" s="52" t="str">
        <f t="shared" si="1"/>
        <v/>
      </c>
      <c r="P771" s="53"/>
      <c r="Q771" s="52" t="str">
        <f t="shared" si="9"/>
        <v/>
      </c>
      <c r="R771" s="52" t="str">
        <f t="shared" si="3"/>
        <v/>
      </c>
      <c r="S771" s="52" t="str">
        <f t="shared" si="10"/>
        <v/>
      </c>
      <c r="T771" s="52" t="str">
        <f t="shared" si="5"/>
        <v/>
      </c>
      <c r="U771" s="52"/>
      <c r="V771" s="53"/>
      <c r="W771" s="52" t="str">
        <f t="shared" si="6"/>
        <v/>
      </c>
      <c r="X771" s="52">
        <f t="shared" si="7"/>
        <v>0</v>
      </c>
      <c r="Y771" s="52">
        <f t="shared" si="8"/>
        <v>0</v>
      </c>
      <c r="Z771" s="52" t="str">
        <f>IF(G771="","",IFERROR(VLOOKUP(G771,'Product_Stock_Master产品维护'!$A$2:$L992,11,FALSE),"No"))</f>
        <v/>
      </c>
      <c r="AA771" s="52" t="str">
        <f>IF(G771="","",IFERROR(VLOOKUP(G771,'Product_Stock_Master产品维护'!$A$2:$L992,12,FALSE),""))</f>
        <v/>
      </c>
      <c r="AB771" s="52" t="str">
        <f t="shared" si="11"/>
        <v/>
      </c>
      <c r="AC771" s="52">
        <f t="shared" si="12"/>
        <v>0</v>
      </c>
    </row>
    <row r="772" ht="15.75" customHeight="1">
      <c r="A772" s="171"/>
      <c r="B772" s="171"/>
      <c r="C772" s="53"/>
      <c r="D772" s="53"/>
      <c r="E772" s="53"/>
      <c r="F772" s="53"/>
      <c r="G772" s="53"/>
      <c r="H772" s="52" t="str">
        <f>IF(G772="","",IFERROR(VLOOKUP(G772,'Product_Stock_Master产品维护'!$A$2:$E992,2,FALSE()),"SKU not found"))</f>
        <v/>
      </c>
      <c r="I772" s="52" t="str">
        <f>IF(G772="","",IFERROR(VLOOKUP(G772,'Product_Stock_Master产品维护'!$A$2:$E992,3,FALSE()),"Item type not found"))</f>
        <v/>
      </c>
      <c r="J772" s="53"/>
      <c r="K772" s="53"/>
      <c r="L772" s="53"/>
      <c r="M772" s="53"/>
      <c r="N772" s="53"/>
      <c r="O772" s="52" t="str">
        <f t="shared" si="1"/>
        <v/>
      </c>
      <c r="P772" s="53"/>
      <c r="Q772" s="52" t="str">
        <f t="shared" si="9"/>
        <v/>
      </c>
      <c r="R772" s="52" t="str">
        <f t="shared" si="3"/>
        <v/>
      </c>
      <c r="S772" s="52" t="str">
        <f t="shared" si="10"/>
        <v/>
      </c>
      <c r="T772" s="52" t="str">
        <f t="shared" si="5"/>
        <v/>
      </c>
      <c r="U772" s="52"/>
      <c r="V772" s="53"/>
      <c r="W772" s="52" t="str">
        <f t="shared" si="6"/>
        <v/>
      </c>
      <c r="X772" s="52">
        <f t="shared" si="7"/>
        <v>0</v>
      </c>
      <c r="Y772" s="52">
        <f t="shared" si="8"/>
        <v>0</v>
      </c>
      <c r="Z772" s="52" t="str">
        <f>IF(G772="","",IFERROR(VLOOKUP(G772,'Product_Stock_Master产品维护'!$A$2:$L992,11,FALSE),"No"))</f>
        <v/>
      </c>
      <c r="AA772" s="52" t="str">
        <f>IF(G772="","",IFERROR(VLOOKUP(G772,'Product_Stock_Master产品维护'!$A$2:$L992,12,FALSE),""))</f>
        <v/>
      </c>
      <c r="AB772" s="52" t="str">
        <f t="shared" si="11"/>
        <v/>
      </c>
      <c r="AC772" s="52">
        <f t="shared" si="12"/>
        <v>0</v>
      </c>
    </row>
    <row r="773" ht="15.75" customHeight="1">
      <c r="A773" s="171"/>
      <c r="B773" s="171"/>
      <c r="C773" s="53"/>
      <c r="D773" s="53"/>
      <c r="E773" s="53"/>
      <c r="F773" s="53"/>
      <c r="G773" s="53"/>
      <c r="H773" s="52" t="str">
        <f>IF(G773="","",IFERROR(VLOOKUP(G773,'Product_Stock_Master产品维护'!$A$2:$E992,2,FALSE()),"SKU not found"))</f>
        <v/>
      </c>
      <c r="I773" s="52" t="str">
        <f>IF(G773="","",IFERROR(VLOOKUP(G773,'Product_Stock_Master产品维护'!$A$2:$E992,3,FALSE()),"Item type not found"))</f>
        <v/>
      </c>
      <c r="J773" s="53"/>
      <c r="K773" s="53"/>
      <c r="L773" s="53"/>
      <c r="M773" s="53"/>
      <c r="N773" s="53"/>
      <c r="O773" s="52" t="str">
        <f t="shared" si="1"/>
        <v/>
      </c>
      <c r="P773" s="53"/>
      <c r="Q773" s="52" t="str">
        <f t="shared" si="9"/>
        <v/>
      </c>
      <c r="R773" s="52" t="str">
        <f t="shared" si="3"/>
        <v/>
      </c>
      <c r="S773" s="52" t="str">
        <f t="shared" si="10"/>
        <v/>
      </c>
      <c r="T773" s="52" t="str">
        <f t="shared" si="5"/>
        <v/>
      </c>
      <c r="U773" s="52"/>
      <c r="V773" s="53"/>
      <c r="W773" s="52" t="str">
        <f t="shared" si="6"/>
        <v/>
      </c>
      <c r="X773" s="52">
        <f t="shared" si="7"/>
        <v>0</v>
      </c>
      <c r="Y773" s="52">
        <f t="shared" si="8"/>
        <v>0</v>
      </c>
      <c r="Z773" s="52" t="str">
        <f>IF(G773="","",IFERROR(VLOOKUP(G773,'Product_Stock_Master产品维护'!$A$2:$L992,11,FALSE),"No"))</f>
        <v/>
      </c>
      <c r="AA773" s="52" t="str">
        <f>IF(G773="","",IFERROR(VLOOKUP(G773,'Product_Stock_Master产品维护'!$A$2:$L992,12,FALSE),""))</f>
        <v/>
      </c>
      <c r="AB773" s="52" t="str">
        <f t="shared" si="11"/>
        <v/>
      </c>
      <c r="AC773" s="52">
        <f t="shared" si="12"/>
        <v>0</v>
      </c>
    </row>
    <row r="774" ht="15.75" customHeight="1">
      <c r="A774" s="171"/>
      <c r="B774" s="171"/>
      <c r="C774" s="53"/>
      <c r="D774" s="53"/>
      <c r="E774" s="53"/>
      <c r="F774" s="53"/>
      <c r="G774" s="53"/>
      <c r="H774" s="52" t="str">
        <f>IF(G774="","",IFERROR(VLOOKUP(G774,'Product_Stock_Master产品维护'!$A$2:$E992,2,FALSE()),"SKU not found"))</f>
        <v/>
      </c>
      <c r="I774" s="52" t="str">
        <f>IF(G774="","",IFERROR(VLOOKUP(G774,'Product_Stock_Master产品维护'!$A$2:$E992,3,FALSE()),"Item type not found"))</f>
        <v/>
      </c>
      <c r="J774" s="53"/>
      <c r="K774" s="53"/>
      <c r="L774" s="53"/>
      <c r="M774" s="53"/>
      <c r="N774" s="53"/>
      <c r="O774" s="52" t="str">
        <f t="shared" si="1"/>
        <v/>
      </c>
      <c r="P774" s="53"/>
      <c r="Q774" s="52" t="str">
        <f t="shared" si="9"/>
        <v/>
      </c>
      <c r="R774" s="52" t="str">
        <f t="shared" si="3"/>
        <v/>
      </c>
      <c r="S774" s="52" t="str">
        <f t="shared" si="10"/>
        <v/>
      </c>
      <c r="T774" s="52" t="str">
        <f t="shared" si="5"/>
        <v/>
      </c>
      <c r="U774" s="52"/>
      <c r="V774" s="53"/>
      <c r="W774" s="52" t="str">
        <f t="shared" si="6"/>
        <v/>
      </c>
      <c r="X774" s="52">
        <f t="shared" si="7"/>
        <v>0</v>
      </c>
      <c r="Y774" s="52">
        <f t="shared" si="8"/>
        <v>0</v>
      </c>
      <c r="Z774" s="52" t="str">
        <f>IF(G774="","",IFERROR(VLOOKUP(G774,'Product_Stock_Master产品维护'!$A$2:$L992,11,FALSE),"No"))</f>
        <v/>
      </c>
      <c r="AA774" s="52" t="str">
        <f>IF(G774="","",IFERROR(VLOOKUP(G774,'Product_Stock_Master产品维护'!$A$2:$L992,12,FALSE),""))</f>
        <v/>
      </c>
      <c r="AB774" s="52" t="str">
        <f t="shared" si="11"/>
        <v/>
      </c>
      <c r="AC774" s="52">
        <f t="shared" si="12"/>
        <v>0</v>
      </c>
    </row>
    <row r="775" ht="15.75" customHeight="1">
      <c r="A775" s="171"/>
      <c r="B775" s="171"/>
      <c r="C775" s="53"/>
      <c r="D775" s="53"/>
      <c r="E775" s="53"/>
      <c r="F775" s="53"/>
      <c r="G775" s="53"/>
      <c r="H775" s="52" t="str">
        <f>IF(G775="","",IFERROR(VLOOKUP(G775,'Product_Stock_Master产品维护'!$A$2:$E992,2,FALSE()),"SKU not found"))</f>
        <v/>
      </c>
      <c r="I775" s="52" t="str">
        <f>IF(G775="","",IFERROR(VLOOKUP(G775,'Product_Stock_Master产品维护'!$A$2:$E992,3,FALSE()),"Item type not found"))</f>
        <v/>
      </c>
      <c r="J775" s="53"/>
      <c r="K775" s="53"/>
      <c r="L775" s="53"/>
      <c r="M775" s="53"/>
      <c r="N775" s="53"/>
      <c r="O775" s="52" t="str">
        <f t="shared" si="1"/>
        <v/>
      </c>
      <c r="P775" s="53"/>
      <c r="Q775" s="52" t="str">
        <f t="shared" si="9"/>
        <v/>
      </c>
      <c r="R775" s="52" t="str">
        <f t="shared" si="3"/>
        <v/>
      </c>
      <c r="S775" s="52" t="str">
        <f t="shared" si="10"/>
        <v/>
      </c>
      <c r="T775" s="52" t="str">
        <f t="shared" si="5"/>
        <v/>
      </c>
      <c r="U775" s="52"/>
      <c r="V775" s="53"/>
      <c r="W775" s="52" t="str">
        <f t="shared" si="6"/>
        <v/>
      </c>
      <c r="X775" s="52">
        <f t="shared" si="7"/>
        <v>0</v>
      </c>
      <c r="Y775" s="52">
        <f t="shared" si="8"/>
        <v>0</v>
      </c>
      <c r="Z775" s="52" t="str">
        <f>IF(G775="","",IFERROR(VLOOKUP(G775,'Product_Stock_Master产品维护'!$A$2:$L992,11,FALSE),"No"))</f>
        <v/>
      </c>
      <c r="AA775" s="52" t="str">
        <f>IF(G775="","",IFERROR(VLOOKUP(G775,'Product_Stock_Master产品维护'!$A$2:$L992,12,FALSE),""))</f>
        <v/>
      </c>
      <c r="AB775" s="52" t="str">
        <f t="shared" si="11"/>
        <v/>
      </c>
      <c r="AC775" s="52">
        <f t="shared" si="12"/>
        <v>0</v>
      </c>
    </row>
    <row r="776" ht="15.75" customHeight="1">
      <c r="A776" s="171"/>
      <c r="B776" s="171"/>
      <c r="C776" s="53"/>
      <c r="D776" s="53"/>
      <c r="E776" s="53"/>
      <c r="F776" s="53"/>
      <c r="G776" s="53"/>
      <c r="H776" s="52" t="str">
        <f>IF(G776="","",IFERROR(VLOOKUP(G776,'Product_Stock_Master产品维护'!$A$2:$E992,2,FALSE()),"SKU not found"))</f>
        <v/>
      </c>
      <c r="I776" s="52" t="str">
        <f>IF(G776="","",IFERROR(VLOOKUP(G776,'Product_Stock_Master产品维护'!$A$2:$E992,3,FALSE()),"Item type not found"))</f>
        <v/>
      </c>
      <c r="J776" s="53"/>
      <c r="K776" s="53"/>
      <c r="L776" s="53"/>
      <c r="M776" s="53"/>
      <c r="N776" s="53"/>
      <c r="O776" s="52" t="str">
        <f t="shared" si="1"/>
        <v/>
      </c>
      <c r="P776" s="53"/>
      <c r="Q776" s="52" t="str">
        <f t="shared" si="9"/>
        <v/>
      </c>
      <c r="R776" s="52" t="str">
        <f t="shared" si="3"/>
        <v/>
      </c>
      <c r="S776" s="52" t="str">
        <f t="shared" si="10"/>
        <v/>
      </c>
      <c r="T776" s="52" t="str">
        <f t="shared" si="5"/>
        <v/>
      </c>
      <c r="U776" s="52"/>
      <c r="V776" s="53"/>
      <c r="W776" s="52" t="str">
        <f t="shared" si="6"/>
        <v/>
      </c>
      <c r="X776" s="52">
        <f t="shared" si="7"/>
        <v>0</v>
      </c>
      <c r="Y776" s="52">
        <f t="shared" si="8"/>
        <v>0</v>
      </c>
      <c r="Z776" s="52" t="str">
        <f>IF(G776="","",IFERROR(VLOOKUP(G776,'Product_Stock_Master产品维护'!$A$2:$L992,11,FALSE),"No"))</f>
        <v/>
      </c>
      <c r="AA776" s="52" t="str">
        <f>IF(G776="","",IFERROR(VLOOKUP(G776,'Product_Stock_Master产品维护'!$A$2:$L992,12,FALSE),""))</f>
        <v/>
      </c>
      <c r="AB776" s="52" t="str">
        <f t="shared" si="11"/>
        <v/>
      </c>
      <c r="AC776" s="52">
        <f t="shared" si="12"/>
        <v>0</v>
      </c>
    </row>
    <row r="777" ht="15.75" customHeight="1">
      <c r="A777" s="171"/>
      <c r="B777" s="171"/>
      <c r="C777" s="53"/>
      <c r="D777" s="53"/>
      <c r="E777" s="53"/>
      <c r="F777" s="53"/>
      <c r="G777" s="53"/>
      <c r="H777" s="52" t="str">
        <f>IF(G777="","",IFERROR(VLOOKUP(G777,'Product_Stock_Master产品维护'!$A$2:$E992,2,FALSE()),"SKU not found"))</f>
        <v/>
      </c>
      <c r="I777" s="52" t="str">
        <f>IF(G777="","",IFERROR(VLOOKUP(G777,'Product_Stock_Master产品维护'!$A$2:$E992,3,FALSE()),"Item type not found"))</f>
        <v/>
      </c>
      <c r="J777" s="53"/>
      <c r="K777" s="53"/>
      <c r="L777" s="53"/>
      <c r="M777" s="53"/>
      <c r="N777" s="53"/>
      <c r="O777" s="52" t="str">
        <f t="shared" si="1"/>
        <v/>
      </c>
      <c r="P777" s="53"/>
      <c r="Q777" s="52" t="str">
        <f t="shared" si="9"/>
        <v/>
      </c>
      <c r="R777" s="52" t="str">
        <f t="shared" si="3"/>
        <v/>
      </c>
      <c r="S777" s="52" t="str">
        <f t="shared" si="10"/>
        <v/>
      </c>
      <c r="T777" s="52" t="str">
        <f t="shared" si="5"/>
        <v/>
      </c>
      <c r="U777" s="52"/>
      <c r="V777" s="53"/>
      <c r="W777" s="52" t="str">
        <f t="shared" si="6"/>
        <v/>
      </c>
      <c r="X777" s="52">
        <f t="shared" si="7"/>
        <v>0</v>
      </c>
      <c r="Y777" s="52">
        <f t="shared" si="8"/>
        <v>0</v>
      </c>
      <c r="Z777" s="52" t="str">
        <f>IF(G777="","",IFERROR(VLOOKUP(G777,'Product_Stock_Master产品维护'!$A$2:$L992,11,FALSE),"No"))</f>
        <v/>
      </c>
      <c r="AA777" s="52" t="str">
        <f>IF(G777="","",IFERROR(VLOOKUP(G777,'Product_Stock_Master产品维护'!$A$2:$L992,12,FALSE),""))</f>
        <v/>
      </c>
      <c r="AB777" s="52" t="str">
        <f t="shared" si="11"/>
        <v/>
      </c>
      <c r="AC777" s="52">
        <f t="shared" si="12"/>
        <v>0</v>
      </c>
    </row>
    <row r="778" ht="15.75" customHeight="1">
      <c r="A778" s="171"/>
      <c r="B778" s="171"/>
      <c r="C778" s="53"/>
      <c r="D778" s="53"/>
      <c r="E778" s="53"/>
      <c r="F778" s="53"/>
      <c r="G778" s="53"/>
      <c r="H778" s="52" t="str">
        <f>IF(G778="","",IFERROR(VLOOKUP(G778,'Product_Stock_Master产品维护'!$A$2:$E992,2,FALSE()),"SKU not found"))</f>
        <v/>
      </c>
      <c r="I778" s="52" t="str">
        <f>IF(G778="","",IFERROR(VLOOKUP(G778,'Product_Stock_Master产品维护'!$A$2:$E992,3,FALSE()),"Item type not found"))</f>
        <v/>
      </c>
      <c r="J778" s="53"/>
      <c r="K778" s="53"/>
      <c r="L778" s="53"/>
      <c r="M778" s="53"/>
      <c r="N778" s="53"/>
      <c r="O778" s="52" t="str">
        <f t="shared" si="1"/>
        <v/>
      </c>
      <c r="P778" s="53"/>
      <c r="Q778" s="52" t="str">
        <f t="shared" si="9"/>
        <v/>
      </c>
      <c r="R778" s="52" t="str">
        <f t="shared" si="3"/>
        <v/>
      </c>
      <c r="S778" s="52" t="str">
        <f t="shared" si="10"/>
        <v/>
      </c>
      <c r="T778" s="52" t="str">
        <f t="shared" si="5"/>
        <v/>
      </c>
      <c r="U778" s="52"/>
      <c r="V778" s="53"/>
      <c r="W778" s="52" t="str">
        <f t="shared" si="6"/>
        <v/>
      </c>
      <c r="X778" s="52">
        <f t="shared" si="7"/>
        <v>0</v>
      </c>
      <c r="Y778" s="52">
        <f t="shared" si="8"/>
        <v>0</v>
      </c>
      <c r="Z778" s="52" t="str">
        <f>IF(G778="","",IFERROR(VLOOKUP(G778,'Product_Stock_Master产品维护'!$A$2:$L992,11,FALSE),"No"))</f>
        <v/>
      </c>
      <c r="AA778" s="52" t="str">
        <f>IF(G778="","",IFERROR(VLOOKUP(G778,'Product_Stock_Master产品维护'!$A$2:$L992,12,FALSE),""))</f>
        <v/>
      </c>
      <c r="AB778" s="52" t="str">
        <f t="shared" si="11"/>
        <v/>
      </c>
      <c r="AC778" s="52">
        <f t="shared" si="12"/>
        <v>0</v>
      </c>
    </row>
    <row r="779" ht="15.75" customHeight="1">
      <c r="A779" s="171"/>
      <c r="B779" s="171"/>
      <c r="C779" s="53"/>
      <c r="D779" s="53"/>
      <c r="E779" s="53"/>
      <c r="F779" s="53"/>
      <c r="G779" s="53"/>
      <c r="H779" s="52" t="str">
        <f>IF(G779="","",IFERROR(VLOOKUP(G779,'Product_Stock_Master产品维护'!$A$2:$E992,2,FALSE()),"SKU not found"))</f>
        <v/>
      </c>
      <c r="I779" s="52" t="str">
        <f>IF(G779="","",IFERROR(VLOOKUP(G779,'Product_Stock_Master产品维护'!$A$2:$E992,3,FALSE()),"Item type not found"))</f>
        <v/>
      </c>
      <c r="J779" s="53"/>
      <c r="K779" s="53"/>
      <c r="L779" s="53"/>
      <c r="M779" s="53"/>
      <c r="N779" s="53"/>
      <c r="O779" s="52" t="str">
        <f t="shared" si="1"/>
        <v/>
      </c>
      <c r="P779" s="53"/>
      <c r="Q779" s="52" t="str">
        <f t="shared" si="9"/>
        <v/>
      </c>
      <c r="R779" s="52" t="str">
        <f t="shared" si="3"/>
        <v/>
      </c>
      <c r="S779" s="52" t="str">
        <f t="shared" si="10"/>
        <v/>
      </c>
      <c r="T779" s="52" t="str">
        <f t="shared" si="5"/>
        <v/>
      </c>
      <c r="U779" s="52"/>
      <c r="V779" s="53"/>
      <c r="W779" s="52" t="str">
        <f t="shared" si="6"/>
        <v/>
      </c>
      <c r="X779" s="52">
        <f t="shared" si="7"/>
        <v>0</v>
      </c>
      <c r="Y779" s="52">
        <f t="shared" si="8"/>
        <v>0</v>
      </c>
      <c r="Z779" s="52" t="str">
        <f>IF(G779="","",IFERROR(VLOOKUP(G779,'Product_Stock_Master产品维护'!$A$2:$L992,11,FALSE),"No"))</f>
        <v/>
      </c>
      <c r="AA779" s="52" t="str">
        <f>IF(G779="","",IFERROR(VLOOKUP(G779,'Product_Stock_Master产品维护'!$A$2:$L992,12,FALSE),""))</f>
        <v/>
      </c>
      <c r="AB779" s="52" t="str">
        <f t="shared" si="11"/>
        <v/>
      </c>
      <c r="AC779" s="52">
        <f t="shared" si="12"/>
        <v>0</v>
      </c>
    </row>
    <row r="780" ht="15.75" customHeight="1">
      <c r="A780" s="171"/>
      <c r="B780" s="171"/>
      <c r="C780" s="53"/>
      <c r="D780" s="53"/>
      <c r="E780" s="53"/>
      <c r="F780" s="53"/>
      <c r="G780" s="53"/>
      <c r="H780" s="52" t="str">
        <f>IF(G780="","",IFERROR(VLOOKUP(G780,'Product_Stock_Master产品维护'!$A$2:$E992,2,FALSE()),"SKU not found"))</f>
        <v/>
      </c>
      <c r="I780" s="52" t="str">
        <f>IF(G780="","",IFERROR(VLOOKUP(G780,'Product_Stock_Master产品维护'!$A$2:$E992,3,FALSE()),"Item type not found"))</f>
        <v/>
      </c>
      <c r="J780" s="53"/>
      <c r="K780" s="53"/>
      <c r="L780" s="53"/>
      <c r="M780" s="53"/>
      <c r="N780" s="53"/>
      <c r="O780" s="52" t="str">
        <f t="shared" si="1"/>
        <v/>
      </c>
      <c r="P780" s="53"/>
      <c r="Q780" s="52" t="str">
        <f t="shared" si="9"/>
        <v/>
      </c>
      <c r="R780" s="52" t="str">
        <f t="shared" si="3"/>
        <v/>
      </c>
      <c r="S780" s="52" t="str">
        <f t="shared" si="10"/>
        <v/>
      </c>
      <c r="T780" s="52" t="str">
        <f t="shared" si="5"/>
        <v/>
      </c>
      <c r="U780" s="52"/>
      <c r="V780" s="53"/>
      <c r="W780" s="52" t="str">
        <f t="shared" si="6"/>
        <v/>
      </c>
      <c r="X780" s="52">
        <f t="shared" si="7"/>
        <v>0</v>
      </c>
      <c r="Y780" s="52">
        <f t="shared" si="8"/>
        <v>0</v>
      </c>
      <c r="Z780" s="52" t="str">
        <f>IF(G780="","",IFERROR(VLOOKUP(G780,'Product_Stock_Master产品维护'!$A$2:$L992,11,FALSE),"No"))</f>
        <v/>
      </c>
      <c r="AA780" s="52" t="str">
        <f>IF(G780="","",IFERROR(VLOOKUP(G780,'Product_Stock_Master产品维护'!$A$2:$L992,12,FALSE),""))</f>
        <v/>
      </c>
      <c r="AB780" s="52" t="str">
        <f t="shared" si="11"/>
        <v/>
      </c>
      <c r="AC780" s="52">
        <f t="shared" si="12"/>
        <v>0</v>
      </c>
    </row>
    <row r="781" ht="15.75" customHeight="1">
      <c r="A781" s="171"/>
      <c r="B781" s="171"/>
      <c r="C781" s="53"/>
      <c r="D781" s="53"/>
      <c r="E781" s="53"/>
      <c r="F781" s="53"/>
      <c r="G781" s="53"/>
      <c r="H781" s="52" t="str">
        <f>IF(G781="","",IFERROR(VLOOKUP(G781,'Product_Stock_Master产品维护'!$A$2:$E992,2,FALSE()),"SKU not found"))</f>
        <v/>
      </c>
      <c r="I781" s="52" t="str">
        <f>IF(G781="","",IFERROR(VLOOKUP(G781,'Product_Stock_Master产品维护'!$A$2:$E992,3,FALSE()),"Item type not found"))</f>
        <v/>
      </c>
      <c r="J781" s="53"/>
      <c r="K781" s="53"/>
      <c r="L781" s="53"/>
      <c r="M781" s="53"/>
      <c r="N781" s="53"/>
      <c r="O781" s="52" t="str">
        <f t="shared" si="1"/>
        <v/>
      </c>
      <c r="P781" s="53"/>
      <c r="Q781" s="52" t="str">
        <f t="shared" si="9"/>
        <v/>
      </c>
      <c r="R781" s="52" t="str">
        <f t="shared" si="3"/>
        <v/>
      </c>
      <c r="S781" s="52" t="str">
        <f t="shared" si="10"/>
        <v/>
      </c>
      <c r="T781" s="52" t="str">
        <f t="shared" si="5"/>
        <v/>
      </c>
      <c r="U781" s="52"/>
      <c r="V781" s="53"/>
      <c r="W781" s="52" t="str">
        <f t="shared" si="6"/>
        <v/>
      </c>
      <c r="X781" s="52">
        <f t="shared" si="7"/>
        <v>0</v>
      </c>
      <c r="Y781" s="52">
        <f t="shared" si="8"/>
        <v>0</v>
      </c>
      <c r="Z781" s="52" t="str">
        <f>IF(G781="","",IFERROR(VLOOKUP(G781,'Product_Stock_Master产品维护'!$A$2:$L992,11,FALSE),"No"))</f>
        <v/>
      </c>
      <c r="AA781" s="52" t="str">
        <f>IF(G781="","",IFERROR(VLOOKUP(G781,'Product_Stock_Master产品维护'!$A$2:$L992,12,FALSE),""))</f>
        <v/>
      </c>
      <c r="AB781" s="52" t="str">
        <f t="shared" si="11"/>
        <v/>
      </c>
      <c r="AC781" s="52">
        <f t="shared" si="12"/>
        <v>0</v>
      </c>
    </row>
    <row r="782" ht="15.75" customHeight="1">
      <c r="A782" s="171"/>
      <c r="B782" s="171"/>
      <c r="C782" s="53"/>
      <c r="D782" s="53"/>
      <c r="E782" s="53"/>
      <c r="F782" s="53"/>
      <c r="G782" s="53"/>
      <c r="H782" s="52" t="str">
        <f>IF(G782="","",IFERROR(VLOOKUP(G782,'Product_Stock_Master产品维护'!$A$2:$E992,2,FALSE()),"SKU not found"))</f>
        <v/>
      </c>
      <c r="I782" s="52" t="str">
        <f>IF(G782="","",IFERROR(VLOOKUP(G782,'Product_Stock_Master产品维护'!$A$2:$E992,3,FALSE()),"Item type not found"))</f>
        <v/>
      </c>
      <c r="J782" s="53"/>
      <c r="K782" s="53"/>
      <c r="L782" s="53"/>
      <c r="M782" s="53"/>
      <c r="N782" s="53"/>
      <c r="O782" s="52" t="str">
        <f t="shared" si="1"/>
        <v/>
      </c>
      <c r="P782" s="53"/>
      <c r="Q782" s="52" t="str">
        <f t="shared" si="9"/>
        <v/>
      </c>
      <c r="R782" s="52" t="str">
        <f t="shared" si="3"/>
        <v/>
      </c>
      <c r="S782" s="52" t="str">
        <f t="shared" si="10"/>
        <v/>
      </c>
      <c r="T782" s="52" t="str">
        <f t="shared" si="5"/>
        <v/>
      </c>
      <c r="U782" s="52"/>
      <c r="V782" s="53"/>
      <c r="W782" s="52" t="str">
        <f t="shared" si="6"/>
        <v/>
      </c>
      <c r="X782" s="52">
        <f t="shared" si="7"/>
        <v>0</v>
      </c>
      <c r="Y782" s="52">
        <f t="shared" si="8"/>
        <v>0</v>
      </c>
      <c r="Z782" s="52" t="str">
        <f>IF(G782="","",IFERROR(VLOOKUP(G782,'Product_Stock_Master产品维护'!$A$2:$L992,11,FALSE),"No"))</f>
        <v/>
      </c>
      <c r="AA782" s="52" t="str">
        <f>IF(G782="","",IFERROR(VLOOKUP(G782,'Product_Stock_Master产品维护'!$A$2:$L992,12,FALSE),""))</f>
        <v/>
      </c>
      <c r="AB782" s="52" t="str">
        <f t="shared" si="11"/>
        <v/>
      </c>
      <c r="AC782" s="52">
        <f t="shared" si="12"/>
        <v>0</v>
      </c>
    </row>
    <row r="783" ht="15.75" customHeight="1">
      <c r="A783" s="171"/>
      <c r="B783" s="171"/>
      <c r="C783" s="53"/>
      <c r="D783" s="53"/>
      <c r="E783" s="53"/>
      <c r="F783" s="53"/>
      <c r="G783" s="53"/>
      <c r="H783" s="52" t="str">
        <f>IF(G783="","",IFERROR(VLOOKUP(G783,'Product_Stock_Master产品维护'!$A$2:$E992,2,FALSE()),"SKU not found"))</f>
        <v/>
      </c>
      <c r="I783" s="52" t="str">
        <f>IF(G783="","",IFERROR(VLOOKUP(G783,'Product_Stock_Master产品维护'!$A$2:$E992,3,FALSE()),"Item type not found"))</f>
        <v/>
      </c>
      <c r="J783" s="53"/>
      <c r="K783" s="53"/>
      <c r="L783" s="53"/>
      <c r="M783" s="53"/>
      <c r="N783" s="53"/>
      <c r="O783" s="52" t="str">
        <f t="shared" si="1"/>
        <v/>
      </c>
      <c r="P783" s="53"/>
      <c r="Q783" s="52" t="str">
        <f t="shared" si="9"/>
        <v/>
      </c>
      <c r="R783" s="52" t="str">
        <f t="shared" si="3"/>
        <v/>
      </c>
      <c r="S783" s="52" t="str">
        <f t="shared" si="10"/>
        <v/>
      </c>
      <c r="T783" s="52" t="str">
        <f t="shared" si="5"/>
        <v/>
      </c>
      <c r="U783" s="52"/>
      <c r="V783" s="53"/>
      <c r="W783" s="52" t="str">
        <f t="shared" si="6"/>
        <v/>
      </c>
      <c r="X783" s="52">
        <f t="shared" si="7"/>
        <v>0</v>
      </c>
      <c r="Y783" s="52">
        <f t="shared" si="8"/>
        <v>0</v>
      </c>
      <c r="Z783" s="52" t="str">
        <f>IF(G783="","",IFERROR(VLOOKUP(G783,'Product_Stock_Master产品维护'!$A$2:$L992,11,FALSE),"No"))</f>
        <v/>
      </c>
      <c r="AA783" s="52" t="str">
        <f>IF(G783="","",IFERROR(VLOOKUP(G783,'Product_Stock_Master产品维护'!$A$2:$L992,12,FALSE),""))</f>
        <v/>
      </c>
      <c r="AB783" s="52" t="str">
        <f t="shared" si="11"/>
        <v/>
      </c>
      <c r="AC783" s="52">
        <f t="shared" si="12"/>
        <v>0</v>
      </c>
    </row>
    <row r="784" ht="15.75" customHeight="1">
      <c r="A784" s="171"/>
      <c r="B784" s="171"/>
      <c r="C784" s="53"/>
      <c r="D784" s="53"/>
      <c r="E784" s="53"/>
      <c r="F784" s="53"/>
      <c r="G784" s="53"/>
      <c r="H784" s="52" t="str">
        <f>IF(G784="","",IFERROR(VLOOKUP(G784,'Product_Stock_Master产品维护'!$A$2:$E992,2,FALSE()),"SKU not found"))</f>
        <v/>
      </c>
      <c r="I784" s="52" t="str">
        <f>IF(G784="","",IFERROR(VLOOKUP(G784,'Product_Stock_Master产品维护'!$A$2:$E992,3,FALSE()),"Item type not found"))</f>
        <v/>
      </c>
      <c r="J784" s="53"/>
      <c r="K784" s="53"/>
      <c r="L784" s="53"/>
      <c r="M784" s="53"/>
      <c r="N784" s="53"/>
      <c r="O784" s="52" t="str">
        <f t="shared" si="1"/>
        <v/>
      </c>
      <c r="P784" s="53"/>
      <c r="Q784" s="52" t="str">
        <f t="shared" si="9"/>
        <v/>
      </c>
      <c r="R784" s="52" t="str">
        <f t="shared" si="3"/>
        <v/>
      </c>
      <c r="S784" s="52" t="str">
        <f t="shared" si="10"/>
        <v/>
      </c>
      <c r="T784" s="52" t="str">
        <f t="shared" si="5"/>
        <v/>
      </c>
      <c r="U784" s="52"/>
      <c r="V784" s="53"/>
      <c r="W784" s="52" t="str">
        <f t="shared" si="6"/>
        <v/>
      </c>
      <c r="X784" s="52">
        <f t="shared" si="7"/>
        <v>0</v>
      </c>
      <c r="Y784" s="52">
        <f t="shared" si="8"/>
        <v>0</v>
      </c>
      <c r="Z784" s="52" t="str">
        <f>IF(G784="","",IFERROR(VLOOKUP(G784,'Product_Stock_Master产品维护'!$A$2:$L992,11,FALSE),"No"))</f>
        <v/>
      </c>
      <c r="AA784" s="52" t="str">
        <f>IF(G784="","",IFERROR(VLOOKUP(G784,'Product_Stock_Master产品维护'!$A$2:$L992,12,FALSE),""))</f>
        <v/>
      </c>
      <c r="AB784" s="52" t="str">
        <f t="shared" si="11"/>
        <v/>
      </c>
      <c r="AC784" s="52">
        <f t="shared" si="12"/>
        <v>0</v>
      </c>
    </row>
    <row r="785" ht="15.75" customHeight="1">
      <c r="A785" s="171"/>
      <c r="B785" s="171"/>
      <c r="C785" s="53"/>
      <c r="D785" s="53"/>
      <c r="E785" s="53"/>
      <c r="F785" s="53"/>
      <c r="G785" s="53"/>
      <c r="H785" s="52" t="str">
        <f>IF(G785="","",IFERROR(VLOOKUP(G785,'Product_Stock_Master产品维护'!$A$2:$E992,2,FALSE()),"SKU not found"))</f>
        <v/>
      </c>
      <c r="I785" s="52" t="str">
        <f>IF(G785="","",IFERROR(VLOOKUP(G785,'Product_Stock_Master产品维护'!$A$2:$E992,3,FALSE()),"Item type not found"))</f>
        <v/>
      </c>
      <c r="J785" s="53"/>
      <c r="K785" s="53"/>
      <c r="L785" s="53"/>
      <c r="M785" s="53"/>
      <c r="N785" s="53"/>
      <c r="O785" s="52" t="str">
        <f t="shared" si="1"/>
        <v/>
      </c>
      <c r="P785" s="53"/>
      <c r="Q785" s="52" t="str">
        <f t="shared" si="9"/>
        <v/>
      </c>
      <c r="R785" s="52" t="str">
        <f t="shared" si="3"/>
        <v/>
      </c>
      <c r="S785" s="52" t="str">
        <f t="shared" si="10"/>
        <v/>
      </c>
      <c r="T785" s="52" t="str">
        <f t="shared" si="5"/>
        <v/>
      </c>
      <c r="U785" s="52"/>
      <c r="V785" s="53"/>
      <c r="W785" s="52" t="str">
        <f t="shared" si="6"/>
        <v/>
      </c>
      <c r="X785" s="52">
        <f t="shared" si="7"/>
        <v>0</v>
      </c>
      <c r="Y785" s="52">
        <f t="shared" si="8"/>
        <v>0</v>
      </c>
      <c r="Z785" s="52" t="str">
        <f>IF(G785="","",IFERROR(VLOOKUP(G785,'Product_Stock_Master产品维护'!$A$2:$L992,11,FALSE),"No"))</f>
        <v/>
      </c>
      <c r="AA785" s="52" t="str">
        <f>IF(G785="","",IFERROR(VLOOKUP(G785,'Product_Stock_Master产品维护'!$A$2:$L992,12,FALSE),""))</f>
        <v/>
      </c>
      <c r="AB785" s="52" t="str">
        <f t="shared" si="11"/>
        <v/>
      </c>
      <c r="AC785" s="52">
        <f t="shared" si="12"/>
        <v>0</v>
      </c>
    </row>
    <row r="786" ht="15.75" customHeight="1">
      <c r="A786" s="171"/>
      <c r="B786" s="171"/>
      <c r="C786" s="53"/>
      <c r="D786" s="53"/>
      <c r="E786" s="53"/>
      <c r="F786" s="53"/>
      <c r="G786" s="53"/>
      <c r="H786" s="52" t="str">
        <f>IF(G786="","",IFERROR(VLOOKUP(G786,'Product_Stock_Master产品维护'!$A$2:$E992,2,FALSE()),"SKU not found"))</f>
        <v/>
      </c>
      <c r="I786" s="52" t="str">
        <f>IF(G786="","",IFERROR(VLOOKUP(G786,'Product_Stock_Master产品维护'!$A$2:$E992,3,FALSE()),"Item type not found"))</f>
        <v/>
      </c>
      <c r="J786" s="53"/>
      <c r="K786" s="53"/>
      <c r="L786" s="53"/>
      <c r="M786" s="53"/>
      <c r="N786" s="53"/>
      <c r="O786" s="52" t="str">
        <f t="shared" si="1"/>
        <v/>
      </c>
      <c r="P786" s="53"/>
      <c r="Q786" s="52" t="str">
        <f t="shared" si="9"/>
        <v/>
      </c>
      <c r="R786" s="52" t="str">
        <f t="shared" si="3"/>
        <v/>
      </c>
      <c r="S786" s="52" t="str">
        <f t="shared" si="10"/>
        <v/>
      </c>
      <c r="T786" s="52" t="str">
        <f t="shared" si="5"/>
        <v/>
      </c>
      <c r="U786" s="52"/>
      <c r="V786" s="53"/>
      <c r="W786" s="52" t="str">
        <f t="shared" si="6"/>
        <v/>
      </c>
      <c r="X786" s="52">
        <f t="shared" si="7"/>
        <v>0</v>
      </c>
      <c r="Y786" s="52">
        <f t="shared" si="8"/>
        <v>0</v>
      </c>
      <c r="Z786" s="52" t="str">
        <f>IF(G786="","",IFERROR(VLOOKUP(G786,'Product_Stock_Master产品维护'!$A$2:$L992,11,FALSE),"No"))</f>
        <v/>
      </c>
      <c r="AA786" s="52" t="str">
        <f>IF(G786="","",IFERROR(VLOOKUP(G786,'Product_Stock_Master产品维护'!$A$2:$L992,12,FALSE),""))</f>
        <v/>
      </c>
      <c r="AB786" s="52" t="str">
        <f t="shared" si="11"/>
        <v/>
      </c>
      <c r="AC786" s="52">
        <f t="shared" si="12"/>
        <v>0</v>
      </c>
    </row>
    <row r="787" ht="15.75" customHeight="1">
      <c r="A787" s="171"/>
      <c r="B787" s="171"/>
      <c r="C787" s="53"/>
      <c r="D787" s="53"/>
      <c r="E787" s="53"/>
      <c r="F787" s="53"/>
      <c r="G787" s="53"/>
      <c r="H787" s="52" t="str">
        <f>IF(G787="","",IFERROR(VLOOKUP(G787,'Product_Stock_Master产品维护'!$A$2:$E992,2,FALSE()),"SKU not found"))</f>
        <v/>
      </c>
      <c r="I787" s="52" t="str">
        <f>IF(G787="","",IFERROR(VLOOKUP(G787,'Product_Stock_Master产品维护'!$A$2:$E992,3,FALSE()),"Item type not found"))</f>
        <v/>
      </c>
      <c r="J787" s="53"/>
      <c r="K787" s="53"/>
      <c r="L787" s="53"/>
      <c r="M787" s="53"/>
      <c r="N787" s="53"/>
      <c r="O787" s="52" t="str">
        <f t="shared" si="1"/>
        <v/>
      </c>
      <c r="P787" s="53"/>
      <c r="Q787" s="52" t="str">
        <f t="shared" si="9"/>
        <v/>
      </c>
      <c r="R787" s="52" t="str">
        <f t="shared" si="3"/>
        <v/>
      </c>
      <c r="S787" s="52" t="str">
        <f t="shared" si="10"/>
        <v/>
      </c>
      <c r="T787" s="52" t="str">
        <f t="shared" si="5"/>
        <v/>
      </c>
      <c r="U787" s="52"/>
      <c r="V787" s="53"/>
      <c r="W787" s="52" t="str">
        <f t="shared" si="6"/>
        <v/>
      </c>
      <c r="X787" s="52">
        <f t="shared" si="7"/>
        <v>0</v>
      </c>
      <c r="Y787" s="52">
        <f t="shared" si="8"/>
        <v>0</v>
      </c>
      <c r="Z787" s="52" t="str">
        <f>IF(G787="","",IFERROR(VLOOKUP(G787,'Product_Stock_Master产品维护'!$A$2:$L992,11,FALSE),"No"))</f>
        <v/>
      </c>
      <c r="AA787" s="52" t="str">
        <f>IF(G787="","",IFERROR(VLOOKUP(G787,'Product_Stock_Master产品维护'!$A$2:$L992,12,FALSE),""))</f>
        <v/>
      </c>
      <c r="AB787" s="52" t="str">
        <f t="shared" si="11"/>
        <v/>
      </c>
      <c r="AC787" s="52">
        <f t="shared" si="12"/>
        <v>0</v>
      </c>
    </row>
    <row r="788" ht="15.75" customHeight="1">
      <c r="A788" s="171"/>
      <c r="B788" s="171"/>
      <c r="C788" s="53"/>
      <c r="D788" s="53"/>
      <c r="E788" s="53"/>
      <c r="F788" s="53"/>
      <c r="G788" s="53"/>
      <c r="H788" s="52" t="str">
        <f>IF(G788="","",IFERROR(VLOOKUP(G788,'Product_Stock_Master产品维护'!$A$2:$E992,2,FALSE()),"SKU not found"))</f>
        <v/>
      </c>
      <c r="I788" s="52" t="str">
        <f>IF(G788="","",IFERROR(VLOOKUP(G788,'Product_Stock_Master产品维护'!$A$2:$E992,3,FALSE()),"Item type not found"))</f>
        <v/>
      </c>
      <c r="J788" s="53"/>
      <c r="K788" s="53"/>
      <c r="L788" s="53"/>
      <c r="M788" s="53"/>
      <c r="N788" s="53"/>
      <c r="O788" s="52" t="str">
        <f t="shared" si="1"/>
        <v/>
      </c>
      <c r="P788" s="53"/>
      <c r="Q788" s="52" t="str">
        <f t="shared" si="9"/>
        <v/>
      </c>
      <c r="R788" s="52" t="str">
        <f t="shared" si="3"/>
        <v/>
      </c>
      <c r="S788" s="52" t="str">
        <f t="shared" si="10"/>
        <v/>
      </c>
      <c r="T788" s="52" t="str">
        <f t="shared" si="5"/>
        <v/>
      </c>
      <c r="U788" s="52"/>
      <c r="V788" s="53"/>
      <c r="W788" s="52" t="str">
        <f t="shared" si="6"/>
        <v/>
      </c>
      <c r="X788" s="52">
        <f t="shared" si="7"/>
        <v>0</v>
      </c>
      <c r="Y788" s="52">
        <f t="shared" si="8"/>
        <v>0</v>
      </c>
      <c r="Z788" s="52" t="str">
        <f>IF(G788="","",IFERROR(VLOOKUP(G788,'Product_Stock_Master产品维护'!$A$2:$L992,11,FALSE),"No"))</f>
        <v/>
      </c>
      <c r="AA788" s="52" t="str">
        <f>IF(G788="","",IFERROR(VLOOKUP(G788,'Product_Stock_Master产品维护'!$A$2:$L992,12,FALSE),""))</f>
        <v/>
      </c>
      <c r="AB788" s="52" t="str">
        <f t="shared" si="11"/>
        <v/>
      </c>
      <c r="AC788" s="52">
        <f t="shared" si="12"/>
        <v>0</v>
      </c>
    </row>
    <row r="789" ht="15.75" customHeight="1">
      <c r="A789" s="171"/>
      <c r="B789" s="171"/>
      <c r="C789" s="53"/>
      <c r="D789" s="53"/>
      <c r="E789" s="53"/>
      <c r="F789" s="53"/>
      <c r="G789" s="53"/>
      <c r="H789" s="52" t="str">
        <f>IF(G789="","",IFERROR(VLOOKUP(G789,'Product_Stock_Master产品维护'!$A$2:$E992,2,FALSE()),"SKU not found"))</f>
        <v/>
      </c>
      <c r="I789" s="52" t="str">
        <f>IF(G789="","",IFERROR(VLOOKUP(G789,'Product_Stock_Master产品维护'!$A$2:$E992,3,FALSE()),"Item type not found"))</f>
        <v/>
      </c>
      <c r="J789" s="53"/>
      <c r="K789" s="53"/>
      <c r="L789" s="53"/>
      <c r="M789" s="53"/>
      <c r="N789" s="53"/>
      <c r="O789" s="52" t="str">
        <f t="shared" si="1"/>
        <v/>
      </c>
      <c r="P789" s="53"/>
      <c r="Q789" s="52" t="str">
        <f t="shared" si="9"/>
        <v/>
      </c>
      <c r="R789" s="52" t="str">
        <f t="shared" si="3"/>
        <v/>
      </c>
      <c r="S789" s="52" t="str">
        <f t="shared" si="10"/>
        <v/>
      </c>
      <c r="T789" s="52" t="str">
        <f t="shared" si="5"/>
        <v/>
      </c>
      <c r="U789" s="52"/>
      <c r="V789" s="53"/>
      <c r="W789" s="52" t="str">
        <f t="shared" si="6"/>
        <v/>
      </c>
      <c r="X789" s="52">
        <f t="shared" si="7"/>
        <v>0</v>
      </c>
      <c r="Y789" s="52">
        <f t="shared" si="8"/>
        <v>0</v>
      </c>
      <c r="Z789" s="52" t="str">
        <f>IF(G789="","",IFERROR(VLOOKUP(G789,'Product_Stock_Master产品维护'!$A$2:$L992,11,FALSE),"No"))</f>
        <v/>
      </c>
      <c r="AA789" s="52" t="str">
        <f>IF(G789="","",IFERROR(VLOOKUP(G789,'Product_Stock_Master产品维护'!$A$2:$L992,12,FALSE),""))</f>
        <v/>
      </c>
      <c r="AB789" s="52" t="str">
        <f t="shared" si="11"/>
        <v/>
      </c>
      <c r="AC789" s="52">
        <f t="shared" si="12"/>
        <v>0</v>
      </c>
    </row>
    <row r="790" ht="15.75" customHeight="1">
      <c r="A790" s="171"/>
      <c r="B790" s="171"/>
      <c r="C790" s="53"/>
      <c r="D790" s="53"/>
      <c r="E790" s="53"/>
      <c r="F790" s="53"/>
      <c r="G790" s="53"/>
      <c r="H790" s="52" t="str">
        <f>IF(G790="","",IFERROR(VLOOKUP(G790,'Product_Stock_Master产品维护'!$A$2:$E992,2,FALSE()),"SKU not found"))</f>
        <v/>
      </c>
      <c r="I790" s="52" t="str">
        <f>IF(G790="","",IFERROR(VLOOKUP(G790,'Product_Stock_Master产品维护'!$A$2:$E992,3,FALSE()),"Item type not found"))</f>
        <v/>
      </c>
      <c r="J790" s="53"/>
      <c r="K790" s="53"/>
      <c r="L790" s="53"/>
      <c r="M790" s="53"/>
      <c r="N790" s="53"/>
      <c r="O790" s="52" t="str">
        <f t="shared" si="1"/>
        <v/>
      </c>
      <c r="P790" s="53"/>
      <c r="Q790" s="52" t="str">
        <f t="shared" si="9"/>
        <v/>
      </c>
      <c r="R790" s="52" t="str">
        <f t="shared" si="3"/>
        <v/>
      </c>
      <c r="S790" s="52" t="str">
        <f t="shared" si="10"/>
        <v/>
      </c>
      <c r="T790" s="52" t="str">
        <f t="shared" si="5"/>
        <v/>
      </c>
      <c r="U790" s="52"/>
      <c r="V790" s="53"/>
      <c r="W790" s="52" t="str">
        <f t="shared" si="6"/>
        <v/>
      </c>
      <c r="X790" s="52">
        <f t="shared" si="7"/>
        <v>0</v>
      </c>
      <c r="Y790" s="52">
        <f t="shared" si="8"/>
        <v>0</v>
      </c>
      <c r="Z790" s="52" t="str">
        <f>IF(G790="","",IFERROR(VLOOKUP(G790,'Product_Stock_Master产品维护'!$A$2:$L992,11,FALSE),"No"))</f>
        <v/>
      </c>
      <c r="AA790" s="52" t="str">
        <f>IF(G790="","",IFERROR(VLOOKUP(G790,'Product_Stock_Master产品维护'!$A$2:$L992,12,FALSE),""))</f>
        <v/>
      </c>
      <c r="AB790" s="52" t="str">
        <f t="shared" si="11"/>
        <v/>
      </c>
      <c r="AC790" s="52">
        <f t="shared" si="12"/>
        <v>0</v>
      </c>
    </row>
    <row r="791" ht="15.75" customHeight="1">
      <c r="A791" s="171"/>
      <c r="B791" s="171"/>
      <c r="C791" s="53"/>
      <c r="D791" s="53"/>
      <c r="E791" s="53"/>
      <c r="F791" s="53"/>
      <c r="G791" s="53"/>
      <c r="H791" s="52" t="str">
        <f>IF(G791="","",IFERROR(VLOOKUP(G791,'Product_Stock_Master产品维护'!$A$2:$E992,2,FALSE()),"SKU not found"))</f>
        <v/>
      </c>
      <c r="I791" s="52" t="str">
        <f>IF(G791="","",IFERROR(VLOOKUP(G791,'Product_Stock_Master产品维护'!$A$2:$E992,3,FALSE()),"Item type not found"))</f>
        <v/>
      </c>
      <c r="J791" s="53"/>
      <c r="K791" s="53"/>
      <c r="L791" s="53"/>
      <c r="M791" s="53"/>
      <c r="N791" s="53"/>
      <c r="O791" s="52" t="str">
        <f t="shared" si="1"/>
        <v/>
      </c>
      <c r="P791" s="53"/>
      <c r="Q791" s="52" t="str">
        <f t="shared" si="9"/>
        <v/>
      </c>
      <c r="R791" s="52" t="str">
        <f t="shared" si="3"/>
        <v/>
      </c>
      <c r="S791" s="52" t="str">
        <f t="shared" si="10"/>
        <v/>
      </c>
      <c r="T791" s="52" t="str">
        <f t="shared" si="5"/>
        <v/>
      </c>
      <c r="U791" s="52"/>
      <c r="V791" s="53"/>
      <c r="W791" s="52" t="str">
        <f t="shared" si="6"/>
        <v/>
      </c>
      <c r="X791" s="52">
        <f t="shared" si="7"/>
        <v>0</v>
      </c>
      <c r="Y791" s="52">
        <f t="shared" si="8"/>
        <v>0</v>
      </c>
      <c r="Z791" s="52" t="str">
        <f>IF(G791="","",IFERROR(VLOOKUP(G791,'Product_Stock_Master产品维护'!$A$2:$L992,11,FALSE),"No"))</f>
        <v/>
      </c>
      <c r="AA791" s="52" t="str">
        <f>IF(G791="","",IFERROR(VLOOKUP(G791,'Product_Stock_Master产品维护'!$A$2:$L992,12,FALSE),""))</f>
        <v/>
      </c>
      <c r="AB791" s="52" t="str">
        <f t="shared" si="11"/>
        <v/>
      </c>
      <c r="AC791" s="52">
        <f t="shared" si="12"/>
        <v>0</v>
      </c>
    </row>
    <row r="792" ht="15.75" customHeight="1">
      <c r="A792" s="171"/>
      <c r="B792" s="171"/>
      <c r="C792" s="53"/>
      <c r="D792" s="53"/>
      <c r="E792" s="53"/>
      <c r="F792" s="53"/>
      <c r="G792" s="53"/>
      <c r="H792" s="52" t="str">
        <f>IF(G792="","",IFERROR(VLOOKUP(G792,'Product_Stock_Master产品维护'!$A$2:$E992,2,FALSE()),"SKU not found"))</f>
        <v/>
      </c>
      <c r="I792" s="52" t="str">
        <f>IF(G792="","",IFERROR(VLOOKUP(G792,'Product_Stock_Master产品维护'!$A$2:$E992,3,FALSE()),"Item type not found"))</f>
        <v/>
      </c>
      <c r="J792" s="53"/>
      <c r="K792" s="53"/>
      <c r="L792" s="53"/>
      <c r="M792" s="53"/>
      <c r="N792" s="53"/>
      <c r="O792" s="52" t="str">
        <f t="shared" si="1"/>
        <v/>
      </c>
      <c r="P792" s="53"/>
      <c r="Q792" s="52" t="str">
        <f t="shared" si="9"/>
        <v/>
      </c>
      <c r="R792" s="52" t="str">
        <f t="shared" si="3"/>
        <v/>
      </c>
      <c r="S792" s="52" t="str">
        <f t="shared" si="10"/>
        <v/>
      </c>
      <c r="T792" s="52" t="str">
        <f t="shared" si="5"/>
        <v/>
      </c>
      <c r="U792" s="52"/>
      <c r="V792" s="53"/>
      <c r="W792" s="52" t="str">
        <f t="shared" si="6"/>
        <v/>
      </c>
      <c r="X792" s="52">
        <f t="shared" si="7"/>
        <v>0</v>
      </c>
      <c r="Y792" s="52">
        <f t="shared" si="8"/>
        <v>0</v>
      </c>
      <c r="Z792" s="52" t="str">
        <f>IF(G792="","",IFERROR(VLOOKUP(G792,'Product_Stock_Master产品维护'!$A$2:$L992,11,FALSE),"No"))</f>
        <v/>
      </c>
      <c r="AA792" s="52" t="str">
        <f>IF(G792="","",IFERROR(VLOOKUP(G792,'Product_Stock_Master产品维护'!$A$2:$L992,12,FALSE),""))</f>
        <v/>
      </c>
      <c r="AB792" s="52" t="str">
        <f t="shared" si="11"/>
        <v/>
      </c>
      <c r="AC792" s="52">
        <f t="shared" si="12"/>
        <v>0</v>
      </c>
    </row>
    <row r="793" ht="15.75" customHeight="1">
      <c r="A793" s="171"/>
      <c r="B793" s="171"/>
      <c r="C793" s="53"/>
      <c r="D793" s="53"/>
      <c r="E793" s="53"/>
      <c r="F793" s="53"/>
      <c r="G793" s="53"/>
      <c r="H793" s="52" t="str">
        <f>IF(G793="","",IFERROR(VLOOKUP(G793,'Product_Stock_Master产品维护'!$A$2:$E992,2,FALSE()),"SKU not found"))</f>
        <v/>
      </c>
      <c r="I793" s="52" t="str">
        <f>IF(G793="","",IFERROR(VLOOKUP(G793,'Product_Stock_Master产品维护'!$A$2:$E992,3,FALSE()),"Item type not found"))</f>
        <v/>
      </c>
      <c r="J793" s="53"/>
      <c r="K793" s="53"/>
      <c r="L793" s="53"/>
      <c r="M793" s="53"/>
      <c r="N793" s="53"/>
      <c r="O793" s="52" t="str">
        <f t="shared" si="1"/>
        <v/>
      </c>
      <c r="P793" s="53"/>
      <c r="Q793" s="52" t="str">
        <f t="shared" si="9"/>
        <v/>
      </c>
      <c r="R793" s="52" t="str">
        <f t="shared" si="3"/>
        <v/>
      </c>
      <c r="S793" s="52" t="str">
        <f t="shared" si="10"/>
        <v/>
      </c>
      <c r="T793" s="52" t="str">
        <f t="shared" si="5"/>
        <v/>
      </c>
      <c r="U793" s="52"/>
      <c r="V793" s="53"/>
      <c r="W793" s="52" t="str">
        <f t="shared" si="6"/>
        <v/>
      </c>
      <c r="X793" s="52">
        <f t="shared" si="7"/>
        <v>0</v>
      </c>
      <c r="Y793" s="52">
        <f t="shared" si="8"/>
        <v>0</v>
      </c>
      <c r="Z793" s="52" t="str">
        <f>IF(G793="","",IFERROR(VLOOKUP(G793,'Product_Stock_Master产品维护'!$A$2:$L992,11,FALSE),"No"))</f>
        <v/>
      </c>
      <c r="AA793" s="52" t="str">
        <f>IF(G793="","",IFERROR(VLOOKUP(G793,'Product_Stock_Master产品维护'!$A$2:$L992,12,FALSE),""))</f>
        <v/>
      </c>
      <c r="AB793" s="52" t="str">
        <f t="shared" si="11"/>
        <v/>
      </c>
      <c r="AC793" s="52">
        <f t="shared" si="12"/>
        <v>0</v>
      </c>
    </row>
    <row r="794" ht="15.75" customHeight="1">
      <c r="A794" s="171"/>
      <c r="B794" s="171"/>
      <c r="C794" s="53"/>
      <c r="D794" s="53"/>
      <c r="E794" s="53"/>
      <c r="F794" s="53"/>
      <c r="G794" s="53"/>
      <c r="H794" s="52" t="str">
        <f>IF(G794="","",IFERROR(VLOOKUP(G794,'Product_Stock_Master产品维护'!$A$2:$E992,2,FALSE()),"SKU not found"))</f>
        <v/>
      </c>
      <c r="I794" s="52" t="str">
        <f>IF(G794="","",IFERROR(VLOOKUP(G794,'Product_Stock_Master产品维护'!$A$2:$E992,3,FALSE()),"Item type not found"))</f>
        <v/>
      </c>
      <c r="J794" s="53"/>
      <c r="K794" s="53"/>
      <c r="L794" s="53"/>
      <c r="M794" s="53"/>
      <c r="N794" s="53"/>
      <c r="O794" s="52" t="str">
        <f t="shared" si="1"/>
        <v/>
      </c>
      <c r="P794" s="53"/>
      <c r="Q794" s="52" t="str">
        <f t="shared" si="9"/>
        <v/>
      </c>
      <c r="R794" s="52" t="str">
        <f t="shared" si="3"/>
        <v/>
      </c>
      <c r="S794" s="52" t="str">
        <f t="shared" si="10"/>
        <v/>
      </c>
      <c r="T794" s="52" t="str">
        <f t="shared" si="5"/>
        <v/>
      </c>
      <c r="U794" s="52"/>
      <c r="V794" s="53"/>
      <c r="W794" s="52" t="str">
        <f t="shared" si="6"/>
        <v/>
      </c>
      <c r="X794" s="52">
        <f t="shared" si="7"/>
        <v>0</v>
      </c>
      <c r="Y794" s="52">
        <f t="shared" si="8"/>
        <v>0</v>
      </c>
      <c r="Z794" s="52" t="str">
        <f>IF(G794="","",IFERROR(VLOOKUP(G794,'Product_Stock_Master产品维护'!$A$2:$L992,11,FALSE),"No"))</f>
        <v/>
      </c>
      <c r="AA794" s="52" t="str">
        <f>IF(G794="","",IFERROR(VLOOKUP(G794,'Product_Stock_Master产品维护'!$A$2:$L992,12,FALSE),""))</f>
        <v/>
      </c>
      <c r="AB794" s="52" t="str">
        <f t="shared" si="11"/>
        <v/>
      </c>
      <c r="AC794" s="52">
        <f t="shared" si="12"/>
        <v>0</v>
      </c>
    </row>
    <row r="795" ht="15.75" customHeight="1">
      <c r="A795" s="171"/>
      <c r="B795" s="171"/>
      <c r="C795" s="53"/>
      <c r="D795" s="53"/>
      <c r="E795" s="53"/>
      <c r="F795" s="53"/>
      <c r="G795" s="53"/>
      <c r="H795" s="52" t="str">
        <f>IF(G795="","",IFERROR(VLOOKUP(G795,'Product_Stock_Master产品维护'!$A$2:$E992,2,FALSE()),"SKU not found"))</f>
        <v/>
      </c>
      <c r="I795" s="52" t="str">
        <f>IF(G795="","",IFERROR(VLOOKUP(G795,'Product_Stock_Master产品维护'!$A$2:$E992,3,FALSE()),"Item type not found"))</f>
        <v/>
      </c>
      <c r="J795" s="53"/>
      <c r="K795" s="53"/>
      <c r="L795" s="53"/>
      <c r="M795" s="53"/>
      <c r="N795" s="53"/>
      <c r="O795" s="52" t="str">
        <f t="shared" si="1"/>
        <v/>
      </c>
      <c r="P795" s="53"/>
      <c r="Q795" s="52" t="str">
        <f t="shared" si="9"/>
        <v/>
      </c>
      <c r="R795" s="52" t="str">
        <f t="shared" si="3"/>
        <v/>
      </c>
      <c r="S795" s="52" t="str">
        <f t="shared" si="10"/>
        <v/>
      </c>
      <c r="T795" s="52" t="str">
        <f t="shared" si="5"/>
        <v/>
      </c>
      <c r="U795" s="52"/>
      <c r="V795" s="53"/>
      <c r="W795" s="52" t="str">
        <f t="shared" si="6"/>
        <v/>
      </c>
      <c r="X795" s="52">
        <f t="shared" si="7"/>
        <v>0</v>
      </c>
      <c r="Y795" s="52">
        <f t="shared" si="8"/>
        <v>0</v>
      </c>
      <c r="Z795" s="52" t="str">
        <f>IF(G795="","",IFERROR(VLOOKUP(G795,'Product_Stock_Master产品维护'!$A$2:$L992,11,FALSE),"No"))</f>
        <v/>
      </c>
      <c r="AA795" s="52" t="str">
        <f>IF(G795="","",IFERROR(VLOOKUP(G795,'Product_Stock_Master产品维护'!$A$2:$L992,12,FALSE),""))</f>
        <v/>
      </c>
      <c r="AB795" s="52" t="str">
        <f t="shared" si="11"/>
        <v/>
      </c>
      <c r="AC795" s="52">
        <f t="shared" si="12"/>
        <v>0</v>
      </c>
    </row>
    <row r="796" ht="15.75" customHeight="1">
      <c r="A796" s="171"/>
      <c r="B796" s="171"/>
      <c r="C796" s="53"/>
      <c r="D796" s="53"/>
      <c r="E796" s="53"/>
      <c r="F796" s="53"/>
      <c r="G796" s="53"/>
      <c r="H796" s="52" t="str">
        <f>IF(G796="","",IFERROR(VLOOKUP(G796,'Product_Stock_Master产品维护'!$A$2:$E992,2,FALSE()),"SKU not found"))</f>
        <v/>
      </c>
      <c r="I796" s="52" t="str">
        <f>IF(G796="","",IFERROR(VLOOKUP(G796,'Product_Stock_Master产品维护'!$A$2:$E992,3,FALSE()),"Item type not found"))</f>
        <v/>
      </c>
      <c r="J796" s="53"/>
      <c r="K796" s="53"/>
      <c r="L796" s="53"/>
      <c r="M796" s="53"/>
      <c r="N796" s="53"/>
      <c r="O796" s="52" t="str">
        <f t="shared" si="1"/>
        <v/>
      </c>
      <c r="P796" s="53"/>
      <c r="Q796" s="52" t="str">
        <f t="shared" si="9"/>
        <v/>
      </c>
      <c r="R796" s="52" t="str">
        <f t="shared" si="3"/>
        <v/>
      </c>
      <c r="S796" s="52" t="str">
        <f t="shared" si="10"/>
        <v/>
      </c>
      <c r="T796" s="52" t="str">
        <f t="shared" si="5"/>
        <v/>
      </c>
      <c r="U796" s="52"/>
      <c r="V796" s="53"/>
      <c r="W796" s="52" t="str">
        <f t="shared" si="6"/>
        <v/>
      </c>
      <c r="X796" s="52">
        <f t="shared" si="7"/>
        <v>0</v>
      </c>
      <c r="Y796" s="52">
        <f t="shared" si="8"/>
        <v>0</v>
      </c>
      <c r="Z796" s="52" t="str">
        <f>IF(G796="","",IFERROR(VLOOKUP(G796,'Product_Stock_Master产品维护'!$A$2:$L992,11,FALSE),"No"))</f>
        <v/>
      </c>
      <c r="AA796" s="52" t="str">
        <f>IF(G796="","",IFERROR(VLOOKUP(G796,'Product_Stock_Master产品维护'!$A$2:$L992,12,FALSE),""))</f>
        <v/>
      </c>
      <c r="AB796" s="52" t="str">
        <f t="shared" si="11"/>
        <v/>
      </c>
      <c r="AC796" s="52">
        <f t="shared" si="12"/>
        <v>0</v>
      </c>
    </row>
    <row r="797" ht="15.75" customHeight="1">
      <c r="A797" s="171"/>
      <c r="B797" s="171"/>
      <c r="C797" s="53"/>
      <c r="D797" s="53"/>
      <c r="E797" s="53"/>
      <c r="F797" s="53"/>
      <c r="G797" s="53"/>
      <c r="H797" s="52" t="str">
        <f>IF(G797="","",IFERROR(VLOOKUP(G797,'Product_Stock_Master产品维护'!$A$2:$E992,2,FALSE()),"SKU not found"))</f>
        <v/>
      </c>
      <c r="I797" s="52" t="str">
        <f>IF(G797="","",IFERROR(VLOOKUP(G797,'Product_Stock_Master产品维护'!$A$2:$E992,3,FALSE()),"Item type not found"))</f>
        <v/>
      </c>
      <c r="J797" s="53"/>
      <c r="K797" s="53"/>
      <c r="L797" s="53"/>
      <c r="M797" s="53"/>
      <c r="N797" s="53"/>
      <c r="O797" s="52" t="str">
        <f t="shared" si="1"/>
        <v/>
      </c>
      <c r="P797" s="53"/>
      <c r="Q797" s="52" t="str">
        <f t="shared" si="9"/>
        <v/>
      </c>
      <c r="R797" s="52" t="str">
        <f t="shared" si="3"/>
        <v/>
      </c>
      <c r="S797" s="52" t="str">
        <f t="shared" si="10"/>
        <v/>
      </c>
      <c r="T797" s="52" t="str">
        <f t="shared" si="5"/>
        <v/>
      </c>
      <c r="U797" s="52"/>
      <c r="V797" s="53"/>
      <c r="W797" s="52" t="str">
        <f t="shared" si="6"/>
        <v/>
      </c>
      <c r="X797" s="52">
        <f t="shared" si="7"/>
        <v>0</v>
      </c>
      <c r="Y797" s="52">
        <f t="shared" si="8"/>
        <v>0</v>
      </c>
      <c r="Z797" s="52" t="str">
        <f>IF(G797="","",IFERROR(VLOOKUP(G797,'Product_Stock_Master产品维护'!$A$2:$L992,11,FALSE),"No"))</f>
        <v/>
      </c>
      <c r="AA797" s="52" t="str">
        <f>IF(G797="","",IFERROR(VLOOKUP(G797,'Product_Stock_Master产品维护'!$A$2:$L992,12,FALSE),""))</f>
        <v/>
      </c>
      <c r="AB797" s="52" t="str">
        <f t="shared" si="11"/>
        <v/>
      </c>
      <c r="AC797" s="52">
        <f t="shared" si="12"/>
        <v>0</v>
      </c>
    </row>
    <row r="798" ht="15.75" customHeight="1">
      <c r="A798" s="171"/>
      <c r="B798" s="171"/>
      <c r="C798" s="53"/>
      <c r="D798" s="53"/>
      <c r="E798" s="53"/>
      <c r="F798" s="53"/>
      <c r="G798" s="53"/>
      <c r="H798" s="52" t="str">
        <f>IF(G798="","",IFERROR(VLOOKUP(G798,'Product_Stock_Master产品维护'!$A$2:$E992,2,FALSE()),"SKU not found"))</f>
        <v/>
      </c>
      <c r="I798" s="52" t="str">
        <f>IF(G798="","",IFERROR(VLOOKUP(G798,'Product_Stock_Master产品维护'!$A$2:$E992,3,FALSE()),"Item type not found"))</f>
        <v/>
      </c>
      <c r="J798" s="53"/>
      <c r="K798" s="53"/>
      <c r="L798" s="53"/>
      <c r="M798" s="53"/>
      <c r="N798" s="53"/>
      <c r="O798" s="52" t="str">
        <f t="shared" si="1"/>
        <v/>
      </c>
      <c r="P798" s="53"/>
      <c r="Q798" s="52" t="str">
        <f t="shared" si="9"/>
        <v/>
      </c>
      <c r="R798" s="52" t="str">
        <f t="shared" si="3"/>
        <v/>
      </c>
      <c r="S798" s="52" t="str">
        <f t="shared" si="10"/>
        <v/>
      </c>
      <c r="T798" s="52" t="str">
        <f t="shared" si="5"/>
        <v/>
      </c>
      <c r="U798" s="52"/>
      <c r="V798" s="53"/>
      <c r="W798" s="52" t="str">
        <f t="shared" si="6"/>
        <v/>
      </c>
      <c r="X798" s="52">
        <f t="shared" si="7"/>
        <v>0</v>
      </c>
      <c r="Y798" s="52">
        <f t="shared" si="8"/>
        <v>0</v>
      </c>
      <c r="Z798" s="52" t="str">
        <f>IF(G798="","",IFERROR(VLOOKUP(G798,'Product_Stock_Master产品维护'!$A$2:$L992,11,FALSE),"No"))</f>
        <v/>
      </c>
      <c r="AA798" s="52" t="str">
        <f>IF(G798="","",IFERROR(VLOOKUP(G798,'Product_Stock_Master产品维护'!$A$2:$L992,12,FALSE),""))</f>
        <v/>
      </c>
      <c r="AB798" s="52" t="str">
        <f t="shared" si="11"/>
        <v/>
      </c>
      <c r="AC798" s="52">
        <f t="shared" si="12"/>
        <v>0</v>
      </c>
    </row>
    <row r="799" ht="15.75" customHeight="1">
      <c r="A799" s="171"/>
      <c r="B799" s="171"/>
      <c r="C799" s="53"/>
      <c r="D799" s="53"/>
      <c r="E799" s="53"/>
      <c r="F799" s="53"/>
      <c r="G799" s="53"/>
      <c r="H799" s="52" t="str">
        <f>IF(G799="","",IFERROR(VLOOKUP(G799,'Product_Stock_Master产品维护'!$A$2:$E992,2,FALSE()),"SKU not found"))</f>
        <v/>
      </c>
      <c r="I799" s="52" t="str">
        <f>IF(G799="","",IFERROR(VLOOKUP(G799,'Product_Stock_Master产品维护'!$A$2:$E992,3,FALSE()),"Item type not found"))</f>
        <v/>
      </c>
      <c r="J799" s="53"/>
      <c r="K799" s="53"/>
      <c r="L799" s="53"/>
      <c r="M799" s="53"/>
      <c r="N799" s="53"/>
      <c r="O799" s="52" t="str">
        <f t="shared" si="1"/>
        <v/>
      </c>
      <c r="P799" s="53"/>
      <c r="Q799" s="52" t="str">
        <f t="shared" si="9"/>
        <v/>
      </c>
      <c r="R799" s="52" t="str">
        <f t="shared" si="3"/>
        <v/>
      </c>
      <c r="S799" s="52" t="str">
        <f t="shared" si="10"/>
        <v/>
      </c>
      <c r="T799" s="52" t="str">
        <f t="shared" si="5"/>
        <v/>
      </c>
      <c r="U799" s="52"/>
      <c r="V799" s="53"/>
      <c r="W799" s="52" t="str">
        <f t="shared" si="6"/>
        <v/>
      </c>
      <c r="X799" s="52">
        <f t="shared" si="7"/>
        <v>0</v>
      </c>
      <c r="Y799" s="52">
        <f t="shared" si="8"/>
        <v>0</v>
      </c>
      <c r="Z799" s="52" t="str">
        <f>IF(G799="","",IFERROR(VLOOKUP(G799,'Product_Stock_Master产品维护'!$A$2:$L992,11,FALSE),"No"))</f>
        <v/>
      </c>
      <c r="AA799" s="52" t="str">
        <f>IF(G799="","",IFERROR(VLOOKUP(G799,'Product_Stock_Master产品维护'!$A$2:$L992,12,FALSE),""))</f>
        <v/>
      </c>
      <c r="AB799" s="52" t="str">
        <f t="shared" si="11"/>
        <v/>
      </c>
      <c r="AC799" s="52">
        <f t="shared" si="12"/>
        <v>0</v>
      </c>
    </row>
    <row r="800" ht="15.75" customHeight="1">
      <c r="A800" s="171"/>
      <c r="B800" s="171"/>
      <c r="C800" s="53"/>
      <c r="D800" s="53"/>
      <c r="E800" s="53"/>
      <c r="F800" s="53"/>
      <c r="G800" s="53"/>
      <c r="H800" s="52" t="str">
        <f>IF(G800="","",IFERROR(VLOOKUP(G800,'Product_Stock_Master产品维护'!$A$2:$E992,2,FALSE()),"SKU not found"))</f>
        <v/>
      </c>
      <c r="I800" s="52" t="str">
        <f>IF(G800="","",IFERROR(VLOOKUP(G800,'Product_Stock_Master产品维护'!$A$2:$E992,3,FALSE()),"Item type not found"))</f>
        <v/>
      </c>
      <c r="J800" s="53"/>
      <c r="K800" s="53"/>
      <c r="L800" s="53"/>
      <c r="M800" s="53"/>
      <c r="N800" s="53"/>
      <c r="O800" s="52" t="str">
        <f t="shared" si="1"/>
        <v/>
      </c>
      <c r="P800" s="53"/>
      <c r="Q800" s="52" t="str">
        <f t="shared" si="9"/>
        <v/>
      </c>
      <c r="R800" s="52" t="str">
        <f t="shared" si="3"/>
        <v/>
      </c>
      <c r="S800" s="52" t="str">
        <f t="shared" si="10"/>
        <v/>
      </c>
      <c r="T800" s="52" t="str">
        <f t="shared" si="5"/>
        <v/>
      </c>
      <c r="U800" s="52"/>
      <c r="V800" s="53"/>
      <c r="W800" s="52" t="str">
        <f t="shared" si="6"/>
        <v/>
      </c>
      <c r="X800" s="52">
        <f t="shared" si="7"/>
        <v>0</v>
      </c>
      <c r="Y800" s="52">
        <f t="shared" si="8"/>
        <v>0</v>
      </c>
      <c r="Z800" s="52" t="str">
        <f>IF(G800="","",IFERROR(VLOOKUP(G800,'Product_Stock_Master产品维护'!$A$2:$L992,11,FALSE),"No"))</f>
        <v/>
      </c>
      <c r="AA800" s="52" t="str">
        <f>IF(G800="","",IFERROR(VLOOKUP(G800,'Product_Stock_Master产品维护'!$A$2:$L992,12,FALSE),""))</f>
        <v/>
      </c>
      <c r="AB800" s="52" t="str">
        <f t="shared" si="11"/>
        <v/>
      </c>
      <c r="AC800" s="52">
        <f t="shared" si="12"/>
        <v>0</v>
      </c>
    </row>
    <row r="801" ht="15.75" customHeight="1">
      <c r="A801" s="171"/>
      <c r="B801" s="171"/>
      <c r="C801" s="53"/>
      <c r="D801" s="53"/>
      <c r="E801" s="53"/>
      <c r="F801" s="53"/>
      <c r="G801" s="53"/>
      <c r="H801" s="52" t="str">
        <f>IF(G801="","",IFERROR(VLOOKUP(G801,'Product_Stock_Master产品维护'!$A$2:$E992,2,FALSE()),"SKU not found"))</f>
        <v/>
      </c>
      <c r="I801" s="52" t="str">
        <f>IF(G801="","",IFERROR(VLOOKUP(G801,'Product_Stock_Master产品维护'!$A$2:$E992,3,FALSE()),"Item type not found"))</f>
        <v/>
      </c>
      <c r="J801" s="53"/>
      <c r="K801" s="53"/>
      <c r="L801" s="53"/>
      <c r="M801" s="53"/>
      <c r="N801" s="53"/>
      <c r="O801" s="52" t="str">
        <f t="shared" si="1"/>
        <v/>
      </c>
      <c r="P801" s="53"/>
      <c r="Q801" s="52" t="str">
        <f t="shared" si="9"/>
        <v/>
      </c>
      <c r="R801" s="52" t="str">
        <f t="shared" si="3"/>
        <v/>
      </c>
      <c r="S801" s="52" t="str">
        <f t="shared" si="10"/>
        <v/>
      </c>
      <c r="T801" s="52" t="str">
        <f t="shared" si="5"/>
        <v/>
      </c>
      <c r="U801" s="52"/>
      <c r="V801" s="53"/>
      <c r="W801" s="52" t="str">
        <f t="shared" si="6"/>
        <v/>
      </c>
      <c r="X801" s="52">
        <f t="shared" si="7"/>
        <v>0</v>
      </c>
      <c r="Y801" s="52">
        <f t="shared" si="8"/>
        <v>0</v>
      </c>
      <c r="Z801" s="52" t="str">
        <f>IF(G801="","",IFERROR(VLOOKUP(G801,'Product_Stock_Master产品维护'!$A$2:$L992,11,FALSE),"No"))</f>
        <v/>
      </c>
      <c r="AA801" s="52" t="str">
        <f>IF(G801="","",IFERROR(VLOOKUP(G801,'Product_Stock_Master产品维护'!$A$2:$L992,12,FALSE),""))</f>
        <v/>
      </c>
      <c r="AB801" s="52" t="str">
        <f t="shared" si="11"/>
        <v/>
      </c>
      <c r="AC801" s="52">
        <f t="shared" si="12"/>
        <v>0</v>
      </c>
    </row>
    <row r="802" ht="15.75" customHeight="1">
      <c r="A802" s="171"/>
      <c r="B802" s="171"/>
      <c r="C802" s="53"/>
      <c r="D802" s="53"/>
      <c r="E802" s="53"/>
      <c r="F802" s="53"/>
      <c r="G802" s="53"/>
      <c r="H802" s="52" t="str">
        <f>IF(G802="","",IFERROR(VLOOKUP(G802,'Product_Stock_Master产品维护'!$A$2:$E992,2,FALSE()),"SKU not found"))</f>
        <v/>
      </c>
      <c r="I802" s="52" t="str">
        <f>IF(G802="","",IFERROR(VLOOKUP(G802,'Product_Stock_Master产品维护'!$A$2:$E992,3,FALSE()),"Item type not found"))</f>
        <v/>
      </c>
      <c r="J802" s="53"/>
      <c r="K802" s="53"/>
      <c r="L802" s="53"/>
      <c r="M802" s="53"/>
      <c r="N802" s="53"/>
      <c r="O802" s="52" t="str">
        <f t="shared" si="1"/>
        <v/>
      </c>
      <c r="P802" s="53"/>
      <c r="Q802" s="52" t="str">
        <f t="shared" si="9"/>
        <v/>
      </c>
      <c r="R802" s="52" t="str">
        <f t="shared" si="3"/>
        <v/>
      </c>
      <c r="S802" s="52" t="str">
        <f t="shared" si="10"/>
        <v/>
      </c>
      <c r="T802" s="52" t="str">
        <f t="shared" si="5"/>
        <v/>
      </c>
      <c r="U802" s="52"/>
      <c r="V802" s="53"/>
      <c r="W802" s="52" t="str">
        <f t="shared" si="6"/>
        <v/>
      </c>
      <c r="X802" s="52">
        <f t="shared" si="7"/>
        <v>0</v>
      </c>
      <c r="Y802" s="52">
        <f t="shared" si="8"/>
        <v>0</v>
      </c>
      <c r="Z802" s="52" t="str">
        <f>IF(G802="","",IFERROR(VLOOKUP(G802,'Product_Stock_Master产品维护'!$A$2:$L992,11,FALSE),"No"))</f>
        <v/>
      </c>
      <c r="AA802" s="52" t="str">
        <f>IF(G802="","",IFERROR(VLOOKUP(G802,'Product_Stock_Master产品维护'!$A$2:$L992,12,FALSE),""))</f>
        <v/>
      </c>
      <c r="AB802" s="52" t="str">
        <f t="shared" si="11"/>
        <v/>
      </c>
      <c r="AC802" s="52">
        <f t="shared" si="12"/>
        <v>0</v>
      </c>
    </row>
    <row r="803" ht="15.75" customHeight="1">
      <c r="A803" s="171"/>
      <c r="B803" s="171"/>
      <c r="C803" s="53"/>
      <c r="D803" s="53"/>
      <c r="E803" s="53"/>
      <c r="F803" s="53"/>
      <c r="G803" s="53"/>
      <c r="H803" s="52" t="str">
        <f>IF(G803="","",IFERROR(VLOOKUP(G803,'Product_Stock_Master产品维护'!$A$2:$E992,2,FALSE()),"SKU not found"))</f>
        <v/>
      </c>
      <c r="I803" s="52" t="str">
        <f>IF(G803="","",IFERROR(VLOOKUP(G803,'Product_Stock_Master产品维护'!$A$2:$E992,3,FALSE()),"Item type not found"))</f>
        <v/>
      </c>
      <c r="J803" s="53"/>
      <c r="K803" s="53"/>
      <c r="L803" s="53"/>
      <c r="M803" s="53"/>
      <c r="N803" s="53"/>
      <c r="O803" s="52" t="str">
        <f t="shared" si="1"/>
        <v/>
      </c>
      <c r="P803" s="53"/>
      <c r="Q803" s="52" t="str">
        <f t="shared" si="9"/>
        <v/>
      </c>
      <c r="R803" s="52" t="str">
        <f t="shared" si="3"/>
        <v/>
      </c>
      <c r="S803" s="52" t="str">
        <f t="shared" si="10"/>
        <v/>
      </c>
      <c r="T803" s="52" t="str">
        <f t="shared" si="5"/>
        <v/>
      </c>
      <c r="U803" s="52"/>
      <c r="V803" s="53"/>
      <c r="W803" s="52" t="str">
        <f t="shared" si="6"/>
        <v/>
      </c>
      <c r="X803" s="52">
        <f t="shared" si="7"/>
        <v>0</v>
      </c>
      <c r="Y803" s="52">
        <f t="shared" si="8"/>
        <v>0</v>
      </c>
      <c r="Z803" s="52" t="str">
        <f>IF(G803="","",IFERROR(VLOOKUP(G803,'Product_Stock_Master产品维护'!$A$2:$L992,11,FALSE),"No"))</f>
        <v/>
      </c>
      <c r="AA803" s="52" t="str">
        <f>IF(G803="","",IFERROR(VLOOKUP(G803,'Product_Stock_Master产品维护'!$A$2:$L992,12,FALSE),""))</f>
        <v/>
      </c>
      <c r="AB803" s="52" t="str">
        <f t="shared" si="11"/>
        <v/>
      </c>
      <c r="AC803" s="52">
        <f t="shared" si="12"/>
        <v>0</v>
      </c>
    </row>
    <row r="804" ht="15.75" customHeight="1">
      <c r="A804" s="171"/>
      <c r="B804" s="171"/>
      <c r="C804" s="53"/>
      <c r="D804" s="53"/>
      <c r="E804" s="53"/>
      <c r="F804" s="53"/>
      <c r="G804" s="53"/>
      <c r="H804" s="52" t="str">
        <f>IF(G804="","",IFERROR(VLOOKUP(G804,'Product_Stock_Master产品维护'!$A$2:$E992,2,FALSE()),"SKU not found"))</f>
        <v/>
      </c>
      <c r="I804" s="52" t="str">
        <f>IF(G804="","",IFERROR(VLOOKUP(G804,'Product_Stock_Master产品维护'!$A$2:$E992,3,FALSE()),"Item type not found"))</f>
        <v/>
      </c>
      <c r="J804" s="53"/>
      <c r="K804" s="53"/>
      <c r="L804" s="53"/>
      <c r="M804" s="53"/>
      <c r="N804" s="53"/>
      <c r="O804" s="52" t="str">
        <f t="shared" si="1"/>
        <v/>
      </c>
      <c r="P804" s="53"/>
      <c r="Q804" s="52" t="str">
        <f t="shared" si="9"/>
        <v/>
      </c>
      <c r="R804" s="52" t="str">
        <f t="shared" si="3"/>
        <v/>
      </c>
      <c r="S804" s="52" t="str">
        <f t="shared" si="10"/>
        <v/>
      </c>
      <c r="T804" s="52" t="str">
        <f t="shared" si="5"/>
        <v/>
      </c>
      <c r="U804" s="52"/>
      <c r="V804" s="53"/>
      <c r="W804" s="52" t="str">
        <f t="shared" si="6"/>
        <v/>
      </c>
      <c r="X804" s="52">
        <f t="shared" si="7"/>
        <v>0</v>
      </c>
      <c r="Y804" s="52">
        <f t="shared" si="8"/>
        <v>0</v>
      </c>
      <c r="Z804" s="52" t="str">
        <f>IF(G804="","",IFERROR(VLOOKUP(G804,'Product_Stock_Master产品维护'!$A$2:$L992,11,FALSE),"No"))</f>
        <v/>
      </c>
      <c r="AA804" s="52" t="str">
        <f>IF(G804="","",IFERROR(VLOOKUP(G804,'Product_Stock_Master产品维护'!$A$2:$L992,12,FALSE),""))</f>
        <v/>
      </c>
      <c r="AB804" s="52" t="str">
        <f t="shared" si="11"/>
        <v/>
      </c>
      <c r="AC804" s="52">
        <f t="shared" si="12"/>
        <v>0</v>
      </c>
    </row>
    <row r="805" ht="15.75" customHeight="1">
      <c r="A805" s="171"/>
      <c r="B805" s="171"/>
      <c r="C805" s="53"/>
      <c r="D805" s="53"/>
      <c r="E805" s="53"/>
      <c r="F805" s="53"/>
      <c r="G805" s="53"/>
      <c r="H805" s="52" t="str">
        <f>IF(G805="","",IFERROR(VLOOKUP(G805,'Product_Stock_Master产品维护'!$A$2:$E992,2,FALSE()),"SKU not found"))</f>
        <v/>
      </c>
      <c r="I805" s="52" t="str">
        <f>IF(G805="","",IFERROR(VLOOKUP(G805,'Product_Stock_Master产品维护'!$A$2:$E992,3,FALSE()),"Item type not found"))</f>
        <v/>
      </c>
      <c r="J805" s="53"/>
      <c r="K805" s="53"/>
      <c r="L805" s="53"/>
      <c r="M805" s="53"/>
      <c r="N805" s="53"/>
      <c r="O805" s="52" t="str">
        <f t="shared" si="1"/>
        <v/>
      </c>
      <c r="P805" s="53"/>
      <c r="Q805" s="52" t="str">
        <f t="shared" si="9"/>
        <v/>
      </c>
      <c r="R805" s="52" t="str">
        <f t="shared" si="3"/>
        <v/>
      </c>
      <c r="S805" s="52" t="str">
        <f t="shared" si="10"/>
        <v/>
      </c>
      <c r="T805" s="52" t="str">
        <f t="shared" si="5"/>
        <v/>
      </c>
      <c r="U805" s="52"/>
      <c r="V805" s="53"/>
      <c r="W805" s="52" t="str">
        <f t="shared" si="6"/>
        <v/>
      </c>
      <c r="X805" s="52">
        <f t="shared" si="7"/>
        <v>0</v>
      </c>
      <c r="Y805" s="52">
        <f t="shared" si="8"/>
        <v>0</v>
      </c>
      <c r="Z805" s="52" t="str">
        <f>IF(G805="","",IFERROR(VLOOKUP(G805,'Product_Stock_Master产品维护'!$A$2:$L992,11,FALSE),"No"))</f>
        <v/>
      </c>
      <c r="AA805" s="52" t="str">
        <f>IF(G805="","",IFERROR(VLOOKUP(G805,'Product_Stock_Master产品维护'!$A$2:$L992,12,FALSE),""))</f>
        <v/>
      </c>
      <c r="AB805" s="52" t="str">
        <f t="shared" si="11"/>
        <v/>
      </c>
      <c r="AC805" s="52">
        <f t="shared" si="12"/>
        <v>0</v>
      </c>
    </row>
    <row r="806" ht="15.75" customHeight="1">
      <c r="A806" s="171"/>
      <c r="B806" s="171"/>
      <c r="C806" s="53"/>
      <c r="D806" s="53"/>
      <c r="E806" s="53"/>
      <c r="F806" s="53"/>
      <c r="G806" s="53"/>
      <c r="H806" s="52" t="str">
        <f>IF(G806="","",IFERROR(VLOOKUP(G806,'Product_Stock_Master产品维护'!$A$2:$E992,2,FALSE()),"SKU not found"))</f>
        <v/>
      </c>
      <c r="I806" s="52" t="str">
        <f>IF(G806="","",IFERROR(VLOOKUP(G806,'Product_Stock_Master产品维护'!$A$2:$E992,3,FALSE()),"Item type not found"))</f>
        <v/>
      </c>
      <c r="J806" s="53"/>
      <c r="K806" s="53"/>
      <c r="L806" s="53"/>
      <c r="M806" s="53"/>
      <c r="N806" s="53"/>
      <c r="O806" s="52" t="str">
        <f t="shared" si="1"/>
        <v/>
      </c>
      <c r="P806" s="53"/>
      <c r="Q806" s="52" t="str">
        <f t="shared" si="9"/>
        <v/>
      </c>
      <c r="R806" s="52" t="str">
        <f t="shared" si="3"/>
        <v/>
      </c>
      <c r="S806" s="52" t="str">
        <f t="shared" si="10"/>
        <v/>
      </c>
      <c r="T806" s="52" t="str">
        <f t="shared" si="5"/>
        <v/>
      </c>
      <c r="U806" s="52"/>
      <c r="V806" s="53"/>
      <c r="W806" s="52" t="str">
        <f t="shared" si="6"/>
        <v/>
      </c>
      <c r="X806" s="52">
        <f t="shared" si="7"/>
        <v>0</v>
      </c>
      <c r="Y806" s="52">
        <f t="shared" si="8"/>
        <v>0</v>
      </c>
      <c r="Z806" s="52" t="str">
        <f>IF(G806="","",IFERROR(VLOOKUP(G806,'Product_Stock_Master产品维护'!$A$2:$L992,11,FALSE),"No"))</f>
        <v/>
      </c>
      <c r="AA806" s="52" t="str">
        <f>IF(G806="","",IFERROR(VLOOKUP(G806,'Product_Stock_Master产品维护'!$A$2:$L992,12,FALSE),""))</f>
        <v/>
      </c>
      <c r="AB806" s="52" t="str">
        <f t="shared" si="11"/>
        <v/>
      </c>
      <c r="AC806" s="52">
        <f t="shared" si="12"/>
        <v>0</v>
      </c>
    </row>
    <row r="807" ht="15.75" customHeight="1">
      <c r="A807" s="171"/>
      <c r="B807" s="171"/>
      <c r="C807" s="53"/>
      <c r="D807" s="53"/>
      <c r="E807" s="53"/>
      <c r="F807" s="53"/>
      <c r="G807" s="53"/>
      <c r="H807" s="52" t="str">
        <f>IF(G807="","",IFERROR(VLOOKUP(G807,'Product_Stock_Master产品维护'!$A$2:$E992,2,FALSE()),"SKU not found"))</f>
        <v/>
      </c>
      <c r="I807" s="52" t="str">
        <f>IF(G807="","",IFERROR(VLOOKUP(G807,'Product_Stock_Master产品维护'!$A$2:$E992,3,FALSE()),"Item type not found"))</f>
        <v/>
      </c>
      <c r="J807" s="53"/>
      <c r="K807" s="53"/>
      <c r="L807" s="53"/>
      <c r="M807" s="53"/>
      <c r="N807" s="53"/>
      <c r="O807" s="52" t="str">
        <f t="shared" si="1"/>
        <v/>
      </c>
      <c r="P807" s="53"/>
      <c r="Q807" s="52" t="str">
        <f t="shared" si="9"/>
        <v/>
      </c>
      <c r="R807" s="52" t="str">
        <f t="shared" si="3"/>
        <v/>
      </c>
      <c r="S807" s="52" t="str">
        <f t="shared" si="10"/>
        <v/>
      </c>
      <c r="T807" s="52" t="str">
        <f t="shared" si="5"/>
        <v/>
      </c>
      <c r="U807" s="52"/>
      <c r="V807" s="53"/>
      <c r="W807" s="52" t="str">
        <f t="shared" si="6"/>
        <v/>
      </c>
      <c r="X807" s="52">
        <f t="shared" si="7"/>
        <v>0</v>
      </c>
      <c r="Y807" s="52">
        <f t="shared" si="8"/>
        <v>0</v>
      </c>
      <c r="Z807" s="52" t="str">
        <f>IF(G807="","",IFERROR(VLOOKUP(G807,'Product_Stock_Master产品维护'!$A$2:$L992,11,FALSE),"No"))</f>
        <v/>
      </c>
      <c r="AA807" s="52" t="str">
        <f>IF(G807="","",IFERROR(VLOOKUP(G807,'Product_Stock_Master产品维护'!$A$2:$L992,12,FALSE),""))</f>
        <v/>
      </c>
      <c r="AB807" s="52" t="str">
        <f t="shared" si="11"/>
        <v/>
      </c>
      <c r="AC807" s="52">
        <f t="shared" si="12"/>
        <v>0</v>
      </c>
    </row>
    <row r="808" ht="15.75" customHeight="1">
      <c r="A808" s="171"/>
      <c r="B808" s="171"/>
      <c r="C808" s="53"/>
      <c r="D808" s="53"/>
      <c r="E808" s="53"/>
      <c r="F808" s="53"/>
      <c r="G808" s="53"/>
      <c r="H808" s="52" t="str">
        <f>IF(G808="","",IFERROR(VLOOKUP(G808,'Product_Stock_Master产品维护'!$A$2:$E992,2,FALSE()),"SKU not found"))</f>
        <v/>
      </c>
      <c r="I808" s="52" t="str">
        <f>IF(G808="","",IFERROR(VLOOKUP(G808,'Product_Stock_Master产品维护'!$A$2:$E992,3,FALSE()),"Item type not found"))</f>
        <v/>
      </c>
      <c r="J808" s="53"/>
      <c r="K808" s="53"/>
      <c r="L808" s="53"/>
      <c r="M808" s="53"/>
      <c r="N808" s="53"/>
      <c r="O808" s="52" t="str">
        <f t="shared" si="1"/>
        <v/>
      </c>
      <c r="P808" s="53"/>
      <c r="Q808" s="52" t="str">
        <f t="shared" si="9"/>
        <v/>
      </c>
      <c r="R808" s="52" t="str">
        <f t="shared" si="3"/>
        <v/>
      </c>
      <c r="S808" s="52" t="str">
        <f t="shared" si="10"/>
        <v/>
      </c>
      <c r="T808" s="52" t="str">
        <f t="shared" si="5"/>
        <v/>
      </c>
      <c r="U808" s="52"/>
      <c r="V808" s="53"/>
      <c r="W808" s="52" t="str">
        <f t="shared" si="6"/>
        <v/>
      </c>
      <c r="X808" s="52">
        <f t="shared" si="7"/>
        <v>0</v>
      </c>
      <c r="Y808" s="52">
        <f t="shared" si="8"/>
        <v>0</v>
      </c>
      <c r="Z808" s="52" t="str">
        <f>IF(G808="","",IFERROR(VLOOKUP(G808,'Product_Stock_Master产品维护'!$A$2:$L992,11,FALSE),"No"))</f>
        <v/>
      </c>
      <c r="AA808" s="52" t="str">
        <f>IF(G808="","",IFERROR(VLOOKUP(G808,'Product_Stock_Master产品维护'!$A$2:$L992,12,FALSE),""))</f>
        <v/>
      </c>
      <c r="AB808" s="52" t="str">
        <f t="shared" si="11"/>
        <v/>
      </c>
      <c r="AC808" s="52">
        <f t="shared" si="12"/>
        <v>0</v>
      </c>
    </row>
    <row r="809" ht="15.75" customHeight="1">
      <c r="A809" s="171"/>
      <c r="B809" s="171"/>
      <c r="C809" s="53"/>
      <c r="D809" s="53"/>
      <c r="E809" s="53"/>
      <c r="F809" s="53"/>
      <c r="G809" s="53"/>
      <c r="H809" s="52" t="str">
        <f>IF(G809="","",IFERROR(VLOOKUP(G809,'Product_Stock_Master产品维护'!$A$2:$E992,2,FALSE()),"SKU not found"))</f>
        <v/>
      </c>
      <c r="I809" s="52" t="str">
        <f>IF(G809="","",IFERROR(VLOOKUP(G809,'Product_Stock_Master产品维护'!$A$2:$E992,3,FALSE()),"Item type not found"))</f>
        <v/>
      </c>
      <c r="J809" s="53"/>
      <c r="K809" s="53"/>
      <c r="L809" s="53"/>
      <c r="M809" s="53"/>
      <c r="N809" s="53"/>
      <c r="O809" s="52" t="str">
        <f t="shared" si="1"/>
        <v/>
      </c>
      <c r="P809" s="53"/>
      <c r="Q809" s="52" t="str">
        <f t="shared" si="9"/>
        <v/>
      </c>
      <c r="R809" s="52" t="str">
        <f t="shared" si="3"/>
        <v/>
      </c>
      <c r="S809" s="52" t="str">
        <f t="shared" si="10"/>
        <v/>
      </c>
      <c r="T809" s="52" t="str">
        <f t="shared" si="5"/>
        <v/>
      </c>
      <c r="U809" s="52"/>
      <c r="V809" s="53"/>
      <c r="W809" s="52" t="str">
        <f t="shared" si="6"/>
        <v/>
      </c>
      <c r="X809" s="52">
        <f t="shared" si="7"/>
        <v>0</v>
      </c>
      <c r="Y809" s="52">
        <f t="shared" si="8"/>
        <v>0</v>
      </c>
      <c r="Z809" s="52" t="str">
        <f>IF(G809="","",IFERROR(VLOOKUP(G809,'Product_Stock_Master产品维护'!$A$2:$L992,11,FALSE),"No"))</f>
        <v/>
      </c>
      <c r="AA809" s="52" t="str">
        <f>IF(G809="","",IFERROR(VLOOKUP(G809,'Product_Stock_Master产品维护'!$A$2:$L992,12,FALSE),""))</f>
        <v/>
      </c>
      <c r="AB809" s="52" t="str">
        <f t="shared" si="11"/>
        <v/>
      </c>
      <c r="AC809" s="52">
        <f t="shared" si="12"/>
        <v>0</v>
      </c>
    </row>
    <row r="810" ht="15.75" customHeight="1">
      <c r="A810" s="171"/>
      <c r="B810" s="171"/>
      <c r="C810" s="53"/>
      <c r="D810" s="53"/>
      <c r="E810" s="53"/>
      <c r="F810" s="53"/>
      <c r="G810" s="53"/>
      <c r="H810" s="52" t="str">
        <f>IF(G810="","",IFERROR(VLOOKUP(G810,'Product_Stock_Master产品维护'!$A$2:$E992,2,FALSE()),"SKU not found"))</f>
        <v/>
      </c>
      <c r="I810" s="52" t="str">
        <f>IF(G810="","",IFERROR(VLOOKUP(G810,'Product_Stock_Master产品维护'!$A$2:$E992,3,FALSE()),"Item type not found"))</f>
        <v/>
      </c>
      <c r="J810" s="53"/>
      <c r="K810" s="53"/>
      <c r="L810" s="53"/>
      <c r="M810" s="53"/>
      <c r="N810" s="53"/>
      <c r="O810" s="52" t="str">
        <f t="shared" si="1"/>
        <v/>
      </c>
      <c r="P810" s="53"/>
      <c r="Q810" s="52" t="str">
        <f t="shared" si="9"/>
        <v/>
      </c>
      <c r="R810" s="52" t="str">
        <f t="shared" si="3"/>
        <v/>
      </c>
      <c r="S810" s="52" t="str">
        <f t="shared" si="10"/>
        <v/>
      </c>
      <c r="T810" s="52" t="str">
        <f t="shared" si="5"/>
        <v/>
      </c>
      <c r="U810" s="52"/>
      <c r="V810" s="53"/>
      <c r="W810" s="52" t="str">
        <f t="shared" si="6"/>
        <v/>
      </c>
      <c r="X810" s="52">
        <f t="shared" si="7"/>
        <v>0</v>
      </c>
      <c r="Y810" s="52">
        <f t="shared" si="8"/>
        <v>0</v>
      </c>
      <c r="Z810" s="52" t="str">
        <f>IF(G810="","",IFERROR(VLOOKUP(G810,'Product_Stock_Master产品维护'!$A$2:$L992,11,FALSE),"No"))</f>
        <v/>
      </c>
      <c r="AA810" s="52" t="str">
        <f>IF(G810="","",IFERROR(VLOOKUP(G810,'Product_Stock_Master产品维护'!$A$2:$L992,12,FALSE),""))</f>
        <v/>
      </c>
      <c r="AB810" s="52" t="str">
        <f t="shared" si="11"/>
        <v/>
      </c>
      <c r="AC810" s="52">
        <f t="shared" si="12"/>
        <v>0</v>
      </c>
    </row>
    <row r="811" ht="15.75" customHeight="1">
      <c r="A811" s="171"/>
      <c r="B811" s="171"/>
      <c r="C811" s="53"/>
      <c r="D811" s="53"/>
      <c r="E811" s="53"/>
      <c r="F811" s="53"/>
      <c r="G811" s="53"/>
      <c r="H811" s="52" t="str">
        <f>IF(G811="","",IFERROR(VLOOKUP(G811,'Product_Stock_Master产品维护'!$A$2:$E992,2,FALSE()),"SKU not found"))</f>
        <v/>
      </c>
      <c r="I811" s="52" t="str">
        <f>IF(G811="","",IFERROR(VLOOKUP(G811,'Product_Stock_Master产品维护'!$A$2:$E992,3,FALSE()),"Item type not found"))</f>
        <v/>
      </c>
      <c r="J811" s="53"/>
      <c r="K811" s="53"/>
      <c r="L811" s="53"/>
      <c r="M811" s="53"/>
      <c r="N811" s="53"/>
      <c r="O811" s="52" t="str">
        <f t="shared" si="1"/>
        <v/>
      </c>
      <c r="P811" s="53"/>
      <c r="Q811" s="52" t="str">
        <f t="shared" si="9"/>
        <v/>
      </c>
      <c r="R811" s="52" t="str">
        <f t="shared" si="3"/>
        <v/>
      </c>
      <c r="S811" s="52" t="str">
        <f t="shared" si="10"/>
        <v/>
      </c>
      <c r="T811" s="52" t="str">
        <f t="shared" si="5"/>
        <v/>
      </c>
      <c r="U811" s="52"/>
      <c r="V811" s="53"/>
      <c r="W811" s="52" t="str">
        <f t="shared" si="6"/>
        <v/>
      </c>
      <c r="X811" s="52">
        <f t="shared" si="7"/>
        <v>0</v>
      </c>
      <c r="Y811" s="52">
        <f t="shared" si="8"/>
        <v>0</v>
      </c>
      <c r="Z811" s="52" t="str">
        <f>IF(G811="","",IFERROR(VLOOKUP(G811,'Product_Stock_Master产品维护'!$A$2:$L992,11,FALSE),"No"))</f>
        <v/>
      </c>
      <c r="AA811" s="52" t="str">
        <f>IF(G811="","",IFERROR(VLOOKUP(G811,'Product_Stock_Master产品维护'!$A$2:$L992,12,FALSE),""))</f>
        <v/>
      </c>
      <c r="AB811" s="52" t="str">
        <f t="shared" si="11"/>
        <v/>
      </c>
      <c r="AC811" s="52">
        <f t="shared" si="12"/>
        <v>0</v>
      </c>
    </row>
    <row r="812" ht="15.75" customHeight="1">
      <c r="A812" s="171"/>
      <c r="B812" s="171"/>
      <c r="C812" s="53"/>
      <c r="D812" s="53"/>
      <c r="E812" s="53"/>
      <c r="F812" s="53"/>
      <c r="G812" s="53"/>
      <c r="H812" s="52" t="str">
        <f>IF(G812="","",IFERROR(VLOOKUP(G812,'Product_Stock_Master产品维护'!$A$2:$E992,2,FALSE()),"SKU not found"))</f>
        <v/>
      </c>
      <c r="I812" s="52" t="str">
        <f>IF(G812="","",IFERROR(VLOOKUP(G812,'Product_Stock_Master产品维护'!$A$2:$E992,3,FALSE()),"Item type not found"))</f>
        <v/>
      </c>
      <c r="J812" s="53"/>
      <c r="K812" s="53"/>
      <c r="L812" s="53"/>
      <c r="M812" s="53"/>
      <c r="N812" s="53"/>
      <c r="O812" s="52" t="str">
        <f t="shared" si="1"/>
        <v/>
      </c>
      <c r="P812" s="53"/>
      <c r="Q812" s="52" t="str">
        <f t="shared" si="9"/>
        <v/>
      </c>
      <c r="R812" s="52" t="str">
        <f t="shared" si="3"/>
        <v/>
      </c>
      <c r="S812" s="52" t="str">
        <f t="shared" si="10"/>
        <v/>
      </c>
      <c r="T812" s="52" t="str">
        <f t="shared" si="5"/>
        <v/>
      </c>
      <c r="U812" s="52"/>
      <c r="V812" s="53"/>
      <c r="W812" s="52" t="str">
        <f t="shared" si="6"/>
        <v/>
      </c>
      <c r="X812" s="52">
        <f t="shared" si="7"/>
        <v>0</v>
      </c>
      <c r="Y812" s="52">
        <f t="shared" si="8"/>
        <v>0</v>
      </c>
      <c r="Z812" s="52" t="str">
        <f>IF(G812="","",IFERROR(VLOOKUP(G812,'Product_Stock_Master产品维护'!$A$2:$L992,11,FALSE),"No"))</f>
        <v/>
      </c>
      <c r="AA812" s="52" t="str">
        <f>IF(G812="","",IFERROR(VLOOKUP(G812,'Product_Stock_Master产品维护'!$A$2:$L992,12,FALSE),""))</f>
        <v/>
      </c>
      <c r="AB812" s="52" t="str">
        <f t="shared" si="11"/>
        <v/>
      </c>
      <c r="AC812" s="52">
        <f t="shared" si="12"/>
        <v>0</v>
      </c>
    </row>
    <row r="813" ht="15.75" customHeight="1">
      <c r="A813" s="171"/>
      <c r="B813" s="171"/>
      <c r="C813" s="53"/>
      <c r="D813" s="53"/>
      <c r="E813" s="53"/>
      <c r="F813" s="53"/>
      <c r="G813" s="53"/>
      <c r="H813" s="52" t="str">
        <f>IF(G813="","",IFERROR(VLOOKUP(G813,'Product_Stock_Master产品维护'!$A$2:$E992,2,FALSE()),"SKU not found"))</f>
        <v/>
      </c>
      <c r="I813" s="52" t="str">
        <f>IF(G813="","",IFERROR(VLOOKUP(G813,'Product_Stock_Master产品维护'!$A$2:$E992,3,FALSE()),"Item type not found"))</f>
        <v/>
      </c>
      <c r="J813" s="53"/>
      <c r="K813" s="53"/>
      <c r="L813" s="53"/>
      <c r="M813" s="53"/>
      <c r="N813" s="53"/>
      <c r="O813" s="52" t="str">
        <f t="shared" si="1"/>
        <v/>
      </c>
      <c r="P813" s="53"/>
      <c r="Q813" s="52" t="str">
        <f t="shared" si="9"/>
        <v/>
      </c>
      <c r="R813" s="52" t="str">
        <f t="shared" si="3"/>
        <v/>
      </c>
      <c r="S813" s="52" t="str">
        <f t="shared" si="10"/>
        <v/>
      </c>
      <c r="T813" s="52" t="str">
        <f t="shared" si="5"/>
        <v/>
      </c>
      <c r="U813" s="52"/>
      <c r="V813" s="53"/>
      <c r="W813" s="52" t="str">
        <f t="shared" si="6"/>
        <v/>
      </c>
      <c r="X813" s="52">
        <f t="shared" si="7"/>
        <v>0</v>
      </c>
      <c r="Y813" s="52">
        <f t="shared" si="8"/>
        <v>0</v>
      </c>
      <c r="Z813" s="52" t="str">
        <f>IF(G813="","",IFERROR(VLOOKUP(G813,'Product_Stock_Master产品维护'!$A$2:$L992,11,FALSE),"No"))</f>
        <v/>
      </c>
      <c r="AA813" s="52" t="str">
        <f>IF(G813="","",IFERROR(VLOOKUP(G813,'Product_Stock_Master产品维护'!$A$2:$L992,12,FALSE),""))</f>
        <v/>
      </c>
      <c r="AB813" s="52" t="str">
        <f t="shared" si="11"/>
        <v/>
      </c>
      <c r="AC813" s="52">
        <f t="shared" si="12"/>
        <v>0</v>
      </c>
    </row>
    <row r="814" ht="15.75" customHeight="1">
      <c r="A814" s="171"/>
      <c r="B814" s="171"/>
      <c r="C814" s="53"/>
      <c r="D814" s="53"/>
      <c r="E814" s="53"/>
      <c r="F814" s="53"/>
      <c r="G814" s="53"/>
      <c r="H814" s="52" t="str">
        <f>IF(G814="","",IFERROR(VLOOKUP(G814,'Product_Stock_Master产品维护'!$A$2:$E992,2,FALSE()),"SKU not found"))</f>
        <v/>
      </c>
      <c r="I814" s="52" t="str">
        <f>IF(G814="","",IFERROR(VLOOKUP(G814,'Product_Stock_Master产品维护'!$A$2:$E992,3,FALSE()),"Item type not found"))</f>
        <v/>
      </c>
      <c r="J814" s="53"/>
      <c r="K814" s="53"/>
      <c r="L814" s="53"/>
      <c r="M814" s="53"/>
      <c r="N814" s="53"/>
      <c r="O814" s="52" t="str">
        <f t="shared" si="1"/>
        <v/>
      </c>
      <c r="P814" s="53"/>
      <c r="Q814" s="52" t="str">
        <f t="shared" si="9"/>
        <v/>
      </c>
      <c r="R814" s="52" t="str">
        <f t="shared" si="3"/>
        <v/>
      </c>
      <c r="S814" s="52" t="str">
        <f t="shared" si="10"/>
        <v/>
      </c>
      <c r="T814" s="52" t="str">
        <f t="shared" si="5"/>
        <v/>
      </c>
      <c r="U814" s="52"/>
      <c r="V814" s="53"/>
      <c r="W814" s="52" t="str">
        <f t="shared" si="6"/>
        <v/>
      </c>
      <c r="X814" s="52">
        <f t="shared" si="7"/>
        <v>0</v>
      </c>
      <c r="Y814" s="52">
        <f t="shared" si="8"/>
        <v>0</v>
      </c>
      <c r="Z814" s="52" t="str">
        <f>IF(G814="","",IFERROR(VLOOKUP(G814,'Product_Stock_Master产品维护'!$A$2:$L992,11,FALSE),"No"))</f>
        <v/>
      </c>
      <c r="AA814" s="52" t="str">
        <f>IF(G814="","",IFERROR(VLOOKUP(G814,'Product_Stock_Master产品维护'!$A$2:$L992,12,FALSE),""))</f>
        <v/>
      </c>
      <c r="AB814" s="52" t="str">
        <f t="shared" si="11"/>
        <v/>
      </c>
      <c r="AC814" s="52">
        <f t="shared" si="12"/>
        <v>0</v>
      </c>
    </row>
    <row r="815" ht="15.75" customHeight="1">
      <c r="A815" s="171"/>
      <c r="B815" s="171"/>
      <c r="C815" s="53"/>
      <c r="D815" s="53"/>
      <c r="E815" s="53"/>
      <c r="F815" s="53"/>
      <c r="G815" s="53"/>
      <c r="H815" s="52" t="str">
        <f>IF(G815="","",IFERROR(VLOOKUP(G815,'Product_Stock_Master产品维护'!$A$2:$E992,2,FALSE()),"SKU not found"))</f>
        <v/>
      </c>
      <c r="I815" s="52" t="str">
        <f>IF(G815="","",IFERROR(VLOOKUP(G815,'Product_Stock_Master产品维护'!$A$2:$E992,3,FALSE()),"Item type not found"))</f>
        <v/>
      </c>
      <c r="J815" s="53"/>
      <c r="K815" s="53"/>
      <c r="L815" s="53"/>
      <c r="M815" s="53"/>
      <c r="N815" s="53"/>
      <c r="O815" s="52" t="str">
        <f t="shared" si="1"/>
        <v/>
      </c>
      <c r="P815" s="53"/>
      <c r="Q815" s="52" t="str">
        <f t="shared" si="9"/>
        <v/>
      </c>
      <c r="R815" s="52" t="str">
        <f t="shared" si="3"/>
        <v/>
      </c>
      <c r="S815" s="52" t="str">
        <f t="shared" si="10"/>
        <v/>
      </c>
      <c r="T815" s="52" t="str">
        <f t="shared" si="5"/>
        <v/>
      </c>
      <c r="U815" s="52"/>
      <c r="V815" s="53"/>
      <c r="W815" s="52" t="str">
        <f t="shared" si="6"/>
        <v/>
      </c>
      <c r="X815" s="52">
        <f t="shared" si="7"/>
        <v>0</v>
      </c>
      <c r="Y815" s="52">
        <f t="shared" si="8"/>
        <v>0</v>
      </c>
      <c r="Z815" s="52" t="str">
        <f>IF(G815="","",IFERROR(VLOOKUP(G815,'Product_Stock_Master产品维护'!$A$2:$L992,11,FALSE),"No"))</f>
        <v/>
      </c>
      <c r="AA815" s="52" t="str">
        <f>IF(G815="","",IFERROR(VLOOKUP(G815,'Product_Stock_Master产品维护'!$A$2:$L992,12,FALSE),""))</f>
        <v/>
      </c>
      <c r="AB815" s="52" t="str">
        <f t="shared" si="11"/>
        <v/>
      </c>
      <c r="AC815" s="52">
        <f t="shared" si="12"/>
        <v>0</v>
      </c>
    </row>
    <row r="816" ht="15.75" customHeight="1">
      <c r="A816" s="171"/>
      <c r="B816" s="171"/>
      <c r="C816" s="53"/>
      <c r="D816" s="53"/>
      <c r="E816" s="53"/>
      <c r="F816" s="53"/>
      <c r="G816" s="53"/>
      <c r="H816" s="52" t="str">
        <f>IF(G816="","",IFERROR(VLOOKUP(G816,'Product_Stock_Master产品维护'!$A$2:$E992,2,FALSE()),"SKU not found"))</f>
        <v/>
      </c>
      <c r="I816" s="52" t="str">
        <f>IF(G816="","",IFERROR(VLOOKUP(G816,'Product_Stock_Master产品维护'!$A$2:$E992,3,FALSE()),"Item type not found"))</f>
        <v/>
      </c>
      <c r="J816" s="53"/>
      <c r="K816" s="53"/>
      <c r="L816" s="53"/>
      <c r="M816" s="53"/>
      <c r="N816" s="53"/>
      <c r="O816" s="52" t="str">
        <f t="shared" si="1"/>
        <v/>
      </c>
      <c r="P816" s="53"/>
      <c r="Q816" s="52" t="str">
        <f t="shared" si="9"/>
        <v/>
      </c>
      <c r="R816" s="52" t="str">
        <f t="shared" si="3"/>
        <v/>
      </c>
      <c r="S816" s="52" t="str">
        <f t="shared" si="10"/>
        <v/>
      </c>
      <c r="T816" s="52" t="str">
        <f t="shared" si="5"/>
        <v/>
      </c>
      <c r="U816" s="52"/>
      <c r="V816" s="53"/>
      <c r="W816" s="52" t="str">
        <f t="shared" si="6"/>
        <v/>
      </c>
      <c r="X816" s="52">
        <f t="shared" si="7"/>
        <v>0</v>
      </c>
      <c r="Y816" s="52">
        <f t="shared" si="8"/>
        <v>0</v>
      </c>
      <c r="Z816" s="52" t="str">
        <f>IF(G816="","",IFERROR(VLOOKUP(G816,'Product_Stock_Master产品维护'!$A$2:$L992,11,FALSE),"No"))</f>
        <v/>
      </c>
      <c r="AA816" s="52" t="str">
        <f>IF(G816="","",IFERROR(VLOOKUP(G816,'Product_Stock_Master产品维护'!$A$2:$L992,12,FALSE),""))</f>
        <v/>
      </c>
      <c r="AB816" s="52" t="str">
        <f t="shared" si="11"/>
        <v/>
      </c>
      <c r="AC816" s="52">
        <f t="shared" si="12"/>
        <v>0</v>
      </c>
    </row>
    <row r="817" ht="15.75" customHeight="1">
      <c r="A817" s="171"/>
      <c r="B817" s="171"/>
      <c r="C817" s="53"/>
      <c r="D817" s="53"/>
      <c r="E817" s="53"/>
      <c r="F817" s="53"/>
      <c r="G817" s="53"/>
      <c r="H817" s="52" t="str">
        <f>IF(G817="","",IFERROR(VLOOKUP(G817,'Product_Stock_Master产品维护'!$A$2:$E992,2,FALSE()),"SKU not found"))</f>
        <v/>
      </c>
      <c r="I817" s="52" t="str">
        <f>IF(G817="","",IFERROR(VLOOKUP(G817,'Product_Stock_Master产品维护'!$A$2:$E992,3,FALSE()),"Item type not found"))</f>
        <v/>
      </c>
      <c r="J817" s="53"/>
      <c r="K817" s="53"/>
      <c r="L817" s="53"/>
      <c r="M817" s="53"/>
      <c r="N817" s="53"/>
      <c r="O817" s="52" t="str">
        <f t="shared" si="1"/>
        <v/>
      </c>
      <c r="P817" s="53"/>
      <c r="Q817" s="52" t="str">
        <f t="shared" si="9"/>
        <v/>
      </c>
      <c r="R817" s="52" t="str">
        <f t="shared" si="3"/>
        <v/>
      </c>
      <c r="S817" s="52" t="str">
        <f t="shared" si="10"/>
        <v/>
      </c>
      <c r="T817" s="52" t="str">
        <f t="shared" si="5"/>
        <v/>
      </c>
      <c r="U817" s="52"/>
      <c r="V817" s="53"/>
      <c r="W817" s="52" t="str">
        <f t="shared" si="6"/>
        <v/>
      </c>
      <c r="X817" s="52">
        <f t="shared" si="7"/>
        <v>0</v>
      </c>
      <c r="Y817" s="52">
        <f t="shared" si="8"/>
        <v>0</v>
      </c>
      <c r="Z817" s="52" t="str">
        <f>IF(G817="","",IFERROR(VLOOKUP(G817,'Product_Stock_Master产品维护'!$A$2:$L992,11,FALSE),"No"))</f>
        <v/>
      </c>
      <c r="AA817" s="52" t="str">
        <f>IF(G817="","",IFERROR(VLOOKUP(G817,'Product_Stock_Master产品维护'!$A$2:$L992,12,FALSE),""))</f>
        <v/>
      </c>
      <c r="AB817" s="52" t="str">
        <f t="shared" si="11"/>
        <v/>
      </c>
      <c r="AC817" s="52">
        <f t="shared" si="12"/>
        <v>0</v>
      </c>
    </row>
    <row r="818" ht="15.75" customHeight="1">
      <c r="A818" s="171"/>
      <c r="B818" s="171"/>
      <c r="C818" s="53"/>
      <c r="D818" s="53"/>
      <c r="E818" s="53"/>
      <c r="F818" s="53"/>
      <c r="G818" s="53"/>
      <c r="H818" s="52" t="str">
        <f>IF(G818="","",IFERROR(VLOOKUP(G818,'Product_Stock_Master产品维护'!$A$2:$E992,2,FALSE()),"SKU not found"))</f>
        <v/>
      </c>
      <c r="I818" s="52" t="str">
        <f>IF(G818="","",IFERROR(VLOOKUP(G818,'Product_Stock_Master产品维护'!$A$2:$E992,3,FALSE()),"Item type not found"))</f>
        <v/>
      </c>
      <c r="J818" s="53"/>
      <c r="K818" s="53"/>
      <c r="L818" s="53"/>
      <c r="M818" s="53"/>
      <c r="N818" s="53"/>
      <c r="O818" s="52" t="str">
        <f t="shared" si="1"/>
        <v/>
      </c>
      <c r="P818" s="53"/>
      <c r="Q818" s="52" t="str">
        <f t="shared" si="9"/>
        <v/>
      </c>
      <c r="R818" s="52" t="str">
        <f t="shared" si="3"/>
        <v/>
      </c>
      <c r="S818" s="52" t="str">
        <f t="shared" si="10"/>
        <v/>
      </c>
      <c r="T818" s="52" t="str">
        <f t="shared" si="5"/>
        <v/>
      </c>
      <c r="U818" s="52"/>
      <c r="V818" s="53"/>
      <c r="W818" s="52" t="str">
        <f t="shared" si="6"/>
        <v/>
      </c>
      <c r="X818" s="52">
        <f t="shared" si="7"/>
        <v>0</v>
      </c>
      <c r="Y818" s="52">
        <f t="shared" si="8"/>
        <v>0</v>
      </c>
      <c r="Z818" s="52" t="str">
        <f>IF(G818="","",IFERROR(VLOOKUP(G818,'Product_Stock_Master产品维护'!$A$2:$L992,11,FALSE),"No"))</f>
        <v/>
      </c>
      <c r="AA818" s="52" t="str">
        <f>IF(G818="","",IFERROR(VLOOKUP(G818,'Product_Stock_Master产品维护'!$A$2:$L992,12,FALSE),""))</f>
        <v/>
      </c>
      <c r="AB818" s="52" t="str">
        <f t="shared" si="11"/>
        <v/>
      </c>
      <c r="AC818" s="52">
        <f t="shared" si="12"/>
        <v>0</v>
      </c>
    </row>
    <row r="819" ht="15.75" customHeight="1">
      <c r="A819" s="171"/>
      <c r="B819" s="171"/>
      <c r="C819" s="53"/>
      <c r="D819" s="53"/>
      <c r="E819" s="53"/>
      <c r="F819" s="53"/>
      <c r="G819" s="53"/>
      <c r="H819" s="52" t="str">
        <f>IF(G819="","",IFERROR(VLOOKUP(G819,'Product_Stock_Master产品维护'!$A$2:$E992,2,FALSE()),"SKU not found"))</f>
        <v/>
      </c>
      <c r="I819" s="52" t="str">
        <f>IF(G819="","",IFERROR(VLOOKUP(G819,'Product_Stock_Master产品维护'!$A$2:$E992,3,FALSE()),"Item type not found"))</f>
        <v/>
      </c>
      <c r="J819" s="53"/>
      <c r="K819" s="53"/>
      <c r="L819" s="53"/>
      <c r="M819" s="53"/>
      <c r="N819" s="53"/>
      <c r="O819" s="52" t="str">
        <f t="shared" si="1"/>
        <v/>
      </c>
      <c r="P819" s="53"/>
      <c r="Q819" s="52" t="str">
        <f t="shared" si="9"/>
        <v/>
      </c>
      <c r="R819" s="52" t="str">
        <f t="shared" si="3"/>
        <v/>
      </c>
      <c r="S819" s="52" t="str">
        <f t="shared" si="10"/>
        <v/>
      </c>
      <c r="T819" s="52" t="str">
        <f t="shared" si="5"/>
        <v/>
      </c>
      <c r="U819" s="52"/>
      <c r="V819" s="53"/>
      <c r="W819" s="52" t="str">
        <f t="shared" si="6"/>
        <v/>
      </c>
      <c r="X819" s="52">
        <f t="shared" si="7"/>
        <v>0</v>
      </c>
      <c r="Y819" s="52">
        <f t="shared" si="8"/>
        <v>0</v>
      </c>
      <c r="Z819" s="52" t="str">
        <f>IF(G819="","",IFERROR(VLOOKUP(G819,'Product_Stock_Master产品维护'!$A$2:$L992,11,FALSE),"No"))</f>
        <v/>
      </c>
      <c r="AA819" s="52" t="str">
        <f>IF(G819="","",IFERROR(VLOOKUP(G819,'Product_Stock_Master产品维护'!$A$2:$L992,12,FALSE),""))</f>
        <v/>
      </c>
      <c r="AB819" s="52" t="str">
        <f t="shared" si="11"/>
        <v/>
      </c>
      <c r="AC819" s="52">
        <f t="shared" si="12"/>
        <v>0</v>
      </c>
    </row>
    <row r="820" ht="15.75" customHeight="1">
      <c r="A820" s="171"/>
      <c r="B820" s="171"/>
      <c r="C820" s="53"/>
      <c r="D820" s="53"/>
      <c r="E820" s="53"/>
      <c r="F820" s="53"/>
      <c r="G820" s="53"/>
      <c r="H820" s="52" t="str">
        <f>IF(G820="","",IFERROR(VLOOKUP(G820,'Product_Stock_Master产品维护'!$A$2:$E992,2,FALSE()),"SKU not found"))</f>
        <v/>
      </c>
      <c r="I820" s="52" t="str">
        <f>IF(G820="","",IFERROR(VLOOKUP(G820,'Product_Stock_Master产品维护'!$A$2:$E992,3,FALSE()),"Item type not found"))</f>
        <v/>
      </c>
      <c r="J820" s="53"/>
      <c r="K820" s="53"/>
      <c r="L820" s="53"/>
      <c r="M820" s="53"/>
      <c r="N820" s="53"/>
      <c r="O820" s="52" t="str">
        <f t="shared" si="1"/>
        <v/>
      </c>
      <c r="P820" s="53"/>
      <c r="Q820" s="52" t="str">
        <f t="shared" si="9"/>
        <v/>
      </c>
      <c r="R820" s="52" t="str">
        <f t="shared" si="3"/>
        <v/>
      </c>
      <c r="S820" s="52" t="str">
        <f t="shared" si="10"/>
        <v/>
      </c>
      <c r="T820" s="52" t="str">
        <f t="shared" si="5"/>
        <v/>
      </c>
      <c r="U820" s="52"/>
      <c r="V820" s="53"/>
      <c r="W820" s="52" t="str">
        <f t="shared" si="6"/>
        <v/>
      </c>
      <c r="X820" s="52">
        <f t="shared" si="7"/>
        <v>0</v>
      </c>
      <c r="Y820" s="52">
        <f t="shared" si="8"/>
        <v>0</v>
      </c>
      <c r="Z820" s="52" t="str">
        <f>IF(G820="","",IFERROR(VLOOKUP(G820,'Product_Stock_Master产品维护'!$A$2:$L992,11,FALSE),"No"))</f>
        <v/>
      </c>
      <c r="AA820" s="52" t="str">
        <f>IF(G820="","",IFERROR(VLOOKUP(G820,'Product_Stock_Master产品维护'!$A$2:$L992,12,FALSE),""))</f>
        <v/>
      </c>
      <c r="AB820" s="52" t="str">
        <f t="shared" si="11"/>
        <v/>
      </c>
      <c r="AC820" s="52">
        <f t="shared" si="12"/>
        <v>0</v>
      </c>
    </row>
    <row r="821" ht="15.75" customHeight="1">
      <c r="A821" s="171"/>
      <c r="B821" s="171"/>
      <c r="C821" s="53"/>
      <c r="D821" s="53"/>
      <c r="E821" s="53"/>
      <c r="F821" s="53"/>
      <c r="G821" s="53"/>
      <c r="H821" s="52" t="str">
        <f>IF(G821="","",IFERROR(VLOOKUP(G821,'Product_Stock_Master产品维护'!$A$2:$E992,2,FALSE()),"SKU not found"))</f>
        <v/>
      </c>
      <c r="I821" s="52" t="str">
        <f>IF(G821="","",IFERROR(VLOOKUP(G821,'Product_Stock_Master产品维护'!$A$2:$E992,3,FALSE()),"Item type not found"))</f>
        <v/>
      </c>
      <c r="J821" s="53"/>
      <c r="K821" s="53"/>
      <c r="L821" s="53"/>
      <c r="M821" s="53"/>
      <c r="N821" s="53"/>
      <c r="O821" s="52" t="str">
        <f t="shared" si="1"/>
        <v/>
      </c>
      <c r="P821" s="53"/>
      <c r="Q821" s="52" t="str">
        <f t="shared" si="9"/>
        <v/>
      </c>
      <c r="R821" s="52" t="str">
        <f t="shared" si="3"/>
        <v/>
      </c>
      <c r="S821" s="52" t="str">
        <f t="shared" si="10"/>
        <v/>
      </c>
      <c r="T821" s="52" t="str">
        <f t="shared" si="5"/>
        <v/>
      </c>
      <c r="U821" s="52"/>
      <c r="V821" s="53"/>
      <c r="W821" s="52" t="str">
        <f t="shared" si="6"/>
        <v/>
      </c>
      <c r="X821" s="52">
        <f t="shared" si="7"/>
        <v>0</v>
      </c>
      <c r="Y821" s="52">
        <f t="shared" si="8"/>
        <v>0</v>
      </c>
      <c r="Z821" s="52" t="str">
        <f>IF(G821="","",IFERROR(VLOOKUP(G821,'Product_Stock_Master产品维护'!$A$2:$L992,11,FALSE),"No"))</f>
        <v/>
      </c>
      <c r="AA821" s="52" t="str">
        <f>IF(G821="","",IFERROR(VLOOKUP(G821,'Product_Stock_Master产品维护'!$A$2:$L992,12,FALSE),""))</f>
        <v/>
      </c>
      <c r="AB821" s="52" t="str">
        <f t="shared" si="11"/>
        <v/>
      </c>
      <c r="AC821" s="52">
        <f t="shared" si="12"/>
        <v>0</v>
      </c>
    </row>
    <row r="822" ht="15.75" customHeight="1">
      <c r="A822" s="171"/>
      <c r="B822" s="171"/>
      <c r="C822" s="53"/>
      <c r="D822" s="53"/>
      <c r="E822" s="53"/>
      <c r="F822" s="53"/>
      <c r="G822" s="53"/>
      <c r="H822" s="52" t="str">
        <f>IF(G822="","",IFERROR(VLOOKUP(G822,'Product_Stock_Master产品维护'!$A$2:$E992,2,FALSE()),"SKU not found"))</f>
        <v/>
      </c>
      <c r="I822" s="52" t="str">
        <f>IF(G822="","",IFERROR(VLOOKUP(G822,'Product_Stock_Master产品维护'!$A$2:$E992,3,FALSE()),"Item type not found"))</f>
        <v/>
      </c>
      <c r="J822" s="53"/>
      <c r="K822" s="53"/>
      <c r="L822" s="53"/>
      <c r="M822" s="53"/>
      <c r="N822" s="53"/>
      <c r="O822" s="52" t="str">
        <f t="shared" si="1"/>
        <v/>
      </c>
      <c r="P822" s="53"/>
      <c r="Q822" s="52" t="str">
        <f t="shared" si="9"/>
        <v/>
      </c>
      <c r="R822" s="52" t="str">
        <f t="shared" si="3"/>
        <v/>
      </c>
      <c r="S822" s="52" t="str">
        <f t="shared" si="10"/>
        <v/>
      </c>
      <c r="T822" s="52" t="str">
        <f t="shared" si="5"/>
        <v/>
      </c>
      <c r="U822" s="52"/>
      <c r="V822" s="53"/>
      <c r="W822" s="52" t="str">
        <f t="shared" si="6"/>
        <v/>
      </c>
      <c r="X822" s="52">
        <f t="shared" si="7"/>
        <v>0</v>
      </c>
      <c r="Y822" s="52">
        <f t="shared" si="8"/>
        <v>0</v>
      </c>
      <c r="Z822" s="52" t="str">
        <f>IF(G822="","",IFERROR(VLOOKUP(G822,'Product_Stock_Master产品维护'!$A$2:$L992,11,FALSE),"No"))</f>
        <v/>
      </c>
      <c r="AA822" s="52" t="str">
        <f>IF(G822="","",IFERROR(VLOOKUP(G822,'Product_Stock_Master产品维护'!$A$2:$L992,12,FALSE),""))</f>
        <v/>
      </c>
      <c r="AB822" s="52" t="str">
        <f t="shared" si="11"/>
        <v/>
      </c>
      <c r="AC822" s="52">
        <f t="shared" si="12"/>
        <v>0</v>
      </c>
    </row>
    <row r="823" ht="15.75" customHeight="1">
      <c r="A823" s="171"/>
      <c r="B823" s="171"/>
      <c r="C823" s="53"/>
      <c r="D823" s="53"/>
      <c r="E823" s="53"/>
      <c r="F823" s="53"/>
      <c r="G823" s="53"/>
      <c r="H823" s="52" t="str">
        <f>IF(G823="","",IFERROR(VLOOKUP(G823,'Product_Stock_Master产品维护'!$A$2:$E992,2,FALSE()),"SKU not found"))</f>
        <v/>
      </c>
      <c r="I823" s="52" t="str">
        <f>IF(G823="","",IFERROR(VLOOKUP(G823,'Product_Stock_Master产品维护'!$A$2:$E992,3,FALSE()),"Item type not found"))</f>
        <v/>
      </c>
      <c r="J823" s="53"/>
      <c r="K823" s="53"/>
      <c r="L823" s="53"/>
      <c r="M823" s="53"/>
      <c r="N823" s="53"/>
      <c r="O823" s="52" t="str">
        <f t="shared" si="1"/>
        <v/>
      </c>
      <c r="P823" s="53"/>
      <c r="Q823" s="52" t="str">
        <f t="shared" si="9"/>
        <v/>
      </c>
      <c r="R823" s="52" t="str">
        <f t="shared" si="3"/>
        <v/>
      </c>
      <c r="S823" s="52" t="str">
        <f t="shared" si="10"/>
        <v/>
      </c>
      <c r="T823" s="52" t="str">
        <f t="shared" si="5"/>
        <v/>
      </c>
      <c r="U823" s="52"/>
      <c r="V823" s="53"/>
      <c r="W823" s="52" t="str">
        <f t="shared" si="6"/>
        <v/>
      </c>
      <c r="X823" s="52">
        <f t="shared" si="7"/>
        <v>0</v>
      </c>
      <c r="Y823" s="52">
        <f t="shared" si="8"/>
        <v>0</v>
      </c>
      <c r="Z823" s="52" t="str">
        <f>IF(G823="","",IFERROR(VLOOKUP(G823,'Product_Stock_Master产品维护'!$A$2:$L992,11,FALSE),"No"))</f>
        <v/>
      </c>
      <c r="AA823" s="52" t="str">
        <f>IF(G823="","",IFERROR(VLOOKUP(G823,'Product_Stock_Master产品维护'!$A$2:$L992,12,FALSE),""))</f>
        <v/>
      </c>
      <c r="AB823" s="52" t="str">
        <f t="shared" si="11"/>
        <v/>
      </c>
      <c r="AC823" s="52">
        <f t="shared" si="12"/>
        <v>0</v>
      </c>
    </row>
    <row r="824" ht="15.75" customHeight="1">
      <c r="A824" s="171"/>
      <c r="B824" s="171"/>
      <c r="C824" s="53"/>
      <c r="D824" s="53"/>
      <c r="E824" s="53"/>
      <c r="F824" s="53"/>
      <c r="G824" s="53"/>
      <c r="H824" s="52" t="str">
        <f>IF(G824="","",IFERROR(VLOOKUP(G824,'Product_Stock_Master产品维护'!$A$2:$E992,2,FALSE()),"SKU not found"))</f>
        <v/>
      </c>
      <c r="I824" s="52" t="str">
        <f>IF(G824="","",IFERROR(VLOOKUP(G824,'Product_Stock_Master产品维护'!$A$2:$E992,3,FALSE()),"Item type not found"))</f>
        <v/>
      </c>
      <c r="J824" s="53"/>
      <c r="K824" s="53"/>
      <c r="L824" s="53"/>
      <c r="M824" s="53"/>
      <c r="N824" s="53"/>
      <c r="O824" s="52" t="str">
        <f t="shared" si="1"/>
        <v/>
      </c>
      <c r="P824" s="53"/>
      <c r="Q824" s="52" t="str">
        <f t="shared" si="9"/>
        <v/>
      </c>
      <c r="R824" s="52" t="str">
        <f t="shared" si="3"/>
        <v/>
      </c>
      <c r="S824" s="52" t="str">
        <f t="shared" si="10"/>
        <v/>
      </c>
      <c r="T824" s="52" t="str">
        <f t="shared" si="5"/>
        <v/>
      </c>
      <c r="U824" s="52"/>
      <c r="V824" s="53"/>
      <c r="W824" s="52" t="str">
        <f t="shared" si="6"/>
        <v/>
      </c>
      <c r="X824" s="52">
        <f t="shared" si="7"/>
        <v>0</v>
      </c>
      <c r="Y824" s="52">
        <f t="shared" si="8"/>
        <v>0</v>
      </c>
      <c r="Z824" s="52" t="str">
        <f>IF(G824="","",IFERROR(VLOOKUP(G824,'Product_Stock_Master产品维护'!$A$2:$L992,11,FALSE),"No"))</f>
        <v/>
      </c>
      <c r="AA824" s="52" t="str">
        <f>IF(G824="","",IFERROR(VLOOKUP(G824,'Product_Stock_Master产品维护'!$A$2:$L992,12,FALSE),""))</f>
        <v/>
      </c>
      <c r="AB824" s="52" t="str">
        <f t="shared" si="11"/>
        <v/>
      </c>
      <c r="AC824" s="52">
        <f t="shared" si="12"/>
        <v>0</v>
      </c>
    </row>
    <row r="825" ht="15.75" customHeight="1">
      <c r="A825" s="171"/>
      <c r="B825" s="171"/>
      <c r="C825" s="53"/>
      <c r="D825" s="53"/>
      <c r="E825" s="53"/>
      <c r="F825" s="53"/>
      <c r="G825" s="53"/>
      <c r="H825" s="52" t="str">
        <f>IF(G825="","",IFERROR(VLOOKUP(G825,'Product_Stock_Master产品维护'!$A$2:$E992,2,FALSE()),"SKU not found"))</f>
        <v/>
      </c>
      <c r="I825" s="52" t="str">
        <f>IF(G825="","",IFERROR(VLOOKUP(G825,'Product_Stock_Master产品维护'!$A$2:$E992,3,FALSE()),"Item type not found"))</f>
        <v/>
      </c>
      <c r="J825" s="53"/>
      <c r="K825" s="53"/>
      <c r="L825" s="53"/>
      <c r="M825" s="53"/>
      <c r="N825" s="53"/>
      <c r="O825" s="52" t="str">
        <f t="shared" si="1"/>
        <v/>
      </c>
      <c r="P825" s="53"/>
      <c r="Q825" s="52" t="str">
        <f t="shared" si="9"/>
        <v/>
      </c>
      <c r="R825" s="52" t="str">
        <f t="shared" si="3"/>
        <v/>
      </c>
      <c r="S825" s="52" t="str">
        <f t="shared" si="10"/>
        <v/>
      </c>
      <c r="T825" s="52" t="str">
        <f t="shared" si="5"/>
        <v/>
      </c>
      <c r="U825" s="52"/>
      <c r="V825" s="53"/>
      <c r="W825" s="52" t="str">
        <f t="shared" si="6"/>
        <v/>
      </c>
      <c r="X825" s="52">
        <f t="shared" si="7"/>
        <v>0</v>
      </c>
      <c r="Y825" s="52">
        <f t="shared" si="8"/>
        <v>0</v>
      </c>
      <c r="Z825" s="52" t="str">
        <f>IF(G825="","",IFERROR(VLOOKUP(G825,'Product_Stock_Master产品维护'!$A$2:$L992,11,FALSE),"No"))</f>
        <v/>
      </c>
      <c r="AA825" s="52" t="str">
        <f>IF(G825="","",IFERROR(VLOOKUP(G825,'Product_Stock_Master产品维护'!$A$2:$L992,12,FALSE),""))</f>
        <v/>
      </c>
      <c r="AB825" s="52" t="str">
        <f t="shared" si="11"/>
        <v/>
      </c>
      <c r="AC825" s="52">
        <f t="shared" si="12"/>
        <v>0</v>
      </c>
    </row>
    <row r="826" ht="15.75" customHeight="1">
      <c r="A826" s="171"/>
      <c r="B826" s="171"/>
      <c r="C826" s="53"/>
      <c r="D826" s="53"/>
      <c r="E826" s="53"/>
      <c r="F826" s="53"/>
      <c r="G826" s="53"/>
      <c r="H826" s="52" t="str">
        <f>IF(G826="","",IFERROR(VLOOKUP(G826,'Product_Stock_Master产品维护'!$A$2:$E992,2,FALSE()),"SKU not found"))</f>
        <v/>
      </c>
      <c r="I826" s="52" t="str">
        <f>IF(G826="","",IFERROR(VLOOKUP(G826,'Product_Stock_Master产品维护'!$A$2:$E992,3,FALSE()),"Item type not found"))</f>
        <v/>
      </c>
      <c r="J826" s="53"/>
      <c r="K826" s="53"/>
      <c r="L826" s="53"/>
      <c r="M826" s="53"/>
      <c r="N826" s="53"/>
      <c r="O826" s="52" t="str">
        <f t="shared" si="1"/>
        <v/>
      </c>
      <c r="P826" s="53"/>
      <c r="Q826" s="52" t="str">
        <f t="shared" si="9"/>
        <v/>
      </c>
      <c r="R826" s="52" t="str">
        <f t="shared" si="3"/>
        <v/>
      </c>
      <c r="S826" s="52" t="str">
        <f t="shared" si="10"/>
        <v/>
      </c>
      <c r="T826" s="52" t="str">
        <f t="shared" si="5"/>
        <v/>
      </c>
      <c r="U826" s="52"/>
      <c r="V826" s="53"/>
      <c r="W826" s="52" t="str">
        <f t="shared" si="6"/>
        <v/>
      </c>
      <c r="X826" s="52">
        <f t="shared" si="7"/>
        <v>0</v>
      </c>
      <c r="Y826" s="52">
        <f t="shared" si="8"/>
        <v>0</v>
      </c>
      <c r="Z826" s="52" t="str">
        <f>IF(G826="","",IFERROR(VLOOKUP(G826,'Product_Stock_Master产品维护'!$A$2:$L992,11,FALSE),"No"))</f>
        <v/>
      </c>
      <c r="AA826" s="52" t="str">
        <f>IF(G826="","",IFERROR(VLOOKUP(G826,'Product_Stock_Master产品维护'!$A$2:$L992,12,FALSE),""))</f>
        <v/>
      </c>
      <c r="AB826" s="52" t="str">
        <f t="shared" si="11"/>
        <v/>
      </c>
      <c r="AC826" s="52">
        <f t="shared" si="12"/>
        <v>0</v>
      </c>
    </row>
    <row r="827" ht="15.75" customHeight="1">
      <c r="A827" s="171"/>
      <c r="B827" s="171"/>
      <c r="C827" s="53"/>
      <c r="D827" s="53"/>
      <c r="E827" s="53"/>
      <c r="F827" s="53"/>
      <c r="G827" s="53"/>
      <c r="H827" s="52" t="str">
        <f>IF(G827="","",IFERROR(VLOOKUP(G827,'Product_Stock_Master产品维护'!$A$2:$E992,2,FALSE()),"SKU not found"))</f>
        <v/>
      </c>
      <c r="I827" s="52" t="str">
        <f>IF(G827="","",IFERROR(VLOOKUP(G827,'Product_Stock_Master产品维护'!$A$2:$E992,3,FALSE()),"Item type not found"))</f>
        <v/>
      </c>
      <c r="J827" s="53"/>
      <c r="K827" s="53"/>
      <c r="L827" s="53"/>
      <c r="M827" s="53"/>
      <c r="N827" s="53"/>
      <c r="O827" s="52" t="str">
        <f t="shared" si="1"/>
        <v/>
      </c>
      <c r="P827" s="53"/>
      <c r="Q827" s="52" t="str">
        <f t="shared" si="9"/>
        <v/>
      </c>
      <c r="R827" s="52" t="str">
        <f t="shared" si="3"/>
        <v/>
      </c>
      <c r="S827" s="52" t="str">
        <f t="shared" si="10"/>
        <v/>
      </c>
      <c r="T827" s="52" t="str">
        <f t="shared" si="5"/>
        <v/>
      </c>
      <c r="U827" s="52"/>
      <c r="V827" s="53"/>
      <c r="W827" s="52" t="str">
        <f t="shared" si="6"/>
        <v/>
      </c>
      <c r="X827" s="52">
        <f t="shared" si="7"/>
        <v>0</v>
      </c>
      <c r="Y827" s="52">
        <f t="shared" si="8"/>
        <v>0</v>
      </c>
      <c r="Z827" s="52" t="str">
        <f>IF(G827="","",IFERROR(VLOOKUP(G827,'Product_Stock_Master产品维护'!$A$2:$L992,11,FALSE),"No"))</f>
        <v/>
      </c>
      <c r="AA827" s="52" t="str">
        <f>IF(G827="","",IFERROR(VLOOKUP(G827,'Product_Stock_Master产品维护'!$A$2:$L992,12,FALSE),""))</f>
        <v/>
      </c>
      <c r="AB827" s="52" t="str">
        <f t="shared" si="11"/>
        <v/>
      </c>
      <c r="AC827" s="52">
        <f t="shared" si="12"/>
        <v>0</v>
      </c>
    </row>
    <row r="828" ht="15.75" customHeight="1">
      <c r="A828" s="171"/>
      <c r="B828" s="171"/>
      <c r="C828" s="53"/>
      <c r="D828" s="53"/>
      <c r="E828" s="53"/>
      <c r="F828" s="53"/>
      <c r="G828" s="53"/>
      <c r="H828" s="52" t="str">
        <f>IF(G828="","",IFERROR(VLOOKUP(G828,'Product_Stock_Master产品维护'!$A$2:$E992,2,FALSE()),"SKU not found"))</f>
        <v/>
      </c>
      <c r="I828" s="52" t="str">
        <f>IF(G828="","",IFERROR(VLOOKUP(G828,'Product_Stock_Master产品维护'!$A$2:$E992,3,FALSE()),"Item type not found"))</f>
        <v/>
      </c>
      <c r="J828" s="53"/>
      <c r="K828" s="53"/>
      <c r="L828" s="53"/>
      <c r="M828" s="53"/>
      <c r="N828" s="53"/>
      <c r="O828" s="52" t="str">
        <f t="shared" si="1"/>
        <v/>
      </c>
      <c r="P828" s="53"/>
      <c r="Q828" s="52" t="str">
        <f t="shared" si="9"/>
        <v/>
      </c>
      <c r="R828" s="52" t="str">
        <f t="shared" si="3"/>
        <v/>
      </c>
      <c r="S828" s="52" t="str">
        <f t="shared" si="10"/>
        <v/>
      </c>
      <c r="T828" s="52" t="str">
        <f t="shared" si="5"/>
        <v/>
      </c>
      <c r="U828" s="52"/>
      <c r="V828" s="53"/>
      <c r="W828" s="52" t="str">
        <f t="shared" si="6"/>
        <v/>
      </c>
      <c r="X828" s="52">
        <f t="shared" si="7"/>
        <v>0</v>
      </c>
      <c r="Y828" s="52">
        <f t="shared" si="8"/>
        <v>0</v>
      </c>
      <c r="Z828" s="52" t="str">
        <f>IF(G828="","",IFERROR(VLOOKUP(G828,'Product_Stock_Master产品维护'!$A$2:$L992,11,FALSE),"No"))</f>
        <v/>
      </c>
      <c r="AA828" s="52" t="str">
        <f>IF(G828="","",IFERROR(VLOOKUP(G828,'Product_Stock_Master产品维护'!$A$2:$L992,12,FALSE),""))</f>
        <v/>
      </c>
      <c r="AB828" s="52" t="str">
        <f t="shared" si="11"/>
        <v/>
      </c>
      <c r="AC828" s="52">
        <f t="shared" si="12"/>
        <v>0</v>
      </c>
    </row>
    <row r="829" ht="15.75" customHeight="1">
      <c r="A829" s="171"/>
      <c r="B829" s="171"/>
      <c r="C829" s="53"/>
      <c r="D829" s="53"/>
      <c r="E829" s="53"/>
      <c r="F829" s="53"/>
      <c r="G829" s="53"/>
      <c r="H829" s="52" t="str">
        <f>IF(G829="","",IFERROR(VLOOKUP(G829,'Product_Stock_Master产品维护'!$A$2:$E992,2,FALSE()),"SKU not found"))</f>
        <v/>
      </c>
      <c r="I829" s="52" t="str">
        <f>IF(G829="","",IFERROR(VLOOKUP(G829,'Product_Stock_Master产品维护'!$A$2:$E992,3,FALSE()),"Item type not found"))</f>
        <v/>
      </c>
      <c r="J829" s="53"/>
      <c r="K829" s="53"/>
      <c r="L829" s="53"/>
      <c r="M829" s="53"/>
      <c r="N829" s="53"/>
      <c r="O829" s="52" t="str">
        <f t="shared" si="1"/>
        <v/>
      </c>
      <c r="P829" s="53"/>
      <c r="Q829" s="52" t="str">
        <f t="shared" si="9"/>
        <v/>
      </c>
      <c r="R829" s="52" t="str">
        <f t="shared" si="3"/>
        <v/>
      </c>
      <c r="S829" s="52" t="str">
        <f t="shared" si="10"/>
        <v/>
      </c>
      <c r="T829" s="52" t="str">
        <f t="shared" si="5"/>
        <v/>
      </c>
      <c r="U829" s="52"/>
      <c r="V829" s="53"/>
      <c r="W829" s="52" t="str">
        <f t="shared" si="6"/>
        <v/>
      </c>
      <c r="X829" s="52">
        <f t="shared" si="7"/>
        <v>0</v>
      </c>
      <c r="Y829" s="52">
        <f t="shared" si="8"/>
        <v>0</v>
      </c>
      <c r="Z829" s="52" t="str">
        <f>IF(G829="","",IFERROR(VLOOKUP(G829,'Product_Stock_Master产品维护'!$A$2:$L992,11,FALSE),"No"))</f>
        <v/>
      </c>
      <c r="AA829" s="52" t="str">
        <f>IF(G829="","",IFERROR(VLOOKUP(G829,'Product_Stock_Master产品维护'!$A$2:$L992,12,FALSE),""))</f>
        <v/>
      </c>
      <c r="AB829" s="52" t="str">
        <f t="shared" si="11"/>
        <v/>
      </c>
      <c r="AC829" s="52">
        <f t="shared" si="12"/>
        <v>0</v>
      </c>
    </row>
    <row r="830" ht="15.75" customHeight="1">
      <c r="A830" s="171"/>
      <c r="B830" s="171"/>
      <c r="C830" s="53"/>
      <c r="D830" s="53"/>
      <c r="E830" s="53"/>
      <c r="F830" s="53"/>
      <c r="G830" s="53"/>
      <c r="H830" s="52" t="str">
        <f>IF(G830="","",IFERROR(VLOOKUP(G830,'Product_Stock_Master产品维护'!$A$2:$E992,2,FALSE()),"SKU not found"))</f>
        <v/>
      </c>
      <c r="I830" s="52" t="str">
        <f>IF(G830="","",IFERROR(VLOOKUP(G830,'Product_Stock_Master产品维护'!$A$2:$E992,3,FALSE()),"Item type not found"))</f>
        <v/>
      </c>
      <c r="J830" s="53"/>
      <c r="K830" s="53"/>
      <c r="L830" s="53"/>
      <c r="M830" s="53"/>
      <c r="N830" s="53"/>
      <c r="O830" s="52" t="str">
        <f t="shared" si="1"/>
        <v/>
      </c>
      <c r="P830" s="53"/>
      <c r="Q830" s="52" t="str">
        <f t="shared" si="9"/>
        <v/>
      </c>
      <c r="R830" s="52" t="str">
        <f t="shared" si="3"/>
        <v/>
      </c>
      <c r="S830" s="52" t="str">
        <f t="shared" si="10"/>
        <v/>
      </c>
      <c r="T830" s="52" t="str">
        <f t="shared" si="5"/>
        <v/>
      </c>
      <c r="U830" s="52"/>
      <c r="V830" s="53"/>
      <c r="W830" s="52" t="str">
        <f t="shared" si="6"/>
        <v/>
      </c>
      <c r="X830" s="52">
        <f t="shared" si="7"/>
        <v>0</v>
      </c>
      <c r="Y830" s="52">
        <f t="shared" si="8"/>
        <v>0</v>
      </c>
      <c r="Z830" s="52" t="str">
        <f>IF(G830="","",IFERROR(VLOOKUP(G830,'Product_Stock_Master产品维护'!$A$2:$L992,11,FALSE),"No"))</f>
        <v/>
      </c>
      <c r="AA830" s="52" t="str">
        <f>IF(G830="","",IFERROR(VLOOKUP(G830,'Product_Stock_Master产品维护'!$A$2:$L992,12,FALSE),""))</f>
        <v/>
      </c>
      <c r="AB830" s="52" t="str">
        <f t="shared" si="11"/>
        <v/>
      </c>
      <c r="AC830" s="52">
        <f t="shared" si="12"/>
        <v>0</v>
      </c>
    </row>
    <row r="831" ht="15.75" customHeight="1">
      <c r="A831" s="171"/>
      <c r="B831" s="171"/>
      <c r="C831" s="53"/>
      <c r="D831" s="53"/>
      <c r="E831" s="53"/>
      <c r="F831" s="53"/>
      <c r="G831" s="53"/>
      <c r="H831" s="52" t="str">
        <f>IF(G831="","",IFERROR(VLOOKUP(G831,'Product_Stock_Master产品维护'!$A$2:$E992,2,FALSE()),"SKU not found"))</f>
        <v/>
      </c>
      <c r="I831" s="52" t="str">
        <f>IF(G831="","",IFERROR(VLOOKUP(G831,'Product_Stock_Master产品维护'!$A$2:$E992,3,FALSE()),"Item type not found"))</f>
        <v/>
      </c>
      <c r="J831" s="53"/>
      <c r="K831" s="53"/>
      <c r="L831" s="53"/>
      <c r="M831" s="53"/>
      <c r="N831" s="53"/>
      <c r="O831" s="52" t="str">
        <f t="shared" si="1"/>
        <v/>
      </c>
      <c r="P831" s="53"/>
      <c r="Q831" s="52" t="str">
        <f t="shared" si="9"/>
        <v/>
      </c>
      <c r="R831" s="52" t="str">
        <f t="shared" si="3"/>
        <v/>
      </c>
      <c r="S831" s="52" t="str">
        <f t="shared" si="10"/>
        <v/>
      </c>
      <c r="T831" s="52" t="str">
        <f t="shared" si="5"/>
        <v/>
      </c>
      <c r="U831" s="52"/>
      <c r="V831" s="53"/>
      <c r="W831" s="52" t="str">
        <f t="shared" si="6"/>
        <v/>
      </c>
      <c r="X831" s="52">
        <f t="shared" si="7"/>
        <v>0</v>
      </c>
      <c r="Y831" s="52">
        <f t="shared" si="8"/>
        <v>0</v>
      </c>
      <c r="Z831" s="52" t="str">
        <f>IF(G831="","",IFERROR(VLOOKUP(G831,'Product_Stock_Master产品维护'!$A$2:$L992,11,FALSE),"No"))</f>
        <v/>
      </c>
      <c r="AA831" s="52" t="str">
        <f>IF(G831="","",IFERROR(VLOOKUP(G831,'Product_Stock_Master产品维护'!$A$2:$L992,12,FALSE),""))</f>
        <v/>
      </c>
      <c r="AB831" s="52" t="str">
        <f t="shared" si="11"/>
        <v/>
      </c>
      <c r="AC831" s="52">
        <f t="shared" si="12"/>
        <v>0</v>
      </c>
    </row>
    <row r="832" ht="15.75" customHeight="1">
      <c r="A832" s="171"/>
      <c r="B832" s="171"/>
      <c r="C832" s="53"/>
      <c r="D832" s="53"/>
      <c r="E832" s="53"/>
      <c r="F832" s="53"/>
      <c r="G832" s="53"/>
      <c r="H832" s="52" t="str">
        <f>IF(G832="","",IFERROR(VLOOKUP(G832,'Product_Stock_Master产品维护'!$A$2:$E992,2,FALSE()),"SKU not found"))</f>
        <v/>
      </c>
      <c r="I832" s="52" t="str">
        <f>IF(G832="","",IFERROR(VLOOKUP(G832,'Product_Stock_Master产品维护'!$A$2:$E992,3,FALSE()),"Item type not found"))</f>
        <v/>
      </c>
      <c r="J832" s="53"/>
      <c r="K832" s="53"/>
      <c r="L832" s="53"/>
      <c r="M832" s="53"/>
      <c r="N832" s="53"/>
      <c r="O832" s="52" t="str">
        <f t="shared" si="1"/>
        <v/>
      </c>
      <c r="P832" s="53"/>
      <c r="Q832" s="52" t="str">
        <f t="shared" si="9"/>
        <v/>
      </c>
      <c r="R832" s="52" t="str">
        <f t="shared" si="3"/>
        <v/>
      </c>
      <c r="S832" s="52" t="str">
        <f t="shared" si="10"/>
        <v/>
      </c>
      <c r="T832" s="52" t="str">
        <f t="shared" si="5"/>
        <v/>
      </c>
      <c r="U832" s="52"/>
      <c r="V832" s="53"/>
      <c r="W832" s="52" t="str">
        <f t="shared" si="6"/>
        <v/>
      </c>
      <c r="X832" s="52">
        <f t="shared" si="7"/>
        <v>0</v>
      </c>
      <c r="Y832" s="52">
        <f t="shared" si="8"/>
        <v>0</v>
      </c>
      <c r="Z832" s="52" t="str">
        <f>IF(G832="","",IFERROR(VLOOKUP(G832,'Product_Stock_Master产品维护'!$A$2:$L992,11,FALSE),"No"))</f>
        <v/>
      </c>
      <c r="AA832" s="52" t="str">
        <f>IF(G832="","",IFERROR(VLOOKUP(G832,'Product_Stock_Master产品维护'!$A$2:$L992,12,FALSE),""))</f>
        <v/>
      </c>
      <c r="AB832" s="52" t="str">
        <f t="shared" si="11"/>
        <v/>
      </c>
      <c r="AC832" s="52">
        <f t="shared" si="12"/>
        <v>0</v>
      </c>
    </row>
    <row r="833" ht="15.75" customHeight="1">
      <c r="A833" s="171"/>
      <c r="B833" s="171"/>
      <c r="C833" s="53"/>
      <c r="D833" s="53"/>
      <c r="E833" s="53"/>
      <c r="F833" s="53"/>
      <c r="G833" s="53"/>
      <c r="H833" s="52" t="str">
        <f>IF(G833="","",IFERROR(VLOOKUP(G833,'Product_Stock_Master产品维护'!$A$2:$E992,2,FALSE()),"SKU not found"))</f>
        <v/>
      </c>
      <c r="I833" s="52" t="str">
        <f>IF(G833="","",IFERROR(VLOOKUP(G833,'Product_Stock_Master产品维护'!$A$2:$E992,3,FALSE()),"Item type not found"))</f>
        <v/>
      </c>
      <c r="J833" s="53"/>
      <c r="K833" s="53"/>
      <c r="L833" s="53"/>
      <c r="M833" s="53"/>
      <c r="N833" s="53"/>
      <c r="O833" s="52" t="str">
        <f t="shared" si="1"/>
        <v/>
      </c>
      <c r="P833" s="53"/>
      <c r="Q833" s="52" t="str">
        <f t="shared" si="9"/>
        <v/>
      </c>
      <c r="R833" s="52" t="str">
        <f t="shared" si="3"/>
        <v/>
      </c>
      <c r="S833" s="52" t="str">
        <f t="shared" si="10"/>
        <v/>
      </c>
      <c r="T833" s="52" t="str">
        <f t="shared" si="5"/>
        <v/>
      </c>
      <c r="U833" s="52"/>
      <c r="V833" s="53"/>
      <c r="W833" s="52" t="str">
        <f t="shared" si="6"/>
        <v/>
      </c>
      <c r="X833" s="52">
        <f t="shared" si="7"/>
        <v>0</v>
      </c>
      <c r="Y833" s="52">
        <f t="shared" si="8"/>
        <v>0</v>
      </c>
      <c r="Z833" s="52" t="str">
        <f>IF(G833="","",IFERROR(VLOOKUP(G833,'Product_Stock_Master产品维护'!$A$2:$L992,11,FALSE),"No"))</f>
        <v/>
      </c>
      <c r="AA833" s="52" t="str">
        <f>IF(G833="","",IFERROR(VLOOKUP(G833,'Product_Stock_Master产品维护'!$A$2:$L992,12,FALSE),""))</f>
        <v/>
      </c>
      <c r="AB833" s="52" t="str">
        <f t="shared" si="11"/>
        <v/>
      </c>
      <c r="AC833" s="52">
        <f t="shared" si="12"/>
        <v>0</v>
      </c>
    </row>
    <row r="834" ht="15.75" customHeight="1">
      <c r="A834" s="171"/>
      <c r="B834" s="171"/>
      <c r="C834" s="53"/>
      <c r="D834" s="53"/>
      <c r="E834" s="53"/>
      <c r="F834" s="53"/>
      <c r="G834" s="53"/>
      <c r="H834" s="52" t="str">
        <f>IF(G834="","",IFERROR(VLOOKUP(G834,'Product_Stock_Master产品维护'!$A$2:$E992,2,FALSE()),"SKU not found"))</f>
        <v/>
      </c>
      <c r="I834" s="52" t="str">
        <f>IF(G834="","",IFERROR(VLOOKUP(G834,'Product_Stock_Master产品维护'!$A$2:$E992,3,FALSE()),"Item type not found"))</f>
        <v/>
      </c>
      <c r="J834" s="53"/>
      <c r="K834" s="53"/>
      <c r="L834" s="53"/>
      <c r="M834" s="53"/>
      <c r="N834" s="53"/>
      <c r="O834" s="52" t="str">
        <f t="shared" si="1"/>
        <v/>
      </c>
      <c r="P834" s="53"/>
      <c r="Q834" s="52" t="str">
        <f t="shared" si="9"/>
        <v/>
      </c>
      <c r="R834" s="52" t="str">
        <f t="shared" si="3"/>
        <v/>
      </c>
      <c r="S834" s="52" t="str">
        <f t="shared" si="10"/>
        <v/>
      </c>
      <c r="T834" s="52" t="str">
        <f t="shared" si="5"/>
        <v/>
      </c>
      <c r="U834" s="52"/>
      <c r="V834" s="53"/>
      <c r="W834" s="52" t="str">
        <f t="shared" si="6"/>
        <v/>
      </c>
      <c r="X834" s="52">
        <f t="shared" si="7"/>
        <v>0</v>
      </c>
      <c r="Y834" s="52">
        <f t="shared" si="8"/>
        <v>0</v>
      </c>
      <c r="Z834" s="52" t="str">
        <f>IF(G834="","",IFERROR(VLOOKUP(G834,'Product_Stock_Master产品维护'!$A$2:$L992,11,FALSE),"No"))</f>
        <v/>
      </c>
      <c r="AA834" s="52" t="str">
        <f>IF(G834="","",IFERROR(VLOOKUP(G834,'Product_Stock_Master产品维护'!$A$2:$L992,12,FALSE),""))</f>
        <v/>
      </c>
      <c r="AB834" s="52" t="str">
        <f t="shared" si="11"/>
        <v/>
      </c>
      <c r="AC834" s="52">
        <f t="shared" si="12"/>
        <v>0</v>
      </c>
    </row>
    <row r="835" ht="15.75" customHeight="1">
      <c r="A835" s="171"/>
      <c r="B835" s="171"/>
      <c r="C835" s="53"/>
      <c r="D835" s="53"/>
      <c r="E835" s="53"/>
      <c r="F835" s="53"/>
      <c r="G835" s="53"/>
      <c r="H835" s="52" t="str">
        <f>IF(G835="","",IFERROR(VLOOKUP(G835,'Product_Stock_Master产品维护'!$A$2:$E992,2,FALSE()),"SKU not found"))</f>
        <v/>
      </c>
      <c r="I835" s="52" t="str">
        <f>IF(G835="","",IFERROR(VLOOKUP(G835,'Product_Stock_Master产品维护'!$A$2:$E992,3,FALSE()),"Item type not found"))</f>
        <v/>
      </c>
      <c r="J835" s="53"/>
      <c r="K835" s="53"/>
      <c r="L835" s="53"/>
      <c r="M835" s="53"/>
      <c r="N835" s="53"/>
      <c r="O835" s="52" t="str">
        <f t="shared" si="1"/>
        <v/>
      </c>
      <c r="P835" s="53"/>
      <c r="Q835" s="52" t="str">
        <f t="shared" si="9"/>
        <v/>
      </c>
      <c r="R835" s="52" t="str">
        <f t="shared" si="3"/>
        <v/>
      </c>
      <c r="S835" s="52" t="str">
        <f t="shared" si="10"/>
        <v/>
      </c>
      <c r="T835" s="52" t="str">
        <f t="shared" si="5"/>
        <v/>
      </c>
      <c r="U835" s="52"/>
      <c r="V835" s="53"/>
      <c r="W835" s="52" t="str">
        <f t="shared" si="6"/>
        <v/>
      </c>
      <c r="X835" s="52">
        <f t="shared" si="7"/>
        <v>0</v>
      </c>
      <c r="Y835" s="52">
        <f t="shared" si="8"/>
        <v>0</v>
      </c>
      <c r="Z835" s="52" t="str">
        <f>IF(G835="","",IFERROR(VLOOKUP(G835,'Product_Stock_Master产品维护'!$A$2:$L992,11,FALSE),"No"))</f>
        <v/>
      </c>
      <c r="AA835" s="52" t="str">
        <f>IF(G835="","",IFERROR(VLOOKUP(G835,'Product_Stock_Master产品维护'!$A$2:$L992,12,FALSE),""))</f>
        <v/>
      </c>
      <c r="AB835" s="52" t="str">
        <f t="shared" si="11"/>
        <v/>
      </c>
      <c r="AC835" s="52">
        <f t="shared" si="12"/>
        <v>0</v>
      </c>
    </row>
    <row r="836" ht="15.75" customHeight="1">
      <c r="A836" s="171"/>
      <c r="B836" s="171"/>
      <c r="C836" s="53"/>
      <c r="D836" s="53"/>
      <c r="E836" s="53"/>
      <c r="F836" s="53"/>
      <c r="G836" s="53"/>
      <c r="H836" s="52" t="str">
        <f>IF(G836="","",IFERROR(VLOOKUP(G836,'Product_Stock_Master产品维护'!$A$2:$E992,2,FALSE()),"SKU not found"))</f>
        <v/>
      </c>
      <c r="I836" s="52" t="str">
        <f>IF(G836="","",IFERROR(VLOOKUP(G836,'Product_Stock_Master产品维护'!$A$2:$E992,3,FALSE()),"Item type not found"))</f>
        <v/>
      </c>
      <c r="J836" s="53"/>
      <c r="K836" s="53"/>
      <c r="L836" s="53"/>
      <c r="M836" s="53"/>
      <c r="N836" s="53"/>
      <c r="O836" s="52" t="str">
        <f t="shared" si="1"/>
        <v/>
      </c>
      <c r="P836" s="53"/>
      <c r="Q836" s="52" t="str">
        <f t="shared" si="9"/>
        <v/>
      </c>
      <c r="R836" s="52" t="str">
        <f t="shared" si="3"/>
        <v/>
      </c>
      <c r="S836" s="52" t="str">
        <f t="shared" si="10"/>
        <v/>
      </c>
      <c r="T836" s="52" t="str">
        <f t="shared" si="5"/>
        <v/>
      </c>
      <c r="U836" s="52"/>
      <c r="V836" s="53"/>
      <c r="W836" s="52" t="str">
        <f t="shared" si="6"/>
        <v/>
      </c>
      <c r="X836" s="52">
        <f t="shared" si="7"/>
        <v>0</v>
      </c>
      <c r="Y836" s="52">
        <f t="shared" si="8"/>
        <v>0</v>
      </c>
      <c r="Z836" s="52" t="str">
        <f>IF(G836="","",IFERROR(VLOOKUP(G836,'Product_Stock_Master产品维护'!$A$2:$L992,11,FALSE),"No"))</f>
        <v/>
      </c>
      <c r="AA836" s="52" t="str">
        <f>IF(G836="","",IFERROR(VLOOKUP(G836,'Product_Stock_Master产品维护'!$A$2:$L992,12,FALSE),""))</f>
        <v/>
      </c>
      <c r="AB836" s="52" t="str">
        <f t="shared" si="11"/>
        <v/>
      </c>
      <c r="AC836" s="52">
        <f t="shared" si="12"/>
        <v>0</v>
      </c>
    </row>
    <row r="837" ht="15.75" customHeight="1">
      <c r="A837" s="171"/>
      <c r="B837" s="171"/>
      <c r="C837" s="53"/>
      <c r="D837" s="53"/>
      <c r="E837" s="53"/>
      <c r="F837" s="53"/>
      <c r="G837" s="53"/>
      <c r="H837" s="52" t="str">
        <f>IF(G837="","",IFERROR(VLOOKUP(G837,'Product_Stock_Master产品维护'!$A$2:$E992,2,FALSE()),"SKU not found"))</f>
        <v/>
      </c>
      <c r="I837" s="52" t="str">
        <f>IF(G837="","",IFERROR(VLOOKUP(G837,'Product_Stock_Master产品维护'!$A$2:$E992,3,FALSE()),"Item type not found"))</f>
        <v/>
      </c>
      <c r="J837" s="53"/>
      <c r="K837" s="53"/>
      <c r="L837" s="53"/>
      <c r="M837" s="53"/>
      <c r="N837" s="53"/>
      <c r="O837" s="52" t="str">
        <f t="shared" si="1"/>
        <v/>
      </c>
      <c r="P837" s="53"/>
      <c r="Q837" s="52" t="str">
        <f t="shared" si="9"/>
        <v/>
      </c>
      <c r="R837" s="52" t="str">
        <f t="shared" si="3"/>
        <v/>
      </c>
      <c r="S837" s="52" t="str">
        <f t="shared" si="10"/>
        <v/>
      </c>
      <c r="T837" s="52" t="str">
        <f t="shared" si="5"/>
        <v/>
      </c>
      <c r="U837" s="52"/>
      <c r="V837" s="53"/>
      <c r="W837" s="52" t="str">
        <f t="shared" si="6"/>
        <v/>
      </c>
      <c r="X837" s="52">
        <f t="shared" si="7"/>
        <v>0</v>
      </c>
      <c r="Y837" s="52">
        <f t="shared" si="8"/>
        <v>0</v>
      </c>
      <c r="Z837" s="52" t="str">
        <f>IF(G837="","",IFERROR(VLOOKUP(G837,'Product_Stock_Master产品维护'!$A$2:$L992,11,FALSE),"No"))</f>
        <v/>
      </c>
      <c r="AA837" s="52" t="str">
        <f>IF(G837="","",IFERROR(VLOOKUP(G837,'Product_Stock_Master产品维护'!$A$2:$L992,12,FALSE),""))</f>
        <v/>
      </c>
      <c r="AB837" s="52" t="str">
        <f t="shared" si="11"/>
        <v/>
      </c>
      <c r="AC837" s="52">
        <f t="shared" si="12"/>
        <v>0</v>
      </c>
    </row>
    <row r="838" ht="15.75" customHeight="1">
      <c r="A838" s="171"/>
      <c r="B838" s="171"/>
      <c r="C838" s="53"/>
      <c r="D838" s="53"/>
      <c r="E838" s="53"/>
      <c r="F838" s="53"/>
      <c r="G838" s="53"/>
      <c r="H838" s="52" t="str">
        <f>IF(G838="","",IFERROR(VLOOKUP(G838,'Product_Stock_Master产品维护'!$A$2:$E992,2,FALSE()),"SKU not found"))</f>
        <v/>
      </c>
      <c r="I838" s="52" t="str">
        <f>IF(G838="","",IFERROR(VLOOKUP(G838,'Product_Stock_Master产品维护'!$A$2:$E992,3,FALSE()),"Item type not found"))</f>
        <v/>
      </c>
      <c r="J838" s="53"/>
      <c r="K838" s="53"/>
      <c r="L838" s="53"/>
      <c r="M838" s="53"/>
      <c r="N838" s="53"/>
      <c r="O838" s="52" t="str">
        <f t="shared" si="1"/>
        <v/>
      </c>
      <c r="P838" s="53"/>
      <c r="Q838" s="52" t="str">
        <f t="shared" si="9"/>
        <v/>
      </c>
      <c r="R838" s="52" t="str">
        <f t="shared" si="3"/>
        <v/>
      </c>
      <c r="S838" s="52" t="str">
        <f t="shared" si="10"/>
        <v/>
      </c>
      <c r="T838" s="52" t="str">
        <f t="shared" si="5"/>
        <v/>
      </c>
      <c r="U838" s="52"/>
      <c r="V838" s="53"/>
      <c r="W838" s="52" t="str">
        <f t="shared" si="6"/>
        <v/>
      </c>
      <c r="X838" s="52">
        <f t="shared" si="7"/>
        <v>0</v>
      </c>
      <c r="Y838" s="52">
        <f t="shared" si="8"/>
        <v>0</v>
      </c>
      <c r="Z838" s="52" t="str">
        <f>IF(G838="","",IFERROR(VLOOKUP(G838,'Product_Stock_Master产品维护'!$A$2:$L992,11,FALSE),"No"))</f>
        <v/>
      </c>
      <c r="AA838" s="52" t="str">
        <f>IF(G838="","",IFERROR(VLOOKUP(G838,'Product_Stock_Master产品维护'!$A$2:$L992,12,FALSE),""))</f>
        <v/>
      </c>
      <c r="AB838" s="52" t="str">
        <f t="shared" si="11"/>
        <v/>
      </c>
      <c r="AC838" s="52">
        <f t="shared" si="12"/>
        <v>0</v>
      </c>
    </row>
    <row r="839" ht="15.75" customHeight="1">
      <c r="A839" s="171"/>
      <c r="B839" s="171"/>
      <c r="C839" s="53"/>
      <c r="D839" s="53"/>
      <c r="E839" s="53"/>
      <c r="F839" s="53"/>
      <c r="G839" s="53"/>
      <c r="H839" s="52" t="str">
        <f>IF(G839="","",IFERROR(VLOOKUP(G839,'Product_Stock_Master产品维护'!$A$2:$E992,2,FALSE()),"SKU not found"))</f>
        <v/>
      </c>
      <c r="I839" s="52" t="str">
        <f>IF(G839="","",IFERROR(VLOOKUP(G839,'Product_Stock_Master产品维护'!$A$2:$E992,3,FALSE()),"Item type not found"))</f>
        <v/>
      </c>
      <c r="J839" s="53"/>
      <c r="K839" s="53"/>
      <c r="L839" s="53"/>
      <c r="M839" s="53"/>
      <c r="N839" s="53"/>
      <c r="O839" s="52" t="str">
        <f t="shared" si="1"/>
        <v/>
      </c>
      <c r="P839" s="53"/>
      <c r="Q839" s="52" t="str">
        <f t="shared" si="9"/>
        <v/>
      </c>
      <c r="R839" s="52" t="str">
        <f t="shared" si="3"/>
        <v/>
      </c>
      <c r="S839" s="52" t="str">
        <f t="shared" si="10"/>
        <v/>
      </c>
      <c r="T839" s="52" t="str">
        <f t="shared" si="5"/>
        <v/>
      </c>
      <c r="U839" s="52"/>
      <c r="V839" s="53"/>
      <c r="W839" s="52" t="str">
        <f t="shared" si="6"/>
        <v/>
      </c>
      <c r="X839" s="52">
        <f t="shared" si="7"/>
        <v>0</v>
      </c>
      <c r="Y839" s="52">
        <f t="shared" si="8"/>
        <v>0</v>
      </c>
      <c r="Z839" s="52" t="str">
        <f>IF(G839="","",IFERROR(VLOOKUP(G839,'Product_Stock_Master产品维护'!$A$2:$L992,11,FALSE),"No"))</f>
        <v/>
      </c>
      <c r="AA839" s="52" t="str">
        <f>IF(G839="","",IFERROR(VLOOKUP(G839,'Product_Stock_Master产品维护'!$A$2:$L992,12,FALSE),""))</f>
        <v/>
      </c>
      <c r="AB839" s="52" t="str">
        <f t="shared" si="11"/>
        <v/>
      </c>
      <c r="AC839" s="52">
        <f t="shared" si="12"/>
        <v>0</v>
      </c>
    </row>
    <row r="840" ht="15.75" customHeight="1">
      <c r="A840" s="171"/>
      <c r="B840" s="171"/>
      <c r="C840" s="53"/>
      <c r="D840" s="53"/>
      <c r="E840" s="53"/>
      <c r="F840" s="53"/>
      <c r="G840" s="53"/>
      <c r="H840" s="52" t="str">
        <f>IF(G840="","",IFERROR(VLOOKUP(G840,'Product_Stock_Master产品维护'!$A$2:$E992,2,FALSE()),"SKU not found"))</f>
        <v/>
      </c>
      <c r="I840" s="52" t="str">
        <f>IF(G840="","",IFERROR(VLOOKUP(G840,'Product_Stock_Master产品维护'!$A$2:$E992,3,FALSE()),"Item type not found"))</f>
        <v/>
      </c>
      <c r="J840" s="53"/>
      <c r="K840" s="53"/>
      <c r="L840" s="53"/>
      <c r="M840" s="53"/>
      <c r="N840" s="53"/>
      <c r="O840" s="52" t="str">
        <f t="shared" si="1"/>
        <v/>
      </c>
      <c r="P840" s="53"/>
      <c r="Q840" s="52" t="str">
        <f t="shared" si="9"/>
        <v/>
      </c>
      <c r="R840" s="52" t="str">
        <f t="shared" si="3"/>
        <v/>
      </c>
      <c r="S840" s="52" t="str">
        <f t="shared" si="10"/>
        <v/>
      </c>
      <c r="T840" s="52" t="str">
        <f t="shared" si="5"/>
        <v/>
      </c>
      <c r="U840" s="52"/>
      <c r="V840" s="53"/>
      <c r="W840" s="52" t="str">
        <f t="shared" si="6"/>
        <v/>
      </c>
      <c r="X840" s="52">
        <f t="shared" si="7"/>
        <v>0</v>
      </c>
      <c r="Y840" s="52">
        <f t="shared" si="8"/>
        <v>0</v>
      </c>
      <c r="Z840" s="52" t="str">
        <f>IF(G840="","",IFERROR(VLOOKUP(G840,'Product_Stock_Master产品维护'!$A$2:$L992,11,FALSE),"No"))</f>
        <v/>
      </c>
      <c r="AA840" s="52" t="str">
        <f>IF(G840="","",IFERROR(VLOOKUP(G840,'Product_Stock_Master产品维护'!$A$2:$L992,12,FALSE),""))</f>
        <v/>
      </c>
      <c r="AB840" s="52" t="str">
        <f t="shared" si="11"/>
        <v/>
      </c>
      <c r="AC840" s="52">
        <f t="shared" si="12"/>
        <v>0</v>
      </c>
    </row>
    <row r="841" ht="15.75" customHeight="1">
      <c r="A841" s="171"/>
      <c r="B841" s="171"/>
      <c r="C841" s="53"/>
      <c r="D841" s="53"/>
      <c r="E841" s="53"/>
      <c r="F841" s="53"/>
      <c r="G841" s="53"/>
      <c r="H841" s="52" t="str">
        <f>IF(G841="","",IFERROR(VLOOKUP(G841,'Product_Stock_Master产品维护'!$A$2:$E992,2,FALSE()),"SKU not found"))</f>
        <v/>
      </c>
      <c r="I841" s="52" t="str">
        <f>IF(G841="","",IFERROR(VLOOKUP(G841,'Product_Stock_Master产品维护'!$A$2:$E992,3,FALSE()),"Item type not found"))</f>
        <v/>
      </c>
      <c r="J841" s="53"/>
      <c r="K841" s="53"/>
      <c r="L841" s="53"/>
      <c r="M841" s="53"/>
      <c r="N841" s="53"/>
      <c r="O841" s="52" t="str">
        <f t="shared" si="1"/>
        <v/>
      </c>
      <c r="P841" s="53"/>
      <c r="Q841" s="52" t="str">
        <f t="shared" si="9"/>
        <v/>
      </c>
      <c r="R841" s="52" t="str">
        <f t="shared" si="3"/>
        <v/>
      </c>
      <c r="S841" s="52" t="str">
        <f t="shared" si="10"/>
        <v/>
      </c>
      <c r="T841" s="52" t="str">
        <f t="shared" si="5"/>
        <v/>
      </c>
      <c r="U841" s="52"/>
      <c r="V841" s="53"/>
      <c r="W841" s="52" t="str">
        <f t="shared" si="6"/>
        <v/>
      </c>
      <c r="X841" s="52">
        <f t="shared" si="7"/>
        <v>0</v>
      </c>
      <c r="Y841" s="52">
        <f t="shared" si="8"/>
        <v>0</v>
      </c>
      <c r="Z841" s="52" t="str">
        <f>IF(G841="","",IFERROR(VLOOKUP(G841,'Product_Stock_Master产品维护'!$A$2:$L992,11,FALSE),"No"))</f>
        <v/>
      </c>
      <c r="AA841" s="52" t="str">
        <f>IF(G841="","",IFERROR(VLOOKUP(G841,'Product_Stock_Master产品维护'!$A$2:$L992,12,FALSE),""))</f>
        <v/>
      </c>
      <c r="AB841" s="52" t="str">
        <f t="shared" si="11"/>
        <v/>
      </c>
      <c r="AC841" s="52">
        <f t="shared" si="12"/>
        <v>0</v>
      </c>
    </row>
    <row r="842" ht="15.75" customHeight="1">
      <c r="A842" s="171"/>
      <c r="B842" s="171"/>
      <c r="C842" s="53"/>
      <c r="D842" s="53"/>
      <c r="E842" s="53"/>
      <c r="F842" s="53"/>
      <c r="G842" s="53"/>
      <c r="H842" s="52" t="str">
        <f>IF(G842="","",IFERROR(VLOOKUP(G842,'Product_Stock_Master产品维护'!$A$2:$E992,2,FALSE()),"SKU not found"))</f>
        <v/>
      </c>
      <c r="I842" s="52" t="str">
        <f>IF(G842="","",IFERROR(VLOOKUP(G842,'Product_Stock_Master产品维护'!$A$2:$E992,3,FALSE()),"Item type not found"))</f>
        <v/>
      </c>
      <c r="J842" s="53"/>
      <c r="K842" s="53"/>
      <c r="L842" s="53"/>
      <c r="M842" s="53"/>
      <c r="N842" s="53"/>
      <c r="O842" s="52" t="str">
        <f t="shared" si="1"/>
        <v/>
      </c>
      <c r="P842" s="53"/>
      <c r="Q842" s="52" t="str">
        <f t="shared" si="9"/>
        <v/>
      </c>
      <c r="R842" s="52" t="str">
        <f t="shared" si="3"/>
        <v/>
      </c>
      <c r="S842" s="52" t="str">
        <f t="shared" si="10"/>
        <v/>
      </c>
      <c r="T842" s="52" t="str">
        <f t="shared" si="5"/>
        <v/>
      </c>
      <c r="U842" s="52"/>
      <c r="V842" s="53"/>
      <c r="W842" s="52" t="str">
        <f t="shared" si="6"/>
        <v/>
      </c>
      <c r="X842" s="52">
        <f t="shared" si="7"/>
        <v>0</v>
      </c>
      <c r="Y842" s="52">
        <f t="shared" si="8"/>
        <v>0</v>
      </c>
      <c r="Z842" s="52" t="str">
        <f>IF(G842="","",IFERROR(VLOOKUP(G842,'Product_Stock_Master产品维护'!$A$2:$L992,11,FALSE),"No"))</f>
        <v/>
      </c>
      <c r="AA842" s="52" t="str">
        <f>IF(G842="","",IFERROR(VLOOKUP(G842,'Product_Stock_Master产品维护'!$A$2:$L992,12,FALSE),""))</f>
        <v/>
      </c>
      <c r="AB842" s="52" t="str">
        <f t="shared" si="11"/>
        <v/>
      </c>
      <c r="AC842" s="52">
        <f t="shared" si="12"/>
        <v>0</v>
      </c>
    </row>
    <row r="843" ht="15.75" customHeight="1">
      <c r="A843" s="171"/>
      <c r="B843" s="171"/>
      <c r="C843" s="53"/>
      <c r="D843" s="53"/>
      <c r="E843" s="53"/>
      <c r="F843" s="53"/>
      <c r="G843" s="53"/>
      <c r="H843" s="52" t="str">
        <f>IF(G843="","",IFERROR(VLOOKUP(G843,'Product_Stock_Master产品维护'!$A$2:$E992,2,FALSE()),"SKU not found"))</f>
        <v/>
      </c>
      <c r="I843" s="52" t="str">
        <f>IF(G843="","",IFERROR(VLOOKUP(G843,'Product_Stock_Master产品维护'!$A$2:$E992,3,FALSE()),"Item type not found"))</f>
        <v/>
      </c>
      <c r="J843" s="53"/>
      <c r="K843" s="53"/>
      <c r="L843" s="53"/>
      <c r="M843" s="53"/>
      <c r="N843" s="53"/>
      <c r="O843" s="52" t="str">
        <f t="shared" si="1"/>
        <v/>
      </c>
      <c r="P843" s="53"/>
      <c r="Q843" s="52" t="str">
        <f t="shared" si="9"/>
        <v/>
      </c>
      <c r="R843" s="52" t="str">
        <f t="shared" si="3"/>
        <v/>
      </c>
      <c r="S843" s="52" t="str">
        <f t="shared" si="10"/>
        <v/>
      </c>
      <c r="T843" s="52" t="str">
        <f t="shared" si="5"/>
        <v/>
      </c>
      <c r="U843" s="52"/>
      <c r="V843" s="53"/>
      <c r="W843" s="52" t="str">
        <f t="shared" si="6"/>
        <v/>
      </c>
      <c r="X843" s="52">
        <f t="shared" si="7"/>
        <v>0</v>
      </c>
      <c r="Y843" s="52">
        <f t="shared" si="8"/>
        <v>0</v>
      </c>
      <c r="Z843" s="52" t="str">
        <f>IF(G843="","",IFERROR(VLOOKUP(G843,'Product_Stock_Master产品维护'!$A$2:$L992,11,FALSE),"No"))</f>
        <v/>
      </c>
      <c r="AA843" s="52" t="str">
        <f>IF(G843="","",IFERROR(VLOOKUP(G843,'Product_Stock_Master产品维护'!$A$2:$L992,12,FALSE),""))</f>
        <v/>
      </c>
      <c r="AB843" s="52" t="str">
        <f t="shared" si="11"/>
        <v/>
      </c>
      <c r="AC843" s="52">
        <f t="shared" si="12"/>
        <v>0</v>
      </c>
    </row>
    <row r="844" ht="15.75" customHeight="1">
      <c r="A844" s="171"/>
      <c r="B844" s="171"/>
      <c r="C844" s="53"/>
      <c r="D844" s="53"/>
      <c r="E844" s="53"/>
      <c r="F844" s="53"/>
      <c r="G844" s="53"/>
      <c r="H844" s="52" t="str">
        <f>IF(G844="","",IFERROR(VLOOKUP(G844,'Product_Stock_Master产品维护'!$A$2:$E992,2,FALSE()),"SKU not found"))</f>
        <v/>
      </c>
      <c r="I844" s="52" t="str">
        <f>IF(G844="","",IFERROR(VLOOKUP(G844,'Product_Stock_Master产品维护'!$A$2:$E992,3,FALSE()),"Item type not found"))</f>
        <v/>
      </c>
      <c r="J844" s="53"/>
      <c r="K844" s="53"/>
      <c r="L844" s="53"/>
      <c r="M844" s="53"/>
      <c r="N844" s="53"/>
      <c r="O844" s="52" t="str">
        <f t="shared" si="1"/>
        <v/>
      </c>
      <c r="P844" s="53"/>
      <c r="Q844" s="52" t="str">
        <f t="shared" si="9"/>
        <v/>
      </c>
      <c r="R844" s="52" t="str">
        <f t="shared" si="3"/>
        <v/>
      </c>
      <c r="S844" s="52" t="str">
        <f t="shared" si="10"/>
        <v/>
      </c>
      <c r="T844" s="52" t="str">
        <f t="shared" si="5"/>
        <v/>
      </c>
      <c r="U844" s="52"/>
      <c r="V844" s="53"/>
      <c r="W844" s="52" t="str">
        <f t="shared" si="6"/>
        <v/>
      </c>
      <c r="X844" s="52">
        <f t="shared" si="7"/>
        <v>0</v>
      </c>
      <c r="Y844" s="52">
        <f t="shared" si="8"/>
        <v>0</v>
      </c>
      <c r="Z844" s="52" t="str">
        <f>IF(G844="","",IFERROR(VLOOKUP(G844,'Product_Stock_Master产品维护'!$A$2:$L992,11,FALSE),"No"))</f>
        <v/>
      </c>
      <c r="AA844" s="52" t="str">
        <f>IF(G844="","",IFERROR(VLOOKUP(G844,'Product_Stock_Master产品维护'!$A$2:$L992,12,FALSE),""))</f>
        <v/>
      </c>
      <c r="AB844" s="52" t="str">
        <f t="shared" si="11"/>
        <v/>
      </c>
      <c r="AC844" s="52">
        <f t="shared" si="12"/>
        <v>0</v>
      </c>
    </row>
    <row r="845" ht="15.75" customHeight="1">
      <c r="A845" s="171"/>
      <c r="B845" s="171"/>
      <c r="C845" s="53"/>
      <c r="D845" s="53"/>
      <c r="E845" s="53"/>
      <c r="F845" s="53"/>
      <c r="G845" s="53"/>
      <c r="H845" s="52" t="str">
        <f>IF(G845="","",IFERROR(VLOOKUP(G845,'Product_Stock_Master产品维护'!$A$2:$E992,2,FALSE()),"SKU not found"))</f>
        <v/>
      </c>
      <c r="I845" s="52" t="str">
        <f>IF(G845="","",IFERROR(VLOOKUP(G845,'Product_Stock_Master产品维护'!$A$2:$E992,3,FALSE()),"Item type not found"))</f>
        <v/>
      </c>
      <c r="J845" s="53"/>
      <c r="K845" s="53"/>
      <c r="L845" s="53"/>
      <c r="M845" s="53"/>
      <c r="N845" s="53"/>
      <c r="O845" s="52" t="str">
        <f t="shared" si="1"/>
        <v/>
      </c>
      <c r="P845" s="53"/>
      <c r="Q845" s="52" t="str">
        <f t="shared" si="9"/>
        <v/>
      </c>
      <c r="R845" s="52" t="str">
        <f t="shared" si="3"/>
        <v/>
      </c>
      <c r="S845" s="52" t="str">
        <f t="shared" si="10"/>
        <v/>
      </c>
      <c r="T845" s="52" t="str">
        <f t="shared" si="5"/>
        <v/>
      </c>
      <c r="U845" s="52"/>
      <c r="V845" s="53"/>
      <c r="W845" s="52" t="str">
        <f t="shared" si="6"/>
        <v/>
      </c>
      <c r="X845" s="52">
        <f t="shared" si="7"/>
        <v>0</v>
      </c>
      <c r="Y845" s="52">
        <f t="shared" si="8"/>
        <v>0</v>
      </c>
      <c r="Z845" s="52" t="str">
        <f>IF(G845="","",IFERROR(VLOOKUP(G845,'Product_Stock_Master产品维护'!$A$2:$L992,11,FALSE),"No"))</f>
        <v/>
      </c>
      <c r="AA845" s="52" t="str">
        <f>IF(G845="","",IFERROR(VLOOKUP(G845,'Product_Stock_Master产品维护'!$A$2:$L992,12,FALSE),""))</f>
        <v/>
      </c>
      <c r="AB845" s="52" t="str">
        <f t="shared" si="11"/>
        <v/>
      </c>
      <c r="AC845" s="52">
        <f t="shared" si="12"/>
        <v>0</v>
      </c>
    </row>
    <row r="846" ht="15.75" customHeight="1">
      <c r="A846" s="171"/>
      <c r="B846" s="171"/>
      <c r="C846" s="53"/>
      <c r="D846" s="53"/>
      <c r="E846" s="53"/>
      <c r="F846" s="53"/>
      <c r="G846" s="53"/>
      <c r="H846" s="52" t="str">
        <f>IF(G846="","",IFERROR(VLOOKUP(G846,'Product_Stock_Master产品维护'!$A$2:$E992,2,FALSE()),"SKU not found"))</f>
        <v/>
      </c>
      <c r="I846" s="52" t="str">
        <f>IF(G846="","",IFERROR(VLOOKUP(G846,'Product_Stock_Master产品维护'!$A$2:$E992,3,FALSE()),"Item type not found"))</f>
        <v/>
      </c>
      <c r="J846" s="53"/>
      <c r="K846" s="53"/>
      <c r="L846" s="53"/>
      <c r="M846" s="53"/>
      <c r="N846" s="53"/>
      <c r="O846" s="52" t="str">
        <f t="shared" si="1"/>
        <v/>
      </c>
      <c r="P846" s="53"/>
      <c r="Q846" s="52" t="str">
        <f t="shared" si="9"/>
        <v/>
      </c>
      <c r="R846" s="52" t="str">
        <f t="shared" si="3"/>
        <v/>
      </c>
      <c r="S846" s="52" t="str">
        <f t="shared" si="10"/>
        <v/>
      </c>
      <c r="T846" s="52" t="str">
        <f t="shared" si="5"/>
        <v/>
      </c>
      <c r="U846" s="52"/>
      <c r="V846" s="53"/>
      <c r="W846" s="52" t="str">
        <f t="shared" si="6"/>
        <v/>
      </c>
      <c r="X846" s="52">
        <f t="shared" si="7"/>
        <v>0</v>
      </c>
      <c r="Y846" s="52">
        <f t="shared" si="8"/>
        <v>0</v>
      </c>
      <c r="Z846" s="52" t="str">
        <f>IF(G846="","",IFERROR(VLOOKUP(G846,'Product_Stock_Master产品维护'!$A$2:$L992,11,FALSE),"No"))</f>
        <v/>
      </c>
      <c r="AA846" s="52" t="str">
        <f>IF(G846="","",IFERROR(VLOOKUP(G846,'Product_Stock_Master产品维护'!$A$2:$L992,12,FALSE),""))</f>
        <v/>
      </c>
      <c r="AB846" s="52" t="str">
        <f t="shared" si="11"/>
        <v/>
      </c>
      <c r="AC846" s="52">
        <f t="shared" si="12"/>
        <v>0</v>
      </c>
    </row>
    <row r="847" ht="15.75" customHeight="1">
      <c r="A847" s="171"/>
      <c r="B847" s="171"/>
      <c r="C847" s="53"/>
      <c r="D847" s="53"/>
      <c r="E847" s="53"/>
      <c r="F847" s="53"/>
      <c r="G847" s="53"/>
      <c r="H847" s="52" t="str">
        <f>IF(G847="","",IFERROR(VLOOKUP(G847,'Product_Stock_Master产品维护'!$A$2:$E992,2,FALSE()),"SKU not found"))</f>
        <v/>
      </c>
      <c r="I847" s="52" t="str">
        <f>IF(G847="","",IFERROR(VLOOKUP(G847,'Product_Stock_Master产品维护'!$A$2:$E992,3,FALSE()),"Item type not found"))</f>
        <v/>
      </c>
      <c r="J847" s="53"/>
      <c r="K847" s="53"/>
      <c r="L847" s="53"/>
      <c r="M847" s="53"/>
      <c r="N847" s="53"/>
      <c r="O847" s="52" t="str">
        <f t="shared" si="1"/>
        <v/>
      </c>
      <c r="P847" s="53"/>
      <c r="Q847" s="52" t="str">
        <f t="shared" si="9"/>
        <v/>
      </c>
      <c r="R847" s="52" t="str">
        <f t="shared" si="3"/>
        <v/>
      </c>
      <c r="S847" s="52" t="str">
        <f t="shared" si="10"/>
        <v/>
      </c>
      <c r="T847" s="52" t="str">
        <f t="shared" si="5"/>
        <v/>
      </c>
      <c r="U847" s="52"/>
      <c r="V847" s="53"/>
      <c r="W847" s="52" t="str">
        <f t="shared" si="6"/>
        <v/>
      </c>
      <c r="X847" s="52">
        <f t="shared" si="7"/>
        <v>0</v>
      </c>
      <c r="Y847" s="52">
        <f t="shared" si="8"/>
        <v>0</v>
      </c>
      <c r="Z847" s="52" t="str">
        <f>IF(G847="","",IFERROR(VLOOKUP(G847,'Product_Stock_Master产品维护'!$A$2:$L992,11,FALSE),"No"))</f>
        <v/>
      </c>
      <c r="AA847" s="52" t="str">
        <f>IF(G847="","",IFERROR(VLOOKUP(G847,'Product_Stock_Master产品维护'!$A$2:$L992,12,FALSE),""))</f>
        <v/>
      </c>
      <c r="AB847" s="52" t="str">
        <f t="shared" si="11"/>
        <v/>
      </c>
      <c r="AC847" s="52">
        <f t="shared" si="12"/>
        <v>0</v>
      </c>
    </row>
    <row r="848" ht="15.75" customHeight="1">
      <c r="A848" s="171"/>
      <c r="B848" s="171"/>
      <c r="C848" s="53"/>
      <c r="D848" s="53"/>
      <c r="E848" s="53"/>
      <c r="F848" s="53"/>
      <c r="G848" s="53"/>
      <c r="H848" s="52" t="str">
        <f>IF(G848="","",IFERROR(VLOOKUP(G848,'Product_Stock_Master产品维护'!$A$2:$E992,2,FALSE()),"SKU not found"))</f>
        <v/>
      </c>
      <c r="I848" s="52" t="str">
        <f>IF(G848="","",IFERROR(VLOOKUP(G848,'Product_Stock_Master产品维护'!$A$2:$E992,3,FALSE()),"Item type not found"))</f>
        <v/>
      </c>
      <c r="J848" s="53"/>
      <c r="K848" s="53"/>
      <c r="L848" s="53"/>
      <c r="M848" s="53"/>
      <c r="N848" s="53"/>
      <c r="O848" s="52" t="str">
        <f t="shared" si="1"/>
        <v/>
      </c>
      <c r="P848" s="53"/>
      <c r="Q848" s="52" t="str">
        <f t="shared" si="9"/>
        <v/>
      </c>
      <c r="R848" s="52" t="str">
        <f t="shared" si="3"/>
        <v/>
      </c>
      <c r="S848" s="52" t="str">
        <f t="shared" si="10"/>
        <v/>
      </c>
      <c r="T848" s="52" t="str">
        <f t="shared" si="5"/>
        <v/>
      </c>
      <c r="U848" s="52"/>
      <c r="V848" s="53"/>
      <c r="W848" s="52" t="str">
        <f t="shared" si="6"/>
        <v/>
      </c>
      <c r="X848" s="52">
        <f t="shared" si="7"/>
        <v>0</v>
      </c>
      <c r="Y848" s="52">
        <f t="shared" si="8"/>
        <v>0</v>
      </c>
      <c r="Z848" s="52" t="str">
        <f>IF(G848="","",IFERROR(VLOOKUP(G848,'Product_Stock_Master产品维护'!$A$2:$L992,11,FALSE),"No"))</f>
        <v/>
      </c>
      <c r="AA848" s="52" t="str">
        <f>IF(G848="","",IFERROR(VLOOKUP(G848,'Product_Stock_Master产品维护'!$A$2:$L992,12,FALSE),""))</f>
        <v/>
      </c>
      <c r="AB848" s="52" t="str">
        <f t="shared" si="11"/>
        <v/>
      </c>
      <c r="AC848" s="52">
        <f t="shared" si="12"/>
        <v>0</v>
      </c>
    </row>
    <row r="849" ht="15.75" customHeight="1">
      <c r="A849" s="171"/>
      <c r="B849" s="171"/>
      <c r="C849" s="53"/>
      <c r="D849" s="53"/>
      <c r="E849" s="53"/>
      <c r="F849" s="53"/>
      <c r="G849" s="53"/>
      <c r="H849" s="52" t="str">
        <f>IF(G849="","",IFERROR(VLOOKUP(G849,'Product_Stock_Master产品维护'!$A$2:$E992,2,FALSE()),"SKU not found"))</f>
        <v/>
      </c>
      <c r="I849" s="52" t="str">
        <f>IF(G849="","",IFERROR(VLOOKUP(G849,'Product_Stock_Master产品维护'!$A$2:$E992,3,FALSE()),"Item type not found"))</f>
        <v/>
      </c>
      <c r="J849" s="53"/>
      <c r="K849" s="53"/>
      <c r="L849" s="53"/>
      <c r="M849" s="53"/>
      <c r="N849" s="53"/>
      <c r="O849" s="52" t="str">
        <f t="shared" si="1"/>
        <v/>
      </c>
      <c r="P849" s="53"/>
      <c r="Q849" s="52" t="str">
        <f t="shared" si="9"/>
        <v/>
      </c>
      <c r="R849" s="52" t="str">
        <f t="shared" si="3"/>
        <v/>
      </c>
      <c r="S849" s="52" t="str">
        <f t="shared" si="10"/>
        <v/>
      </c>
      <c r="T849" s="52" t="str">
        <f t="shared" si="5"/>
        <v/>
      </c>
      <c r="U849" s="52"/>
      <c r="V849" s="53"/>
      <c r="W849" s="52" t="str">
        <f t="shared" si="6"/>
        <v/>
      </c>
      <c r="X849" s="52">
        <f t="shared" si="7"/>
        <v>0</v>
      </c>
      <c r="Y849" s="52">
        <f t="shared" si="8"/>
        <v>0</v>
      </c>
      <c r="Z849" s="52" t="str">
        <f>IF(G849="","",IFERROR(VLOOKUP(G849,'Product_Stock_Master产品维护'!$A$2:$L992,11,FALSE),"No"))</f>
        <v/>
      </c>
      <c r="AA849" s="52" t="str">
        <f>IF(G849="","",IFERROR(VLOOKUP(G849,'Product_Stock_Master产品维护'!$A$2:$L992,12,FALSE),""))</f>
        <v/>
      </c>
      <c r="AB849" s="52" t="str">
        <f t="shared" si="11"/>
        <v/>
      </c>
      <c r="AC849" s="52">
        <f t="shared" si="12"/>
        <v>0</v>
      </c>
    </row>
    <row r="850" ht="15.75" customHeight="1">
      <c r="A850" s="171"/>
      <c r="B850" s="171"/>
      <c r="C850" s="53"/>
      <c r="D850" s="53"/>
      <c r="E850" s="53"/>
      <c r="F850" s="53"/>
      <c r="G850" s="53"/>
      <c r="H850" s="52" t="str">
        <f>IF(G850="","",IFERROR(VLOOKUP(G850,'Product_Stock_Master产品维护'!$A$2:$E992,2,FALSE()),"SKU not found"))</f>
        <v/>
      </c>
      <c r="I850" s="52" t="str">
        <f>IF(G850="","",IFERROR(VLOOKUP(G850,'Product_Stock_Master产品维护'!$A$2:$E992,3,FALSE()),"Item type not found"))</f>
        <v/>
      </c>
      <c r="J850" s="53"/>
      <c r="K850" s="53"/>
      <c r="L850" s="53"/>
      <c r="M850" s="53"/>
      <c r="N850" s="53"/>
      <c r="O850" s="52" t="str">
        <f t="shared" si="1"/>
        <v/>
      </c>
      <c r="P850" s="53"/>
      <c r="Q850" s="52" t="str">
        <f t="shared" si="9"/>
        <v/>
      </c>
      <c r="R850" s="52" t="str">
        <f t="shared" si="3"/>
        <v/>
      </c>
      <c r="S850" s="52" t="str">
        <f t="shared" si="10"/>
        <v/>
      </c>
      <c r="T850" s="52" t="str">
        <f t="shared" si="5"/>
        <v/>
      </c>
      <c r="U850" s="52"/>
      <c r="V850" s="53"/>
      <c r="W850" s="52" t="str">
        <f t="shared" si="6"/>
        <v/>
      </c>
      <c r="X850" s="52">
        <f t="shared" si="7"/>
        <v>0</v>
      </c>
      <c r="Y850" s="52">
        <f t="shared" si="8"/>
        <v>0</v>
      </c>
      <c r="Z850" s="52" t="str">
        <f>IF(G850="","",IFERROR(VLOOKUP(G850,'Product_Stock_Master产品维护'!$A$2:$L992,11,FALSE),"No"))</f>
        <v/>
      </c>
      <c r="AA850" s="52" t="str">
        <f>IF(G850="","",IFERROR(VLOOKUP(G850,'Product_Stock_Master产品维护'!$A$2:$L992,12,FALSE),""))</f>
        <v/>
      </c>
      <c r="AB850" s="52" t="str">
        <f t="shared" si="11"/>
        <v/>
      </c>
      <c r="AC850" s="52">
        <f t="shared" si="12"/>
        <v>0</v>
      </c>
    </row>
    <row r="851" ht="15.75" customHeight="1">
      <c r="A851" s="171"/>
      <c r="B851" s="171"/>
      <c r="C851" s="53"/>
      <c r="D851" s="53"/>
      <c r="E851" s="53"/>
      <c r="F851" s="53"/>
      <c r="G851" s="53"/>
      <c r="H851" s="52" t="str">
        <f>IF(G851="","",IFERROR(VLOOKUP(G851,'Product_Stock_Master产品维护'!$A$2:$E992,2,FALSE()),"SKU not found"))</f>
        <v/>
      </c>
      <c r="I851" s="52" t="str">
        <f>IF(G851="","",IFERROR(VLOOKUP(G851,'Product_Stock_Master产品维护'!$A$2:$E992,3,FALSE()),"Item type not found"))</f>
        <v/>
      </c>
      <c r="J851" s="53"/>
      <c r="K851" s="53"/>
      <c r="L851" s="53"/>
      <c r="M851" s="53"/>
      <c r="N851" s="53"/>
      <c r="O851" s="52" t="str">
        <f t="shared" si="1"/>
        <v/>
      </c>
      <c r="P851" s="53"/>
      <c r="Q851" s="52" t="str">
        <f t="shared" si="9"/>
        <v/>
      </c>
      <c r="R851" s="52" t="str">
        <f t="shared" si="3"/>
        <v/>
      </c>
      <c r="S851" s="52" t="str">
        <f t="shared" si="10"/>
        <v/>
      </c>
      <c r="T851" s="52" t="str">
        <f t="shared" si="5"/>
        <v/>
      </c>
      <c r="U851" s="52"/>
      <c r="V851" s="53"/>
      <c r="W851" s="52" t="str">
        <f t="shared" si="6"/>
        <v/>
      </c>
      <c r="X851" s="52">
        <f t="shared" si="7"/>
        <v>0</v>
      </c>
      <c r="Y851" s="52">
        <f t="shared" si="8"/>
        <v>0</v>
      </c>
      <c r="Z851" s="52" t="str">
        <f>IF(G851="","",IFERROR(VLOOKUP(G851,'Product_Stock_Master产品维护'!$A$2:$L992,11,FALSE),"No"))</f>
        <v/>
      </c>
      <c r="AA851" s="52" t="str">
        <f>IF(G851="","",IFERROR(VLOOKUP(G851,'Product_Stock_Master产品维护'!$A$2:$L992,12,FALSE),""))</f>
        <v/>
      </c>
      <c r="AB851" s="52" t="str">
        <f t="shared" si="11"/>
        <v/>
      </c>
      <c r="AC851" s="52">
        <f t="shared" si="12"/>
        <v>0</v>
      </c>
    </row>
    <row r="852" ht="15.75" customHeight="1">
      <c r="A852" s="171"/>
      <c r="B852" s="171"/>
      <c r="C852" s="53"/>
      <c r="D852" s="53"/>
      <c r="E852" s="53"/>
      <c r="F852" s="53"/>
      <c r="G852" s="53"/>
      <c r="H852" s="52" t="str">
        <f>IF(G852="","",IFERROR(VLOOKUP(G852,'Product_Stock_Master产品维护'!$A$2:$E992,2,FALSE()),"SKU not found"))</f>
        <v/>
      </c>
      <c r="I852" s="52" t="str">
        <f>IF(G852="","",IFERROR(VLOOKUP(G852,'Product_Stock_Master产品维护'!$A$2:$E992,3,FALSE()),"Item type not found"))</f>
        <v/>
      </c>
      <c r="J852" s="53"/>
      <c r="K852" s="53"/>
      <c r="L852" s="53"/>
      <c r="M852" s="53"/>
      <c r="N852" s="53"/>
      <c r="O852" s="52" t="str">
        <f t="shared" si="1"/>
        <v/>
      </c>
      <c r="P852" s="53"/>
      <c r="Q852" s="52" t="str">
        <f t="shared" si="9"/>
        <v/>
      </c>
      <c r="R852" s="52" t="str">
        <f t="shared" si="3"/>
        <v/>
      </c>
      <c r="S852" s="52" t="str">
        <f t="shared" si="10"/>
        <v/>
      </c>
      <c r="T852" s="52" t="str">
        <f t="shared" si="5"/>
        <v/>
      </c>
      <c r="U852" s="52"/>
      <c r="V852" s="53"/>
      <c r="W852" s="52" t="str">
        <f t="shared" si="6"/>
        <v/>
      </c>
      <c r="X852" s="52">
        <f t="shared" si="7"/>
        <v>0</v>
      </c>
      <c r="Y852" s="52">
        <f t="shared" si="8"/>
        <v>0</v>
      </c>
      <c r="Z852" s="52" t="str">
        <f>IF(G852="","",IFERROR(VLOOKUP(G852,'Product_Stock_Master产品维护'!$A$2:$L992,11,FALSE),"No"))</f>
        <v/>
      </c>
      <c r="AA852" s="52" t="str">
        <f>IF(G852="","",IFERROR(VLOOKUP(G852,'Product_Stock_Master产品维护'!$A$2:$L992,12,FALSE),""))</f>
        <v/>
      </c>
      <c r="AB852" s="52" t="str">
        <f t="shared" si="11"/>
        <v/>
      </c>
      <c r="AC852" s="52">
        <f t="shared" si="12"/>
        <v>0</v>
      </c>
    </row>
    <row r="853" ht="15.75" customHeight="1">
      <c r="A853" s="171"/>
      <c r="B853" s="171"/>
      <c r="C853" s="53"/>
      <c r="D853" s="53"/>
      <c r="E853" s="53"/>
      <c r="F853" s="53"/>
      <c r="G853" s="53"/>
      <c r="H853" s="52" t="str">
        <f>IF(G853="","",IFERROR(VLOOKUP(G853,'Product_Stock_Master产品维护'!$A$2:$E992,2,FALSE()),"SKU not found"))</f>
        <v/>
      </c>
      <c r="I853" s="52" t="str">
        <f>IF(G853="","",IFERROR(VLOOKUP(G853,'Product_Stock_Master产品维护'!$A$2:$E992,3,FALSE()),"Item type not found"))</f>
        <v/>
      </c>
      <c r="J853" s="53"/>
      <c r="K853" s="53"/>
      <c r="L853" s="53"/>
      <c r="M853" s="53"/>
      <c r="N853" s="53"/>
      <c r="O853" s="52" t="str">
        <f t="shared" si="1"/>
        <v/>
      </c>
      <c r="P853" s="53"/>
      <c r="Q853" s="52" t="str">
        <f t="shared" si="9"/>
        <v/>
      </c>
      <c r="R853" s="52" t="str">
        <f t="shared" si="3"/>
        <v/>
      </c>
      <c r="S853" s="52" t="str">
        <f t="shared" si="10"/>
        <v/>
      </c>
      <c r="T853" s="52" t="str">
        <f t="shared" si="5"/>
        <v/>
      </c>
      <c r="U853" s="52"/>
      <c r="V853" s="53"/>
      <c r="W853" s="52" t="str">
        <f t="shared" si="6"/>
        <v/>
      </c>
      <c r="X853" s="52">
        <f t="shared" si="7"/>
        <v>0</v>
      </c>
      <c r="Y853" s="52">
        <f t="shared" si="8"/>
        <v>0</v>
      </c>
      <c r="Z853" s="52" t="str">
        <f>IF(G853="","",IFERROR(VLOOKUP(G853,'Product_Stock_Master产品维护'!$A$2:$L992,11,FALSE),"No"))</f>
        <v/>
      </c>
      <c r="AA853" s="52" t="str">
        <f>IF(G853="","",IFERROR(VLOOKUP(G853,'Product_Stock_Master产品维护'!$A$2:$L992,12,FALSE),""))</f>
        <v/>
      </c>
      <c r="AB853" s="52" t="str">
        <f t="shared" si="11"/>
        <v/>
      </c>
      <c r="AC853" s="52">
        <f t="shared" si="12"/>
        <v>0</v>
      </c>
    </row>
    <row r="854" ht="15.75" customHeight="1">
      <c r="A854" s="171"/>
      <c r="B854" s="171"/>
      <c r="C854" s="53"/>
      <c r="D854" s="53"/>
      <c r="E854" s="53"/>
      <c r="F854" s="53"/>
      <c r="G854" s="53"/>
      <c r="H854" s="52" t="str">
        <f>IF(G854="","",IFERROR(VLOOKUP(G854,'Product_Stock_Master产品维护'!$A$2:$E992,2,FALSE()),"SKU not found"))</f>
        <v/>
      </c>
      <c r="I854" s="52" t="str">
        <f>IF(G854="","",IFERROR(VLOOKUP(G854,'Product_Stock_Master产品维护'!$A$2:$E992,3,FALSE()),"Item type not found"))</f>
        <v/>
      </c>
      <c r="J854" s="53"/>
      <c r="K854" s="53"/>
      <c r="L854" s="53"/>
      <c r="M854" s="53"/>
      <c r="N854" s="53"/>
      <c r="O854" s="52" t="str">
        <f t="shared" si="1"/>
        <v/>
      </c>
      <c r="P854" s="53"/>
      <c r="Q854" s="52" t="str">
        <f t="shared" si="9"/>
        <v/>
      </c>
      <c r="R854" s="52" t="str">
        <f t="shared" si="3"/>
        <v/>
      </c>
      <c r="S854" s="52" t="str">
        <f t="shared" si="10"/>
        <v/>
      </c>
      <c r="T854" s="52" t="str">
        <f t="shared" si="5"/>
        <v/>
      </c>
      <c r="U854" s="52"/>
      <c r="V854" s="53"/>
      <c r="W854" s="52" t="str">
        <f t="shared" si="6"/>
        <v/>
      </c>
      <c r="X854" s="52">
        <f t="shared" si="7"/>
        <v>0</v>
      </c>
      <c r="Y854" s="52">
        <f t="shared" si="8"/>
        <v>0</v>
      </c>
      <c r="Z854" s="52" t="str">
        <f>IF(G854="","",IFERROR(VLOOKUP(G854,'Product_Stock_Master产品维护'!$A$2:$L992,11,FALSE),"No"))</f>
        <v/>
      </c>
      <c r="AA854" s="52" t="str">
        <f>IF(G854="","",IFERROR(VLOOKUP(G854,'Product_Stock_Master产品维护'!$A$2:$L992,12,FALSE),""))</f>
        <v/>
      </c>
      <c r="AB854" s="52" t="str">
        <f t="shared" si="11"/>
        <v/>
      </c>
      <c r="AC854" s="52">
        <f t="shared" si="12"/>
        <v>0</v>
      </c>
    </row>
    <row r="855" ht="15.75" customHeight="1">
      <c r="A855" s="171"/>
      <c r="B855" s="171"/>
      <c r="C855" s="53"/>
      <c r="D855" s="53"/>
      <c r="E855" s="53"/>
      <c r="F855" s="53"/>
      <c r="G855" s="53"/>
      <c r="H855" s="52" t="str">
        <f>IF(G855="","",IFERROR(VLOOKUP(G855,'Product_Stock_Master产品维护'!$A$2:$E992,2,FALSE()),"SKU not found"))</f>
        <v/>
      </c>
      <c r="I855" s="52" t="str">
        <f>IF(G855="","",IFERROR(VLOOKUP(G855,'Product_Stock_Master产品维护'!$A$2:$E992,3,FALSE()),"Item type not found"))</f>
        <v/>
      </c>
      <c r="J855" s="53"/>
      <c r="K855" s="53"/>
      <c r="L855" s="53"/>
      <c r="M855" s="53"/>
      <c r="N855" s="53"/>
      <c r="O855" s="52" t="str">
        <f t="shared" si="1"/>
        <v/>
      </c>
      <c r="P855" s="53"/>
      <c r="Q855" s="52" t="str">
        <f t="shared" si="9"/>
        <v/>
      </c>
      <c r="R855" s="52" t="str">
        <f t="shared" si="3"/>
        <v/>
      </c>
      <c r="S855" s="52" t="str">
        <f t="shared" si="10"/>
        <v/>
      </c>
      <c r="T855" s="52" t="str">
        <f t="shared" si="5"/>
        <v/>
      </c>
      <c r="U855" s="52"/>
      <c r="V855" s="53"/>
      <c r="W855" s="52" t="str">
        <f t="shared" si="6"/>
        <v/>
      </c>
      <c r="X855" s="52">
        <f t="shared" si="7"/>
        <v>0</v>
      </c>
      <c r="Y855" s="52">
        <f t="shared" si="8"/>
        <v>0</v>
      </c>
      <c r="Z855" s="52" t="str">
        <f>IF(G855="","",IFERROR(VLOOKUP(G855,'Product_Stock_Master产品维护'!$A$2:$L992,11,FALSE),"No"))</f>
        <v/>
      </c>
      <c r="AA855" s="52" t="str">
        <f>IF(G855="","",IFERROR(VLOOKUP(G855,'Product_Stock_Master产品维护'!$A$2:$L992,12,FALSE),""))</f>
        <v/>
      </c>
      <c r="AB855" s="52" t="str">
        <f t="shared" si="11"/>
        <v/>
      </c>
      <c r="AC855" s="52">
        <f t="shared" si="12"/>
        <v>0</v>
      </c>
    </row>
    <row r="856" ht="15.75" customHeight="1">
      <c r="A856" s="171"/>
      <c r="B856" s="171"/>
      <c r="C856" s="53"/>
      <c r="D856" s="53"/>
      <c r="E856" s="53"/>
      <c r="F856" s="53"/>
      <c r="G856" s="53"/>
      <c r="H856" s="52" t="str">
        <f>IF(G856="","",IFERROR(VLOOKUP(G856,'Product_Stock_Master产品维护'!$A$2:$E992,2,FALSE()),"SKU not found"))</f>
        <v/>
      </c>
      <c r="I856" s="52" t="str">
        <f>IF(G856="","",IFERROR(VLOOKUP(G856,'Product_Stock_Master产品维护'!$A$2:$E992,3,FALSE()),"Item type not found"))</f>
        <v/>
      </c>
      <c r="J856" s="53"/>
      <c r="K856" s="53"/>
      <c r="L856" s="53"/>
      <c r="M856" s="53"/>
      <c r="N856" s="53"/>
      <c r="O856" s="52" t="str">
        <f t="shared" si="1"/>
        <v/>
      </c>
      <c r="P856" s="53"/>
      <c r="Q856" s="52" t="str">
        <f t="shared" si="9"/>
        <v/>
      </c>
      <c r="R856" s="52" t="str">
        <f t="shared" si="3"/>
        <v/>
      </c>
      <c r="S856" s="52" t="str">
        <f t="shared" si="10"/>
        <v/>
      </c>
      <c r="T856" s="52" t="str">
        <f t="shared" si="5"/>
        <v/>
      </c>
      <c r="U856" s="52"/>
      <c r="V856" s="53"/>
      <c r="W856" s="52" t="str">
        <f t="shared" si="6"/>
        <v/>
      </c>
      <c r="X856" s="52">
        <f t="shared" si="7"/>
        <v>0</v>
      </c>
      <c r="Y856" s="52">
        <f t="shared" si="8"/>
        <v>0</v>
      </c>
      <c r="Z856" s="52" t="str">
        <f>IF(G856="","",IFERROR(VLOOKUP(G856,'Product_Stock_Master产品维护'!$A$2:$L992,11,FALSE),"No"))</f>
        <v/>
      </c>
      <c r="AA856" s="52" t="str">
        <f>IF(G856="","",IFERROR(VLOOKUP(G856,'Product_Stock_Master产品维护'!$A$2:$L992,12,FALSE),""))</f>
        <v/>
      </c>
      <c r="AB856" s="52" t="str">
        <f t="shared" si="11"/>
        <v/>
      </c>
      <c r="AC856" s="52">
        <f t="shared" si="12"/>
        <v>0</v>
      </c>
    </row>
    <row r="857" ht="15.75" customHeight="1">
      <c r="A857" s="171"/>
      <c r="B857" s="171"/>
      <c r="C857" s="53"/>
      <c r="D857" s="53"/>
      <c r="E857" s="53"/>
      <c r="F857" s="53"/>
      <c r="G857" s="53"/>
      <c r="H857" s="52" t="str">
        <f>IF(G857="","",IFERROR(VLOOKUP(G857,'Product_Stock_Master产品维护'!$A$2:$E992,2,FALSE()),"SKU not found"))</f>
        <v/>
      </c>
      <c r="I857" s="52" t="str">
        <f>IF(G857="","",IFERROR(VLOOKUP(G857,'Product_Stock_Master产品维护'!$A$2:$E992,3,FALSE()),"Item type not found"))</f>
        <v/>
      </c>
      <c r="J857" s="53"/>
      <c r="K857" s="53"/>
      <c r="L857" s="53"/>
      <c r="M857" s="53"/>
      <c r="N857" s="53"/>
      <c r="O857" s="52" t="str">
        <f t="shared" si="1"/>
        <v/>
      </c>
      <c r="P857" s="53"/>
      <c r="Q857" s="52" t="str">
        <f t="shared" si="9"/>
        <v/>
      </c>
      <c r="R857" s="52" t="str">
        <f t="shared" si="3"/>
        <v/>
      </c>
      <c r="S857" s="52" t="str">
        <f t="shared" si="10"/>
        <v/>
      </c>
      <c r="T857" s="52" t="str">
        <f t="shared" si="5"/>
        <v/>
      </c>
      <c r="U857" s="52"/>
      <c r="V857" s="53"/>
      <c r="W857" s="52" t="str">
        <f t="shared" si="6"/>
        <v/>
      </c>
      <c r="X857" s="52">
        <f t="shared" si="7"/>
        <v>0</v>
      </c>
      <c r="Y857" s="52">
        <f t="shared" si="8"/>
        <v>0</v>
      </c>
      <c r="Z857" s="52" t="str">
        <f>IF(G857="","",IFERROR(VLOOKUP(G857,'Product_Stock_Master产品维护'!$A$2:$L992,11,FALSE),"No"))</f>
        <v/>
      </c>
      <c r="AA857" s="52" t="str">
        <f>IF(G857="","",IFERROR(VLOOKUP(G857,'Product_Stock_Master产品维护'!$A$2:$L992,12,FALSE),""))</f>
        <v/>
      </c>
      <c r="AB857" s="52" t="str">
        <f t="shared" si="11"/>
        <v/>
      </c>
      <c r="AC857" s="52">
        <f t="shared" si="12"/>
        <v>0</v>
      </c>
    </row>
    <row r="858" ht="15.75" customHeight="1">
      <c r="A858" s="171"/>
      <c r="B858" s="171"/>
      <c r="C858" s="53"/>
      <c r="D858" s="53"/>
      <c r="E858" s="53"/>
      <c r="F858" s="53"/>
      <c r="G858" s="53"/>
      <c r="H858" s="52" t="str">
        <f>IF(G858="","",IFERROR(VLOOKUP(G858,'Product_Stock_Master产品维护'!$A$2:$E992,2,FALSE()),"SKU not found"))</f>
        <v/>
      </c>
      <c r="I858" s="52" t="str">
        <f>IF(G858="","",IFERROR(VLOOKUP(G858,'Product_Stock_Master产品维护'!$A$2:$E992,3,FALSE()),"Item type not found"))</f>
        <v/>
      </c>
      <c r="J858" s="53"/>
      <c r="K858" s="53"/>
      <c r="L858" s="53"/>
      <c r="M858" s="53"/>
      <c r="N858" s="53"/>
      <c r="O858" s="52" t="str">
        <f t="shared" si="1"/>
        <v/>
      </c>
      <c r="P858" s="53"/>
      <c r="Q858" s="52" t="str">
        <f t="shared" si="9"/>
        <v/>
      </c>
      <c r="R858" s="52" t="str">
        <f t="shared" si="3"/>
        <v/>
      </c>
      <c r="S858" s="52" t="str">
        <f t="shared" si="10"/>
        <v/>
      </c>
      <c r="T858" s="52" t="str">
        <f t="shared" si="5"/>
        <v/>
      </c>
      <c r="U858" s="52"/>
      <c r="V858" s="53"/>
      <c r="W858" s="52" t="str">
        <f t="shared" si="6"/>
        <v/>
      </c>
      <c r="X858" s="52">
        <f t="shared" si="7"/>
        <v>0</v>
      </c>
      <c r="Y858" s="52">
        <f t="shared" si="8"/>
        <v>0</v>
      </c>
      <c r="Z858" s="52" t="str">
        <f>IF(G858="","",IFERROR(VLOOKUP(G858,'Product_Stock_Master产品维护'!$A$2:$L992,11,FALSE),"No"))</f>
        <v/>
      </c>
      <c r="AA858" s="52" t="str">
        <f>IF(G858="","",IFERROR(VLOOKUP(G858,'Product_Stock_Master产品维护'!$A$2:$L992,12,FALSE),""))</f>
        <v/>
      </c>
      <c r="AB858" s="52" t="str">
        <f t="shared" si="11"/>
        <v/>
      </c>
      <c r="AC858" s="52">
        <f t="shared" si="12"/>
        <v>0</v>
      </c>
    </row>
    <row r="859" ht="15.75" customHeight="1">
      <c r="A859" s="171"/>
      <c r="B859" s="171"/>
      <c r="C859" s="53"/>
      <c r="D859" s="53"/>
      <c r="E859" s="53"/>
      <c r="F859" s="53"/>
      <c r="G859" s="53"/>
      <c r="H859" s="52" t="str">
        <f>IF(G859="","",IFERROR(VLOOKUP(G859,'Product_Stock_Master产品维护'!$A$2:$E992,2,FALSE()),"SKU not found"))</f>
        <v/>
      </c>
      <c r="I859" s="52" t="str">
        <f>IF(G859="","",IFERROR(VLOOKUP(G859,'Product_Stock_Master产品维护'!$A$2:$E992,3,FALSE()),"Item type not found"))</f>
        <v/>
      </c>
      <c r="J859" s="53"/>
      <c r="K859" s="53"/>
      <c r="L859" s="53"/>
      <c r="M859" s="53"/>
      <c r="N859" s="53"/>
      <c r="O859" s="52" t="str">
        <f t="shared" si="1"/>
        <v/>
      </c>
      <c r="P859" s="53"/>
      <c r="Q859" s="52" t="str">
        <f t="shared" si="9"/>
        <v/>
      </c>
      <c r="R859" s="52" t="str">
        <f t="shared" si="3"/>
        <v/>
      </c>
      <c r="S859" s="52" t="str">
        <f t="shared" si="10"/>
        <v/>
      </c>
      <c r="T859" s="52" t="str">
        <f t="shared" si="5"/>
        <v/>
      </c>
      <c r="U859" s="52"/>
      <c r="V859" s="53"/>
      <c r="W859" s="52" t="str">
        <f t="shared" si="6"/>
        <v/>
      </c>
      <c r="X859" s="52">
        <f t="shared" si="7"/>
        <v>0</v>
      </c>
      <c r="Y859" s="52">
        <f t="shared" si="8"/>
        <v>0</v>
      </c>
      <c r="Z859" s="52" t="str">
        <f>IF(G859="","",IFERROR(VLOOKUP(G859,'Product_Stock_Master产品维护'!$A$2:$L992,11,FALSE),"No"))</f>
        <v/>
      </c>
      <c r="AA859" s="52" t="str">
        <f>IF(G859="","",IFERROR(VLOOKUP(G859,'Product_Stock_Master产品维护'!$A$2:$L992,12,FALSE),""))</f>
        <v/>
      </c>
      <c r="AB859" s="52" t="str">
        <f t="shared" si="11"/>
        <v/>
      </c>
      <c r="AC859" s="52">
        <f t="shared" si="12"/>
        <v>0</v>
      </c>
    </row>
    <row r="860" ht="15.75" customHeight="1">
      <c r="A860" s="171"/>
      <c r="B860" s="171"/>
      <c r="C860" s="53"/>
      <c r="D860" s="53"/>
      <c r="E860" s="53"/>
      <c r="F860" s="53"/>
      <c r="G860" s="53"/>
      <c r="H860" s="52" t="str">
        <f>IF(G860="","",IFERROR(VLOOKUP(G860,'Product_Stock_Master产品维护'!$A$2:$E992,2,FALSE()),"SKU not found"))</f>
        <v/>
      </c>
      <c r="I860" s="52" t="str">
        <f>IF(G860="","",IFERROR(VLOOKUP(G860,'Product_Stock_Master产品维护'!$A$2:$E992,3,FALSE()),"Item type not found"))</f>
        <v/>
      </c>
      <c r="J860" s="53"/>
      <c r="K860" s="53"/>
      <c r="L860" s="53"/>
      <c r="M860" s="53"/>
      <c r="N860" s="53"/>
      <c r="O860" s="52" t="str">
        <f t="shared" si="1"/>
        <v/>
      </c>
      <c r="P860" s="53"/>
      <c r="Q860" s="52" t="str">
        <f t="shared" si="9"/>
        <v/>
      </c>
      <c r="R860" s="52" t="str">
        <f t="shared" si="3"/>
        <v/>
      </c>
      <c r="S860" s="52" t="str">
        <f t="shared" si="10"/>
        <v/>
      </c>
      <c r="T860" s="52" t="str">
        <f t="shared" si="5"/>
        <v/>
      </c>
      <c r="U860" s="52"/>
      <c r="V860" s="53"/>
      <c r="W860" s="52" t="str">
        <f t="shared" si="6"/>
        <v/>
      </c>
      <c r="X860" s="52">
        <f t="shared" si="7"/>
        <v>0</v>
      </c>
      <c r="Y860" s="52">
        <f t="shared" si="8"/>
        <v>0</v>
      </c>
      <c r="Z860" s="52" t="str">
        <f>IF(G860="","",IFERROR(VLOOKUP(G860,'Product_Stock_Master产品维护'!$A$2:$L992,11,FALSE),"No"))</f>
        <v/>
      </c>
      <c r="AA860" s="52" t="str">
        <f>IF(G860="","",IFERROR(VLOOKUP(G860,'Product_Stock_Master产品维护'!$A$2:$L992,12,FALSE),""))</f>
        <v/>
      </c>
      <c r="AB860" s="52" t="str">
        <f t="shared" si="11"/>
        <v/>
      </c>
      <c r="AC860" s="52">
        <f t="shared" si="12"/>
        <v>0</v>
      </c>
    </row>
    <row r="861" ht="15.75" customHeight="1">
      <c r="A861" s="171"/>
      <c r="B861" s="171"/>
      <c r="C861" s="53"/>
      <c r="D861" s="53"/>
      <c r="E861" s="53"/>
      <c r="F861" s="53"/>
      <c r="G861" s="53"/>
      <c r="H861" s="52" t="str">
        <f>IF(G861="","",IFERROR(VLOOKUP(G861,'Product_Stock_Master产品维护'!$A$2:$E992,2,FALSE()),"SKU not found"))</f>
        <v/>
      </c>
      <c r="I861" s="52" t="str">
        <f>IF(G861="","",IFERROR(VLOOKUP(G861,'Product_Stock_Master产品维护'!$A$2:$E992,3,FALSE()),"Item type not found"))</f>
        <v/>
      </c>
      <c r="J861" s="53"/>
      <c r="K861" s="53"/>
      <c r="L861" s="53"/>
      <c r="M861" s="53"/>
      <c r="N861" s="53"/>
      <c r="O861" s="52" t="str">
        <f t="shared" si="1"/>
        <v/>
      </c>
      <c r="P861" s="53"/>
      <c r="Q861" s="52" t="str">
        <f t="shared" si="9"/>
        <v/>
      </c>
      <c r="R861" s="52" t="str">
        <f t="shared" si="3"/>
        <v/>
      </c>
      <c r="S861" s="52" t="str">
        <f t="shared" si="10"/>
        <v/>
      </c>
      <c r="T861" s="52" t="str">
        <f t="shared" si="5"/>
        <v/>
      </c>
      <c r="U861" s="52"/>
      <c r="V861" s="53"/>
      <c r="W861" s="52" t="str">
        <f t="shared" si="6"/>
        <v/>
      </c>
      <c r="X861" s="52">
        <f t="shared" si="7"/>
        <v>0</v>
      </c>
      <c r="Y861" s="52">
        <f t="shared" si="8"/>
        <v>0</v>
      </c>
      <c r="Z861" s="52" t="str">
        <f>IF(G861="","",IFERROR(VLOOKUP(G861,'Product_Stock_Master产品维护'!$A$2:$L992,11,FALSE),"No"))</f>
        <v/>
      </c>
      <c r="AA861" s="52" t="str">
        <f>IF(G861="","",IFERROR(VLOOKUP(G861,'Product_Stock_Master产品维护'!$A$2:$L992,12,FALSE),""))</f>
        <v/>
      </c>
      <c r="AB861" s="52" t="str">
        <f t="shared" si="11"/>
        <v/>
      </c>
      <c r="AC861" s="52">
        <f t="shared" si="12"/>
        <v>0</v>
      </c>
    </row>
    <row r="862" ht="15.75" customHeight="1">
      <c r="A862" s="171"/>
      <c r="B862" s="171"/>
      <c r="C862" s="53"/>
      <c r="D862" s="53"/>
      <c r="E862" s="53"/>
      <c r="F862" s="53"/>
      <c r="G862" s="53"/>
      <c r="H862" s="52" t="str">
        <f>IF(G862="","",IFERROR(VLOOKUP(G862,'Product_Stock_Master产品维护'!$A$2:$E992,2,FALSE()),"SKU not found"))</f>
        <v/>
      </c>
      <c r="I862" s="52" t="str">
        <f>IF(G862="","",IFERROR(VLOOKUP(G862,'Product_Stock_Master产品维护'!$A$2:$E992,3,FALSE()),"Item type not found"))</f>
        <v/>
      </c>
      <c r="J862" s="53"/>
      <c r="K862" s="53"/>
      <c r="L862" s="53"/>
      <c r="M862" s="53"/>
      <c r="N862" s="53"/>
      <c r="O862" s="52" t="str">
        <f t="shared" si="1"/>
        <v/>
      </c>
      <c r="P862" s="53"/>
      <c r="Q862" s="52" t="str">
        <f t="shared" si="9"/>
        <v/>
      </c>
      <c r="R862" s="52" t="str">
        <f t="shared" si="3"/>
        <v/>
      </c>
      <c r="S862" s="52" t="str">
        <f t="shared" si="10"/>
        <v/>
      </c>
      <c r="T862" s="52" t="str">
        <f t="shared" si="5"/>
        <v/>
      </c>
      <c r="U862" s="52"/>
      <c r="V862" s="53"/>
      <c r="W862" s="52" t="str">
        <f t="shared" si="6"/>
        <v/>
      </c>
      <c r="X862" s="52">
        <f t="shared" si="7"/>
        <v>0</v>
      </c>
      <c r="Y862" s="52">
        <f t="shared" si="8"/>
        <v>0</v>
      </c>
      <c r="Z862" s="52" t="str">
        <f>IF(G862="","",IFERROR(VLOOKUP(G862,'Product_Stock_Master产品维护'!$A$2:$L992,11,FALSE),"No"))</f>
        <v/>
      </c>
      <c r="AA862" s="52" t="str">
        <f>IF(G862="","",IFERROR(VLOOKUP(G862,'Product_Stock_Master产品维护'!$A$2:$L992,12,FALSE),""))</f>
        <v/>
      </c>
      <c r="AB862" s="52" t="str">
        <f t="shared" si="11"/>
        <v/>
      </c>
      <c r="AC862" s="52">
        <f t="shared" si="12"/>
        <v>0</v>
      </c>
    </row>
    <row r="863" ht="15.75" customHeight="1">
      <c r="A863" s="171"/>
      <c r="B863" s="171"/>
      <c r="C863" s="53"/>
      <c r="D863" s="53"/>
      <c r="E863" s="53"/>
      <c r="F863" s="53"/>
      <c r="G863" s="53"/>
      <c r="H863" s="52" t="str">
        <f>IF(G863="","",IFERROR(VLOOKUP(G863,'Product_Stock_Master产品维护'!$A$2:$E992,2,FALSE()),"SKU not found"))</f>
        <v/>
      </c>
      <c r="I863" s="52" t="str">
        <f>IF(G863="","",IFERROR(VLOOKUP(G863,'Product_Stock_Master产品维护'!$A$2:$E992,3,FALSE()),"Item type not found"))</f>
        <v/>
      </c>
      <c r="J863" s="53"/>
      <c r="K863" s="53"/>
      <c r="L863" s="53"/>
      <c r="M863" s="53"/>
      <c r="N863" s="53"/>
      <c r="O863" s="52" t="str">
        <f t="shared" si="1"/>
        <v/>
      </c>
      <c r="P863" s="53"/>
      <c r="Q863" s="52" t="str">
        <f t="shared" si="9"/>
        <v/>
      </c>
      <c r="R863" s="52" t="str">
        <f t="shared" si="3"/>
        <v/>
      </c>
      <c r="S863" s="52" t="str">
        <f t="shared" si="10"/>
        <v/>
      </c>
      <c r="T863" s="52" t="str">
        <f t="shared" si="5"/>
        <v/>
      </c>
      <c r="U863" s="52"/>
      <c r="V863" s="53"/>
      <c r="W863" s="52" t="str">
        <f t="shared" si="6"/>
        <v/>
      </c>
      <c r="X863" s="52">
        <f t="shared" si="7"/>
        <v>0</v>
      </c>
      <c r="Y863" s="52">
        <f t="shared" si="8"/>
        <v>0</v>
      </c>
      <c r="Z863" s="52" t="str">
        <f>IF(G863="","",IFERROR(VLOOKUP(G863,'Product_Stock_Master产品维护'!$A$2:$L992,11,FALSE),"No"))</f>
        <v/>
      </c>
      <c r="AA863" s="52" t="str">
        <f>IF(G863="","",IFERROR(VLOOKUP(G863,'Product_Stock_Master产品维护'!$A$2:$L992,12,FALSE),""))</f>
        <v/>
      </c>
      <c r="AB863" s="52" t="str">
        <f t="shared" si="11"/>
        <v/>
      </c>
      <c r="AC863" s="52">
        <f t="shared" si="12"/>
        <v>0</v>
      </c>
    </row>
    <row r="864" ht="15.75" customHeight="1">
      <c r="A864" s="171"/>
      <c r="B864" s="171"/>
      <c r="C864" s="53"/>
      <c r="D864" s="53"/>
      <c r="E864" s="53"/>
      <c r="F864" s="53"/>
      <c r="G864" s="53"/>
      <c r="H864" s="52" t="str">
        <f>IF(G864="","",IFERROR(VLOOKUP(G864,'Product_Stock_Master产品维护'!$A$2:$E992,2,FALSE()),"SKU not found"))</f>
        <v/>
      </c>
      <c r="I864" s="52" t="str">
        <f>IF(G864="","",IFERROR(VLOOKUP(G864,'Product_Stock_Master产品维护'!$A$2:$E992,3,FALSE()),"Item type not found"))</f>
        <v/>
      </c>
      <c r="J864" s="53"/>
      <c r="K864" s="53"/>
      <c r="L864" s="53"/>
      <c r="M864" s="53"/>
      <c r="N864" s="53"/>
      <c r="O864" s="52" t="str">
        <f t="shared" si="1"/>
        <v/>
      </c>
      <c r="P864" s="53"/>
      <c r="Q864" s="52" t="str">
        <f t="shared" si="9"/>
        <v/>
      </c>
      <c r="R864" s="52" t="str">
        <f t="shared" si="3"/>
        <v/>
      </c>
      <c r="S864" s="52" t="str">
        <f t="shared" si="10"/>
        <v/>
      </c>
      <c r="T864" s="52" t="str">
        <f t="shared" si="5"/>
        <v/>
      </c>
      <c r="U864" s="52"/>
      <c r="V864" s="53"/>
      <c r="W864" s="52" t="str">
        <f t="shared" si="6"/>
        <v/>
      </c>
      <c r="X864" s="52">
        <f t="shared" si="7"/>
        <v>0</v>
      </c>
      <c r="Y864" s="52">
        <f t="shared" si="8"/>
        <v>0</v>
      </c>
      <c r="Z864" s="52" t="str">
        <f>IF(G864="","",IFERROR(VLOOKUP(G864,'Product_Stock_Master产品维护'!$A$2:$L992,11,FALSE),"No"))</f>
        <v/>
      </c>
      <c r="AA864" s="52" t="str">
        <f>IF(G864="","",IFERROR(VLOOKUP(G864,'Product_Stock_Master产品维护'!$A$2:$L992,12,FALSE),""))</f>
        <v/>
      </c>
      <c r="AB864" s="52" t="str">
        <f t="shared" si="11"/>
        <v/>
      </c>
      <c r="AC864" s="52">
        <f t="shared" si="12"/>
        <v>0</v>
      </c>
    </row>
    <row r="865" ht="15.75" customHeight="1">
      <c r="A865" s="171"/>
      <c r="B865" s="171"/>
      <c r="C865" s="53"/>
      <c r="D865" s="53"/>
      <c r="E865" s="53"/>
      <c r="F865" s="53"/>
      <c r="G865" s="53"/>
      <c r="H865" s="52" t="str">
        <f>IF(G865="","",IFERROR(VLOOKUP(G865,'Product_Stock_Master产品维护'!$A$2:$E992,2,FALSE()),"SKU not found"))</f>
        <v/>
      </c>
      <c r="I865" s="52" t="str">
        <f>IF(G865="","",IFERROR(VLOOKUP(G865,'Product_Stock_Master产品维护'!$A$2:$E992,3,FALSE()),"Item type not found"))</f>
        <v/>
      </c>
      <c r="J865" s="53"/>
      <c r="K865" s="53"/>
      <c r="L865" s="53"/>
      <c r="M865" s="53"/>
      <c r="N865" s="53"/>
      <c r="O865" s="52" t="str">
        <f t="shared" si="1"/>
        <v/>
      </c>
      <c r="P865" s="53"/>
      <c r="Q865" s="52" t="str">
        <f t="shared" si="9"/>
        <v/>
      </c>
      <c r="R865" s="52" t="str">
        <f t="shared" si="3"/>
        <v/>
      </c>
      <c r="S865" s="52" t="str">
        <f t="shared" si="10"/>
        <v/>
      </c>
      <c r="T865" s="52" t="str">
        <f t="shared" si="5"/>
        <v/>
      </c>
      <c r="U865" s="52"/>
      <c r="V865" s="53"/>
      <c r="W865" s="52" t="str">
        <f t="shared" si="6"/>
        <v/>
      </c>
      <c r="X865" s="52">
        <f t="shared" si="7"/>
        <v>0</v>
      </c>
      <c r="Y865" s="52">
        <f t="shared" si="8"/>
        <v>0</v>
      </c>
      <c r="Z865" s="52" t="str">
        <f>IF(G865="","",IFERROR(VLOOKUP(G865,'Product_Stock_Master产品维护'!$A$2:$L992,11,FALSE),"No"))</f>
        <v/>
      </c>
      <c r="AA865" s="52" t="str">
        <f>IF(G865="","",IFERROR(VLOOKUP(G865,'Product_Stock_Master产品维护'!$A$2:$L992,12,FALSE),""))</f>
        <v/>
      </c>
      <c r="AB865" s="52" t="str">
        <f t="shared" si="11"/>
        <v/>
      </c>
      <c r="AC865" s="52">
        <f t="shared" si="12"/>
        <v>0</v>
      </c>
    </row>
    <row r="866" ht="15.75" customHeight="1">
      <c r="A866" s="171"/>
      <c r="B866" s="171"/>
      <c r="C866" s="53"/>
      <c r="D866" s="53"/>
      <c r="E866" s="53"/>
      <c r="F866" s="53"/>
      <c r="G866" s="53"/>
      <c r="H866" s="52" t="str">
        <f>IF(G866="","",IFERROR(VLOOKUP(G866,'Product_Stock_Master产品维护'!$A$2:$E992,2,FALSE()),"SKU not found"))</f>
        <v/>
      </c>
      <c r="I866" s="52" t="str">
        <f>IF(G866="","",IFERROR(VLOOKUP(G866,'Product_Stock_Master产品维护'!$A$2:$E992,3,FALSE()),"Item type not found"))</f>
        <v/>
      </c>
      <c r="J866" s="53"/>
      <c r="K866" s="53"/>
      <c r="L866" s="53"/>
      <c r="M866" s="53"/>
      <c r="N866" s="53"/>
      <c r="O866" s="52" t="str">
        <f t="shared" si="1"/>
        <v/>
      </c>
      <c r="P866" s="53"/>
      <c r="Q866" s="52" t="str">
        <f t="shared" si="9"/>
        <v/>
      </c>
      <c r="R866" s="52" t="str">
        <f t="shared" si="3"/>
        <v/>
      </c>
      <c r="S866" s="52" t="str">
        <f t="shared" si="10"/>
        <v/>
      </c>
      <c r="T866" s="52" t="str">
        <f t="shared" si="5"/>
        <v/>
      </c>
      <c r="U866" s="52"/>
      <c r="V866" s="53"/>
      <c r="W866" s="52" t="str">
        <f t="shared" si="6"/>
        <v/>
      </c>
      <c r="X866" s="52">
        <f t="shared" si="7"/>
        <v>0</v>
      </c>
      <c r="Y866" s="52">
        <f t="shared" si="8"/>
        <v>0</v>
      </c>
      <c r="Z866" s="52" t="str">
        <f>IF(G866="","",IFERROR(VLOOKUP(G866,'Product_Stock_Master产品维护'!$A$2:$L992,11,FALSE),"No"))</f>
        <v/>
      </c>
      <c r="AA866" s="52" t="str">
        <f>IF(G866="","",IFERROR(VLOOKUP(G866,'Product_Stock_Master产品维护'!$A$2:$L992,12,FALSE),""))</f>
        <v/>
      </c>
      <c r="AB866" s="52" t="str">
        <f t="shared" si="11"/>
        <v/>
      </c>
      <c r="AC866" s="52">
        <f t="shared" si="12"/>
        <v>0</v>
      </c>
    </row>
    <row r="867" ht="15.75" customHeight="1">
      <c r="A867" s="171"/>
      <c r="B867" s="171"/>
      <c r="C867" s="53"/>
      <c r="D867" s="53"/>
      <c r="E867" s="53"/>
      <c r="F867" s="53"/>
      <c r="G867" s="53"/>
      <c r="H867" s="52" t="str">
        <f>IF(G867="","",IFERROR(VLOOKUP(G867,'Product_Stock_Master产品维护'!$A$2:$E992,2,FALSE()),"SKU not found"))</f>
        <v/>
      </c>
      <c r="I867" s="52" t="str">
        <f>IF(G867="","",IFERROR(VLOOKUP(G867,'Product_Stock_Master产品维护'!$A$2:$E992,3,FALSE()),"Item type not found"))</f>
        <v/>
      </c>
      <c r="J867" s="53"/>
      <c r="K867" s="53"/>
      <c r="L867" s="53"/>
      <c r="M867" s="53"/>
      <c r="N867" s="53"/>
      <c r="O867" s="52" t="str">
        <f t="shared" si="1"/>
        <v/>
      </c>
      <c r="P867" s="53"/>
      <c r="Q867" s="52" t="str">
        <f t="shared" si="9"/>
        <v/>
      </c>
      <c r="R867" s="52" t="str">
        <f t="shared" si="3"/>
        <v/>
      </c>
      <c r="S867" s="52" t="str">
        <f t="shared" si="10"/>
        <v/>
      </c>
      <c r="T867" s="52" t="str">
        <f t="shared" si="5"/>
        <v/>
      </c>
      <c r="U867" s="52"/>
      <c r="V867" s="53"/>
      <c r="W867" s="52" t="str">
        <f t="shared" si="6"/>
        <v/>
      </c>
      <c r="X867" s="52">
        <f t="shared" si="7"/>
        <v>0</v>
      </c>
      <c r="Y867" s="52">
        <f t="shared" si="8"/>
        <v>0</v>
      </c>
      <c r="Z867" s="52" t="str">
        <f>IF(G867="","",IFERROR(VLOOKUP(G867,'Product_Stock_Master产品维护'!$A$2:$L992,11,FALSE),"No"))</f>
        <v/>
      </c>
      <c r="AA867" s="52" t="str">
        <f>IF(G867="","",IFERROR(VLOOKUP(G867,'Product_Stock_Master产品维护'!$A$2:$L992,12,FALSE),""))</f>
        <v/>
      </c>
      <c r="AB867" s="52" t="str">
        <f t="shared" si="11"/>
        <v/>
      </c>
      <c r="AC867" s="52">
        <f t="shared" si="12"/>
        <v>0</v>
      </c>
    </row>
    <row r="868" ht="15.75" customHeight="1">
      <c r="A868" s="171"/>
      <c r="B868" s="171"/>
      <c r="C868" s="53"/>
      <c r="D868" s="53"/>
      <c r="E868" s="53"/>
      <c r="F868" s="53"/>
      <c r="G868" s="53"/>
      <c r="H868" s="52" t="str">
        <f>IF(G868="","",IFERROR(VLOOKUP(G868,'Product_Stock_Master产品维护'!$A$2:$E992,2,FALSE()),"SKU not found"))</f>
        <v/>
      </c>
      <c r="I868" s="52" t="str">
        <f>IF(G868="","",IFERROR(VLOOKUP(G868,'Product_Stock_Master产品维护'!$A$2:$E992,3,FALSE()),"Item type not found"))</f>
        <v/>
      </c>
      <c r="J868" s="53"/>
      <c r="K868" s="53"/>
      <c r="L868" s="53"/>
      <c r="M868" s="53"/>
      <c r="N868" s="53"/>
      <c r="O868" s="52" t="str">
        <f t="shared" si="1"/>
        <v/>
      </c>
      <c r="P868" s="53"/>
      <c r="Q868" s="52" t="str">
        <f t="shared" si="9"/>
        <v/>
      </c>
      <c r="R868" s="52" t="str">
        <f t="shared" si="3"/>
        <v/>
      </c>
      <c r="S868" s="52" t="str">
        <f t="shared" si="10"/>
        <v/>
      </c>
      <c r="T868" s="52" t="str">
        <f t="shared" si="5"/>
        <v/>
      </c>
      <c r="U868" s="52"/>
      <c r="V868" s="53"/>
      <c r="W868" s="52" t="str">
        <f t="shared" si="6"/>
        <v/>
      </c>
      <c r="X868" s="52">
        <f t="shared" si="7"/>
        <v>0</v>
      </c>
      <c r="Y868" s="52">
        <f t="shared" si="8"/>
        <v>0</v>
      </c>
      <c r="Z868" s="52" t="str">
        <f>IF(G868="","",IFERROR(VLOOKUP(G868,'Product_Stock_Master产品维护'!$A$2:$L992,11,FALSE),"No"))</f>
        <v/>
      </c>
      <c r="AA868" s="52" t="str">
        <f>IF(G868="","",IFERROR(VLOOKUP(G868,'Product_Stock_Master产品维护'!$A$2:$L992,12,FALSE),""))</f>
        <v/>
      </c>
      <c r="AB868" s="52" t="str">
        <f t="shared" si="11"/>
        <v/>
      </c>
      <c r="AC868" s="52">
        <f t="shared" si="12"/>
        <v>0</v>
      </c>
    </row>
    <row r="869" ht="15.75" customHeight="1">
      <c r="A869" s="171"/>
      <c r="B869" s="171"/>
      <c r="C869" s="53"/>
      <c r="D869" s="53"/>
      <c r="E869" s="53"/>
      <c r="F869" s="53"/>
      <c r="G869" s="53"/>
      <c r="H869" s="52" t="str">
        <f>IF(G869="","",IFERROR(VLOOKUP(G869,'Product_Stock_Master产品维护'!$A$2:$E992,2,FALSE()),"SKU not found"))</f>
        <v/>
      </c>
      <c r="I869" s="52" t="str">
        <f>IF(G869="","",IFERROR(VLOOKUP(G869,'Product_Stock_Master产品维护'!$A$2:$E992,3,FALSE()),"Item type not found"))</f>
        <v/>
      </c>
      <c r="J869" s="53"/>
      <c r="K869" s="53"/>
      <c r="L869" s="53"/>
      <c r="M869" s="53"/>
      <c r="N869" s="53"/>
      <c r="O869" s="52" t="str">
        <f t="shared" si="1"/>
        <v/>
      </c>
      <c r="P869" s="53"/>
      <c r="Q869" s="52" t="str">
        <f t="shared" si="9"/>
        <v/>
      </c>
      <c r="R869" s="52" t="str">
        <f t="shared" si="3"/>
        <v/>
      </c>
      <c r="S869" s="52" t="str">
        <f t="shared" si="10"/>
        <v/>
      </c>
      <c r="T869" s="52" t="str">
        <f t="shared" si="5"/>
        <v/>
      </c>
      <c r="U869" s="52"/>
      <c r="V869" s="53"/>
      <c r="W869" s="52" t="str">
        <f t="shared" si="6"/>
        <v/>
      </c>
      <c r="X869" s="52">
        <f t="shared" si="7"/>
        <v>0</v>
      </c>
      <c r="Y869" s="52">
        <f t="shared" si="8"/>
        <v>0</v>
      </c>
      <c r="Z869" s="52" t="str">
        <f>IF(G869="","",IFERROR(VLOOKUP(G869,'Product_Stock_Master产品维护'!$A$2:$L992,11,FALSE),"No"))</f>
        <v/>
      </c>
      <c r="AA869" s="52" t="str">
        <f>IF(G869="","",IFERROR(VLOOKUP(G869,'Product_Stock_Master产品维护'!$A$2:$L992,12,FALSE),""))</f>
        <v/>
      </c>
      <c r="AB869" s="52" t="str">
        <f t="shared" si="11"/>
        <v/>
      </c>
      <c r="AC869" s="52">
        <f t="shared" si="12"/>
        <v>0</v>
      </c>
    </row>
    <row r="870" ht="15.75" customHeight="1">
      <c r="A870" s="171"/>
      <c r="B870" s="171"/>
      <c r="C870" s="53"/>
      <c r="D870" s="53"/>
      <c r="E870" s="53"/>
      <c r="F870" s="53"/>
      <c r="G870" s="53"/>
      <c r="H870" s="52" t="str">
        <f>IF(G870="","",IFERROR(VLOOKUP(G870,'Product_Stock_Master产品维护'!$A$2:$E992,2,FALSE()),"SKU not found"))</f>
        <v/>
      </c>
      <c r="I870" s="52" t="str">
        <f>IF(G870="","",IFERROR(VLOOKUP(G870,'Product_Stock_Master产品维护'!$A$2:$E992,3,FALSE()),"Item type not found"))</f>
        <v/>
      </c>
      <c r="J870" s="53"/>
      <c r="K870" s="53"/>
      <c r="L870" s="53"/>
      <c r="M870" s="53"/>
      <c r="N870" s="53"/>
      <c r="O870" s="52" t="str">
        <f t="shared" si="1"/>
        <v/>
      </c>
      <c r="P870" s="53"/>
      <c r="Q870" s="52" t="str">
        <f t="shared" si="9"/>
        <v/>
      </c>
      <c r="R870" s="52" t="str">
        <f t="shared" si="3"/>
        <v/>
      </c>
      <c r="S870" s="52" t="str">
        <f t="shared" si="10"/>
        <v/>
      </c>
      <c r="T870" s="52" t="str">
        <f t="shared" si="5"/>
        <v/>
      </c>
      <c r="U870" s="52"/>
      <c r="V870" s="53"/>
      <c r="W870" s="52" t="str">
        <f t="shared" si="6"/>
        <v/>
      </c>
      <c r="X870" s="52">
        <f t="shared" si="7"/>
        <v>0</v>
      </c>
      <c r="Y870" s="52">
        <f t="shared" si="8"/>
        <v>0</v>
      </c>
      <c r="Z870" s="52" t="str">
        <f>IF(G870="","",IFERROR(VLOOKUP(G870,'Product_Stock_Master产品维护'!$A$2:$L992,11,FALSE),"No"))</f>
        <v/>
      </c>
      <c r="AA870" s="52" t="str">
        <f>IF(G870="","",IFERROR(VLOOKUP(G870,'Product_Stock_Master产品维护'!$A$2:$L992,12,FALSE),""))</f>
        <v/>
      </c>
      <c r="AB870" s="52" t="str">
        <f t="shared" si="11"/>
        <v/>
      </c>
      <c r="AC870" s="52">
        <f t="shared" si="12"/>
        <v>0</v>
      </c>
    </row>
    <row r="871" ht="15.75" customHeight="1">
      <c r="A871" s="171"/>
      <c r="B871" s="171"/>
      <c r="C871" s="53"/>
      <c r="D871" s="53"/>
      <c r="E871" s="53"/>
      <c r="F871" s="53"/>
      <c r="G871" s="53"/>
      <c r="H871" s="52" t="str">
        <f>IF(G871="","",IFERROR(VLOOKUP(G871,'Product_Stock_Master产品维护'!$A$2:$E992,2,FALSE()),"SKU not found"))</f>
        <v/>
      </c>
      <c r="I871" s="52" t="str">
        <f>IF(G871="","",IFERROR(VLOOKUP(G871,'Product_Stock_Master产品维护'!$A$2:$E992,3,FALSE()),"Item type not found"))</f>
        <v/>
      </c>
      <c r="J871" s="53"/>
      <c r="K871" s="53"/>
      <c r="L871" s="53"/>
      <c r="M871" s="53"/>
      <c r="N871" s="53"/>
      <c r="O871" s="52" t="str">
        <f t="shared" si="1"/>
        <v/>
      </c>
      <c r="P871" s="53"/>
      <c r="Q871" s="52" t="str">
        <f t="shared" si="9"/>
        <v/>
      </c>
      <c r="R871" s="52" t="str">
        <f t="shared" si="3"/>
        <v/>
      </c>
      <c r="S871" s="52" t="str">
        <f t="shared" si="10"/>
        <v/>
      </c>
      <c r="T871" s="52" t="str">
        <f t="shared" si="5"/>
        <v/>
      </c>
      <c r="U871" s="52"/>
      <c r="V871" s="53"/>
      <c r="W871" s="52" t="str">
        <f t="shared" si="6"/>
        <v/>
      </c>
      <c r="X871" s="52">
        <f t="shared" si="7"/>
        <v>0</v>
      </c>
      <c r="Y871" s="52">
        <f t="shared" si="8"/>
        <v>0</v>
      </c>
      <c r="Z871" s="52" t="str">
        <f>IF(G871="","",IFERROR(VLOOKUP(G871,'Product_Stock_Master产品维护'!$A$2:$L992,11,FALSE),"No"))</f>
        <v/>
      </c>
      <c r="AA871" s="52" t="str">
        <f>IF(G871="","",IFERROR(VLOOKUP(G871,'Product_Stock_Master产品维护'!$A$2:$L992,12,FALSE),""))</f>
        <v/>
      </c>
      <c r="AB871" s="52" t="str">
        <f t="shared" si="11"/>
        <v/>
      </c>
      <c r="AC871" s="52">
        <f t="shared" si="12"/>
        <v>0</v>
      </c>
    </row>
    <row r="872" ht="15.75" customHeight="1">
      <c r="A872" s="171"/>
      <c r="B872" s="171"/>
      <c r="C872" s="53"/>
      <c r="D872" s="53"/>
      <c r="E872" s="53"/>
      <c r="F872" s="53"/>
      <c r="G872" s="53"/>
      <c r="H872" s="52" t="str">
        <f>IF(G872="","",IFERROR(VLOOKUP(G872,'Product_Stock_Master产品维护'!$A$2:$E992,2,FALSE()),"SKU not found"))</f>
        <v/>
      </c>
      <c r="I872" s="52" t="str">
        <f>IF(G872="","",IFERROR(VLOOKUP(G872,'Product_Stock_Master产品维护'!$A$2:$E992,3,FALSE()),"Item type not found"))</f>
        <v/>
      </c>
      <c r="J872" s="53"/>
      <c r="K872" s="53"/>
      <c r="L872" s="53"/>
      <c r="M872" s="53"/>
      <c r="N872" s="53"/>
      <c r="O872" s="52" t="str">
        <f t="shared" si="1"/>
        <v/>
      </c>
      <c r="P872" s="53"/>
      <c r="Q872" s="52" t="str">
        <f t="shared" si="9"/>
        <v/>
      </c>
      <c r="R872" s="52" t="str">
        <f t="shared" si="3"/>
        <v/>
      </c>
      <c r="S872" s="52" t="str">
        <f t="shared" si="10"/>
        <v/>
      </c>
      <c r="T872" s="52" t="str">
        <f t="shared" si="5"/>
        <v/>
      </c>
      <c r="U872" s="52"/>
      <c r="V872" s="53"/>
      <c r="W872" s="52" t="str">
        <f t="shared" si="6"/>
        <v/>
      </c>
      <c r="X872" s="52">
        <f t="shared" si="7"/>
        <v>0</v>
      </c>
      <c r="Y872" s="52">
        <f t="shared" si="8"/>
        <v>0</v>
      </c>
      <c r="Z872" s="52" t="str">
        <f>IF(G872="","",IFERROR(VLOOKUP(G872,'Product_Stock_Master产品维护'!$A$2:$L992,11,FALSE),"No"))</f>
        <v/>
      </c>
      <c r="AA872" s="52" t="str">
        <f>IF(G872="","",IFERROR(VLOOKUP(G872,'Product_Stock_Master产品维护'!$A$2:$L992,12,FALSE),""))</f>
        <v/>
      </c>
      <c r="AB872" s="52" t="str">
        <f t="shared" si="11"/>
        <v/>
      </c>
      <c r="AC872" s="52">
        <f t="shared" si="12"/>
        <v>0</v>
      </c>
    </row>
    <row r="873" ht="15.75" customHeight="1">
      <c r="A873" s="171"/>
      <c r="B873" s="171"/>
      <c r="C873" s="53"/>
      <c r="D873" s="53"/>
      <c r="E873" s="53"/>
      <c r="F873" s="53"/>
      <c r="G873" s="53"/>
      <c r="H873" s="52" t="str">
        <f>IF(G873="","",IFERROR(VLOOKUP(G873,'Product_Stock_Master产品维护'!$A$2:$E992,2,FALSE()),"SKU not found"))</f>
        <v/>
      </c>
      <c r="I873" s="52" t="str">
        <f>IF(G873="","",IFERROR(VLOOKUP(G873,'Product_Stock_Master产品维护'!$A$2:$E992,3,FALSE()),"Item type not found"))</f>
        <v/>
      </c>
      <c r="J873" s="53"/>
      <c r="K873" s="53"/>
      <c r="L873" s="53"/>
      <c r="M873" s="53"/>
      <c r="N873" s="53"/>
      <c r="O873" s="52" t="str">
        <f t="shared" si="1"/>
        <v/>
      </c>
      <c r="P873" s="53"/>
      <c r="Q873" s="52" t="str">
        <f t="shared" si="9"/>
        <v/>
      </c>
      <c r="R873" s="52" t="str">
        <f t="shared" si="3"/>
        <v/>
      </c>
      <c r="S873" s="52" t="str">
        <f t="shared" si="10"/>
        <v/>
      </c>
      <c r="T873" s="52" t="str">
        <f t="shared" si="5"/>
        <v/>
      </c>
      <c r="U873" s="52"/>
      <c r="V873" s="53"/>
      <c r="W873" s="52" t="str">
        <f t="shared" si="6"/>
        <v/>
      </c>
      <c r="X873" s="52">
        <f t="shared" si="7"/>
        <v>0</v>
      </c>
      <c r="Y873" s="52">
        <f t="shared" si="8"/>
        <v>0</v>
      </c>
      <c r="Z873" s="52" t="str">
        <f>IF(G873="","",IFERROR(VLOOKUP(G873,'Product_Stock_Master产品维护'!$A$2:$L992,11,FALSE),"No"))</f>
        <v/>
      </c>
      <c r="AA873" s="52" t="str">
        <f>IF(G873="","",IFERROR(VLOOKUP(G873,'Product_Stock_Master产品维护'!$A$2:$L992,12,FALSE),""))</f>
        <v/>
      </c>
      <c r="AB873" s="52" t="str">
        <f t="shared" si="11"/>
        <v/>
      </c>
      <c r="AC873" s="52">
        <f t="shared" si="12"/>
        <v>0</v>
      </c>
    </row>
    <row r="874" ht="15.75" customHeight="1">
      <c r="A874" s="171"/>
      <c r="B874" s="171"/>
      <c r="C874" s="53"/>
      <c r="D874" s="53"/>
      <c r="E874" s="53"/>
      <c r="F874" s="53"/>
      <c r="G874" s="53"/>
      <c r="H874" s="52" t="str">
        <f>IF(G874="","",IFERROR(VLOOKUP(G874,'Product_Stock_Master产品维护'!$A$2:$E992,2,FALSE()),"SKU not found"))</f>
        <v/>
      </c>
      <c r="I874" s="52" t="str">
        <f>IF(G874="","",IFERROR(VLOOKUP(G874,'Product_Stock_Master产品维护'!$A$2:$E992,3,FALSE()),"Item type not found"))</f>
        <v/>
      </c>
      <c r="J874" s="53"/>
      <c r="K874" s="53"/>
      <c r="L874" s="53"/>
      <c r="M874" s="53"/>
      <c r="N874" s="53"/>
      <c r="O874" s="52" t="str">
        <f t="shared" si="1"/>
        <v/>
      </c>
      <c r="P874" s="53"/>
      <c r="Q874" s="52" t="str">
        <f t="shared" si="9"/>
        <v/>
      </c>
      <c r="R874" s="52" t="str">
        <f t="shared" si="3"/>
        <v/>
      </c>
      <c r="S874" s="52" t="str">
        <f t="shared" si="10"/>
        <v/>
      </c>
      <c r="T874" s="52" t="str">
        <f t="shared" si="5"/>
        <v/>
      </c>
      <c r="U874" s="52"/>
      <c r="V874" s="53"/>
      <c r="W874" s="52" t="str">
        <f t="shared" si="6"/>
        <v/>
      </c>
      <c r="X874" s="52">
        <f t="shared" si="7"/>
        <v>0</v>
      </c>
      <c r="Y874" s="52">
        <f t="shared" si="8"/>
        <v>0</v>
      </c>
      <c r="Z874" s="52" t="str">
        <f>IF(G874="","",IFERROR(VLOOKUP(G874,'Product_Stock_Master产品维护'!$A$2:$L992,11,FALSE),"No"))</f>
        <v/>
      </c>
      <c r="AA874" s="52" t="str">
        <f>IF(G874="","",IFERROR(VLOOKUP(G874,'Product_Stock_Master产品维护'!$A$2:$L992,12,FALSE),""))</f>
        <v/>
      </c>
      <c r="AB874" s="52" t="str">
        <f t="shared" si="11"/>
        <v/>
      </c>
      <c r="AC874" s="52">
        <f t="shared" si="12"/>
        <v>0</v>
      </c>
    </row>
    <row r="875" ht="15.75" customHeight="1">
      <c r="A875" s="171"/>
      <c r="B875" s="171"/>
      <c r="C875" s="53"/>
      <c r="D875" s="53"/>
      <c r="E875" s="53"/>
      <c r="F875" s="53"/>
      <c r="G875" s="53"/>
      <c r="H875" s="52" t="str">
        <f>IF(G875="","",IFERROR(VLOOKUP(G875,'Product_Stock_Master产品维护'!$A$2:$E992,2,FALSE()),"SKU not found"))</f>
        <v/>
      </c>
      <c r="I875" s="52" t="str">
        <f>IF(G875="","",IFERROR(VLOOKUP(G875,'Product_Stock_Master产品维护'!$A$2:$E992,3,FALSE()),"Item type not found"))</f>
        <v/>
      </c>
      <c r="J875" s="53"/>
      <c r="K875" s="53"/>
      <c r="L875" s="53"/>
      <c r="M875" s="53"/>
      <c r="N875" s="53"/>
      <c r="O875" s="52" t="str">
        <f t="shared" si="1"/>
        <v/>
      </c>
      <c r="P875" s="53"/>
      <c r="Q875" s="52" t="str">
        <f t="shared" si="9"/>
        <v/>
      </c>
      <c r="R875" s="52" t="str">
        <f t="shared" si="3"/>
        <v/>
      </c>
      <c r="S875" s="52" t="str">
        <f t="shared" si="10"/>
        <v/>
      </c>
      <c r="T875" s="52" t="str">
        <f t="shared" si="5"/>
        <v/>
      </c>
      <c r="U875" s="52"/>
      <c r="V875" s="53"/>
      <c r="W875" s="52" t="str">
        <f t="shared" si="6"/>
        <v/>
      </c>
      <c r="X875" s="52">
        <f t="shared" si="7"/>
        <v>0</v>
      </c>
      <c r="Y875" s="52">
        <f t="shared" si="8"/>
        <v>0</v>
      </c>
      <c r="Z875" s="52" t="str">
        <f>IF(G875="","",IFERROR(VLOOKUP(G875,'Product_Stock_Master产品维护'!$A$2:$L992,11,FALSE),"No"))</f>
        <v/>
      </c>
      <c r="AA875" s="52" t="str">
        <f>IF(G875="","",IFERROR(VLOOKUP(G875,'Product_Stock_Master产品维护'!$A$2:$L992,12,FALSE),""))</f>
        <v/>
      </c>
      <c r="AB875" s="52" t="str">
        <f t="shared" si="11"/>
        <v/>
      </c>
      <c r="AC875" s="52">
        <f t="shared" si="12"/>
        <v>0</v>
      </c>
    </row>
    <row r="876" ht="15.75" customHeight="1">
      <c r="A876" s="171"/>
      <c r="B876" s="171"/>
      <c r="C876" s="53"/>
      <c r="D876" s="53"/>
      <c r="E876" s="53"/>
      <c r="F876" s="53"/>
      <c r="G876" s="53"/>
      <c r="H876" s="52" t="str">
        <f>IF(G876="","",IFERROR(VLOOKUP(G876,'Product_Stock_Master产品维护'!$A$2:$E992,2,FALSE()),"SKU not found"))</f>
        <v/>
      </c>
      <c r="I876" s="52" t="str">
        <f>IF(G876="","",IFERROR(VLOOKUP(G876,'Product_Stock_Master产品维护'!$A$2:$E992,3,FALSE()),"Item type not found"))</f>
        <v/>
      </c>
      <c r="J876" s="53"/>
      <c r="K876" s="53"/>
      <c r="L876" s="53"/>
      <c r="M876" s="53"/>
      <c r="N876" s="53"/>
      <c r="O876" s="52" t="str">
        <f t="shared" si="1"/>
        <v/>
      </c>
      <c r="P876" s="53"/>
      <c r="Q876" s="52" t="str">
        <f t="shared" si="9"/>
        <v/>
      </c>
      <c r="R876" s="52" t="str">
        <f t="shared" si="3"/>
        <v/>
      </c>
      <c r="S876" s="52" t="str">
        <f t="shared" si="10"/>
        <v/>
      </c>
      <c r="T876" s="52" t="str">
        <f t="shared" si="5"/>
        <v/>
      </c>
      <c r="U876" s="52"/>
      <c r="V876" s="53"/>
      <c r="W876" s="52" t="str">
        <f t="shared" si="6"/>
        <v/>
      </c>
      <c r="X876" s="52">
        <f t="shared" si="7"/>
        <v>0</v>
      </c>
      <c r="Y876" s="52">
        <f t="shared" si="8"/>
        <v>0</v>
      </c>
      <c r="Z876" s="52" t="str">
        <f>IF(G876="","",IFERROR(VLOOKUP(G876,'Product_Stock_Master产品维护'!$A$2:$L992,11,FALSE),"No"))</f>
        <v/>
      </c>
      <c r="AA876" s="52" t="str">
        <f>IF(G876="","",IFERROR(VLOOKUP(G876,'Product_Stock_Master产品维护'!$A$2:$L992,12,FALSE),""))</f>
        <v/>
      </c>
      <c r="AB876" s="52" t="str">
        <f t="shared" si="11"/>
        <v/>
      </c>
      <c r="AC876" s="52">
        <f t="shared" si="12"/>
        <v>0</v>
      </c>
    </row>
    <row r="877" ht="15.75" customHeight="1">
      <c r="A877" s="171"/>
      <c r="B877" s="171"/>
      <c r="C877" s="53"/>
      <c r="D877" s="53"/>
      <c r="E877" s="53"/>
      <c r="F877" s="53"/>
      <c r="G877" s="53"/>
      <c r="H877" s="52" t="str">
        <f>IF(G877="","",IFERROR(VLOOKUP(G877,'Product_Stock_Master产品维护'!$A$2:$E992,2,FALSE()),"SKU not found"))</f>
        <v/>
      </c>
      <c r="I877" s="52" t="str">
        <f>IF(G877="","",IFERROR(VLOOKUP(G877,'Product_Stock_Master产品维护'!$A$2:$E992,3,FALSE()),"Item type not found"))</f>
        <v/>
      </c>
      <c r="J877" s="53"/>
      <c r="K877" s="53"/>
      <c r="L877" s="53"/>
      <c r="M877" s="53"/>
      <c r="N877" s="53"/>
      <c r="O877" s="52" t="str">
        <f t="shared" si="1"/>
        <v/>
      </c>
      <c r="P877" s="53"/>
      <c r="Q877" s="52" t="str">
        <f t="shared" si="9"/>
        <v/>
      </c>
      <c r="R877" s="52" t="str">
        <f t="shared" si="3"/>
        <v/>
      </c>
      <c r="S877" s="52" t="str">
        <f t="shared" si="10"/>
        <v/>
      </c>
      <c r="T877" s="52" t="str">
        <f t="shared" si="5"/>
        <v/>
      </c>
      <c r="U877" s="52"/>
      <c r="V877" s="53"/>
      <c r="W877" s="52" t="str">
        <f t="shared" si="6"/>
        <v/>
      </c>
      <c r="X877" s="52">
        <f t="shared" si="7"/>
        <v>0</v>
      </c>
      <c r="Y877" s="52">
        <f t="shared" si="8"/>
        <v>0</v>
      </c>
      <c r="Z877" s="52" t="str">
        <f>IF(G877="","",IFERROR(VLOOKUP(G877,'Product_Stock_Master产品维护'!$A$2:$L992,11,FALSE),"No"))</f>
        <v/>
      </c>
      <c r="AA877" s="52" t="str">
        <f>IF(G877="","",IFERROR(VLOOKUP(G877,'Product_Stock_Master产品维护'!$A$2:$L992,12,FALSE),""))</f>
        <v/>
      </c>
      <c r="AB877" s="52" t="str">
        <f t="shared" si="11"/>
        <v/>
      </c>
      <c r="AC877" s="52">
        <f t="shared" si="12"/>
        <v>0</v>
      </c>
    </row>
    <row r="878" ht="15.75" customHeight="1">
      <c r="A878" s="171"/>
      <c r="B878" s="171"/>
      <c r="C878" s="53"/>
      <c r="D878" s="53"/>
      <c r="E878" s="53"/>
      <c r="F878" s="53"/>
      <c r="G878" s="53"/>
      <c r="H878" s="52" t="str">
        <f>IF(G878="","",IFERROR(VLOOKUP(G878,'Product_Stock_Master产品维护'!$A$2:$E992,2,FALSE()),"SKU not found"))</f>
        <v/>
      </c>
      <c r="I878" s="52" t="str">
        <f>IF(G878="","",IFERROR(VLOOKUP(G878,'Product_Stock_Master产品维护'!$A$2:$E992,3,FALSE()),"Item type not found"))</f>
        <v/>
      </c>
      <c r="J878" s="53"/>
      <c r="K878" s="53"/>
      <c r="L878" s="53"/>
      <c r="M878" s="53"/>
      <c r="N878" s="53"/>
      <c r="O878" s="52" t="str">
        <f t="shared" si="1"/>
        <v/>
      </c>
      <c r="P878" s="53"/>
      <c r="Q878" s="52" t="str">
        <f t="shared" si="9"/>
        <v/>
      </c>
      <c r="R878" s="52" t="str">
        <f t="shared" si="3"/>
        <v/>
      </c>
      <c r="S878" s="52" t="str">
        <f t="shared" si="10"/>
        <v/>
      </c>
      <c r="T878" s="52" t="str">
        <f t="shared" si="5"/>
        <v/>
      </c>
      <c r="U878" s="52"/>
      <c r="V878" s="53"/>
      <c r="W878" s="52" t="str">
        <f t="shared" si="6"/>
        <v/>
      </c>
      <c r="X878" s="52">
        <f t="shared" si="7"/>
        <v>0</v>
      </c>
      <c r="Y878" s="52">
        <f t="shared" si="8"/>
        <v>0</v>
      </c>
      <c r="Z878" s="52" t="str">
        <f>IF(G878="","",IFERROR(VLOOKUP(G878,'Product_Stock_Master产品维护'!$A$2:$L992,11,FALSE),"No"))</f>
        <v/>
      </c>
      <c r="AA878" s="52" t="str">
        <f>IF(G878="","",IFERROR(VLOOKUP(G878,'Product_Stock_Master产品维护'!$A$2:$L992,12,FALSE),""))</f>
        <v/>
      </c>
      <c r="AB878" s="52" t="str">
        <f t="shared" si="11"/>
        <v/>
      </c>
      <c r="AC878" s="52">
        <f t="shared" si="12"/>
        <v>0</v>
      </c>
    </row>
    <row r="879" ht="15.75" customHeight="1">
      <c r="A879" s="171"/>
      <c r="B879" s="171"/>
      <c r="C879" s="53"/>
      <c r="D879" s="53"/>
      <c r="E879" s="53"/>
      <c r="F879" s="53"/>
      <c r="G879" s="53"/>
      <c r="H879" s="52" t="str">
        <f>IF(G879="","",IFERROR(VLOOKUP(G879,'Product_Stock_Master产品维护'!$A$2:$E992,2,FALSE()),"SKU not found"))</f>
        <v/>
      </c>
      <c r="I879" s="52" t="str">
        <f>IF(G879="","",IFERROR(VLOOKUP(G879,'Product_Stock_Master产品维护'!$A$2:$E992,3,FALSE()),"Item type not found"))</f>
        <v/>
      </c>
      <c r="J879" s="53"/>
      <c r="K879" s="53"/>
      <c r="L879" s="53"/>
      <c r="M879" s="53"/>
      <c r="N879" s="53"/>
      <c r="O879" s="52" t="str">
        <f t="shared" si="1"/>
        <v/>
      </c>
      <c r="P879" s="53"/>
      <c r="Q879" s="52" t="str">
        <f t="shared" si="9"/>
        <v/>
      </c>
      <c r="R879" s="52" t="str">
        <f t="shared" si="3"/>
        <v/>
      </c>
      <c r="S879" s="52" t="str">
        <f t="shared" si="10"/>
        <v/>
      </c>
      <c r="T879" s="52" t="str">
        <f t="shared" si="5"/>
        <v/>
      </c>
      <c r="U879" s="52"/>
      <c r="V879" s="53"/>
      <c r="W879" s="52" t="str">
        <f t="shared" si="6"/>
        <v/>
      </c>
      <c r="X879" s="52">
        <f t="shared" si="7"/>
        <v>0</v>
      </c>
      <c r="Y879" s="52">
        <f t="shared" si="8"/>
        <v>0</v>
      </c>
      <c r="Z879" s="52" t="str">
        <f>IF(G879="","",IFERROR(VLOOKUP(G879,'Product_Stock_Master产品维护'!$A$2:$L992,11,FALSE),"No"))</f>
        <v/>
      </c>
      <c r="AA879" s="52" t="str">
        <f>IF(G879="","",IFERROR(VLOOKUP(G879,'Product_Stock_Master产品维护'!$A$2:$L992,12,FALSE),""))</f>
        <v/>
      </c>
      <c r="AB879" s="52" t="str">
        <f t="shared" si="11"/>
        <v/>
      </c>
      <c r="AC879" s="52">
        <f t="shared" si="12"/>
        <v>0</v>
      </c>
    </row>
    <row r="880" ht="15.75" customHeight="1">
      <c r="A880" s="171"/>
      <c r="B880" s="171"/>
      <c r="C880" s="53"/>
      <c r="D880" s="53"/>
      <c r="E880" s="53"/>
      <c r="F880" s="53"/>
      <c r="G880" s="53"/>
      <c r="H880" s="52" t="str">
        <f>IF(G880="","",IFERROR(VLOOKUP(G880,'Product_Stock_Master产品维护'!$A$2:$E992,2,FALSE()),"SKU not found"))</f>
        <v/>
      </c>
      <c r="I880" s="52" t="str">
        <f>IF(G880="","",IFERROR(VLOOKUP(G880,'Product_Stock_Master产品维护'!$A$2:$E992,3,FALSE()),"Item type not found"))</f>
        <v/>
      </c>
      <c r="J880" s="53"/>
      <c r="K880" s="53"/>
      <c r="L880" s="53"/>
      <c r="M880" s="53"/>
      <c r="N880" s="53"/>
      <c r="O880" s="52" t="str">
        <f t="shared" si="1"/>
        <v/>
      </c>
      <c r="P880" s="53"/>
      <c r="Q880" s="52" t="str">
        <f t="shared" si="9"/>
        <v/>
      </c>
      <c r="R880" s="52" t="str">
        <f t="shared" si="3"/>
        <v/>
      </c>
      <c r="S880" s="52" t="str">
        <f t="shared" si="10"/>
        <v/>
      </c>
      <c r="T880" s="52" t="str">
        <f t="shared" si="5"/>
        <v/>
      </c>
      <c r="U880" s="52"/>
      <c r="V880" s="53"/>
      <c r="W880" s="52" t="str">
        <f t="shared" si="6"/>
        <v/>
      </c>
      <c r="X880" s="52">
        <f t="shared" si="7"/>
        <v>0</v>
      </c>
      <c r="Y880" s="52">
        <f t="shared" si="8"/>
        <v>0</v>
      </c>
      <c r="Z880" s="52" t="str">
        <f>IF(G880="","",IFERROR(VLOOKUP(G880,'Product_Stock_Master产品维护'!$A$2:$L992,11,FALSE),"No"))</f>
        <v/>
      </c>
      <c r="AA880" s="52" t="str">
        <f>IF(G880="","",IFERROR(VLOOKUP(G880,'Product_Stock_Master产品维护'!$A$2:$L992,12,FALSE),""))</f>
        <v/>
      </c>
      <c r="AB880" s="52" t="str">
        <f t="shared" si="11"/>
        <v/>
      </c>
      <c r="AC880" s="52">
        <f t="shared" si="12"/>
        <v>0</v>
      </c>
    </row>
    <row r="881" ht="15.75" customHeight="1">
      <c r="A881" s="171"/>
      <c r="B881" s="171"/>
      <c r="C881" s="53"/>
      <c r="D881" s="53"/>
      <c r="E881" s="53"/>
      <c r="F881" s="53"/>
      <c r="G881" s="53"/>
      <c r="H881" s="52" t="str">
        <f>IF(G881="","",IFERROR(VLOOKUP(G881,'Product_Stock_Master产品维护'!$A$2:$E992,2,FALSE()),"SKU not found"))</f>
        <v/>
      </c>
      <c r="I881" s="52" t="str">
        <f>IF(G881="","",IFERROR(VLOOKUP(G881,'Product_Stock_Master产品维护'!$A$2:$E992,3,FALSE()),"Item type not found"))</f>
        <v/>
      </c>
      <c r="J881" s="53"/>
      <c r="K881" s="53"/>
      <c r="L881" s="53"/>
      <c r="M881" s="53"/>
      <c r="N881" s="53"/>
      <c r="O881" s="52" t="str">
        <f t="shared" si="1"/>
        <v/>
      </c>
      <c r="P881" s="53"/>
      <c r="Q881" s="52" t="str">
        <f t="shared" si="9"/>
        <v/>
      </c>
      <c r="R881" s="52" t="str">
        <f t="shared" si="3"/>
        <v/>
      </c>
      <c r="S881" s="52" t="str">
        <f t="shared" si="10"/>
        <v/>
      </c>
      <c r="T881" s="52" t="str">
        <f t="shared" si="5"/>
        <v/>
      </c>
      <c r="U881" s="52"/>
      <c r="V881" s="53"/>
      <c r="W881" s="52" t="str">
        <f t="shared" si="6"/>
        <v/>
      </c>
      <c r="X881" s="52">
        <f t="shared" si="7"/>
        <v>0</v>
      </c>
      <c r="Y881" s="52">
        <f t="shared" si="8"/>
        <v>0</v>
      </c>
      <c r="Z881" s="52" t="str">
        <f>IF(G881="","",IFERROR(VLOOKUP(G881,'Product_Stock_Master产品维护'!$A$2:$L992,11,FALSE),"No"))</f>
        <v/>
      </c>
      <c r="AA881" s="52" t="str">
        <f>IF(G881="","",IFERROR(VLOOKUP(G881,'Product_Stock_Master产品维护'!$A$2:$L992,12,FALSE),""))</f>
        <v/>
      </c>
      <c r="AB881" s="52" t="str">
        <f t="shared" si="11"/>
        <v/>
      </c>
      <c r="AC881" s="52">
        <f t="shared" si="12"/>
        <v>0</v>
      </c>
    </row>
    <row r="882" ht="15.75" customHeight="1">
      <c r="A882" s="171"/>
      <c r="B882" s="171"/>
      <c r="C882" s="53"/>
      <c r="D882" s="53"/>
      <c r="E882" s="53"/>
      <c r="F882" s="53"/>
      <c r="G882" s="53"/>
      <c r="H882" s="52" t="str">
        <f>IF(G882="","",IFERROR(VLOOKUP(G882,'Product_Stock_Master产品维护'!$A$2:$E992,2,FALSE()),"SKU not found"))</f>
        <v/>
      </c>
      <c r="I882" s="52" t="str">
        <f>IF(G882="","",IFERROR(VLOOKUP(G882,'Product_Stock_Master产品维护'!$A$2:$E992,3,FALSE()),"Item type not found"))</f>
        <v/>
      </c>
      <c r="J882" s="53"/>
      <c r="K882" s="53"/>
      <c r="L882" s="53"/>
      <c r="M882" s="53"/>
      <c r="N882" s="53"/>
      <c r="O882" s="52" t="str">
        <f t="shared" si="1"/>
        <v/>
      </c>
      <c r="P882" s="53"/>
      <c r="Q882" s="52" t="str">
        <f t="shared" si="9"/>
        <v/>
      </c>
      <c r="R882" s="52" t="str">
        <f t="shared" si="3"/>
        <v/>
      </c>
      <c r="S882" s="52" t="str">
        <f t="shared" si="10"/>
        <v/>
      </c>
      <c r="T882" s="52" t="str">
        <f t="shared" si="5"/>
        <v/>
      </c>
      <c r="U882" s="52"/>
      <c r="V882" s="53"/>
      <c r="W882" s="52" t="str">
        <f t="shared" si="6"/>
        <v/>
      </c>
      <c r="X882" s="52">
        <f t="shared" si="7"/>
        <v>0</v>
      </c>
      <c r="Y882" s="52">
        <f t="shared" si="8"/>
        <v>0</v>
      </c>
      <c r="Z882" s="52" t="str">
        <f>IF(G882="","",IFERROR(VLOOKUP(G882,'Product_Stock_Master产品维护'!$A$2:$L992,11,FALSE),"No"))</f>
        <v/>
      </c>
      <c r="AA882" s="52" t="str">
        <f>IF(G882="","",IFERROR(VLOOKUP(G882,'Product_Stock_Master产品维护'!$A$2:$L992,12,FALSE),""))</f>
        <v/>
      </c>
      <c r="AB882" s="52" t="str">
        <f t="shared" si="11"/>
        <v/>
      </c>
      <c r="AC882" s="52">
        <f t="shared" si="12"/>
        <v>0</v>
      </c>
    </row>
    <row r="883" ht="15.75" customHeight="1">
      <c r="A883" s="171"/>
      <c r="B883" s="171"/>
      <c r="C883" s="53"/>
      <c r="D883" s="53"/>
      <c r="E883" s="53"/>
      <c r="F883" s="53"/>
      <c r="G883" s="53"/>
      <c r="H883" s="52" t="str">
        <f>IF(G883="","",IFERROR(VLOOKUP(G883,'Product_Stock_Master产品维护'!$A$2:$E992,2,FALSE()),"SKU not found"))</f>
        <v/>
      </c>
      <c r="I883" s="52" t="str">
        <f>IF(G883="","",IFERROR(VLOOKUP(G883,'Product_Stock_Master产品维护'!$A$2:$E992,3,FALSE()),"Item type not found"))</f>
        <v/>
      </c>
      <c r="J883" s="53"/>
      <c r="K883" s="53"/>
      <c r="L883" s="53"/>
      <c r="M883" s="53"/>
      <c r="N883" s="53"/>
      <c r="O883" s="52" t="str">
        <f t="shared" si="1"/>
        <v/>
      </c>
      <c r="P883" s="53"/>
      <c r="Q883" s="52" t="str">
        <f t="shared" si="9"/>
        <v/>
      </c>
      <c r="R883" s="52" t="str">
        <f t="shared" si="3"/>
        <v/>
      </c>
      <c r="S883" s="52" t="str">
        <f t="shared" si="10"/>
        <v/>
      </c>
      <c r="T883" s="52" t="str">
        <f t="shared" si="5"/>
        <v/>
      </c>
      <c r="U883" s="52"/>
      <c r="V883" s="53"/>
      <c r="W883" s="52" t="str">
        <f t="shared" si="6"/>
        <v/>
      </c>
      <c r="X883" s="52">
        <f t="shared" si="7"/>
        <v>0</v>
      </c>
      <c r="Y883" s="52">
        <f t="shared" si="8"/>
        <v>0</v>
      </c>
      <c r="Z883" s="52" t="str">
        <f>IF(G883="","",IFERROR(VLOOKUP(G883,'Product_Stock_Master产品维护'!$A$2:$L992,11,FALSE),"No"))</f>
        <v/>
      </c>
      <c r="AA883" s="52" t="str">
        <f>IF(G883="","",IFERROR(VLOOKUP(G883,'Product_Stock_Master产品维护'!$A$2:$L992,12,FALSE),""))</f>
        <v/>
      </c>
      <c r="AB883" s="52" t="str">
        <f t="shared" si="11"/>
        <v/>
      </c>
      <c r="AC883" s="52">
        <f t="shared" si="12"/>
        <v>0</v>
      </c>
    </row>
    <row r="884" ht="15.75" customHeight="1">
      <c r="A884" s="171"/>
      <c r="B884" s="171"/>
      <c r="C884" s="53"/>
      <c r="D884" s="53"/>
      <c r="E884" s="53"/>
      <c r="F884" s="53"/>
      <c r="G884" s="53"/>
      <c r="H884" s="52" t="str">
        <f>IF(G884="","",IFERROR(VLOOKUP(G884,'Product_Stock_Master产品维护'!$A$2:$E992,2,FALSE()),"SKU not found"))</f>
        <v/>
      </c>
      <c r="I884" s="52" t="str">
        <f>IF(G884="","",IFERROR(VLOOKUP(G884,'Product_Stock_Master产品维护'!$A$2:$E992,3,FALSE()),"Item type not found"))</f>
        <v/>
      </c>
      <c r="J884" s="53"/>
      <c r="K884" s="53"/>
      <c r="L884" s="53"/>
      <c r="M884" s="53"/>
      <c r="N884" s="53"/>
      <c r="O884" s="52" t="str">
        <f t="shared" si="1"/>
        <v/>
      </c>
      <c r="P884" s="53"/>
      <c r="Q884" s="52" t="str">
        <f t="shared" si="9"/>
        <v/>
      </c>
      <c r="R884" s="52" t="str">
        <f t="shared" si="3"/>
        <v/>
      </c>
      <c r="S884" s="52" t="str">
        <f t="shared" si="10"/>
        <v/>
      </c>
      <c r="T884" s="52" t="str">
        <f t="shared" si="5"/>
        <v/>
      </c>
      <c r="U884" s="52"/>
      <c r="V884" s="53"/>
      <c r="W884" s="52" t="str">
        <f t="shared" si="6"/>
        <v/>
      </c>
      <c r="X884" s="52">
        <f t="shared" si="7"/>
        <v>0</v>
      </c>
      <c r="Y884" s="52">
        <f t="shared" si="8"/>
        <v>0</v>
      </c>
      <c r="Z884" s="52" t="str">
        <f>IF(G884="","",IFERROR(VLOOKUP(G884,'Product_Stock_Master产品维护'!$A$2:$L992,11,FALSE),"No"))</f>
        <v/>
      </c>
      <c r="AA884" s="52" t="str">
        <f>IF(G884="","",IFERROR(VLOOKUP(G884,'Product_Stock_Master产品维护'!$A$2:$L992,12,FALSE),""))</f>
        <v/>
      </c>
      <c r="AB884" s="52" t="str">
        <f t="shared" si="11"/>
        <v/>
      </c>
      <c r="AC884" s="52">
        <f t="shared" si="12"/>
        <v>0</v>
      </c>
    </row>
    <row r="885" ht="15.75" customHeight="1">
      <c r="A885" s="171"/>
      <c r="B885" s="171"/>
      <c r="C885" s="53"/>
      <c r="D885" s="53"/>
      <c r="E885" s="53"/>
      <c r="F885" s="53"/>
      <c r="G885" s="53"/>
      <c r="H885" s="52" t="str">
        <f>IF(G885="","",IFERROR(VLOOKUP(G885,'Product_Stock_Master产品维护'!$A$2:$E992,2,FALSE()),"SKU not found"))</f>
        <v/>
      </c>
      <c r="I885" s="52" t="str">
        <f>IF(G885="","",IFERROR(VLOOKUP(G885,'Product_Stock_Master产品维护'!$A$2:$E992,3,FALSE()),"Item type not found"))</f>
        <v/>
      </c>
      <c r="J885" s="53"/>
      <c r="K885" s="53"/>
      <c r="L885" s="53"/>
      <c r="M885" s="53"/>
      <c r="N885" s="53"/>
      <c r="O885" s="52" t="str">
        <f t="shared" si="1"/>
        <v/>
      </c>
      <c r="P885" s="53"/>
      <c r="Q885" s="52" t="str">
        <f t="shared" si="9"/>
        <v/>
      </c>
      <c r="R885" s="52" t="str">
        <f t="shared" si="3"/>
        <v/>
      </c>
      <c r="S885" s="52" t="str">
        <f t="shared" si="10"/>
        <v/>
      </c>
      <c r="T885" s="52" t="str">
        <f t="shared" si="5"/>
        <v/>
      </c>
      <c r="U885" s="52"/>
      <c r="V885" s="53"/>
      <c r="W885" s="52" t="str">
        <f t="shared" si="6"/>
        <v/>
      </c>
      <c r="X885" s="52">
        <f t="shared" si="7"/>
        <v>0</v>
      </c>
      <c r="Y885" s="52">
        <f t="shared" si="8"/>
        <v>0</v>
      </c>
      <c r="Z885" s="52" t="str">
        <f>IF(G885="","",IFERROR(VLOOKUP(G885,'Product_Stock_Master产品维护'!$A$2:$L992,11,FALSE),"No"))</f>
        <v/>
      </c>
      <c r="AA885" s="52" t="str">
        <f>IF(G885="","",IFERROR(VLOOKUP(G885,'Product_Stock_Master产品维护'!$A$2:$L992,12,FALSE),""))</f>
        <v/>
      </c>
      <c r="AB885" s="52" t="str">
        <f t="shared" si="11"/>
        <v/>
      </c>
      <c r="AC885" s="52">
        <f t="shared" si="12"/>
        <v>0</v>
      </c>
    </row>
    <row r="886" ht="15.75" customHeight="1">
      <c r="A886" s="171"/>
      <c r="B886" s="171"/>
      <c r="C886" s="53"/>
      <c r="D886" s="53"/>
      <c r="E886" s="53"/>
      <c r="F886" s="53"/>
      <c r="G886" s="53"/>
      <c r="H886" s="52" t="str">
        <f>IF(G886="","",IFERROR(VLOOKUP(G886,'Product_Stock_Master产品维护'!$A$2:$E992,2,FALSE()),"SKU not found"))</f>
        <v/>
      </c>
      <c r="I886" s="52" t="str">
        <f>IF(G886="","",IFERROR(VLOOKUP(G886,'Product_Stock_Master产品维护'!$A$2:$E992,3,FALSE()),"Item type not found"))</f>
        <v/>
      </c>
      <c r="J886" s="53"/>
      <c r="K886" s="53"/>
      <c r="L886" s="53"/>
      <c r="M886" s="53"/>
      <c r="N886" s="53"/>
      <c r="O886" s="52" t="str">
        <f t="shared" si="1"/>
        <v/>
      </c>
      <c r="P886" s="53"/>
      <c r="Q886" s="52" t="str">
        <f t="shared" si="9"/>
        <v/>
      </c>
      <c r="R886" s="52" t="str">
        <f t="shared" si="3"/>
        <v/>
      </c>
      <c r="S886" s="52" t="str">
        <f t="shared" si="10"/>
        <v/>
      </c>
      <c r="T886" s="52" t="str">
        <f t="shared" si="5"/>
        <v/>
      </c>
      <c r="U886" s="52"/>
      <c r="V886" s="53"/>
      <c r="W886" s="52" t="str">
        <f t="shared" si="6"/>
        <v/>
      </c>
      <c r="X886" s="52">
        <f t="shared" si="7"/>
        <v>0</v>
      </c>
      <c r="Y886" s="52">
        <f t="shared" si="8"/>
        <v>0</v>
      </c>
      <c r="Z886" s="52" t="str">
        <f>IF(G886="","",IFERROR(VLOOKUP(G886,'Product_Stock_Master产品维护'!$A$2:$L992,11,FALSE),"No"))</f>
        <v/>
      </c>
      <c r="AA886" s="52" t="str">
        <f>IF(G886="","",IFERROR(VLOOKUP(G886,'Product_Stock_Master产品维护'!$A$2:$L992,12,FALSE),""))</f>
        <v/>
      </c>
      <c r="AB886" s="52" t="str">
        <f t="shared" si="11"/>
        <v/>
      </c>
      <c r="AC886" s="52">
        <f t="shared" si="12"/>
        <v>0</v>
      </c>
    </row>
    <row r="887" ht="15.75" customHeight="1">
      <c r="A887" s="171"/>
      <c r="B887" s="171"/>
      <c r="C887" s="53"/>
      <c r="D887" s="53"/>
      <c r="E887" s="53"/>
      <c r="F887" s="53"/>
      <c r="G887" s="53"/>
      <c r="H887" s="52" t="str">
        <f>IF(G887="","",IFERROR(VLOOKUP(G887,'Product_Stock_Master产品维护'!$A$2:$E992,2,FALSE()),"SKU not found"))</f>
        <v/>
      </c>
      <c r="I887" s="52" t="str">
        <f>IF(G887="","",IFERROR(VLOOKUP(G887,'Product_Stock_Master产品维护'!$A$2:$E992,3,FALSE()),"Item type not found"))</f>
        <v/>
      </c>
      <c r="J887" s="53"/>
      <c r="K887" s="53"/>
      <c r="L887" s="53"/>
      <c r="M887" s="53"/>
      <c r="N887" s="53"/>
      <c r="O887" s="52" t="str">
        <f t="shared" si="1"/>
        <v/>
      </c>
      <c r="P887" s="53"/>
      <c r="Q887" s="52" t="str">
        <f t="shared" si="9"/>
        <v/>
      </c>
      <c r="R887" s="52" t="str">
        <f t="shared" si="3"/>
        <v/>
      </c>
      <c r="S887" s="52" t="str">
        <f t="shared" si="10"/>
        <v/>
      </c>
      <c r="T887" s="52" t="str">
        <f t="shared" si="5"/>
        <v/>
      </c>
      <c r="U887" s="52"/>
      <c r="V887" s="53"/>
      <c r="W887" s="52" t="str">
        <f t="shared" si="6"/>
        <v/>
      </c>
      <c r="X887" s="52">
        <f t="shared" si="7"/>
        <v>0</v>
      </c>
      <c r="Y887" s="52">
        <f t="shared" si="8"/>
        <v>0</v>
      </c>
      <c r="Z887" s="52" t="str">
        <f>IF(G887="","",IFERROR(VLOOKUP(G887,'Product_Stock_Master产品维护'!$A$2:$L992,11,FALSE),"No"))</f>
        <v/>
      </c>
      <c r="AA887" s="52" t="str">
        <f>IF(G887="","",IFERROR(VLOOKUP(G887,'Product_Stock_Master产品维护'!$A$2:$L992,12,FALSE),""))</f>
        <v/>
      </c>
      <c r="AB887" s="52" t="str">
        <f t="shared" si="11"/>
        <v/>
      </c>
      <c r="AC887" s="52">
        <f t="shared" si="12"/>
        <v>0</v>
      </c>
    </row>
    <row r="888" ht="15.75" customHeight="1">
      <c r="A888" s="171"/>
      <c r="B888" s="171"/>
      <c r="C888" s="53"/>
      <c r="D888" s="53"/>
      <c r="E888" s="53"/>
      <c r="F888" s="53"/>
      <c r="G888" s="53"/>
      <c r="H888" s="52" t="str">
        <f>IF(G888="","",IFERROR(VLOOKUP(G888,'Product_Stock_Master产品维护'!$A$2:$E992,2,FALSE()),"SKU not found"))</f>
        <v/>
      </c>
      <c r="I888" s="52" t="str">
        <f>IF(G888="","",IFERROR(VLOOKUP(G888,'Product_Stock_Master产品维护'!$A$2:$E992,3,FALSE()),"Item type not found"))</f>
        <v/>
      </c>
      <c r="J888" s="53"/>
      <c r="K888" s="53"/>
      <c r="L888" s="53"/>
      <c r="M888" s="53"/>
      <c r="N888" s="53"/>
      <c r="O888" s="52" t="str">
        <f t="shared" si="1"/>
        <v/>
      </c>
      <c r="P888" s="53"/>
      <c r="Q888" s="52" t="str">
        <f t="shared" si="9"/>
        <v/>
      </c>
      <c r="R888" s="52" t="str">
        <f t="shared" si="3"/>
        <v/>
      </c>
      <c r="S888" s="52" t="str">
        <f t="shared" si="10"/>
        <v/>
      </c>
      <c r="T888" s="52" t="str">
        <f t="shared" si="5"/>
        <v/>
      </c>
      <c r="U888" s="52"/>
      <c r="V888" s="53"/>
      <c r="W888" s="52" t="str">
        <f t="shared" si="6"/>
        <v/>
      </c>
      <c r="X888" s="52">
        <f t="shared" si="7"/>
        <v>0</v>
      </c>
      <c r="Y888" s="52">
        <f t="shared" si="8"/>
        <v>0</v>
      </c>
      <c r="Z888" s="52" t="str">
        <f>IF(G888="","",IFERROR(VLOOKUP(G888,'Product_Stock_Master产品维护'!$A$2:$L992,11,FALSE),"No"))</f>
        <v/>
      </c>
      <c r="AA888" s="52" t="str">
        <f>IF(G888="","",IFERROR(VLOOKUP(G888,'Product_Stock_Master产品维护'!$A$2:$L992,12,FALSE),""))</f>
        <v/>
      </c>
      <c r="AB888" s="52" t="str">
        <f t="shared" si="11"/>
        <v/>
      </c>
      <c r="AC888" s="52">
        <f t="shared" si="12"/>
        <v>0</v>
      </c>
    </row>
    <row r="889" ht="15.75" customHeight="1">
      <c r="A889" s="171"/>
      <c r="B889" s="171"/>
      <c r="C889" s="53"/>
      <c r="D889" s="53"/>
      <c r="E889" s="53"/>
      <c r="F889" s="53"/>
      <c r="G889" s="53"/>
      <c r="H889" s="52" t="str">
        <f>IF(G889="","",IFERROR(VLOOKUP(G889,'Product_Stock_Master产品维护'!$A$2:$E992,2,FALSE()),"SKU not found"))</f>
        <v/>
      </c>
      <c r="I889" s="52" t="str">
        <f>IF(G889="","",IFERROR(VLOOKUP(G889,'Product_Stock_Master产品维护'!$A$2:$E992,3,FALSE()),"Item type not found"))</f>
        <v/>
      </c>
      <c r="J889" s="53"/>
      <c r="K889" s="53"/>
      <c r="L889" s="53"/>
      <c r="M889" s="53"/>
      <c r="N889" s="53"/>
      <c r="O889" s="52" t="str">
        <f t="shared" si="1"/>
        <v/>
      </c>
      <c r="P889" s="53"/>
      <c r="Q889" s="52" t="str">
        <f t="shared" si="9"/>
        <v/>
      </c>
      <c r="R889" s="52" t="str">
        <f t="shared" si="3"/>
        <v/>
      </c>
      <c r="S889" s="52" t="str">
        <f t="shared" si="10"/>
        <v/>
      </c>
      <c r="T889" s="52" t="str">
        <f t="shared" si="5"/>
        <v/>
      </c>
      <c r="U889" s="52"/>
      <c r="V889" s="53"/>
      <c r="W889" s="52" t="str">
        <f t="shared" si="6"/>
        <v/>
      </c>
      <c r="X889" s="52">
        <f t="shared" si="7"/>
        <v>0</v>
      </c>
      <c r="Y889" s="52">
        <f t="shared" si="8"/>
        <v>0</v>
      </c>
      <c r="Z889" s="52" t="str">
        <f>IF(G889="","",IFERROR(VLOOKUP(G889,'Product_Stock_Master产品维护'!$A$2:$L992,11,FALSE),"No"))</f>
        <v/>
      </c>
      <c r="AA889" s="52" t="str">
        <f>IF(G889="","",IFERROR(VLOOKUP(G889,'Product_Stock_Master产品维护'!$A$2:$L992,12,FALSE),""))</f>
        <v/>
      </c>
      <c r="AB889" s="52" t="str">
        <f t="shared" si="11"/>
        <v/>
      </c>
      <c r="AC889" s="52">
        <f t="shared" si="12"/>
        <v>0</v>
      </c>
    </row>
    <row r="890" ht="15.75" customHeight="1">
      <c r="A890" s="171"/>
      <c r="B890" s="171"/>
      <c r="C890" s="53"/>
      <c r="D890" s="53"/>
      <c r="E890" s="53"/>
      <c r="F890" s="53"/>
      <c r="G890" s="53"/>
      <c r="H890" s="52" t="str">
        <f>IF(G890="","",IFERROR(VLOOKUP(G890,'Product_Stock_Master产品维护'!$A$2:$E992,2,FALSE()),"SKU not found"))</f>
        <v/>
      </c>
      <c r="I890" s="52" t="str">
        <f>IF(G890="","",IFERROR(VLOOKUP(G890,'Product_Stock_Master产品维护'!$A$2:$E992,3,FALSE()),"Item type not found"))</f>
        <v/>
      </c>
      <c r="J890" s="53"/>
      <c r="K890" s="53"/>
      <c r="L890" s="53"/>
      <c r="M890" s="53"/>
      <c r="N890" s="53"/>
      <c r="O890" s="52" t="str">
        <f t="shared" si="1"/>
        <v/>
      </c>
      <c r="P890" s="53"/>
      <c r="Q890" s="52" t="str">
        <f t="shared" si="9"/>
        <v/>
      </c>
      <c r="R890" s="52" t="str">
        <f t="shared" si="3"/>
        <v/>
      </c>
      <c r="S890" s="52" t="str">
        <f t="shared" si="10"/>
        <v/>
      </c>
      <c r="T890" s="52" t="str">
        <f t="shared" si="5"/>
        <v/>
      </c>
      <c r="U890" s="52"/>
      <c r="V890" s="53"/>
      <c r="W890" s="52" t="str">
        <f t="shared" si="6"/>
        <v/>
      </c>
      <c r="X890" s="52">
        <f t="shared" si="7"/>
        <v>0</v>
      </c>
      <c r="Y890" s="52">
        <f t="shared" si="8"/>
        <v>0</v>
      </c>
      <c r="Z890" s="52" t="str">
        <f>IF(G890="","",IFERROR(VLOOKUP(G890,'Product_Stock_Master产品维护'!$A$2:$L992,11,FALSE),"No"))</f>
        <v/>
      </c>
      <c r="AA890" s="52" t="str">
        <f>IF(G890="","",IFERROR(VLOOKUP(G890,'Product_Stock_Master产品维护'!$A$2:$L992,12,FALSE),""))</f>
        <v/>
      </c>
      <c r="AB890" s="52" t="str">
        <f t="shared" si="11"/>
        <v/>
      </c>
      <c r="AC890" s="52">
        <f t="shared" si="12"/>
        <v>0</v>
      </c>
    </row>
    <row r="891" ht="15.75" customHeight="1">
      <c r="A891" s="171"/>
      <c r="B891" s="171"/>
      <c r="C891" s="53"/>
      <c r="D891" s="53"/>
      <c r="E891" s="53"/>
      <c r="F891" s="53"/>
      <c r="G891" s="53"/>
      <c r="H891" s="52" t="str">
        <f>IF(G891="","",IFERROR(VLOOKUP(G891,'Product_Stock_Master产品维护'!$A$2:$E992,2,FALSE()),"SKU not found"))</f>
        <v/>
      </c>
      <c r="I891" s="52" t="str">
        <f>IF(G891="","",IFERROR(VLOOKUP(G891,'Product_Stock_Master产品维护'!$A$2:$E992,3,FALSE()),"Item type not found"))</f>
        <v/>
      </c>
      <c r="J891" s="53"/>
      <c r="K891" s="53"/>
      <c r="L891" s="53"/>
      <c r="M891" s="53"/>
      <c r="N891" s="53"/>
      <c r="O891" s="52" t="str">
        <f t="shared" si="1"/>
        <v/>
      </c>
      <c r="P891" s="53"/>
      <c r="Q891" s="52" t="str">
        <f t="shared" si="9"/>
        <v/>
      </c>
      <c r="R891" s="52" t="str">
        <f t="shared" si="3"/>
        <v/>
      </c>
      <c r="S891" s="52" t="str">
        <f t="shared" si="10"/>
        <v/>
      </c>
      <c r="T891" s="52" t="str">
        <f t="shared" si="5"/>
        <v/>
      </c>
      <c r="U891" s="52"/>
      <c r="V891" s="53"/>
      <c r="W891" s="52" t="str">
        <f t="shared" si="6"/>
        <v/>
      </c>
      <c r="X891" s="52">
        <f t="shared" si="7"/>
        <v>0</v>
      </c>
      <c r="Y891" s="52">
        <f t="shared" si="8"/>
        <v>0</v>
      </c>
      <c r="Z891" s="52" t="str">
        <f>IF(G891="","",IFERROR(VLOOKUP(G891,'Product_Stock_Master产品维护'!$A$2:$L992,11,FALSE),"No"))</f>
        <v/>
      </c>
      <c r="AA891" s="52" t="str">
        <f>IF(G891="","",IFERROR(VLOOKUP(G891,'Product_Stock_Master产品维护'!$A$2:$L992,12,FALSE),""))</f>
        <v/>
      </c>
      <c r="AB891" s="52" t="str">
        <f t="shared" si="11"/>
        <v/>
      </c>
      <c r="AC891" s="52">
        <f t="shared" si="12"/>
        <v>0</v>
      </c>
    </row>
    <row r="892" ht="15.75" customHeight="1">
      <c r="A892" s="171"/>
      <c r="B892" s="171"/>
      <c r="C892" s="53"/>
      <c r="D892" s="53"/>
      <c r="E892" s="53"/>
      <c r="F892" s="53"/>
      <c r="G892" s="53"/>
      <c r="H892" s="52" t="str">
        <f>IF(G892="","",IFERROR(VLOOKUP(G892,'Product_Stock_Master产品维护'!$A$2:$E992,2,FALSE()),"SKU not found"))</f>
        <v/>
      </c>
      <c r="I892" s="52" t="str">
        <f>IF(G892="","",IFERROR(VLOOKUP(G892,'Product_Stock_Master产品维护'!$A$2:$E992,3,FALSE()),"Item type not found"))</f>
        <v/>
      </c>
      <c r="J892" s="53"/>
      <c r="K892" s="53"/>
      <c r="L892" s="53"/>
      <c r="M892" s="53"/>
      <c r="N892" s="53"/>
      <c r="O892" s="52" t="str">
        <f t="shared" si="1"/>
        <v/>
      </c>
      <c r="P892" s="53"/>
      <c r="Q892" s="52" t="str">
        <f t="shared" si="9"/>
        <v/>
      </c>
      <c r="R892" s="52" t="str">
        <f t="shared" si="3"/>
        <v/>
      </c>
      <c r="S892" s="52" t="str">
        <f t="shared" si="10"/>
        <v/>
      </c>
      <c r="T892" s="52" t="str">
        <f t="shared" si="5"/>
        <v/>
      </c>
      <c r="U892" s="52"/>
      <c r="V892" s="53"/>
      <c r="W892" s="52" t="str">
        <f t="shared" si="6"/>
        <v/>
      </c>
      <c r="X892" s="52">
        <f t="shared" si="7"/>
        <v>0</v>
      </c>
      <c r="Y892" s="52">
        <f t="shared" si="8"/>
        <v>0</v>
      </c>
      <c r="Z892" s="52" t="str">
        <f>IF(G892="","",IFERROR(VLOOKUP(G892,'Product_Stock_Master产品维护'!$A$2:$L992,11,FALSE),"No"))</f>
        <v/>
      </c>
      <c r="AA892" s="52" t="str">
        <f>IF(G892="","",IFERROR(VLOOKUP(G892,'Product_Stock_Master产品维护'!$A$2:$L992,12,FALSE),""))</f>
        <v/>
      </c>
      <c r="AB892" s="52" t="str">
        <f t="shared" si="11"/>
        <v/>
      </c>
      <c r="AC892" s="52">
        <f t="shared" si="12"/>
        <v>0</v>
      </c>
    </row>
    <row r="893" ht="15.75" customHeight="1">
      <c r="A893" s="171"/>
      <c r="B893" s="171"/>
      <c r="C893" s="53"/>
      <c r="D893" s="53"/>
      <c r="E893" s="53"/>
      <c r="F893" s="53"/>
      <c r="G893" s="53"/>
      <c r="H893" s="52" t="str">
        <f>IF(G893="","",IFERROR(VLOOKUP(G893,'Product_Stock_Master产品维护'!$A$2:$E992,2,FALSE()),"SKU not found"))</f>
        <v/>
      </c>
      <c r="I893" s="52" t="str">
        <f>IF(G893="","",IFERROR(VLOOKUP(G893,'Product_Stock_Master产品维护'!$A$2:$E992,3,FALSE()),"Item type not found"))</f>
        <v/>
      </c>
      <c r="J893" s="53"/>
      <c r="K893" s="53"/>
      <c r="L893" s="53"/>
      <c r="M893" s="53"/>
      <c r="N893" s="53"/>
      <c r="O893" s="52" t="str">
        <f t="shared" si="1"/>
        <v/>
      </c>
      <c r="P893" s="53"/>
      <c r="Q893" s="52" t="str">
        <f t="shared" si="9"/>
        <v/>
      </c>
      <c r="R893" s="52" t="str">
        <f t="shared" si="3"/>
        <v/>
      </c>
      <c r="S893" s="52" t="str">
        <f t="shared" si="10"/>
        <v/>
      </c>
      <c r="T893" s="52" t="str">
        <f t="shared" si="5"/>
        <v/>
      </c>
      <c r="U893" s="52"/>
      <c r="V893" s="53"/>
      <c r="W893" s="52" t="str">
        <f t="shared" si="6"/>
        <v/>
      </c>
      <c r="X893" s="52">
        <f t="shared" si="7"/>
        <v>0</v>
      </c>
      <c r="Y893" s="52">
        <f t="shared" si="8"/>
        <v>0</v>
      </c>
      <c r="Z893" s="52" t="str">
        <f>IF(G893="","",IFERROR(VLOOKUP(G893,'Product_Stock_Master产品维护'!$A$2:$L992,11,FALSE),"No"))</f>
        <v/>
      </c>
      <c r="AA893" s="52" t="str">
        <f>IF(G893="","",IFERROR(VLOOKUP(G893,'Product_Stock_Master产品维护'!$A$2:$L992,12,FALSE),""))</f>
        <v/>
      </c>
      <c r="AB893" s="52" t="str">
        <f t="shared" si="11"/>
        <v/>
      </c>
      <c r="AC893" s="52">
        <f t="shared" si="12"/>
        <v>0</v>
      </c>
    </row>
    <row r="894" ht="15.75" customHeight="1">
      <c r="A894" s="171"/>
      <c r="B894" s="171"/>
      <c r="C894" s="53"/>
      <c r="D894" s="53"/>
      <c r="E894" s="53"/>
      <c r="F894" s="53"/>
      <c r="G894" s="53"/>
      <c r="H894" s="52" t="str">
        <f>IF(G894="","",IFERROR(VLOOKUP(G894,'Product_Stock_Master产品维护'!$A$2:$E992,2,FALSE()),"SKU not found"))</f>
        <v/>
      </c>
      <c r="I894" s="52" t="str">
        <f>IF(G894="","",IFERROR(VLOOKUP(G894,'Product_Stock_Master产品维护'!$A$2:$E992,3,FALSE()),"Item type not found"))</f>
        <v/>
      </c>
      <c r="J894" s="53"/>
      <c r="K894" s="53"/>
      <c r="L894" s="53"/>
      <c r="M894" s="53"/>
      <c r="N894" s="53"/>
      <c r="O894" s="52" t="str">
        <f t="shared" si="1"/>
        <v/>
      </c>
      <c r="P894" s="53"/>
      <c r="Q894" s="52" t="str">
        <f t="shared" si="9"/>
        <v/>
      </c>
      <c r="R894" s="52" t="str">
        <f t="shared" si="3"/>
        <v/>
      </c>
      <c r="S894" s="52" t="str">
        <f t="shared" si="10"/>
        <v/>
      </c>
      <c r="T894" s="52" t="str">
        <f t="shared" si="5"/>
        <v/>
      </c>
      <c r="U894" s="52"/>
      <c r="V894" s="53"/>
      <c r="W894" s="52" t="str">
        <f t="shared" si="6"/>
        <v/>
      </c>
      <c r="X894" s="52">
        <f t="shared" si="7"/>
        <v>0</v>
      </c>
      <c r="Y894" s="52">
        <f t="shared" si="8"/>
        <v>0</v>
      </c>
      <c r="Z894" s="52" t="str">
        <f>IF(G894="","",IFERROR(VLOOKUP(G894,'Product_Stock_Master产品维护'!$A$2:$L992,11,FALSE),"No"))</f>
        <v/>
      </c>
      <c r="AA894" s="52" t="str">
        <f>IF(G894="","",IFERROR(VLOOKUP(G894,'Product_Stock_Master产品维护'!$A$2:$L992,12,FALSE),""))</f>
        <v/>
      </c>
      <c r="AB894" s="52" t="str">
        <f t="shared" si="11"/>
        <v/>
      </c>
      <c r="AC894" s="52">
        <f t="shared" si="12"/>
        <v>0</v>
      </c>
    </row>
    <row r="895" ht="15.75" customHeight="1">
      <c r="A895" s="171"/>
      <c r="B895" s="171"/>
      <c r="C895" s="53"/>
      <c r="D895" s="53"/>
      <c r="E895" s="53"/>
      <c r="F895" s="53"/>
      <c r="G895" s="53"/>
      <c r="H895" s="52" t="str">
        <f>IF(G895="","",IFERROR(VLOOKUP(G895,'Product_Stock_Master产品维护'!$A$2:$E992,2,FALSE()),"SKU not found"))</f>
        <v/>
      </c>
      <c r="I895" s="52" t="str">
        <f>IF(G895="","",IFERROR(VLOOKUP(G895,'Product_Stock_Master产品维护'!$A$2:$E992,3,FALSE()),"Item type not found"))</f>
        <v/>
      </c>
      <c r="J895" s="53"/>
      <c r="K895" s="53"/>
      <c r="L895" s="53"/>
      <c r="M895" s="53"/>
      <c r="N895" s="53"/>
      <c r="O895" s="52" t="str">
        <f t="shared" si="1"/>
        <v/>
      </c>
      <c r="P895" s="53"/>
      <c r="Q895" s="52" t="str">
        <f t="shared" si="9"/>
        <v/>
      </c>
      <c r="R895" s="52" t="str">
        <f t="shared" si="3"/>
        <v/>
      </c>
      <c r="S895" s="52" t="str">
        <f t="shared" si="10"/>
        <v/>
      </c>
      <c r="T895" s="52" t="str">
        <f t="shared" si="5"/>
        <v/>
      </c>
      <c r="U895" s="52"/>
      <c r="V895" s="53"/>
      <c r="W895" s="52" t="str">
        <f t="shared" si="6"/>
        <v/>
      </c>
      <c r="X895" s="52">
        <f t="shared" si="7"/>
        <v>0</v>
      </c>
      <c r="Y895" s="52">
        <f t="shared" si="8"/>
        <v>0</v>
      </c>
      <c r="Z895" s="52" t="str">
        <f>IF(G895="","",IFERROR(VLOOKUP(G895,'Product_Stock_Master产品维护'!$A$2:$L992,11,FALSE),"No"))</f>
        <v/>
      </c>
      <c r="AA895" s="52" t="str">
        <f>IF(G895="","",IFERROR(VLOOKUP(G895,'Product_Stock_Master产品维护'!$A$2:$L992,12,FALSE),""))</f>
        <v/>
      </c>
      <c r="AB895" s="52" t="str">
        <f t="shared" si="11"/>
        <v/>
      </c>
      <c r="AC895" s="52">
        <f t="shared" si="12"/>
        <v>0</v>
      </c>
    </row>
    <row r="896" ht="15.75" customHeight="1">
      <c r="A896" s="171"/>
      <c r="B896" s="171"/>
      <c r="C896" s="53"/>
      <c r="D896" s="53"/>
      <c r="E896" s="53"/>
      <c r="F896" s="53"/>
      <c r="G896" s="53"/>
      <c r="H896" s="52" t="str">
        <f>IF(G896="","",IFERROR(VLOOKUP(G896,'Product_Stock_Master产品维护'!$A$2:$E992,2,FALSE()),"SKU not found"))</f>
        <v/>
      </c>
      <c r="I896" s="52" t="str">
        <f>IF(G896="","",IFERROR(VLOOKUP(G896,'Product_Stock_Master产品维护'!$A$2:$E992,3,FALSE()),"Item type not found"))</f>
        <v/>
      </c>
      <c r="J896" s="53"/>
      <c r="K896" s="53"/>
      <c r="L896" s="53"/>
      <c r="M896" s="53"/>
      <c r="N896" s="53"/>
      <c r="O896" s="52" t="str">
        <f t="shared" si="1"/>
        <v/>
      </c>
      <c r="P896" s="53"/>
      <c r="Q896" s="52" t="str">
        <f t="shared" si="9"/>
        <v/>
      </c>
      <c r="R896" s="52" t="str">
        <f t="shared" si="3"/>
        <v/>
      </c>
      <c r="S896" s="52" t="str">
        <f t="shared" si="10"/>
        <v/>
      </c>
      <c r="T896" s="52" t="str">
        <f t="shared" si="5"/>
        <v/>
      </c>
      <c r="U896" s="52"/>
      <c r="V896" s="53"/>
      <c r="W896" s="52" t="str">
        <f t="shared" si="6"/>
        <v/>
      </c>
      <c r="X896" s="52">
        <f t="shared" si="7"/>
        <v>0</v>
      </c>
      <c r="Y896" s="52">
        <f t="shared" si="8"/>
        <v>0</v>
      </c>
      <c r="Z896" s="52" t="str">
        <f>IF(G896="","",IFERROR(VLOOKUP(G896,'Product_Stock_Master产品维护'!$A$2:$L992,11,FALSE),"No"))</f>
        <v/>
      </c>
      <c r="AA896" s="52" t="str">
        <f>IF(G896="","",IFERROR(VLOOKUP(G896,'Product_Stock_Master产品维护'!$A$2:$L992,12,FALSE),""))</f>
        <v/>
      </c>
      <c r="AB896" s="52" t="str">
        <f t="shared" si="11"/>
        <v/>
      </c>
      <c r="AC896" s="52">
        <f t="shared" si="12"/>
        <v>0</v>
      </c>
    </row>
    <row r="897" ht="15.75" customHeight="1">
      <c r="A897" s="171"/>
      <c r="B897" s="171"/>
      <c r="C897" s="53"/>
      <c r="D897" s="53"/>
      <c r="E897" s="53"/>
      <c r="F897" s="53"/>
      <c r="G897" s="53"/>
      <c r="H897" s="52" t="str">
        <f>IF(G897="","",IFERROR(VLOOKUP(G897,'Product_Stock_Master产品维护'!$A$2:$E992,2,FALSE()),"SKU not found"))</f>
        <v/>
      </c>
      <c r="I897" s="52" t="str">
        <f>IF(G897="","",IFERROR(VLOOKUP(G897,'Product_Stock_Master产品维护'!$A$2:$E992,3,FALSE()),"Item type not found"))</f>
        <v/>
      </c>
      <c r="J897" s="53"/>
      <c r="K897" s="53"/>
      <c r="L897" s="53"/>
      <c r="M897" s="53"/>
      <c r="N897" s="53"/>
      <c r="O897" s="52" t="str">
        <f t="shared" si="1"/>
        <v/>
      </c>
      <c r="P897" s="53"/>
      <c r="Q897" s="52" t="str">
        <f t="shared" si="9"/>
        <v/>
      </c>
      <c r="R897" s="52" t="str">
        <f t="shared" si="3"/>
        <v/>
      </c>
      <c r="S897" s="52" t="str">
        <f t="shared" si="10"/>
        <v/>
      </c>
      <c r="T897" s="52" t="str">
        <f t="shared" si="5"/>
        <v/>
      </c>
      <c r="U897" s="52"/>
      <c r="V897" s="53"/>
      <c r="W897" s="52" t="str">
        <f t="shared" si="6"/>
        <v/>
      </c>
      <c r="X897" s="52">
        <f t="shared" si="7"/>
        <v>0</v>
      </c>
      <c r="Y897" s="52">
        <f t="shared" si="8"/>
        <v>0</v>
      </c>
      <c r="Z897" s="52" t="str">
        <f>IF(G897="","",IFERROR(VLOOKUP(G897,'Product_Stock_Master产品维护'!$A$2:$L992,11,FALSE),"No"))</f>
        <v/>
      </c>
      <c r="AA897" s="52" t="str">
        <f>IF(G897="","",IFERROR(VLOOKUP(G897,'Product_Stock_Master产品维护'!$A$2:$L992,12,FALSE),""))</f>
        <v/>
      </c>
      <c r="AB897" s="52" t="str">
        <f t="shared" si="11"/>
        <v/>
      </c>
      <c r="AC897" s="52">
        <f t="shared" si="12"/>
        <v>0</v>
      </c>
    </row>
    <row r="898" ht="15.75" customHeight="1">
      <c r="A898" s="171"/>
      <c r="B898" s="171"/>
      <c r="C898" s="53"/>
      <c r="D898" s="53"/>
      <c r="E898" s="53"/>
      <c r="F898" s="53"/>
      <c r="G898" s="53"/>
      <c r="H898" s="52" t="str">
        <f>IF(G898="","",IFERROR(VLOOKUP(G898,'Product_Stock_Master产品维护'!$A$2:$E992,2,FALSE()),"SKU not found"))</f>
        <v/>
      </c>
      <c r="I898" s="52" t="str">
        <f>IF(G898="","",IFERROR(VLOOKUP(G898,'Product_Stock_Master产品维护'!$A$2:$E992,3,FALSE()),"Item type not found"))</f>
        <v/>
      </c>
      <c r="J898" s="53"/>
      <c r="K898" s="53"/>
      <c r="L898" s="53"/>
      <c r="M898" s="53"/>
      <c r="N898" s="53"/>
      <c r="O898" s="52" t="str">
        <f t="shared" si="1"/>
        <v/>
      </c>
      <c r="P898" s="53"/>
      <c r="Q898" s="52" t="str">
        <f t="shared" si="9"/>
        <v/>
      </c>
      <c r="R898" s="52" t="str">
        <f t="shared" si="3"/>
        <v/>
      </c>
      <c r="S898" s="52" t="str">
        <f t="shared" si="10"/>
        <v/>
      </c>
      <c r="T898" s="52" t="str">
        <f t="shared" si="5"/>
        <v/>
      </c>
      <c r="U898" s="52"/>
      <c r="V898" s="53"/>
      <c r="W898" s="52" t="str">
        <f t="shared" si="6"/>
        <v/>
      </c>
      <c r="X898" s="52">
        <f t="shared" si="7"/>
        <v>0</v>
      </c>
      <c r="Y898" s="52">
        <f t="shared" si="8"/>
        <v>0</v>
      </c>
      <c r="Z898" s="52" t="str">
        <f>IF(G898="","",IFERROR(VLOOKUP(G898,'Product_Stock_Master产品维护'!$A$2:$L992,11,FALSE),"No"))</f>
        <v/>
      </c>
      <c r="AA898" s="52" t="str">
        <f>IF(G898="","",IFERROR(VLOOKUP(G898,'Product_Stock_Master产品维护'!$A$2:$L992,12,FALSE),""))</f>
        <v/>
      </c>
      <c r="AB898" s="52" t="str">
        <f t="shared" si="11"/>
        <v/>
      </c>
      <c r="AC898" s="52">
        <f t="shared" si="12"/>
        <v>0</v>
      </c>
    </row>
    <row r="899" ht="15.75" customHeight="1">
      <c r="A899" s="171"/>
      <c r="B899" s="171"/>
      <c r="C899" s="53"/>
      <c r="D899" s="53"/>
      <c r="E899" s="53"/>
      <c r="F899" s="53"/>
      <c r="G899" s="53"/>
      <c r="H899" s="52" t="str">
        <f>IF(G899="","",IFERROR(VLOOKUP(G899,'Product_Stock_Master产品维护'!$A$2:$E992,2,FALSE()),"SKU not found"))</f>
        <v/>
      </c>
      <c r="I899" s="52" t="str">
        <f>IF(G899="","",IFERROR(VLOOKUP(G899,'Product_Stock_Master产品维护'!$A$2:$E992,3,FALSE()),"Item type not found"))</f>
        <v/>
      </c>
      <c r="J899" s="53"/>
      <c r="K899" s="53"/>
      <c r="L899" s="53"/>
      <c r="M899" s="53"/>
      <c r="N899" s="53"/>
      <c r="O899" s="52" t="str">
        <f t="shared" si="1"/>
        <v/>
      </c>
      <c r="P899" s="53"/>
      <c r="Q899" s="52" t="str">
        <f t="shared" si="9"/>
        <v/>
      </c>
      <c r="R899" s="52" t="str">
        <f t="shared" si="3"/>
        <v/>
      </c>
      <c r="S899" s="52" t="str">
        <f t="shared" si="10"/>
        <v/>
      </c>
      <c r="T899" s="52" t="str">
        <f t="shared" si="5"/>
        <v/>
      </c>
      <c r="U899" s="52"/>
      <c r="V899" s="53"/>
      <c r="W899" s="52" t="str">
        <f t="shared" si="6"/>
        <v/>
      </c>
      <c r="X899" s="52">
        <f t="shared" si="7"/>
        <v>0</v>
      </c>
      <c r="Y899" s="52">
        <f t="shared" si="8"/>
        <v>0</v>
      </c>
      <c r="Z899" s="52" t="str">
        <f>IF(G899="","",IFERROR(VLOOKUP(G899,'Product_Stock_Master产品维护'!$A$2:$L992,11,FALSE),"No"))</f>
        <v/>
      </c>
      <c r="AA899" s="52" t="str">
        <f>IF(G899="","",IFERROR(VLOOKUP(G899,'Product_Stock_Master产品维护'!$A$2:$L992,12,FALSE),""))</f>
        <v/>
      </c>
      <c r="AB899" s="52" t="str">
        <f t="shared" si="11"/>
        <v/>
      </c>
      <c r="AC899" s="52">
        <f t="shared" si="12"/>
        <v>0</v>
      </c>
    </row>
    <row r="900" ht="15.75" customHeight="1">
      <c r="A900" s="171"/>
      <c r="B900" s="171"/>
      <c r="C900" s="53"/>
      <c r="D900" s="53"/>
      <c r="E900" s="53"/>
      <c r="F900" s="53"/>
      <c r="G900" s="53"/>
      <c r="H900" s="52" t="str">
        <f>IF(G900="","",IFERROR(VLOOKUP(G900,'Product_Stock_Master产品维护'!$A$2:$E992,2,FALSE()),"SKU not found"))</f>
        <v/>
      </c>
      <c r="I900" s="52" t="str">
        <f>IF(G900="","",IFERROR(VLOOKUP(G900,'Product_Stock_Master产品维护'!$A$2:$E992,3,FALSE()),"Item type not found"))</f>
        <v/>
      </c>
      <c r="J900" s="53"/>
      <c r="K900" s="53"/>
      <c r="L900" s="53"/>
      <c r="M900" s="53"/>
      <c r="N900" s="53"/>
      <c r="O900" s="52" t="str">
        <f t="shared" si="1"/>
        <v/>
      </c>
      <c r="P900" s="53"/>
      <c r="Q900" s="52" t="str">
        <f t="shared" si="9"/>
        <v/>
      </c>
      <c r="R900" s="52" t="str">
        <f t="shared" si="3"/>
        <v/>
      </c>
      <c r="S900" s="52" t="str">
        <f t="shared" si="10"/>
        <v/>
      </c>
      <c r="T900" s="52" t="str">
        <f t="shared" si="5"/>
        <v/>
      </c>
      <c r="U900" s="52"/>
      <c r="V900" s="53"/>
      <c r="W900" s="52" t="str">
        <f t="shared" si="6"/>
        <v/>
      </c>
      <c r="X900" s="52">
        <f t="shared" si="7"/>
        <v>0</v>
      </c>
      <c r="Y900" s="52">
        <f t="shared" si="8"/>
        <v>0</v>
      </c>
      <c r="Z900" s="52" t="str">
        <f>IF(G900="","",IFERROR(VLOOKUP(G900,'Product_Stock_Master产品维护'!$A$2:$L992,11,FALSE),"No"))</f>
        <v/>
      </c>
      <c r="AA900" s="52" t="str">
        <f>IF(G900="","",IFERROR(VLOOKUP(G900,'Product_Stock_Master产品维护'!$A$2:$L992,12,FALSE),""))</f>
        <v/>
      </c>
      <c r="AB900" s="52" t="str">
        <f t="shared" si="11"/>
        <v/>
      </c>
      <c r="AC900" s="52">
        <f t="shared" si="12"/>
        <v>0</v>
      </c>
    </row>
    <row r="901" ht="15.75" customHeight="1">
      <c r="A901" s="171"/>
      <c r="B901" s="171"/>
      <c r="C901" s="53"/>
      <c r="D901" s="53"/>
      <c r="E901" s="53"/>
      <c r="F901" s="53"/>
      <c r="G901" s="53"/>
      <c r="H901" s="52" t="str">
        <f>IF(G901="","",IFERROR(VLOOKUP(G901,'Product_Stock_Master产品维护'!$A$2:$E992,2,FALSE()),"SKU not found"))</f>
        <v/>
      </c>
      <c r="I901" s="52" t="str">
        <f>IF(G901="","",IFERROR(VLOOKUP(G901,'Product_Stock_Master产品维护'!$A$2:$E992,3,FALSE()),"Item type not found"))</f>
        <v/>
      </c>
      <c r="J901" s="53"/>
      <c r="K901" s="53"/>
      <c r="L901" s="53"/>
      <c r="M901" s="53"/>
      <c r="N901" s="53"/>
      <c r="O901" s="52" t="str">
        <f t="shared" si="1"/>
        <v/>
      </c>
      <c r="P901" s="53"/>
      <c r="Q901" s="52" t="str">
        <f t="shared" si="9"/>
        <v/>
      </c>
      <c r="R901" s="52" t="str">
        <f t="shared" si="3"/>
        <v/>
      </c>
      <c r="S901" s="52" t="str">
        <f t="shared" si="10"/>
        <v/>
      </c>
      <c r="T901" s="52" t="str">
        <f t="shared" si="5"/>
        <v/>
      </c>
      <c r="U901" s="52"/>
      <c r="V901" s="53"/>
      <c r="W901" s="52" t="str">
        <f t="shared" si="6"/>
        <v/>
      </c>
      <c r="X901" s="52">
        <f t="shared" si="7"/>
        <v>0</v>
      </c>
      <c r="Y901" s="52">
        <f t="shared" si="8"/>
        <v>0</v>
      </c>
      <c r="Z901" s="52" t="str">
        <f>IF(G901="","",IFERROR(VLOOKUP(G901,'Product_Stock_Master产品维护'!$A$2:$L992,11,FALSE),"No"))</f>
        <v/>
      </c>
      <c r="AA901" s="52" t="str">
        <f>IF(G901="","",IFERROR(VLOOKUP(G901,'Product_Stock_Master产品维护'!$A$2:$L992,12,FALSE),""))</f>
        <v/>
      </c>
      <c r="AB901" s="52" t="str">
        <f t="shared" si="11"/>
        <v/>
      </c>
      <c r="AC901" s="52">
        <f t="shared" si="12"/>
        <v>0</v>
      </c>
    </row>
    <row r="902" ht="15.75" customHeight="1">
      <c r="A902" s="171"/>
      <c r="B902" s="171"/>
      <c r="C902" s="53"/>
      <c r="D902" s="53"/>
      <c r="E902" s="53"/>
      <c r="F902" s="53"/>
      <c r="G902" s="53"/>
      <c r="H902" s="52" t="str">
        <f>IF(G902="","",IFERROR(VLOOKUP(G902,'Product_Stock_Master产品维护'!$A$2:$E992,2,FALSE()),"SKU not found"))</f>
        <v/>
      </c>
      <c r="I902" s="52" t="str">
        <f>IF(G902="","",IFERROR(VLOOKUP(G902,'Product_Stock_Master产品维护'!$A$2:$E992,3,FALSE()),"Item type not found"))</f>
        <v/>
      </c>
      <c r="J902" s="53"/>
      <c r="K902" s="53"/>
      <c r="L902" s="53"/>
      <c r="M902" s="53"/>
      <c r="N902" s="53"/>
      <c r="O902" s="52" t="str">
        <f t="shared" si="1"/>
        <v/>
      </c>
      <c r="P902" s="53"/>
      <c r="Q902" s="52" t="str">
        <f t="shared" si="9"/>
        <v/>
      </c>
      <c r="R902" s="52" t="str">
        <f t="shared" si="3"/>
        <v/>
      </c>
      <c r="S902" s="52" t="str">
        <f t="shared" si="10"/>
        <v/>
      </c>
      <c r="T902" s="52" t="str">
        <f t="shared" si="5"/>
        <v/>
      </c>
      <c r="U902" s="52"/>
      <c r="V902" s="53"/>
      <c r="W902" s="52" t="str">
        <f t="shared" si="6"/>
        <v/>
      </c>
      <c r="X902" s="52">
        <f t="shared" si="7"/>
        <v>0</v>
      </c>
      <c r="Y902" s="52">
        <f t="shared" si="8"/>
        <v>0</v>
      </c>
      <c r="Z902" s="52" t="str">
        <f>IF(G902="","",IFERROR(VLOOKUP(G902,'Product_Stock_Master产品维护'!$A$2:$L992,11,FALSE),"No"))</f>
        <v/>
      </c>
      <c r="AA902" s="52" t="str">
        <f>IF(G902="","",IFERROR(VLOOKUP(G902,'Product_Stock_Master产品维护'!$A$2:$L992,12,FALSE),""))</f>
        <v/>
      </c>
      <c r="AB902" s="52" t="str">
        <f t="shared" si="11"/>
        <v/>
      </c>
      <c r="AC902" s="52">
        <f t="shared" si="12"/>
        <v>0</v>
      </c>
    </row>
    <row r="903" ht="15.75" customHeight="1">
      <c r="A903" s="171"/>
      <c r="B903" s="171"/>
      <c r="C903" s="53"/>
      <c r="D903" s="53"/>
      <c r="E903" s="53"/>
      <c r="F903" s="53"/>
      <c r="G903" s="53"/>
      <c r="H903" s="52" t="str">
        <f>IF(G903="","",IFERROR(VLOOKUP(G903,'Product_Stock_Master产品维护'!$A$2:$E992,2,FALSE()),"SKU not found"))</f>
        <v/>
      </c>
      <c r="I903" s="52" t="str">
        <f>IF(G903="","",IFERROR(VLOOKUP(G903,'Product_Stock_Master产品维护'!$A$2:$E992,3,FALSE()),"Item type not found"))</f>
        <v/>
      </c>
      <c r="J903" s="53"/>
      <c r="K903" s="53"/>
      <c r="L903" s="53"/>
      <c r="M903" s="53"/>
      <c r="N903" s="53"/>
      <c r="O903" s="52" t="str">
        <f t="shared" si="1"/>
        <v/>
      </c>
      <c r="P903" s="53"/>
      <c r="Q903" s="52" t="str">
        <f t="shared" si="9"/>
        <v/>
      </c>
      <c r="R903" s="52" t="str">
        <f t="shared" si="3"/>
        <v/>
      </c>
      <c r="S903" s="52" t="str">
        <f t="shared" si="10"/>
        <v/>
      </c>
      <c r="T903" s="52" t="str">
        <f t="shared" si="5"/>
        <v/>
      </c>
      <c r="U903" s="52"/>
      <c r="V903" s="53"/>
      <c r="W903" s="52" t="str">
        <f t="shared" si="6"/>
        <v/>
      </c>
      <c r="X903" s="52">
        <f t="shared" si="7"/>
        <v>0</v>
      </c>
      <c r="Y903" s="52">
        <f t="shared" si="8"/>
        <v>0</v>
      </c>
      <c r="Z903" s="52" t="str">
        <f>IF(G903="","",IFERROR(VLOOKUP(G903,'Product_Stock_Master产品维护'!$A$2:$L992,11,FALSE),"No"))</f>
        <v/>
      </c>
      <c r="AA903" s="52" t="str">
        <f>IF(G903="","",IFERROR(VLOOKUP(G903,'Product_Stock_Master产品维护'!$A$2:$L992,12,FALSE),""))</f>
        <v/>
      </c>
      <c r="AB903" s="52" t="str">
        <f t="shared" si="11"/>
        <v/>
      </c>
      <c r="AC903" s="52">
        <f t="shared" si="12"/>
        <v>0</v>
      </c>
    </row>
    <row r="904" ht="15.75" customHeight="1">
      <c r="A904" s="171"/>
      <c r="B904" s="171"/>
      <c r="C904" s="53"/>
      <c r="D904" s="53"/>
      <c r="E904" s="53"/>
      <c r="F904" s="53"/>
      <c r="G904" s="53"/>
      <c r="H904" s="52" t="str">
        <f>IF(G904="","",IFERROR(VLOOKUP(G904,'Product_Stock_Master产品维护'!$A$2:$E992,2,FALSE()),"SKU not found"))</f>
        <v/>
      </c>
      <c r="I904" s="52" t="str">
        <f>IF(G904="","",IFERROR(VLOOKUP(G904,'Product_Stock_Master产品维护'!$A$2:$E992,3,FALSE()),"Item type not found"))</f>
        <v/>
      </c>
      <c r="J904" s="53"/>
      <c r="K904" s="53"/>
      <c r="L904" s="53"/>
      <c r="M904" s="53"/>
      <c r="N904" s="53"/>
      <c r="O904" s="52" t="str">
        <f t="shared" si="1"/>
        <v/>
      </c>
      <c r="P904" s="53"/>
      <c r="Q904" s="52" t="str">
        <f t="shared" si="9"/>
        <v/>
      </c>
      <c r="R904" s="52" t="str">
        <f t="shared" si="3"/>
        <v/>
      </c>
      <c r="S904" s="52" t="str">
        <f t="shared" si="10"/>
        <v/>
      </c>
      <c r="T904" s="52" t="str">
        <f t="shared" si="5"/>
        <v/>
      </c>
      <c r="U904" s="52"/>
      <c r="V904" s="53"/>
      <c r="W904" s="52" t="str">
        <f t="shared" si="6"/>
        <v/>
      </c>
      <c r="X904" s="52">
        <f t="shared" si="7"/>
        <v>0</v>
      </c>
      <c r="Y904" s="52">
        <f t="shared" si="8"/>
        <v>0</v>
      </c>
      <c r="Z904" s="52" t="str">
        <f>IF(G904="","",IFERROR(VLOOKUP(G904,'Product_Stock_Master产品维护'!$A$2:$L992,11,FALSE),"No"))</f>
        <v/>
      </c>
      <c r="AA904" s="52" t="str">
        <f>IF(G904="","",IFERROR(VLOOKUP(G904,'Product_Stock_Master产品维护'!$A$2:$L992,12,FALSE),""))</f>
        <v/>
      </c>
      <c r="AB904" s="52" t="str">
        <f t="shared" si="11"/>
        <v/>
      </c>
      <c r="AC904" s="52">
        <f t="shared" si="12"/>
        <v>0</v>
      </c>
    </row>
    <row r="905" ht="15.75" customHeight="1">
      <c r="A905" s="171"/>
      <c r="B905" s="171"/>
      <c r="C905" s="53"/>
      <c r="D905" s="53"/>
      <c r="E905" s="53"/>
      <c r="F905" s="53"/>
      <c r="G905" s="53"/>
      <c r="H905" s="52" t="str">
        <f>IF(G905="","",IFERROR(VLOOKUP(G905,'Product_Stock_Master产品维护'!$A$2:$E992,2,FALSE()),"SKU not found"))</f>
        <v/>
      </c>
      <c r="I905" s="52" t="str">
        <f>IF(G905="","",IFERROR(VLOOKUP(G905,'Product_Stock_Master产品维护'!$A$2:$E992,3,FALSE()),"Item type not found"))</f>
        <v/>
      </c>
      <c r="J905" s="53"/>
      <c r="K905" s="53"/>
      <c r="L905" s="53"/>
      <c r="M905" s="53"/>
      <c r="N905" s="53"/>
      <c r="O905" s="52" t="str">
        <f t="shared" si="1"/>
        <v/>
      </c>
      <c r="P905" s="53"/>
      <c r="Q905" s="52" t="str">
        <f t="shared" si="9"/>
        <v/>
      </c>
      <c r="R905" s="52" t="str">
        <f t="shared" si="3"/>
        <v/>
      </c>
      <c r="S905" s="52" t="str">
        <f t="shared" si="10"/>
        <v/>
      </c>
      <c r="T905" s="52" t="str">
        <f t="shared" si="5"/>
        <v/>
      </c>
      <c r="U905" s="52"/>
      <c r="V905" s="53"/>
      <c r="W905" s="52" t="str">
        <f t="shared" si="6"/>
        <v/>
      </c>
      <c r="X905" s="52">
        <f t="shared" si="7"/>
        <v>0</v>
      </c>
      <c r="Y905" s="52">
        <f t="shared" si="8"/>
        <v>0</v>
      </c>
      <c r="Z905" s="52" t="str">
        <f>IF(G905="","",IFERROR(VLOOKUP(G905,'Product_Stock_Master产品维护'!$A$2:$L992,11,FALSE),"No"))</f>
        <v/>
      </c>
      <c r="AA905" s="52" t="str">
        <f>IF(G905="","",IFERROR(VLOOKUP(G905,'Product_Stock_Master产品维护'!$A$2:$L992,12,FALSE),""))</f>
        <v/>
      </c>
      <c r="AB905" s="52" t="str">
        <f t="shared" si="11"/>
        <v/>
      </c>
      <c r="AC905" s="52">
        <f t="shared" si="12"/>
        <v>0</v>
      </c>
    </row>
    <row r="906" ht="15.75" customHeight="1">
      <c r="A906" s="171"/>
      <c r="B906" s="171"/>
      <c r="C906" s="53"/>
      <c r="D906" s="53"/>
      <c r="E906" s="53"/>
      <c r="F906" s="53"/>
      <c r="G906" s="53"/>
      <c r="H906" s="52" t="str">
        <f>IF(G906="","",IFERROR(VLOOKUP(G906,'Product_Stock_Master产品维护'!$A$2:$E992,2,FALSE()),"SKU not found"))</f>
        <v/>
      </c>
      <c r="I906" s="52" t="str">
        <f>IF(G906="","",IFERROR(VLOOKUP(G906,'Product_Stock_Master产品维护'!$A$2:$E992,3,FALSE()),"Item type not found"))</f>
        <v/>
      </c>
      <c r="J906" s="53"/>
      <c r="K906" s="53"/>
      <c r="L906" s="53"/>
      <c r="M906" s="53"/>
      <c r="N906" s="53"/>
      <c r="O906" s="52" t="str">
        <f t="shared" si="1"/>
        <v/>
      </c>
      <c r="P906" s="53"/>
      <c r="Q906" s="52" t="str">
        <f t="shared" si="9"/>
        <v/>
      </c>
      <c r="R906" s="52" t="str">
        <f t="shared" si="3"/>
        <v/>
      </c>
      <c r="S906" s="52" t="str">
        <f t="shared" si="10"/>
        <v/>
      </c>
      <c r="T906" s="52" t="str">
        <f t="shared" si="5"/>
        <v/>
      </c>
      <c r="U906" s="52"/>
      <c r="V906" s="53"/>
      <c r="W906" s="52" t="str">
        <f t="shared" si="6"/>
        <v/>
      </c>
      <c r="X906" s="52">
        <f t="shared" si="7"/>
        <v>0</v>
      </c>
      <c r="Y906" s="52">
        <f t="shared" si="8"/>
        <v>0</v>
      </c>
      <c r="Z906" s="52" t="str">
        <f>IF(G906="","",IFERROR(VLOOKUP(G906,'Product_Stock_Master产品维护'!$A$2:$L992,11,FALSE),"No"))</f>
        <v/>
      </c>
      <c r="AA906" s="52" t="str">
        <f>IF(G906="","",IFERROR(VLOOKUP(G906,'Product_Stock_Master产品维护'!$A$2:$L992,12,FALSE),""))</f>
        <v/>
      </c>
      <c r="AB906" s="52" t="str">
        <f t="shared" si="11"/>
        <v/>
      </c>
      <c r="AC906" s="52">
        <f t="shared" si="12"/>
        <v>0</v>
      </c>
    </row>
    <row r="907" ht="15.75" customHeight="1">
      <c r="A907" s="171"/>
      <c r="B907" s="171"/>
      <c r="C907" s="53"/>
      <c r="D907" s="53"/>
      <c r="E907" s="53"/>
      <c r="F907" s="53"/>
      <c r="G907" s="53"/>
      <c r="H907" s="52" t="str">
        <f>IF(G907="","",IFERROR(VLOOKUP(G907,'Product_Stock_Master产品维护'!$A$2:$E992,2,FALSE()),"SKU not found"))</f>
        <v/>
      </c>
      <c r="I907" s="52" t="str">
        <f>IF(G907="","",IFERROR(VLOOKUP(G907,'Product_Stock_Master产品维护'!$A$2:$E992,3,FALSE()),"Item type not found"))</f>
        <v/>
      </c>
      <c r="J907" s="53"/>
      <c r="K907" s="53"/>
      <c r="L907" s="53"/>
      <c r="M907" s="53"/>
      <c r="N907" s="53"/>
      <c r="O907" s="52" t="str">
        <f t="shared" si="1"/>
        <v/>
      </c>
      <c r="P907" s="53"/>
      <c r="Q907" s="52" t="str">
        <f t="shared" si="9"/>
        <v/>
      </c>
      <c r="R907" s="52" t="str">
        <f t="shared" si="3"/>
        <v/>
      </c>
      <c r="S907" s="52" t="str">
        <f t="shared" si="10"/>
        <v/>
      </c>
      <c r="T907" s="52" t="str">
        <f t="shared" si="5"/>
        <v/>
      </c>
      <c r="U907" s="52"/>
      <c r="V907" s="53"/>
      <c r="W907" s="52" t="str">
        <f t="shared" si="6"/>
        <v/>
      </c>
      <c r="X907" s="52">
        <f t="shared" si="7"/>
        <v>0</v>
      </c>
      <c r="Y907" s="52">
        <f t="shared" si="8"/>
        <v>0</v>
      </c>
      <c r="Z907" s="52" t="str">
        <f>IF(G907="","",IFERROR(VLOOKUP(G907,'Product_Stock_Master产品维护'!$A$2:$L992,11,FALSE),"No"))</f>
        <v/>
      </c>
      <c r="AA907" s="52" t="str">
        <f>IF(G907="","",IFERROR(VLOOKUP(G907,'Product_Stock_Master产品维护'!$A$2:$L992,12,FALSE),""))</f>
        <v/>
      </c>
      <c r="AB907" s="52" t="str">
        <f t="shared" si="11"/>
        <v/>
      </c>
      <c r="AC907" s="52">
        <f t="shared" si="12"/>
        <v>0</v>
      </c>
    </row>
    <row r="908" ht="15.75" customHeight="1">
      <c r="A908" s="171"/>
      <c r="B908" s="171"/>
      <c r="C908" s="53"/>
      <c r="D908" s="53"/>
      <c r="E908" s="53"/>
      <c r="F908" s="53"/>
      <c r="G908" s="53"/>
      <c r="H908" s="52" t="str">
        <f>IF(G908="","",IFERROR(VLOOKUP(G908,'Product_Stock_Master产品维护'!$A$2:$E992,2,FALSE()),"SKU not found"))</f>
        <v/>
      </c>
      <c r="I908" s="52" t="str">
        <f>IF(G908="","",IFERROR(VLOOKUP(G908,'Product_Stock_Master产品维护'!$A$2:$E992,3,FALSE()),"Item type not found"))</f>
        <v/>
      </c>
      <c r="J908" s="53"/>
      <c r="K908" s="53"/>
      <c r="L908" s="53"/>
      <c r="M908" s="53"/>
      <c r="N908" s="53"/>
      <c r="O908" s="52" t="str">
        <f t="shared" si="1"/>
        <v/>
      </c>
      <c r="P908" s="53"/>
      <c r="Q908" s="52" t="str">
        <f t="shared" si="9"/>
        <v/>
      </c>
      <c r="R908" s="52" t="str">
        <f t="shared" si="3"/>
        <v/>
      </c>
      <c r="S908" s="52" t="str">
        <f t="shared" si="10"/>
        <v/>
      </c>
      <c r="T908" s="52" t="str">
        <f t="shared" si="5"/>
        <v/>
      </c>
      <c r="U908" s="52"/>
      <c r="V908" s="53"/>
      <c r="W908" s="52" t="str">
        <f t="shared" si="6"/>
        <v/>
      </c>
      <c r="X908" s="52">
        <f t="shared" si="7"/>
        <v>0</v>
      </c>
      <c r="Y908" s="52">
        <f t="shared" si="8"/>
        <v>0</v>
      </c>
      <c r="Z908" s="52" t="str">
        <f>IF(G908="","",IFERROR(VLOOKUP(G908,'Product_Stock_Master产品维护'!$A$2:$L992,11,FALSE),"No"))</f>
        <v/>
      </c>
      <c r="AA908" s="52" t="str">
        <f>IF(G908="","",IFERROR(VLOOKUP(G908,'Product_Stock_Master产品维护'!$A$2:$L992,12,FALSE),""))</f>
        <v/>
      </c>
      <c r="AB908" s="52" t="str">
        <f t="shared" si="11"/>
        <v/>
      </c>
      <c r="AC908" s="52">
        <f t="shared" si="12"/>
        <v>0</v>
      </c>
    </row>
    <row r="909" ht="15.75" customHeight="1">
      <c r="A909" s="171"/>
      <c r="B909" s="171"/>
      <c r="C909" s="53"/>
      <c r="D909" s="53"/>
      <c r="E909" s="53"/>
      <c r="F909" s="53"/>
      <c r="G909" s="53"/>
      <c r="H909" s="52" t="str">
        <f>IF(G909="","",IFERROR(VLOOKUP(G909,'Product_Stock_Master产品维护'!$A$2:$E992,2,FALSE()),"SKU not found"))</f>
        <v/>
      </c>
      <c r="I909" s="52" t="str">
        <f>IF(G909="","",IFERROR(VLOOKUP(G909,'Product_Stock_Master产品维护'!$A$2:$E992,3,FALSE()),"Item type not found"))</f>
        <v/>
      </c>
      <c r="J909" s="53"/>
      <c r="K909" s="53"/>
      <c r="L909" s="53"/>
      <c r="M909" s="53"/>
      <c r="N909" s="53"/>
      <c r="O909" s="52" t="str">
        <f t="shared" si="1"/>
        <v/>
      </c>
      <c r="P909" s="53"/>
      <c r="Q909" s="52" t="str">
        <f t="shared" si="9"/>
        <v/>
      </c>
      <c r="R909" s="52" t="str">
        <f t="shared" si="3"/>
        <v/>
      </c>
      <c r="S909" s="52" t="str">
        <f t="shared" si="10"/>
        <v/>
      </c>
      <c r="T909" s="52" t="str">
        <f t="shared" si="5"/>
        <v/>
      </c>
      <c r="U909" s="52"/>
      <c r="V909" s="53"/>
      <c r="W909" s="52" t="str">
        <f t="shared" si="6"/>
        <v/>
      </c>
      <c r="X909" s="52">
        <f t="shared" si="7"/>
        <v>0</v>
      </c>
      <c r="Y909" s="52">
        <f t="shared" si="8"/>
        <v>0</v>
      </c>
      <c r="Z909" s="52" t="str">
        <f>IF(G909="","",IFERROR(VLOOKUP(G909,'Product_Stock_Master产品维护'!$A$2:$L992,11,FALSE),"No"))</f>
        <v/>
      </c>
      <c r="AA909" s="52" t="str">
        <f>IF(G909="","",IFERROR(VLOOKUP(G909,'Product_Stock_Master产品维护'!$A$2:$L992,12,FALSE),""))</f>
        <v/>
      </c>
      <c r="AB909" s="52" t="str">
        <f t="shared" si="11"/>
        <v/>
      </c>
      <c r="AC909" s="52">
        <f t="shared" si="12"/>
        <v>0</v>
      </c>
    </row>
    <row r="910" ht="15.75" customHeight="1">
      <c r="A910" s="171"/>
      <c r="B910" s="171"/>
      <c r="C910" s="53"/>
      <c r="D910" s="53"/>
      <c r="E910" s="53"/>
      <c r="F910" s="53"/>
      <c r="G910" s="53"/>
      <c r="H910" s="52" t="str">
        <f>IF(G910="","",IFERROR(VLOOKUP(G910,'Product_Stock_Master产品维护'!$A$2:$E992,2,FALSE()),"SKU not found"))</f>
        <v/>
      </c>
      <c r="I910" s="52" t="str">
        <f>IF(G910="","",IFERROR(VLOOKUP(G910,'Product_Stock_Master产品维护'!$A$2:$E992,3,FALSE()),"Item type not found"))</f>
        <v/>
      </c>
      <c r="J910" s="53"/>
      <c r="K910" s="53"/>
      <c r="L910" s="53"/>
      <c r="M910" s="53"/>
      <c r="N910" s="53"/>
      <c r="O910" s="52" t="str">
        <f t="shared" si="1"/>
        <v/>
      </c>
      <c r="P910" s="53"/>
      <c r="Q910" s="52" t="str">
        <f t="shared" si="9"/>
        <v/>
      </c>
      <c r="R910" s="52" t="str">
        <f t="shared" si="3"/>
        <v/>
      </c>
      <c r="S910" s="52" t="str">
        <f t="shared" si="10"/>
        <v/>
      </c>
      <c r="T910" s="52" t="str">
        <f t="shared" si="5"/>
        <v/>
      </c>
      <c r="U910" s="52"/>
      <c r="V910" s="53"/>
      <c r="W910" s="52" t="str">
        <f t="shared" si="6"/>
        <v/>
      </c>
      <c r="X910" s="52">
        <f t="shared" si="7"/>
        <v>0</v>
      </c>
      <c r="Y910" s="52">
        <f t="shared" si="8"/>
        <v>0</v>
      </c>
      <c r="Z910" s="52" t="str">
        <f>IF(G910="","",IFERROR(VLOOKUP(G910,'Product_Stock_Master产品维护'!$A$2:$L992,11,FALSE),"No"))</f>
        <v/>
      </c>
      <c r="AA910" s="52" t="str">
        <f>IF(G910="","",IFERROR(VLOOKUP(G910,'Product_Stock_Master产品维护'!$A$2:$L992,12,FALSE),""))</f>
        <v/>
      </c>
      <c r="AB910" s="52" t="str">
        <f t="shared" si="11"/>
        <v/>
      </c>
      <c r="AC910" s="52">
        <f t="shared" si="12"/>
        <v>0</v>
      </c>
    </row>
    <row r="911" ht="15.75" customHeight="1">
      <c r="A911" s="171"/>
      <c r="B911" s="171"/>
      <c r="C911" s="53"/>
      <c r="D911" s="53"/>
      <c r="E911" s="53"/>
      <c r="F911" s="53"/>
      <c r="G911" s="53"/>
      <c r="H911" s="52" t="str">
        <f>IF(G911="","",IFERROR(VLOOKUP(G911,'Product_Stock_Master产品维护'!$A$2:$E992,2,FALSE()),"SKU not found"))</f>
        <v/>
      </c>
      <c r="I911" s="52" t="str">
        <f>IF(G911="","",IFERROR(VLOOKUP(G911,'Product_Stock_Master产品维护'!$A$2:$E992,3,FALSE()),"Item type not found"))</f>
        <v/>
      </c>
      <c r="J911" s="53"/>
      <c r="K911" s="53"/>
      <c r="L911" s="53"/>
      <c r="M911" s="53"/>
      <c r="N911" s="53"/>
      <c r="O911" s="52" t="str">
        <f t="shared" si="1"/>
        <v/>
      </c>
      <c r="P911" s="53"/>
      <c r="Q911" s="52" t="str">
        <f t="shared" si="9"/>
        <v/>
      </c>
      <c r="R911" s="52" t="str">
        <f t="shared" si="3"/>
        <v/>
      </c>
      <c r="S911" s="52" t="str">
        <f t="shared" si="10"/>
        <v/>
      </c>
      <c r="T911" s="52" t="str">
        <f t="shared" si="5"/>
        <v/>
      </c>
      <c r="U911" s="52"/>
      <c r="V911" s="53"/>
      <c r="W911" s="52" t="str">
        <f t="shared" si="6"/>
        <v/>
      </c>
      <c r="X911" s="52">
        <f t="shared" si="7"/>
        <v>0</v>
      </c>
      <c r="Y911" s="52">
        <f t="shared" si="8"/>
        <v>0</v>
      </c>
      <c r="Z911" s="52" t="str">
        <f>IF(G911="","",IFERROR(VLOOKUP(G911,'Product_Stock_Master产品维护'!$A$2:$L992,11,FALSE),"No"))</f>
        <v/>
      </c>
      <c r="AA911" s="52" t="str">
        <f>IF(G911="","",IFERROR(VLOOKUP(G911,'Product_Stock_Master产品维护'!$A$2:$L992,12,FALSE),""))</f>
        <v/>
      </c>
      <c r="AB911" s="52" t="str">
        <f t="shared" si="11"/>
        <v/>
      </c>
      <c r="AC911" s="52">
        <f t="shared" si="12"/>
        <v>0</v>
      </c>
    </row>
    <row r="912" ht="15.75" customHeight="1">
      <c r="A912" s="171"/>
      <c r="B912" s="171"/>
      <c r="C912" s="53"/>
      <c r="D912" s="53"/>
      <c r="E912" s="53"/>
      <c r="F912" s="53"/>
      <c r="G912" s="53"/>
      <c r="H912" s="52" t="str">
        <f>IF(G912="","",IFERROR(VLOOKUP(G912,'Product_Stock_Master产品维护'!$A$2:$E992,2,FALSE()),"SKU not found"))</f>
        <v/>
      </c>
      <c r="I912" s="52" t="str">
        <f>IF(G912="","",IFERROR(VLOOKUP(G912,'Product_Stock_Master产品维护'!$A$2:$E992,3,FALSE()),"Item type not found"))</f>
        <v/>
      </c>
      <c r="J912" s="53"/>
      <c r="K912" s="53"/>
      <c r="L912" s="53"/>
      <c r="M912" s="53"/>
      <c r="N912" s="53"/>
      <c r="O912" s="52" t="str">
        <f t="shared" si="1"/>
        <v/>
      </c>
      <c r="P912" s="53"/>
      <c r="Q912" s="52" t="str">
        <f t="shared" si="9"/>
        <v/>
      </c>
      <c r="R912" s="52" t="str">
        <f t="shared" si="3"/>
        <v/>
      </c>
      <c r="S912" s="52" t="str">
        <f t="shared" si="10"/>
        <v/>
      </c>
      <c r="T912" s="52" t="str">
        <f t="shared" si="5"/>
        <v/>
      </c>
      <c r="U912" s="52"/>
      <c r="V912" s="53"/>
      <c r="W912" s="52" t="str">
        <f t="shared" si="6"/>
        <v/>
      </c>
      <c r="X912" s="52">
        <f t="shared" si="7"/>
        <v>0</v>
      </c>
      <c r="Y912" s="52">
        <f t="shared" si="8"/>
        <v>0</v>
      </c>
      <c r="Z912" s="52" t="str">
        <f>IF(G912="","",IFERROR(VLOOKUP(G912,'Product_Stock_Master产品维护'!$A$2:$L992,11,FALSE),"No"))</f>
        <v/>
      </c>
      <c r="AA912" s="52" t="str">
        <f>IF(G912="","",IFERROR(VLOOKUP(G912,'Product_Stock_Master产品维护'!$A$2:$L992,12,FALSE),""))</f>
        <v/>
      </c>
      <c r="AB912" s="52" t="str">
        <f t="shared" si="11"/>
        <v/>
      </c>
      <c r="AC912" s="52">
        <f t="shared" si="12"/>
        <v>0</v>
      </c>
    </row>
    <row r="913" ht="15.75" customHeight="1">
      <c r="A913" s="171"/>
      <c r="B913" s="171"/>
      <c r="C913" s="53"/>
      <c r="D913" s="53"/>
      <c r="E913" s="53"/>
      <c r="F913" s="53"/>
      <c r="G913" s="53"/>
      <c r="H913" s="52" t="str">
        <f>IF(G913="","",IFERROR(VLOOKUP(G913,'Product_Stock_Master产品维护'!$A$2:$E992,2,FALSE()),"SKU not found"))</f>
        <v/>
      </c>
      <c r="I913" s="52" t="str">
        <f>IF(G913="","",IFERROR(VLOOKUP(G913,'Product_Stock_Master产品维护'!$A$2:$E992,3,FALSE()),"Item type not found"))</f>
        <v/>
      </c>
      <c r="J913" s="53"/>
      <c r="K913" s="53"/>
      <c r="L913" s="53"/>
      <c r="M913" s="53"/>
      <c r="N913" s="53"/>
      <c r="O913" s="52" t="str">
        <f t="shared" si="1"/>
        <v/>
      </c>
      <c r="P913" s="53"/>
      <c r="Q913" s="52" t="str">
        <f t="shared" si="9"/>
        <v/>
      </c>
      <c r="R913" s="52" t="str">
        <f t="shared" si="3"/>
        <v/>
      </c>
      <c r="S913" s="52" t="str">
        <f t="shared" si="10"/>
        <v/>
      </c>
      <c r="T913" s="52" t="str">
        <f t="shared" si="5"/>
        <v/>
      </c>
      <c r="U913" s="52"/>
      <c r="V913" s="53"/>
      <c r="W913" s="52" t="str">
        <f t="shared" si="6"/>
        <v/>
      </c>
      <c r="X913" s="52">
        <f t="shared" si="7"/>
        <v>0</v>
      </c>
      <c r="Y913" s="52">
        <f t="shared" si="8"/>
        <v>0</v>
      </c>
      <c r="Z913" s="52" t="str">
        <f>IF(G913="","",IFERROR(VLOOKUP(G913,'Product_Stock_Master产品维护'!$A$2:$L992,11,FALSE),"No"))</f>
        <v/>
      </c>
      <c r="AA913" s="52" t="str">
        <f>IF(G913="","",IFERROR(VLOOKUP(G913,'Product_Stock_Master产品维护'!$A$2:$L992,12,FALSE),""))</f>
        <v/>
      </c>
      <c r="AB913" s="52" t="str">
        <f t="shared" si="11"/>
        <v/>
      </c>
      <c r="AC913" s="52">
        <f t="shared" si="12"/>
        <v>0</v>
      </c>
    </row>
    <row r="914" ht="15.75" customHeight="1">
      <c r="A914" s="171"/>
      <c r="B914" s="171"/>
      <c r="C914" s="53"/>
      <c r="D914" s="53"/>
      <c r="E914" s="53"/>
      <c r="F914" s="53"/>
      <c r="G914" s="53"/>
      <c r="H914" s="52" t="str">
        <f>IF(G914="","",IFERROR(VLOOKUP(G914,'Product_Stock_Master产品维护'!$A$2:$E992,2,FALSE()),"SKU not found"))</f>
        <v/>
      </c>
      <c r="I914" s="52" t="str">
        <f>IF(G914="","",IFERROR(VLOOKUP(G914,'Product_Stock_Master产品维护'!$A$2:$E992,3,FALSE()),"Item type not found"))</f>
        <v/>
      </c>
      <c r="J914" s="53"/>
      <c r="K914" s="53"/>
      <c r="L914" s="53"/>
      <c r="M914" s="53"/>
      <c r="N914" s="53"/>
      <c r="O914" s="52" t="str">
        <f t="shared" si="1"/>
        <v/>
      </c>
      <c r="P914" s="53"/>
      <c r="Q914" s="52" t="str">
        <f t="shared" si="9"/>
        <v/>
      </c>
      <c r="R914" s="52" t="str">
        <f t="shared" si="3"/>
        <v/>
      </c>
      <c r="S914" s="52" t="str">
        <f t="shared" si="10"/>
        <v/>
      </c>
      <c r="T914" s="52" t="str">
        <f t="shared" si="5"/>
        <v/>
      </c>
      <c r="U914" s="52"/>
      <c r="V914" s="53"/>
      <c r="W914" s="52" t="str">
        <f t="shared" si="6"/>
        <v/>
      </c>
      <c r="X914" s="52">
        <f t="shared" si="7"/>
        <v>0</v>
      </c>
      <c r="Y914" s="52">
        <f t="shared" si="8"/>
        <v>0</v>
      </c>
      <c r="Z914" s="52" t="str">
        <f>IF(G914="","",IFERROR(VLOOKUP(G914,'Product_Stock_Master产品维护'!$A$2:$L992,11,FALSE),"No"))</f>
        <v/>
      </c>
      <c r="AA914" s="52" t="str">
        <f>IF(G914="","",IFERROR(VLOOKUP(G914,'Product_Stock_Master产品维护'!$A$2:$L992,12,FALSE),""))</f>
        <v/>
      </c>
      <c r="AB914" s="52" t="str">
        <f t="shared" si="11"/>
        <v/>
      </c>
      <c r="AC914" s="52">
        <f t="shared" si="12"/>
        <v>0</v>
      </c>
    </row>
    <row r="915" ht="15.75" customHeight="1">
      <c r="A915" s="171"/>
      <c r="B915" s="171"/>
      <c r="C915" s="53"/>
      <c r="D915" s="53"/>
      <c r="E915" s="53"/>
      <c r="F915" s="53"/>
      <c r="G915" s="53"/>
      <c r="H915" s="52" t="str">
        <f>IF(G915="","",IFERROR(VLOOKUP(G915,'Product_Stock_Master产品维护'!$A$2:$E992,2,FALSE()),"SKU not found"))</f>
        <v/>
      </c>
      <c r="I915" s="52" t="str">
        <f>IF(G915="","",IFERROR(VLOOKUP(G915,'Product_Stock_Master产品维护'!$A$2:$E992,3,FALSE()),"Item type not found"))</f>
        <v/>
      </c>
      <c r="J915" s="53"/>
      <c r="K915" s="53"/>
      <c r="L915" s="53"/>
      <c r="M915" s="53"/>
      <c r="N915" s="53"/>
      <c r="O915" s="52" t="str">
        <f t="shared" si="1"/>
        <v/>
      </c>
      <c r="P915" s="53"/>
      <c r="Q915" s="52" t="str">
        <f t="shared" si="9"/>
        <v/>
      </c>
      <c r="R915" s="52" t="str">
        <f t="shared" si="3"/>
        <v/>
      </c>
      <c r="S915" s="52" t="str">
        <f t="shared" si="10"/>
        <v/>
      </c>
      <c r="T915" s="52" t="str">
        <f t="shared" si="5"/>
        <v/>
      </c>
      <c r="U915" s="52"/>
      <c r="V915" s="53"/>
      <c r="W915" s="52" t="str">
        <f t="shared" si="6"/>
        <v/>
      </c>
      <c r="X915" s="52">
        <f t="shared" si="7"/>
        <v>0</v>
      </c>
      <c r="Y915" s="52">
        <f t="shared" si="8"/>
        <v>0</v>
      </c>
      <c r="Z915" s="52" t="str">
        <f>IF(G915="","",IFERROR(VLOOKUP(G915,'Product_Stock_Master产品维护'!$A$2:$L992,11,FALSE),"No"))</f>
        <v/>
      </c>
      <c r="AA915" s="52" t="str">
        <f>IF(G915="","",IFERROR(VLOOKUP(G915,'Product_Stock_Master产品维护'!$A$2:$L992,12,FALSE),""))</f>
        <v/>
      </c>
      <c r="AB915" s="52" t="str">
        <f t="shared" si="11"/>
        <v/>
      </c>
      <c r="AC915" s="52">
        <f t="shared" si="12"/>
        <v>0</v>
      </c>
    </row>
    <row r="916" ht="15.75" customHeight="1">
      <c r="A916" s="171"/>
      <c r="B916" s="171"/>
      <c r="C916" s="53"/>
      <c r="D916" s="53"/>
      <c r="E916" s="53"/>
      <c r="F916" s="53"/>
      <c r="G916" s="53"/>
      <c r="H916" s="52" t="str">
        <f>IF(G916="","",IFERROR(VLOOKUP(G916,'Product_Stock_Master产品维护'!$A$2:$E992,2,FALSE()),"SKU not found"))</f>
        <v/>
      </c>
      <c r="I916" s="52" t="str">
        <f>IF(G916="","",IFERROR(VLOOKUP(G916,'Product_Stock_Master产品维护'!$A$2:$E992,3,FALSE()),"Item type not found"))</f>
        <v/>
      </c>
      <c r="J916" s="53"/>
      <c r="K916" s="53"/>
      <c r="L916" s="53"/>
      <c r="M916" s="53"/>
      <c r="N916" s="53"/>
      <c r="O916" s="52" t="str">
        <f t="shared" si="1"/>
        <v/>
      </c>
      <c r="P916" s="53"/>
      <c r="Q916" s="52" t="str">
        <f t="shared" si="9"/>
        <v/>
      </c>
      <c r="R916" s="52" t="str">
        <f t="shared" si="3"/>
        <v/>
      </c>
      <c r="S916" s="52" t="str">
        <f t="shared" si="10"/>
        <v/>
      </c>
      <c r="T916" s="52" t="str">
        <f t="shared" si="5"/>
        <v/>
      </c>
      <c r="U916" s="52"/>
      <c r="V916" s="53"/>
      <c r="W916" s="52" t="str">
        <f t="shared" si="6"/>
        <v/>
      </c>
      <c r="X916" s="52">
        <f t="shared" si="7"/>
        <v>0</v>
      </c>
      <c r="Y916" s="52">
        <f t="shared" si="8"/>
        <v>0</v>
      </c>
      <c r="Z916" s="52" t="str">
        <f>IF(G916="","",IFERROR(VLOOKUP(G916,'Product_Stock_Master产品维护'!$A$2:$L992,11,FALSE),"No"))</f>
        <v/>
      </c>
      <c r="AA916" s="52" t="str">
        <f>IF(G916="","",IFERROR(VLOOKUP(G916,'Product_Stock_Master产品维护'!$A$2:$L992,12,FALSE),""))</f>
        <v/>
      </c>
      <c r="AB916" s="52" t="str">
        <f t="shared" si="11"/>
        <v/>
      </c>
      <c r="AC916" s="52">
        <f t="shared" si="12"/>
        <v>0</v>
      </c>
    </row>
    <row r="917" ht="15.75" customHeight="1">
      <c r="A917" s="171"/>
      <c r="B917" s="171"/>
      <c r="C917" s="53"/>
      <c r="D917" s="53"/>
      <c r="E917" s="53"/>
      <c r="F917" s="53"/>
      <c r="G917" s="53"/>
      <c r="H917" s="52" t="str">
        <f>IF(G917="","",IFERROR(VLOOKUP(G917,'Product_Stock_Master产品维护'!$A$2:$E992,2,FALSE()),"SKU not found"))</f>
        <v/>
      </c>
      <c r="I917" s="52" t="str">
        <f>IF(G917="","",IFERROR(VLOOKUP(G917,'Product_Stock_Master产品维护'!$A$2:$E992,3,FALSE()),"Item type not found"))</f>
        <v/>
      </c>
      <c r="J917" s="53"/>
      <c r="K917" s="53"/>
      <c r="L917" s="53"/>
      <c r="M917" s="53"/>
      <c r="N917" s="53"/>
      <c r="O917" s="52" t="str">
        <f t="shared" si="1"/>
        <v/>
      </c>
      <c r="P917" s="53"/>
      <c r="Q917" s="52" t="str">
        <f t="shared" si="9"/>
        <v/>
      </c>
      <c r="R917" s="52" t="str">
        <f t="shared" si="3"/>
        <v/>
      </c>
      <c r="S917" s="52" t="str">
        <f t="shared" si="10"/>
        <v/>
      </c>
      <c r="T917" s="52" t="str">
        <f t="shared" si="5"/>
        <v/>
      </c>
      <c r="U917" s="52"/>
      <c r="V917" s="53"/>
      <c r="W917" s="52" t="str">
        <f t="shared" si="6"/>
        <v/>
      </c>
      <c r="X917" s="52">
        <f t="shared" si="7"/>
        <v>0</v>
      </c>
      <c r="Y917" s="52">
        <f t="shared" si="8"/>
        <v>0</v>
      </c>
      <c r="Z917" s="52" t="str">
        <f>IF(G917="","",IFERROR(VLOOKUP(G917,'Product_Stock_Master产品维护'!$A$2:$L992,11,FALSE),"No"))</f>
        <v/>
      </c>
      <c r="AA917" s="52" t="str">
        <f>IF(G917="","",IFERROR(VLOOKUP(G917,'Product_Stock_Master产品维护'!$A$2:$L992,12,FALSE),""))</f>
        <v/>
      </c>
      <c r="AB917" s="52" t="str">
        <f t="shared" si="11"/>
        <v/>
      </c>
      <c r="AC917" s="52">
        <f t="shared" si="12"/>
        <v>0</v>
      </c>
    </row>
    <row r="918" ht="15.75" customHeight="1">
      <c r="A918" s="171"/>
      <c r="B918" s="171"/>
      <c r="C918" s="53"/>
      <c r="D918" s="53"/>
      <c r="E918" s="53"/>
      <c r="F918" s="53"/>
      <c r="G918" s="53"/>
      <c r="H918" s="52" t="str">
        <f>IF(G918="","",IFERROR(VLOOKUP(G918,'Product_Stock_Master产品维护'!$A$2:$E992,2,FALSE()),"SKU not found"))</f>
        <v/>
      </c>
      <c r="I918" s="52" t="str">
        <f>IF(G918="","",IFERROR(VLOOKUP(G918,'Product_Stock_Master产品维护'!$A$2:$E992,3,FALSE()),"Item type not found"))</f>
        <v/>
      </c>
      <c r="J918" s="53"/>
      <c r="K918" s="53"/>
      <c r="L918" s="53"/>
      <c r="M918" s="53"/>
      <c r="N918" s="53"/>
      <c r="O918" s="52" t="str">
        <f t="shared" si="1"/>
        <v/>
      </c>
      <c r="P918" s="53"/>
      <c r="Q918" s="52" t="str">
        <f t="shared" si="9"/>
        <v/>
      </c>
      <c r="R918" s="52" t="str">
        <f t="shared" si="3"/>
        <v/>
      </c>
      <c r="S918" s="52" t="str">
        <f t="shared" si="10"/>
        <v/>
      </c>
      <c r="T918" s="52" t="str">
        <f t="shared" si="5"/>
        <v/>
      </c>
      <c r="U918" s="52"/>
      <c r="V918" s="53"/>
      <c r="W918" s="52" t="str">
        <f t="shared" si="6"/>
        <v/>
      </c>
      <c r="X918" s="52">
        <f t="shared" si="7"/>
        <v>0</v>
      </c>
      <c r="Y918" s="52">
        <f t="shared" si="8"/>
        <v>0</v>
      </c>
      <c r="Z918" s="52" t="str">
        <f>IF(G918="","",IFERROR(VLOOKUP(G918,'Product_Stock_Master产品维护'!$A$2:$L992,11,FALSE),"No"))</f>
        <v/>
      </c>
      <c r="AA918" s="52" t="str">
        <f>IF(G918="","",IFERROR(VLOOKUP(G918,'Product_Stock_Master产品维护'!$A$2:$L992,12,FALSE),""))</f>
        <v/>
      </c>
      <c r="AB918" s="52" t="str">
        <f t="shared" si="11"/>
        <v/>
      </c>
      <c r="AC918" s="52">
        <f t="shared" si="12"/>
        <v>0</v>
      </c>
    </row>
    <row r="919" ht="15.75" customHeight="1">
      <c r="A919" s="171"/>
      <c r="B919" s="171"/>
      <c r="C919" s="53"/>
      <c r="D919" s="53"/>
      <c r="E919" s="53"/>
      <c r="F919" s="53"/>
      <c r="G919" s="53"/>
      <c r="H919" s="52" t="str">
        <f>IF(G919="","",IFERROR(VLOOKUP(G919,'Product_Stock_Master产品维护'!$A$2:$E992,2,FALSE()),"SKU not found"))</f>
        <v/>
      </c>
      <c r="I919" s="52" t="str">
        <f>IF(G919="","",IFERROR(VLOOKUP(G919,'Product_Stock_Master产品维护'!$A$2:$E992,3,FALSE()),"Item type not found"))</f>
        <v/>
      </c>
      <c r="J919" s="53"/>
      <c r="K919" s="53"/>
      <c r="L919" s="53"/>
      <c r="M919" s="53"/>
      <c r="N919" s="53"/>
      <c r="O919" s="52" t="str">
        <f t="shared" si="1"/>
        <v/>
      </c>
      <c r="P919" s="53"/>
      <c r="Q919" s="52" t="str">
        <f t="shared" si="9"/>
        <v/>
      </c>
      <c r="R919" s="52" t="str">
        <f t="shared" si="3"/>
        <v/>
      </c>
      <c r="S919" s="52" t="str">
        <f t="shared" si="10"/>
        <v/>
      </c>
      <c r="T919" s="52" t="str">
        <f t="shared" si="5"/>
        <v/>
      </c>
      <c r="U919" s="52"/>
      <c r="V919" s="53"/>
      <c r="W919" s="52" t="str">
        <f t="shared" si="6"/>
        <v/>
      </c>
      <c r="X919" s="52">
        <f t="shared" si="7"/>
        <v>0</v>
      </c>
      <c r="Y919" s="52">
        <f t="shared" si="8"/>
        <v>0</v>
      </c>
      <c r="Z919" s="52" t="str">
        <f>IF(G919="","",IFERROR(VLOOKUP(G919,'Product_Stock_Master产品维护'!$A$2:$L992,11,FALSE),"No"))</f>
        <v/>
      </c>
      <c r="AA919" s="52" t="str">
        <f>IF(G919="","",IFERROR(VLOOKUP(G919,'Product_Stock_Master产品维护'!$A$2:$L992,12,FALSE),""))</f>
        <v/>
      </c>
      <c r="AB919" s="52" t="str">
        <f t="shared" si="11"/>
        <v/>
      </c>
      <c r="AC919" s="52">
        <f t="shared" si="12"/>
        <v>0</v>
      </c>
    </row>
    <row r="920" ht="15.75" customHeight="1">
      <c r="A920" s="171"/>
      <c r="B920" s="171"/>
      <c r="C920" s="53"/>
      <c r="D920" s="53"/>
      <c r="E920" s="53"/>
      <c r="F920" s="53"/>
      <c r="G920" s="53"/>
      <c r="H920" s="52" t="str">
        <f>IF(G920="","",IFERROR(VLOOKUP(G920,'Product_Stock_Master产品维护'!$A$2:$E992,2,FALSE()),"SKU not found"))</f>
        <v/>
      </c>
      <c r="I920" s="52" t="str">
        <f>IF(G920="","",IFERROR(VLOOKUP(G920,'Product_Stock_Master产品维护'!$A$2:$E992,3,FALSE()),"Item type not found"))</f>
        <v/>
      </c>
      <c r="J920" s="53"/>
      <c r="K920" s="53"/>
      <c r="L920" s="53"/>
      <c r="M920" s="53"/>
      <c r="N920" s="53"/>
      <c r="O920" s="52" t="str">
        <f t="shared" si="1"/>
        <v/>
      </c>
      <c r="P920" s="53"/>
      <c r="Q920" s="52" t="str">
        <f t="shared" si="9"/>
        <v/>
      </c>
      <c r="R920" s="52" t="str">
        <f t="shared" si="3"/>
        <v/>
      </c>
      <c r="S920" s="52" t="str">
        <f t="shared" si="10"/>
        <v/>
      </c>
      <c r="T920" s="52" t="str">
        <f t="shared" si="5"/>
        <v/>
      </c>
      <c r="U920" s="52"/>
      <c r="V920" s="53"/>
      <c r="W920" s="52" t="str">
        <f t="shared" si="6"/>
        <v/>
      </c>
      <c r="X920" s="52">
        <f t="shared" si="7"/>
        <v>0</v>
      </c>
      <c r="Y920" s="52">
        <f t="shared" si="8"/>
        <v>0</v>
      </c>
      <c r="Z920" s="52" t="str">
        <f>IF(G920="","",IFERROR(VLOOKUP(G920,'Product_Stock_Master产品维护'!$A$2:$L992,11,FALSE),"No"))</f>
        <v/>
      </c>
      <c r="AA920" s="52" t="str">
        <f>IF(G920="","",IFERROR(VLOOKUP(G920,'Product_Stock_Master产品维护'!$A$2:$L992,12,FALSE),""))</f>
        <v/>
      </c>
      <c r="AB920" s="52" t="str">
        <f t="shared" si="11"/>
        <v/>
      </c>
      <c r="AC920" s="52">
        <f t="shared" si="12"/>
        <v>0</v>
      </c>
    </row>
    <row r="921" ht="15.75" customHeight="1">
      <c r="A921" s="171"/>
      <c r="B921" s="171"/>
      <c r="C921" s="53"/>
      <c r="D921" s="53"/>
      <c r="E921" s="53"/>
      <c r="F921" s="53"/>
      <c r="G921" s="53"/>
      <c r="H921" s="52" t="str">
        <f>IF(G921="","",IFERROR(VLOOKUP(G921,'Product_Stock_Master产品维护'!$A$2:$E992,2,FALSE()),"SKU not found"))</f>
        <v/>
      </c>
      <c r="I921" s="52" t="str">
        <f>IF(G921="","",IFERROR(VLOOKUP(G921,'Product_Stock_Master产品维护'!$A$2:$E992,3,FALSE()),"Item type not found"))</f>
        <v/>
      </c>
      <c r="J921" s="53"/>
      <c r="K921" s="53"/>
      <c r="L921" s="53"/>
      <c r="M921" s="53"/>
      <c r="N921" s="53"/>
      <c r="O921" s="52" t="str">
        <f t="shared" si="1"/>
        <v/>
      </c>
      <c r="P921" s="53"/>
      <c r="Q921" s="52" t="str">
        <f t="shared" si="9"/>
        <v/>
      </c>
      <c r="R921" s="52" t="str">
        <f t="shared" si="3"/>
        <v/>
      </c>
      <c r="S921" s="52" t="str">
        <f t="shared" si="10"/>
        <v/>
      </c>
      <c r="T921" s="52" t="str">
        <f t="shared" si="5"/>
        <v/>
      </c>
      <c r="U921" s="52"/>
      <c r="V921" s="53"/>
      <c r="W921" s="52" t="str">
        <f t="shared" si="6"/>
        <v/>
      </c>
      <c r="X921" s="52">
        <f t="shared" si="7"/>
        <v>0</v>
      </c>
      <c r="Y921" s="52">
        <f t="shared" si="8"/>
        <v>0</v>
      </c>
      <c r="Z921" s="52" t="str">
        <f>IF(G921="","",IFERROR(VLOOKUP(G921,'Product_Stock_Master产品维护'!$A$2:$L992,11,FALSE),"No"))</f>
        <v/>
      </c>
      <c r="AA921" s="52" t="str">
        <f>IF(G921="","",IFERROR(VLOOKUP(G921,'Product_Stock_Master产品维护'!$A$2:$L992,12,FALSE),""))</f>
        <v/>
      </c>
      <c r="AB921" s="52" t="str">
        <f t="shared" si="11"/>
        <v/>
      </c>
      <c r="AC921" s="52">
        <f t="shared" si="12"/>
        <v>0</v>
      </c>
    </row>
    <row r="922" ht="15.75" customHeight="1">
      <c r="A922" s="171"/>
      <c r="B922" s="171"/>
      <c r="C922" s="53"/>
      <c r="D922" s="53"/>
      <c r="E922" s="53"/>
      <c r="F922" s="53"/>
      <c r="G922" s="53"/>
      <c r="H922" s="52" t="str">
        <f>IF(G922="","",IFERROR(VLOOKUP(G922,'Product_Stock_Master产品维护'!$A$2:$E992,2,FALSE()),"SKU not found"))</f>
        <v/>
      </c>
      <c r="I922" s="52" t="str">
        <f>IF(G922="","",IFERROR(VLOOKUP(G922,'Product_Stock_Master产品维护'!$A$2:$E992,3,FALSE()),"Item type not found"))</f>
        <v/>
      </c>
      <c r="J922" s="53"/>
      <c r="K922" s="53"/>
      <c r="L922" s="53"/>
      <c r="M922" s="53"/>
      <c r="N922" s="53"/>
      <c r="O922" s="52" t="str">
        <f t="shared" si="1"/>
        <v/>
      </c>
      <c r="P922" s="53"/>
      <c r="Q922" s="52" t="str">
        <f t="shared" si="9"/>
        <v/>
      </c>
      <c r="R922" s="52" t="str">
        <f t="shared" si="3"/>
        <v/>
      </c>
      <c r="S922" s="52" t="str">
        <f t="shared" si="10"/>
        <v/>
      </c>
      <c r="T922" s="52" t="str">
        <f t="shared" si="5"/>
        <v/>
      </c>
      <c r="U922" s="52"/>
      <c r="V922" s="53"/>
      <c r="W922" s="52" t="str">
        <f t="shared" si="6"/>
        <v/>
      </c>
      <c r="X922" s="52">
        <f t="shared" si="7"/>
        <v>0</v>
      </c>
      <c r="Y922" s="52">
        <f t="shared" si="8"/>
        <v>0</v>
      </c>
      <c r="Z922" s="52" t="str">
        <f>IF(G922="","",IFERROR(VLOOKUP(G922,'Product_Stock_Master产品维护'!$A$2:$L992,11,FALSE),"No"))</f>
        <v/>
      </c>
      <c r="AA922" s="52" t="str">
        <f>IF(G922="","",IFERROR(VLOOKUP(G922,'Product_Stock_Master产品维护'!$A$2:$L992,12,FALSE),""))</f>
        <v/>
      </c>
      <c r="AB922" s="52" t="str">
        <f t="shared" si="11"/>
        <v/>
      </c>
      <c r="AC922" s="52">
        <f t="shared" si="12"/>
        <v>0</v>
      </c>
    </row>
    <row r="923" ht="15.75" customHeight="1">
      <c r="A923" s="171"/>
      <c r="B923" s="171"/>
      <c r="C923" s="53"/>
      <c r="D923" s="53"/>
      <c r="E923" s="53"/>
      <c r="F923" s="53"/>
      <c r="G923" s="53"/>
      <c r="H923" s="52" t="str">
        <f>IF(G923="","",IFERROR(VLOOKUP(G923,'Product_Stock_Master产品维护'!$A$2:$E992,2,FALSE()),"SKU not found"))</f>
        <v/>
      </c>
      <c r="I923" s="52" t="str">
        <f>IF(G923="","",IFERROR(VLOOKUP(G923,'Product_Stock_Master产品维护'!$A$2:$E992,3,FALSE()),"Item type not found"))</f>
        <v/>
      </c>
      <c r="J923" s="53"/>
      <c r="K923" s="53"/>
      <c r="L923" s="53"/>
      <c r="M923" s="53"/>
      <c r="N923" s="53"/>
      <c r="O923" s="52" t="str">
        <f t="shared" si="1"/>
        <v/>
      </c>
      <c r="P923" s="53"/>
      <c r="Q923" s="52" t="str">
        <f t="shared" si="9"/>
        <v/>
      </c>
      <c r="R923" s="52" t="str">
        <f t="shared" si="3"/>
        <v/>
      </c>
      <c r="S923" s="52" t="str">
        <f t="shared" si="10"/>
        <v/>
      </c>
      <c r="T923" s="52" t="str">
        <f t="shared" si="5"/>
        <v/>
      </c>
      <c r="U923" s="52"/>
      <c r="V923" s="53"/>
      <c r="W923" s="52" t="str">
        <f t="shared" si="6"/>
        <v/>
      </c>
      <c r="X923" s="52">
        <f t="shared" si="7"/>
        <v>0</v>
      </c>
      <c r="Y923" s="52">
        <f t="shared" si="8"/>
        <v>0</v>
      </c>
      <c r="Z923" s="52" t="str">
        <f>IF(G923="","",IFERROR(VLOOKUP(G923,'Product_Stock_Master产品维护'!$A$2:$L992,11,FALSE),"No"))</f>
        <v/>
      </c>
      <c r="AA923" s="52" t="str">
        <f>IF(G923="","",IFERROR(VLOOKUP(G923,'Product_Stock_Master产品维护'!$A$2:$L992,12,FALSE),""))</f>
        <v/>
      </c>
      <c r="AB923" s="52" t="str">
        <f t="shared" si="11"/>
        <v/>
      </c>
      <c r="AC923" s="52">
        <f t="shared" si="12"/>
        <v>0</v>
      </c>
    </row>
    <row r="924" ht="15.75" customHeight="1">
      <c r="A924" s="171"/>
      <c r="B924" s="171"/>
      <c r="C924" s="53"/>
      <c r="D924" s="53"/>
      <c r="E924" s="53"/>
      <c r="F924" s="53"/>
      <c r="G924" s="53"/>
      <c r="H924" s="52" t="str">
        <f>IF(G924="","",IFERROR(VLOOKUP(G924,'Product_Stock_Master产品维护'!$A$2:$E992,2,FALSE()),"SKU not found"))</f>
        <v/>
      </c>
      <c r="I924" s="52" t="str">
        <f>IF(G924="","",IFERROR(VLOOKUP(G924,'Product_Stock_Master产品维护'!$A$2:$E992,3,FALSE()),"Item type not found"))</f>
        <v/>
      </c>
      <c r="J924" s="53"/>
      <c r="K924" s="53"/>
      <c r="L924" s="53"/>
      <c r="M924" s="53"/>
      <c r="N924" s="53"/>
      <c r="O924" s="52" t="str">
        <f t="shared" si="1"/>
        <v/>
      </c>
      <c r="P924" s="53"/>
      <c r="Q924" s="52" t="str">
        <f t="shared" si="9"/>
        <v/>
      </c>
      <c r="R924" s="52" t="str">
        <f t="shared" si="3"/>
        <v/>
      </c>
      <c r="S924" s="52" t="str">
        <f t="shared" si="10"/>
        <v/>
      </c>
      <c r="T924" s="52" t="str">
        <f t="shared" si="5"/>
        <v/>
      </c>
      <c r="U924" s="52"/>
      <c r="V924" s="53"/>
      <c r="W924" s="52" t="str">
        <f t="shared" si="6"/>
        <v/>
      </c>
      <c r="X924" s="52">
        <f t="shared" si="7"/>
        <v>0</v>
      </c>
      <c r="Y924" s="52">
        <f t="shared" si="8"/>
        <v>0</v>
      </c>
      <c r="Z924" s="52" t="str">
        <f>IF(G924="","",IFERROR(VLOOKUP(G924,'Product_Stock_Master产品维护'!$A$2:$L992,11,FALSE),"No"))</f>
        <v/>
      </c>
      <c r="AA924" s="52" t="str">
        <f>IF(G924="","",IFERROR(VLOOKUP(G924,'Product_Stock_Master产品维护'!$A$2:$L992,12,FALSE),""))</f>
        <v/>
      </c>
      <c r="AB924" s="52" t="str">
        <f t="shared" si="11"/>
        <v/>
      </c>
      <c r="AC924" s="52">
        <f t="shared" si="12"/>
        <v>0</v>
      </c>
    </row>
    <row r="925" ht="15.75" customHeight="1">
      <c r="A925" s="171"/>
      <c r="B925" s="171"/>
      <c r="C925" s="53"/>
      <c r="D925" s="53"/>
      <c r="E925" s="53"/>
      <c r="F925" s="53"/>
      <c r="G925" s="53"/>
      <c r="H925" s="52" t="str">
        <f>IF(G925="","",IFERROR(VLOOKUP(G925,'Product_Stock_Master产品维护'!$A$2:$E992,2,FALSE()),"SKU not found"))</f>
        <v/>
      </c>
      <c r="I925" s="52" t="str">
        <f>IF(G925="","",IFERROR(VLOOKUP(G925,'Product_Stock_Master产品维护'!$A$2:$E992,3,FALSE()),"Item type not found"))</f>
        <v/>
      </c>
      <c r="J925" s="53"/>
      <c r="K925" s="53"/>
      <c r="L925" s="53"/>
      <c r="M925" s="53"/>
      <c r="N925" s="53"/>
      <c r="O925" s="52" t="str">
        <f t="shared" si="1"/>
        <v/>
      </c>
      <c r="P925" s="53"/>
      <c r="Q925" s="52" t="str">
        <f t="shared" si="9"/>
        <v/>
      </c>
      <c r="R925" s="52" t="str">
        <f t="shared" si="3"/>
        <v/>
      </c>
      <c r="S925" s="52" t="str">
        <f t="shared" si="10"/>
        <v/>
      </c>
      <c r="T925" s="52" t="str">
        <f t="shared" si="5"/>
        <v/>
      </c>
      <c r="U925" s="52"/>
      <c r="V925" s="53"/>
      <c r="W925" s="52" t="str">
        <f t="shared" si="6"/>
        <v/>
      </c>
      <c r="X925" s="52">
        <f t="shared" si="7"/>
        <v>0</v>
      </c>
      <c r="Y925" s="52">
        <f t="shared" si="8"/>
        <v>0</v>
      </c>
      <c r="Z925" s="52" t="str">
        <f>IF(G925="","",IFERROR(VLOOKUP(G925,'Product_Stock_Master产品维护'!$A$2:$L992,11,FALSE),"No"))</f>
        <v/>
      </c>
      <c r="AA925" s="52" t="str">
        <f>IF(G925="","",IFERROR(VLOOKUP(G925,'Product_Stock_Master产品维护'!$A$2:$L992,12,FALSE),""))</f>
        <v/>
      </c>
      <c r="AB925" s="52" t="str">
        <f t="shared" si="11"/>
        <v/>
      </c>
      <c r="AC925" s="52">
        <f t="shared" si="12"/>
        <v>0</v>
      </c>
    </row>
    <row r="926" ht="15.75" customHeight="1">
      <c r="A926" s="171"/>
      <c r="B926" s="171"/>
      <c r="C926" s="53"/>
      <c r="D926" s="53"/>
      <c r="E926" s="53"/>
      <c r="F926" s="53"/>
      <c r="G926" s="53"/>
      <c r="H926" s="52" t="str">
        <f>IF(G926="","",IFERROR(VLOOKUP(G926,'Product_Stock_Master产品维护'!$A$2:$E992,2,FALSE()),"SKU not found"))</f>
        <v/>
      </c>
      <c r="I926" s="52" t="str">
        <f>IF(G926="","",IFERROR(VLOOKUP(G926,'Product_Stock_Master产品维护'!$A$2:$E992,3,FALSE()),"Item type not found"))</f>
        <v/>
      </c>
      <c r="J926" s="53"/>
      <c r="K926" s="53"/>
      <c r="L926" s="53"/>
      <c r="M926" s="53"/>
      <c r="N926" s="53"/>
      <c r="O926" s="52" t="str">
        <f t="shared" si="1"/>
        <v/>
      </c>
      <c r="P926" s="53"/>
      <c r="Q926" s="52" t="str">
        <f t="shared" si="9"/>
        <v/>
      </c>
      <c r="R926" s="52" t="str">
        <f t="shared" si="3"/>
        <v/>
      </c>
      <c r="S926" s="52" t="str">
        <f t="shared" si="10"/>
        <v/>
      </c>
      <c r="T926" s="52" t="str">
        <f t="shared" si="5"/>
        <v/>
      </c>
      <c r="U926" s="52"/>
      <c r="V926" s="53"/>
      <c r="W926" s="52" t="str">
        <f t="shared" si="6"/>
        <v/>
      </c>
      <c r="X926" s="52">
        <f t="shared" si="7"/>
        <v>0</v>
      </c>
      <c r="Y926" s="52">
        <f t="shared" si="8"/>
        <v>0</v>
      </c>
      <c r="Z926" s="52" t="str">
        <f>IF(G926="","",IFERROR(VLOOKUP(G926,'Product_Stock_Master产品维护'!$A$2:$L992,11,FALSE),"No"))</f>
        <v/>
      </c>
      <c r="AA926" s="52" t="str">
        <f>IF(G926="","",IFERROR(VLOOKUP(G926,'Product_Stock_Master产品维护'!$A$2:$L992,12,FALSE),""))</f>
        <v/>
      </c>
      <c r="AB926" s="52" t="str">
        <f t="shared" si="11"/>
        <v/>
      </c>
      <c r="AC926" s="52">
        <f t="shared" si="12"/>
        <v>0</v>
      </c>
    </row>
    <row r="927" ht="15.75" customHeight="1">
      <c r="A927" s="171"/>
      <c r="B927" s="171"/>
      <c r="C927" s="53"/>
      <c r="D927" s="53"/>
      <c r="E927" s="53"/>
      <c r="F927" s="53"/>
      <c r="G927" s="53"/>
      <c r="H927" s="52" t="str">
        <f>IF(G927="","",IFERROR(VLOOKUP(G927,'Product_Stock_Master产品维护'!$A$2:$E992,2,FALSE()),"SKU not found"))</f>
        <v/>
      </c>
      <c r="I927" s="52" t="str">
        <f>IF(G927="","",IFERROR(VLOOKUP(G927,'Product_Stock_Master产品维护'!$A$2:$E992,3,FALSE()),"Item type not found"))</f>
        <v/>
      </c>
      <c r="J927" s="53"/>
      <c r="K927" s="53"/>
      <c r="L927" s="53"/>
      <c r="M927" s="53"/>
      <c r="N927" s="53"/>
      <c r="O927" s="52" t="str">
        <f t="shared" si="1"/>
        <v/>
      </c>
      <c r="P927" s="53"/>
      <c r="Q927" s="52" t="str">
        <f t="shared" si="9"/>
        <v/>
      </c>
      <c r="R927" s="52" t="str">
        <f t="shared" si="3"/>
        <v/>
      </c>
      <c r="S927" s="52" t="str">
        <f t="shared" si="10"/>
        <v/>
      </c>
      <c r="T927" s="52" t="str">
        <f t="shared" si="5"/>
        <v/>
      </c>
      <c r="U927" s="52"/>
      <c r="V927" s="53"/>
      <c r="W927" s="52" t="str">
        <f t="shared" si="6"/>
        <v/>
      </c>
      <c r="X927" s="52">
        <f t="shared" si="7"/>
        <v>0</v>
      </c>
      <c r="Y927" s="52">
        <f t="shared" si="8"/>
        <v>0</v>
      </c>
      <c r="Z927" s="52" t="str">
        <f>IF(G927="","",IFERROR(VLOOKUP(G927,'Product_Stock_Master产品维护'!$A$2:$L992,11,FALSE),"No"))</f>
        <v/>
      </c>
      <c r="AA927" s="52" t="str">
        <f>IF(G927="","",IFERROR(VLOOKUP(G927,'Product_Stock_Master产品维护'!$A$2:$L992,12,FALSE),""))</f>
        <v/>
      </c>
      <c r="AB927" s="52" t="str">
        <f t="shared" si="11"/>
        <v/>
      </c>
      <c r="AC927" s="52">
        <f t="shared" si="12"/>
        <v>0</v>
      </c>
    </row>
    <row r="928" ht="15.75" customHeight="1">
      <c r="A928" s="171"/>
      <c r="B928" s="171"/>
      <c r="C928" s="53"/>
      <c r="D928" s="53"/>
      <c r="E928" s="53"/>
      <c r="F928" s="53"/>
      <c r="G928" s="53"/>
      <c r="H928" s="52" t="str">
        <f>IF(G928="","",IFERROR(VLOOKUP(G928,'Product_Stock_Master产品维护'!$A$2:$E992,2,FALSE()),"SKU not found"))</f>
        <v/>
      </c>
      <c r="I928" s="52" t="str">
        <f>IF(G928="","",IFERROR(VLOOKUP(G928,'Product_Stock_Master产品维护'!$A$2:$E992,3,FALSE()),"Item type not found"))</f>
        <v/>
      </c>
      <c r="J928" s="53"/>
      <c r="K928" s="53"/>
      <c r="L928" s="53"/>
      <c r="M928" s="53"/>
      <c r="N928" s="53"/>
      <c r="O928" s="52" t="str">
        <f t="shared" si="1"/>
        <v/>
      </c>
      <c r="P928" s="53"/>
      <c r="Q928" s="52" t="str">
        <f t="shared" si="9"/>
        <v/>
      </c>
      <c r="R928" s="52" t="str">
        <f t="shared" si="3"/>
        <v/>
      </c>
      <c r="S928" s="52" t="str">
        <f t="shared" si="10"/>
        <v/>
      </c>
      <c r="T928" s="52" t="str">
        <f t="shared" si="5"/>
        <v/>
      </c>
      <c r="U928" s="52"/>
      <c r="V928" s="53"/>
      <c r="W928" s="52" t="str">
        <f t="shared" si="6"/>
        <v/>
      </c>
      <c r="X928" s="52">
        <f t="shared" si="7"/>
        <v>0</v>
      </c>
      <c r="Y928" s="52">
        <f t="shared" si="8"/>
        <v>0</v>
      </c>
      <c r="Z928" s="52" t="str">
        <f>IF(G928="","",IFERROR(VLOOKUP(G928,'Product_Stock_Master产品维护'!$A$2:$L992,11,FALSE),"No"))</f>
        <v/>
      </c>
      <c r="AA928" s="52" t="str">
        <f>IF(G928="","",IFERROR(VLOOKUP(G928,'Product_Stock_Master产品维护'!$A$2:$L992,12,FALSE),""))</f>
        <v/>
      </c>
      <c r="AB928" s="52" t="str">
        <f t="shared" si="11"/>
        <v/>
      </c>
      <c r="AC928" s="52">
        <f t="shared" si="12"/>
        <v>0</v>
      </c>
    </row>
    <row r="929" ht="15.75" customHeight="1">
      <c r="A929" s="171"/>
      <c r="B929" s="171"/>
      <c r="C929" s="53"/>
      <c r="D929" s="53"/>
      <c r="E929" s="53"/>
      <c r="F929" s="53"/>
      <c r="G929" s="53"/>
      <c r="H929" s="52" t="str">
        <f>IF(G929="","",IFERROR(VLOOKUP(G929,'Product_Stock_Master产品维护'!$A$2:$E992,2,FALSE()),"SKU not found"))</f>
        <v/>
      </c>
      <c r="I929" s="52" t="str">
        <f>IF(G929="","",IFERROR(VLOOKUP(G929,'Product_Stock_Master产品维护'!$A$2:$E992,3,FALSE()),"Item type not found"))</f>
        <v/>
      </c>
      <c r="J929" s="53"/>
      <c r="K929" s="53"/>
      <c r="L929" s="53"/>
      <c r="M929" s="53"/>
      <c r="N929" s="53"/>
      <c r="O929" s="52" t="str">
        <f t="shared" si="1"/>
        <v/>
      </c>
      <c r="P929" s="53"/>
      <c r="Q929" s="52" t="str">
        <f t="shared" si="9"/>
        <v/>
      </c>
      <c r="R929" s="52" t="str">
        <f t="shared" si="3"/>
        <v/>
      </c>
      <c r="S929" s="52" t="str">
        <f t="shared" si="10"/>
        <v/>
      </c>
      <c r="T929" s="52" t="str">
        <f t="shared" si="5"/>
        <v/>
      </c>
      <c r="U929" s="52"/>
      <c r="V929" s="53"/>
      <c r="W929" s="52" t="str">
        <f t="shared" si="6"/>
        <v/>
      </c>
      <c r="X929" s="52">
        <f t="shared" si="7"/>
        <v>0</v>
      </c>
      <c r="Y929" s="52">
        <f t="shared" si="8"/>
        <v>0</v>
      </c>
      <c r="Z929" s="52" t="str">
        <f>IF(G929="","",IFERROR(VLOOKUP(G929,'Product_Stock_Master产品维护'!$A$2:$L992,11,FALSE),"No"))</f>
        <v/>
      </c>
      <c r="AA929" s="52" t="str">
        <f>IF(G929="","",IFERROR(VLOOKUP(G929,'Product_Stock_Master产品维护'!$A$2:$L992,12,FALSE),""))</f>
        <v/>
      </c>
      <c r="AB929" s="52" t="str">
        <f t="shared" si="11"/>
        <v/>
      </c>
      <c r="AC929" s="52">
        <f t="shared" si="12"/>
        <v>0</v>
      </c>
    </row>
    <row r="930" ht="15.75" customHeight="1">
      <c r="A930" s="171"/>
      <c r="B930" s="171"/>
      <c r="C930" s="53"/>
      <c r="D930" s="53"/>
      <c r="E930" s="53"/>
      <c r="F930" s="53"/>
      <c r="G930" s="53"/>
      <c r="H930" s="52" t="str">
        <f>IF(G930="","",IFERROR(VLOOKUP(G930,'Product_Stock_Master产品维护'!$A$2:$E992,2,FALSE()),"SKU not found"))</f>
        <v/>
      </c>
      <c r="I930" s="52" t="str">
        <f>IF(G930="","",IFERROR(VLOOKUP(G930,'Product_Stock_Master产品维护'!$A$2:$E992,3,FALSE()),"Item type not found"))</f>
        <v/>
      </c>
      <c r="J930" s="53"/>
      <c r="K930" s="53"/>
      <c r="L930" s="53"/>
      <c r="M930" s="53"/>
      <c r="N930" s="53"/>
      <c r="O930" s="52" t="str">
        <f t="shared" si="1"/>
        <v/>
      </c>
      <c r="P930" s="53"/>
      <c r="Q930" s="52" t="str">
        <f t="shared" si="9"/>
        <v/>
      </c>
      <c r="R930" s="52" t="str">
        <f t="shared" si="3"/>
        <v/>
      </c>
      <c r="S930" s="52" t="str">
        <f t="shared" si="10"/>
        <v/>
      </c>
      <c r="T930" s="52" t="str">
        <f t="shared" si="5"/>
        <v/>
      </c>
      <c r="U930" s="52"/>
      <c r="V930" s="53"/>
      <c r="W930" s="52" t="str">
        <f t="shared" si="6"/>
        <v/>
      </c>
      <c r="X930" s="52">
        <f t="shared" si="7"/>
        <v>0</v>
      </c>
      <c r="Y930" s="52">
        <f t="shared" si="8"/>
        <v>0</v>
      </c>
      <c r="Z930" s="52" t="str">
        <f>IF(G930="","",IFERROR(VLOOKUP(G930,'Product_Stock_Master产品维护'!$A$2:$L992,11,FALSE),"No"))</f>
        <v/>
      </c>
      <c r="AA930" s="52" t="str">
        <f>IF(G930="","",IFERROR(VLOOKUP(G930,'Product_Stock_Master产品维护'!$A$2:$L992,12,FALSE),""))</f>
        <v/>
      </c>
      <c r="AB930" s="52" t="str">
        <f t="shared" si="11"/>
        <v/>
      </c>
      <c r="AC930" s="52">
        <f t="shared" si="12"/>
        <v>0</v>
      </c>
    </row>
    <row r="931" ht="15.75" customHeight="1">
      <c r="A931" s="171"/>
      <c r="B931" s="171"/>
      <c r="C931" s="53"/>
      <c r="D931" s="53"/>
      <c r="E931" s="53"/>
      <c r="F931" s="53"/>
      <c r="G931" s="53"/>
      <c r="H931" s="52" t="str">
        <f>IF(G931="","",IFERROR(VLOOKUP(G931,'Product_Stock_Master产品维护'!$A$2:$E992,2,FALSE()),"SKU not found"))</f>
        <v/>
      </c>
      <c r="I931" s="52" t="str">
        <f>IF(G931="","",IFERROR(VLOOKUP(G931,'Product_Stock_Master产品维护'!$A$2:$E992,3,FALSE()),"Item type not found"))</f>
        <v/>
      </c>
      <c r="J931" s="53"/>
      <c r="K931" s="53"/>
      <c r="L931" s="53"/>
      <c r="M931" s="53"/>
      <c r="N931" s="53"/>
      <c r="O931" s="52" t="str">
        <f t="shared" si="1"/>
        <v/>
      </c>
      <c r="P931" s="53"/>
      <c r="Q931" s="52" t="str">
        <f t="shared" si="9"/>
        <v/>
      </c>
      <c r="R931" s="52" t="str">
        <f t="shared" si="3"/>
        <v/>
      </c>
      <c r="S931" s="52" t="str">
        <f t="shared" si="10"/>
        <v/>
      </c>
      <c r="T931" s="52" t="str">
        <f t="shared" si="5"/>
        <v/>
      </c>
      <c r="U931" s="52"/>
      <c r="V931" s="53"/>
      <c r="W931" s="52" t="str">
        <f t="shared" si="6"/>
        <v/>
      </c>
      <c r="X931" s="52">
        <f t="shared" si="7"/>
        <v>0</v>
      </c>
      <c r="Y931" s="52">
        <f t="shared" si="8"/>
        <v>0</v>
      </c>
      <c r="Z931" s="52" t="str">
        <f>IF(G931="","",IFERROR(VLOOKUP(G931,'Product_Stock_Master产品维护'!$A$2:$L992,11,FALSE),"No"))</f>
        <v/>
      </c>
      <c r="AA931" s="52" t="str">
        <f>IF(G931="","",IFERROR(VLOOKUP(G931,'Product_Stock_Master产品维护'!$A$2:$L992,12,FALSE),""))</f>
        <v/>
      </c>
      <c r="AB931" s="52" t="str">
        <f t="shared" si="11"/>
        <v/>
      </c>
      <c r="AC931" s="52">
        <f t="shared" si="12"/>
        <v>0</v>
      </c>
    </row>
    <row r="932" ht="15.75" customHeight="1">
      <c r="A932" s="171"/>
      <c r="B932" s="171"/>
      <c r="C932" s="53"/>
      <c r="D932" s="53"/>
      <c r="E932" s="53"/>
      <c r="F932" s="53"/>
      <c r="G932" s="53"/>
      <c r="H932" s="52" t="str">
        <f>IF(G932="","",IFERROR(VLOOKUP(G932,'Product_Stock_Master产品维护'!$A$2:$E992,2,FALSE()),"SKU not found"))</f>
        <v/>
      </c>
      <c r="I932" s="52" t="str">
        <f>IF(G932="","",IFERROR(VLOOKUP(G932,'Product_Stock_Master产品维护'!$A$2:$E992,3,FALSE()),"Item type not found"))</f>
        <v/>
      </c>
      <c r="J932" s="53"/>
      <c r="K932" s="53"/>
      <c r="L932" s="53"/>
      <c r="M932" s="53"/>
      <c r="N932" s="53"/>
      <c r="O932" s="52" t="str">
        <f t="shared" si="1"/>
        <v/>
      </c>
      <c r="P932" s="53"/>
      <c r="Q932" s="52" t="str">
        <f t="shared" si="9"/>
        <v/>
      </c>
      <c r="R932" s="52" t="str">
        <f t="shared" si="3"/>
        <v/>
      </c>
      <c r="S932" s="52" t="str">
        <f t="shared" si="10"/>
        <v/>
      </c>
      <c r="T932" s="52" t="str">
        <f t="shared" si="5"/>
        <v/>
      </c>
      <c r="U932" s="52"/>
      <c r="V932" s="53"/>
      <c r="W932" s="52" t="str">
        <f t="shared" si="6"/>
        <v/>
      </c>
      <c r="X932" s="52">
        <f t="shared" si="7"/>
        <v>0</v>
      </c>
      <c r="Y932" s="52">
        <f t="shared" si="8"/>
        <v>0</v>
      </c>
      <c r="Z932" s="52" t="str">
        <f>IF(G932="","",IFERROR(VLOOKUP(G932,'Product_Stock_Master产品维护'!$A$2:$L992,11,FALSE),"No"))</f>
        <v/>
      </c>
      <c r="AA932" s="52" t="str">
        <f>IF(G932="","",IFERROR(VLOOKUP(G932,'Product_Stock_Master产品维护'!$A$2:$L992,12,FALSE),""))</f>
        <v/>
      </c>
      <c r="AB932" s="52" t="str">
        <f t="shared" si="11"/>
        <v/>
      </c>
      <c r="AC932" s="52">
        <f t="shared" si="12"/>
        <v>0</v>
      </c>
    </row>
    <row r="933" ht="15.75" customHeight="1">
      <c r="A933" s="171"/>
      <c r="B933" s="171"/>
      <c r="C933" s="53"/>
      <c r="D933" s="53"/>
      <c r="E933" s="53"/>
      <c r="F933" s="53"/>
      <c r="G933" s="53"/>
      <c r="H933" s="52" t="str">
        <f>IF(G933="","",IFERROR(VLOOKUP(G933,'Product_Stock_Master产品维护'!$A$2:$E992,2,FALSE()),"SKU not found"))</f>
        <v/>
      </c>
      <c r="I933" s="52" t="str">
        <f>IF(G933="","",IFERROR(VLOOKUP(G933,'Product_Stock_Master产品维护'!$A$2:$E992,3,FALSE()),"Item type not found"))</f>
        <v/>
      </c>
      <c r="J933" s="53"/>
      <c r="K933" s="53"/>
      <c r="L933" s="53"/>
      <c r="M933" s="53"/>
      <c r="N933" s="53"/>
      <c r="O933" s="52" t="str">
        <f t="shared" si="1"/>
        <v/>
      </c>
      <c r="P933" s="53"/>
      <c r="Q933" s="52" t="str">
        <f t="shared" si="9"/>
        <v/>
      </c>
      <c r="R933" s="52" t="str">
        <f t="shared" si="3"/>
        <v/>
      </c>
      <c r="S933" s="52" t="str">
        <f t="shared" si="10"/>
        <v/>
      </c>
      <c r="T933" s="52" t="str">
        <f t="shared" si="5"/>
        <v/>
      </c>
      <c r="U933" s="52"/>
      <c r="V933" s="53"/>
      <c r="W933" s="52" t="str">
        <f t="shared" si="6"/>
        <v/>
      </c>
      <c r="X933" s="52">
        <f t="shared" si="7"/>
        <v>0</v>
      </c>
      <c r="Y933" s="52">
        <f t="shared" si="8"/>
        <v>0</v>
      </c>
      <c r="Z933" s="52" t="str">
        <f>IF(G933="","",IFERROR(VLOOKUP(G933,'Product_Stock_Master产品维护'!$A$2:$L992,11,FALSE),"No"))</f>
        <v/>
      </c>
      <c r="AA933" s="52" t="str">
        <f>IF(G933="","",IFERROR(VLOOKUP(G933,'Product_Stock_Master产品维护'!$A$2:$L992,12,FALSE),""))</f>
        <v/>
      </c>
      <c r="AB933" s="52" t="str">
        <f t="shared" si="11"/>
        <v/>
      </c>
      <c r="AC933" s="52">
        <f t="shared" si="12"/>
        <v>0</v>
      </c>
    </row>
    <row r="934" ht="15.75" customHeight="1">
      <c r="A934" s="171"/>
      <c r="B934" s="171"/>
      <c r="C934" s="53"/>
      <c r="D934" s="53"/>
      <c r="E934" s="53"/>
      <c r="F934" s="53"/>
      <c r="G934" s="53"/>
      <c r="H934" s="52" t="str">
        <f>IF(G934="","",IFERROR(VLOOKUP(G934,'Product_Stock_Master产品维护'!$A$2:$E992,2,FALSE()),"SKU not found"))</f>
        <v/>
      </c>
      <c r="I934" s="52" t="str">
        <f>IF(G934="","",IFERROR(VLOOKUP(G934,'Product_Stock_Master产品维护'!$A$2:$E992,3,FALSE()),"Item type not found"))</f>
        <v/>
      </c>
      <c r="J934" s="53"/>
      <c r="K934" s="53"/>
      <c r="L934" s="53"/>
      <c r="M934" s="53"/>
      <c r="N934" s="53"/>
      <c r="O934" s="52" t="str">
        <f t="shared" si="1"/>
        <v/>
      </c>
      <c r="P934" s="53"/>
      <c r="Q934" s="52" t="str">
        <f t="shared" si="9"/>
        <v/>
      </c>
      <c r="R934" s="52" t="str">
        <f t="shared" si="3"/>
        <v/>
      </c>
      <c r="S934" s="52" t="str">
        <f t="shared" si="10"/>
        <v/>
      </c>
      <c r="T934" s="52" t="str">
        <f t="shared" si="5"/>
        <v/>
      </c>
      <c r="U934" s="52"/>
      <c r="V934" s="53"/>
      <c r="W934" s="52" t="str">
        <f t="shared" si="6"/>
        <v/>
      </c>
      <c r="X934" s="52">
        <f t="shared" si="7"/>
        <v>0</v>
      </c>
      <c r="Y934" s="52">
        <f t="shared" si="8"/>
        <v>0</v>
      </c>
      <c r="Z934" s="52" t="str">
        <f>IF(G934="","",IFERROR(VLOOKUP(G934,'Product_Stock_Master产品维护'!$A$2:$L992,11,FALSE),"No"))</f>
        <v/>
      </c>
      <c r="AA934" s="52" t="str">
        <f>IF(G934="","",IFERROR(VLOOKUP(G934,'Product_Stock_Master产品维护'!$A$2:$L992,12,FALSE),""))</f>
        <v/>
      </c>
      <c r="AB934" s="52" t="str">
        <f t="shared" si="11"/>
        <v/>
      </c>
      <c r="AC934" s="52">
        <f t="shared" si="12"/>
        <v>0</v>
      </c>
    </row>
    <row r="935" ht="15.75" customHeight="1">
      <c r="A935" s="171"/>
      <c r="B935" s="171"/>
      <c r="C935" s="53"/>
      <c r="D935" s="53"/>
      <c r="E935" s="53"/>
      <c r="F935" s="53"/>
      <c r="G935" s="53"/>
      <c r="H935" s="52" t="str">
        <f>IF(G935="","",IFERROR(VLOOKUP(G935,'Product_Stock_Master产品维护'!$A$2:$E992,2,FALSE()),"SKU not found"))</f>
        <v/>
      </c>
      <c r="I935" s="52" t="str">
        <f>IF(G935="","",IFERROR(VLOOKUP(G935,'Product_Stock_Master产品维护'!$A$2:$E992,3,FALSE()),"Item type not found"))</f>
        <v/>
      </c>
      <c r="J935" s="53"/>
      <c r="K935" s="53"/>
      <c r="L935" s="53"/>
      <c r="M935" s="53"/>
      <c r="N935" s="53"/>
      <c r="O935" s="52" t="str">
        <f t="shared" si="1"/>
        <v/>
      </c>
      <c r="P935" s="53"/>
      <c r="Q935" s="52" t="str">
        <f t="shared" si="9"/>
        <v/>
      </c>
      <c r="R935" s="52" t="str">
        <f t="shared" si="3"/>
        <v/>
      </c>
      <c r="S935" s="52" t="str">
        <f t="shared" si="10"/>
        <v/>
      </c>
      <c r="T935" s="52" t="str">
        <f t="shared" si="5"/>
        <v/>
      </c>
      <c r="U935" s="52"/>
      <c r="V935" s="53"/>
      <c r="W935" s="52" t="str">
        <f t="shared" si="6"/>
        <v/>
      </c>
      <c r="X935" s="52">
        <f t="shared" si="7"/>
        <v>0</v>
      </c>
      <c r="Y935" s="52">
        <f t="shared" si="8"/>
        <v>0</v>
      </c>
      <c r="Z935" s="52" t="str">
        <f>IF(G935="","",IFERROR(VLOOKUP(G935,'Product_Stock_Master产品维护'!$A$2:$L992,11,FALSE),"No"))</f>
        <v/>
      </c>
      <c r="AA935" s="52" t="str">
        <f>IF(G935="","",IFERROR(VLOOKUP(G935,'Product_Stock_Master产品维护'!$A$2:$L992,12,FALSE),""))</f>
        <v/>
      </c>
      <c r="AB935" s="52" t="str">
        <f t="shared" si="11"/>
        <v/>
      </c>
      <c r="AC935" s="52">
        <f t="shared" si="12"/>
        <v>0</v>
      </c>
    </row>
    <row r="936" ht="15.75" customHeight="1">
      <c r="A936" s="171"/>
      <c r="B936" s="171"/>
      <c r="C936" s="53"/>
      <c r="D936" s="53"/>
      <c r="E936" s="53"/>
      <c r="F936" s="53"/>
      <c r="G936" s="53"/>
      <c r="H936" s="52" t="str">
        <f>IF(G936="","",IFERROR(VLOOKUP(G936,'Product_Stock_Master产品维护'!$A$2:$E992,2,FALSE()),"SKU not found"))</f>
        <v/>
      </c>
      <c r="I936" s="52" t="str">
        <f>IF(G936="","",IFERROR(VLOOKUP(G936,'Product_Stock_Master产品维护'!$A$2:$E992,3,FALSE()),"Item type not found"))</f>
        <v/>
      </c>
      <c r="J936" s="53"/>
      <c r="K936" s="53"/>
      <c r="L936" s="53"/>
      <c r="M936" s="53"/>
      <c r="N936" s="53"/>
      <c r="O936" s="52" t="str">
        <f t="shared" si="1"/>
        <v/>
      </c>
      <c r="P936" s="53"/>
      <c r="Q936" s="52" t="str">
        <f t="shared" si="9"/>
        <v/>
      </c>
      <c r="R936" s="52" t="str">
        <f t="shared" si="3"/>
        <v/>
      </c>
      <c r="S936" s="52" t="str">
        <f t="shared" si="10"/>
        <v/>
      </c>
      <c r="T936" s="52" t="str">
        <f t="shared" si="5"/>
        <v/>
      </c>
      <c r="U936" s="52"/>
      <c r="V936" s="53"/>
      <c r="W936" s="52" t="str">
        <f t="shared" si="6"/>
        <v/>
      </c>
      <c r="X936" s="52">
        <f t="shared" si="7"/>
        <v>0</v>
      </c>
      <c r="Y936" s="52">
        <f t="shared" si="8"/>
        <v>0</v>
      </c>
      <c r="Z936" s="52" t="str">
        <f>IF(G936="","",IFERROR(VLOOKUP(G936,'Product_Stock_Master产品维护'!$A$2:$L992,11,FALSE),"No"))</f>
        <v/>
      </c>
      <c r="AA936" s="52" t="str">
        <f>IF(G936="","",IFERROR(VLOOKUP(G936,'Product_Stock_Master产品维护'!$A$2:$L992,12,FALSE),""))</f>
        <v/>
      </c>
      <c r="AB936" s="52" t="str">
        <f t="shared" si="11"/>
        <v/>
      </c>
      <c r="AC936" s="52">
        <f t="shared" si="12"/>
        <v>0</v>
      </c>
    </row>
    <row r="937" ht="15.75" customHeight="1">
      <c r="A937" s="171"/>
      <c r="B937" s="171"/>
      <c r="C937" s="53"/>
      <c r="D937" s="53"/>
      <c r="E937" s="53"/>
      <c r="F937" s="53"/>
      <c r="G937" s="53"/>
      <c r="H937" s="52" t="str">
        <f>IF(G937="","",IFERROR(VLOOKUP(G937,'Product_Stock_Master产品维护'!$A$2:$E992,2,FALSE()),"SKU not found"))</f>
        <v/>
      </c>
      <c r="I937" s="52" t="str">
        <f>IF(G937="","",IFERROR(VLOOKUP(G937,'Product_Stock_Master产品维护'!$A$2:$E992,3,FALSE()),"Item type not found"))</f>
        <v/>
      </c>
      <c r="J937" s="53"/>
      <c r="K937" s="53"/>
      <c r="L937" s="53"/>
      <c r="M937" s="53"/>
      <c r="N937" s="53"/>
      <c r="O937" s="52" t="str">
        <f t="shared" si="1"/>
        <v/>
      </c>
      <c r="P937" s="53"/>
      <c r="Q937" s="52" t="str">
        <f t="shared" si="9"/>
        <v/>
      </c>
      <c r="R937" s="52" t="str">
        <f t="shared" si="3"/>
        <v/>
      </c>
      <c r="S937" s="52" t="str">
        <f t="shared" si="10"/>
        <v/>
      </c>
      <c r="T937" s="52" t="str">
        <f t="shared" si="5"/>
        <v/>
      </c>
      <c r="U937" s="52"/>
      <c r="V937" s="53"/>
      <c r="W937" s="52" t="str">
        <f t="shared" si="6"/>
        <v/>
      </c>
      <c r="X937" s="52">
        <f t="shared" si="7"/>
        <v>0</v>
      </c>
      <c r="Y937" s="52">
        <f t="shared" si="8"/>
        <v>0</v>
      </c>
      <c r="Z937" s="52" t="str">
        <f>IF(G937="","",IFERROR(VLOOKUP(G937,'Product_Stock_Master产品维护'!$A$2:$L992,11,FALSE),"No"))</f>
        <v/>
      </c>
      <c r="AA937" s="52" t="str">
        <f>IF(G937="","",IFERROR(VLOOKUP(G937,'Product_Stock_Master产品维护'!$A$2:$L992,12,FALSE),""))</f>
        <v/>
      </c>
      <c r="AB937" s="52" t="str">
        <f t="shared" si="11"/>
        <v/>
      </c>
      <c r="AC937" s="52">
        <f t="shared" si="12"/>
        <v>0</v>
      </c>
    </row>
    <row r="938" ht="15.75" customHeight="1">
      <c r="A938" s="171"/>
      <c r="B938" s="171"/>
      <c r="C938" s="53"/>
      <c r="D938" s="53"/>
      <c r="E938" s="53"/>
      <c r="F938" s="53"/>
      <c r="G938" s="53"/>
      <c r="H938" s="52" t="str">
        <f>IF(G938="","",IFERROR(VLOOKUP(G938,'Product_Stock_Master产品维护'!$A$2:$E992,2,FALSE()),"SKU not found"))</f>
        <v/>
      </c>
      <c r="I938" s="52" t="str">
        <f>IF(G938="","",IFERROR(VLOOKUP(G938,'Product_Stock_Master产品维护'!$A$2:$E992,3,FALSE()),"Item type not found"))</f>
        <v/>
      </c>
      <c r="J938" s="53"/>
      <c r="K938" s="53"/>
      <c r="L938" s="53"/>
      <c r="M938" s="53"/>
      <c r="N938" s="53"/>
      <c r="O938" s="52" t="str">
        <f t="shared" si="1"/>
        <v/>
      </c>
      <c r="P938" s="53"/>
      <c r="Q938" s="52" t="str">
        <f t="shared" si="9"/>
        <v/>
      </c>
      <c r="R938" s="52" t="str">
        <f t="shared" si="3"/>
        <v/>
      </c>
      <c r="S938" s="52" t="str">
        <f t="shared" si="10"/>
        <v/>
      </c>
      <c r="T938" s="52" t="str">
        <f t="shared" si="5"/>
        <v/>
      </c>
      <c r="U938" s="52"/>
      <c r="V938" s="53"/>
      <c r="W938" s="52" t="str">
        <f t="shared" si="6"/>
        <v/>
      </c>
      <c r="X938" s="52">
        <f t="shared" si="7"/>
        <v>0</v>
      </c>
      <c r="Y938" s="52">
        <f t="shared" si="8"/>
        <v>0</v>
      </c>
      <c r="Z938" s="52" t="str">
        <f>IF(G938="","",IFERROR(VLOOKUP(G938,'Product_Stock_Master产品维护'!$A$2:$L992,11,FALSE),"No"))</f>
        <v/>
      </c>
      <c r="AA938" s="52" t="str">
        <f>IF(G938="","",IFERROR(VLOOKUP(G938,'Product_Stock_Master产品维护'!$A$2:$L992,12,FALSE),""))</f>
        <v/>
      </c>
      <c r="AB938" s="52" t="str">
        <f t="shared" si="11"/>
        <v/>
      </c>
      <c r="AC938" s="52">
        <f t="shared" si="12"/>
        <v>0</v>
      </c>
    </row>
    <row r="939" ht="15.75" customHeight="1">
      <c r="A939" s="171"/>
      <c r="B939" s="171"/>
      <c r="C939" s="53"/>
      <c r="D939" s="53"/>
      <c r="E939" s="53"/>
      <c r="F939" s="53"/>
      <c r="G939" s="53"/>
      <c r="H939" s="52" t="str">
        <f>IF(G939="","",IFERROR(VLOOKUP(G939,'Product_Stock_Master产品维护'!$A$2:$E992,2,FALSE()),"SKU not found"))</f>
        <v/>
      </c>
      <c r="I939" s="52" t="str">
        <f>IF(G939="","",IFERROR(VLOOKUP(G939,'Product_Stock_Master产品维护'!$A$2:$E992,3,FALSE()),"Item type not found"))</f>
        <v/>
      </c>
      <c r="J939" s="53"/>
      <c r="K939" s="53"/>
      <c r="L939" s="53"/>
      <c r="M939" s="53"/>
      <c r="N939" s="53"/>
      <c r="O939" s="52" t="str">
        <f t="shared" si="1"/>
        <v/>
      </c>
      <c r="P939" s="53"/>
      <c r="Q939" s="52" t="str">
        <f t="shared" si="9"/>
        <v/>
      </c>
      <c r="R939" s="52" t="str">
        <f t="shared" si="3"/>
        <v/>
      </c>
      <c r="S939" s="52" t="str">
        <f t="shared" si="10"/>
        <v/>
      </c>
      <c r="T939" s="52" t="str">
        <f t="shared" si="5"/>
        <v/>
      </c>
      <c r="U939" s="52"/>
      <c r="V939" s="53"/>
      <c r="W939" s="52" t="str">
        <f t="shared" si="6"/>
        <v/>
      </c>
      <c r="X939" s="52">
        <f t="shared" si="7"/>
        <v>0</v>
      </c>
      <c r="Y939" s="52">
        <f t="shared" si="8"/>
        <v>0</v>
      </c>
      <c r="Z939" s="52" t="str">
        <f>IF(G939="","",IFERROR(VLOOKUP(G939,'Product_Stock_Master产品维护'!$A$2:$L992,11,FALSE),"No"))</f>
        <v/>
      </c>
      <c r="AA939" s="52" t="str">
        <f>IF(G939="","",IFERROR(VLOOKUP(G939,'Product_Stock_Master产品维护'!$A$2:$L992,12,FALSE),""))</f>
        <v/>
      </c>
      <c r="AB939" s="52" t="str">
        <f t="shared" si="11"/>
        <v/>
      </c>
      <c r="AC939" s="52">
        <f t="shared" si="12"/>
        <v>0</v>
      </c>
    </row>
    <row r="940" ht="15.75" customHeight="1">
      <c r="A940" s="171"/>
      <c r="B940" s="171"/>
      <c r="C940" s="53"/>
      <c r="D940" s="53"/>
      <c r="E940" s="53"/>
      <c r="F940" s="53"/>
      <c r="G940" s="53"/>
      <c r="H940" s="52" t="str">
        <f>IF(G940="","",IFERROR(VLOOKUP(G940,'Product_Stock_Master产品维护'!$A$2:$E992,2,FALSE()),"SKU not found"))</f>
        <v/>
      </c>
      <c r="I940" s="52" t="str">
        <f>IF(G940="","",IFERROR(VLOOKUP(G940,'Product_Stock_Master产品维护'!$A$2:$E992,3,FALSE()),"Item type not found"))</f>
        <v/>
      </c>
      <c r="J940" s="53"/>
      <c r="K940" s="53"/>
      <c r="L940" s="53"/>
      <c r="M940" s="53"/>
      <c r="N940" s="53"/>
      <c r="O940" s="52" t="str">
        <f t="shared" si="1"/>
        <v/>
      </c>
      <c r="P940" s="53"/>
      <c r="Q940" s="52" t="str">
        <f t="shared" si="9"/>
        <v/>
      </c>
      <c r="R940" s="52" t="str">
        <f t="shared" si="3"/>
        <v/>
      </c>
      <c r="S940" s="52" t="str">
        <f t="shared" si="10"/>
        <v/>
      </c>
      <c r="T940" s="52" t="str">
        <f t="shared" si="5"/>
        <v/>
      </c>
      <c r="U940" s="52"/>
      <c r="V940" s="53"/>
      <c r="W940" s="52" t="str">
        <f t="shared" si="6"/>
        <v/>
      </c>
      <c r="X940" s="52">
        <f t="shared" si="7"/>
        <v>0</v>
      </c>
      <c r="Y940" s="52">
        <f t="shared" si="8"/>
        <v>0</v>
      </c>
      <c r="Z940" s="52" t="str">
        <f>IF(G940="","",IFERROR(VLOOKUP(G940,'Product_Stock_Master产品维护'!$A$2:$L992,11,FALSE),"No"))</f>
        <v/>
      </c>
      <c r="AA940" s="52" t="str">
        <f>IF(G940="","",IFERROR(VLOOKUP(G940,'Product_Stock_Master产品维护'!$A$2:$L992,12,FALSE),""))</f>
        <v/>
      </c>
      <c r="AB940" s="52" t="str">
        <f t="shared" si="11"/>
        <v/>
      </c>
      <c r="AC940" s="52">
        <f t="shared" si="12"/>
        <v>0</v>
      </c>
    </row>
    <row r="941" ht="15.75" customHeight="1">
      <c r="A941" s="171"/>
      <c r="B941" s="171"/>
      <c r="C941" s="53"/>
      <c r="D941" s="53"/>
      <c r="E941" s="53"/>
      <c r="F941" s="53"/>
      <c r="G941" s="53"/>
      <c r="H941" s="52" t="str">
        <f>IF(G941="","",IFERROR(VLOOKUP(G941,'Product_Stock_Master产品维护'!$A$2:$E992,2,FALSE()),"SKU not found"))</f>
        <v/>
      </c>
      <c r="I941" s="52" t="str">
        <f>IF(G941="","",IFERROR(VLOOKUP(G941,'Product_Stock_Master产品维护'!$A$2:$E992,3,FALSE()),"Item type not found"))</f>
        <v/>
      </c>
      <c r="J941" s="53"/>
      <c r="K941" s="53"/>
      <c r="L941" s="53"/>
      <c r="M941" s="53"/>
      <c r="N941" s="53"/>
      <c r="O941" s="52" t="str">
        <f t="shared" si="1"/>
        <v/>
      </c>
      <c r="P941" s="53"/>
      <c r="Q941" s="52" t="str">
        <f t="shared" si="9"/>
        <v/>
      </c>
      <c r="R941" s="52" t="str">
        <f t="shared" si="3"/>
        <v/>
      </c>
      <c r="S941" s="52" t="str">
        <f t="shared" si="10"/>
        <v/>
      </c>
      <c r="T941" s="52" t="str">
        <f t="shared" si="5"/>
        <v/>
      </c>
      <c r="U941" s="52"/>
      <c r="V941" s="53"/>
      <c r="W941" s="52" t="str">
        <f t="shared" si="6"/>
        <v/>
      </c>
      <c r="X941" s="52">
        <f t="shared" si="7"/>
        <v>0</v>
      </c>
      <c r="Y941" s="52">
        <f t="shared" si="8"/>
        <v>0</v>
      </c>
      <c r="Z941" s="52" t="str">
        <f>IF(G941="","",IFERROR(VLOOKUP(G941,'Product_Stock_Master产品维护'!$A$2:$L992,11,FALSE),"No"))</f>
        <v/>
      </c>
      <c r="AA941" s="52" t="str">
        <f>IF(G941="","",IFERROR(VLOOKUP(G941,'Product_Stock_Master产品维护'!$A$2:$L992,12,FALSE),""))</f>
        <v/>
      </c>
      <c r="AB941" s="52" t="str">
        <f t="shared" si="11"/>
        <v/>
      </c>
      <c r="AC941" s="52">
        <f t="shared" si="12"/>
        <v>0</v>
      </c>
    </row>
    <row r="942" ht="15.75" customHeight="1">
      <c r="A942" s="171"/>
      <c r="B942" s="171"/>
      <c r="C942" s="53"/>
      <c r="D942" s="53"/>
      <c r="E942" s="53"/>
      <c r="F942" s="53"/>
      <c r="G942" s="53"/>
      <c r="H942" s="52" t="str">
        <f>IF(G942="","",IFERROR(VLOOKUP(G942,'Product_Stock_Master产品维护'!$A$2:$E992,2,FALSE()),"SKU not found"))</f>
        <v/>
      </c>
      <c r="I942" s="52" t="str">
        <f>IF(G942="","",IFERROR(VLOOKUP(G942,'Product_Stock_Master产品维护'!$A$2:$E992,3,FALSE()),"Item type not found"))</f>
        <v/>
      </c>
      <c r="J942" s="53"/>
      <c r="K942" s="53"/>
      <c r="L942" s="53"/>
      <c r="M942" s="53"/>
      <c r="N942" s="53"/>
      <c r="O942" s="52" t="str">
        <f t="shared" si="1"/>
        <v/>
      </c>
      <c r="P942" s="53"/>
      <c r="Q942" s="52" t="str">
        <f t="shared" si="9"/>
        <v/>
      </c>
      <c r="R942" s="52" t="str">
        <f t="shared" si="3"/>
        <v/>
      </c>
      <c r="S942" s="52" t="str">
        <f t="shared" si="10"/>
        <v/>
      </c>
      <c r="T942" s="52" t="str">
        <f t="shared" si="5"/>
        <v/>
      </c>
      <c r="U942" s="52"/>
      <c r="V942" s="53"/>
      <c r="W942" s="52" t="str">
        <f t="shared" si="6"/>
        <v/>
      </c>
      <c r="X942" s="52">
        <f t="shared" si="7"/>
        <v>0</v>
      </c>
      <c r="Y942" s="52">
        <f t="shared" si="8"/>
        <v>0</v>
      </c>
      <c r="Z942" s="52" t="str">
        <f>IF(G942="","",IFERROR(VLOOKUP(G942,'Product_Stock_Master产品维护'!$A$2:$L992,11,FALSE),"No"))</f>
        <v/>
      </c>
      <c r="AA942" s="52" t="str">
        <f>IF(G942="","",IFERROR(VLOOKUP(G942,'Product_Stock_Master产品维护'!$A$2:$L992,12,FALSE),""))</f>
        <v/>
      </c>
      <c r="AB942" s="52" t="str">
        <f t="shared" si="11"/>
        <v/>
      </c>
      <c r="AC942" s="52">
        <f t="shared" si="12"/>
        <v>0</v>
      </c>
    </row>
    <row r="943" ht="15.75" customHeight="1">
      <c r="A943" s="171"/>
      <c r="B943" s="171"/>
      <c r="C943" s="53"/>
      <c r="D943" s="53"/>
      <c r="E943" s="53"/>
      <c r="F943" s="53"/>
      <c r="G943" s="53"/>
      <c r="H943" s="52" t="str">
        <f>IF(G943="","",IFERROR(VLOOKUP(G943,'Product_Stock_Master产品维护'!$A$2:$E992,2,FALSE()),"SKU not found"))</f>
        <v/>
      </c>
      <c r="I943" s="52" t="str">
        <f>IF(G943="","",IFERROR(VLOOKUP(G943,'Product_Stock_Master产品维护'!$A$2:$E992,3,FALSE()),"Item type not found"))</f>
        <v/>
      </c>
      <c r="J943" s="53"/>
      <c r="K943" s="53"/>
      <c r="L943" s="53"/>
      <c r="M943" s="53"/>
      <c r="N943" s="53"/>
      <c r="O943" s="52" t="str">
        <f t="shared" si="1"/>
        <v/>
      </c>
      <c r="P943" s="53"/>
      <c r="Q943" s="52" t="str">
        <f t="shared" si="9"/>
        <v/>
      </c>
      <c r="R943" s="52" t="str">
        <f t="shared" si="3"/>
        <v/>
      </c>
      <c r="S943" s="52" t="str">
        <f t="shared" si="10"/>
        <v/>
      </c>
      <c r="T943" s="52" t="str">
        <f t="shared" si="5"/>
        <v/>
      </c>
      <c r="U943" s="52"/>
      <c r="V943" s="53"/>
      <c r="W943" s="52" t="str">
        <f t="shared" si="6"/>
        <v/>
      </c>
      <c r="X943" s="52">
        <f t="shared" si="7"/>
        <v>0</v>
      </c>
      <c r="Y943" s="52">
        <f t="shared" si="8"/>
        <v>0</v>
      </c>
      <c r="Z943" s="52" t="str">
        <f>IF(G943="","",IFERROR(VLOOKUP(G943,'Product_Stock_Master产品维护'!$A$2:$L992,11,FALSE),"No"))</f>
        <v/>
      </c>
      <c r="AA943" s="52" t="str">
        <f>IF(G943="","",IFERROR(VLOOKUP(G943,'Product_Stock_Master产品维护'!$A$2:$L992,12,FALSE),""))</f>
        <v/>
      </c>
      <c r="AB943" s="52" t="str">
        <f t="shared" si="11"/>
        <v/>
      </c>
      <c r="AC943" s="52">
        <f t="shared" si="12"/>
        <v>0</v>
      </c>
    </row>
    <row r="944" ht="15.75" customHeight="1">
      <c r="A944" s="171"/>
      <c r="B944" s="171"/>
      <c r="C944" s="53"/>
      <c r="D944" s="53"/>
      <c r="E944" s="53"/>
      <c r="F944" s="53"/>
      <c r="G944" s="53"/>
      <c r="H944" s="52" t="str">
        <f>IF(G944="","",IFERROR(VLOOKUP(G944,'Product_Stock_Master产品维护'!$A$2:$E992,2,FALSE()),"SKU not found"))</f>
        <v/>
      </c>
      <c r="I944" s="52" t="str">
        <f>IF(G944="","",IFERROR(VLOOKUP(G944,'Product_Stock_Master产品维护'!$A$2:$E992,3,FALSE()),"Item type not found"))</f>
        <v/>
      </c>
      <c r="J944" s="53"/>
      <c r="K944" s="53"/>
      <c r="L944" s="53"/>
      <c r="M944" s="53"/>
      <c r="N944" s="53"/>
      <c r="O944" s="52" t="str">
        <f t="shared" si="1"/>
        <v/>
      </c>
      <c r="P944" s="53"/>
      <c r="Q944" s="52" t="str">
        <f t="shared" si="9"/>
        <v/>
      </c>
      <c r="R944" s="52" t="str">
        <f t="shared" si="3"/>
        <v/>
      </c>
      <c r="S944" s="52" t="str">
        <f t="shared" si="10"/>
        <v/>
      </c>
      <c r="T944" s="52" t="str">
        <f t="shared" si="5"/>
        <v/>
      </c>
      <c r="U944" s="52"/>
      <c r="V944" s="53"/>
      <c r="W944" s="52" t="str">
        <f t="shared" si="6"/>
        <v/>
      </c>
      <c r="X944" s="52">
        <f t="shared" si="7"/>
        <v>0</v>
      </c>
      <c r="Y944" s="52">
        <f t="shared" si="8"/>
        <v>0</v>
      </c>
      <c r="Z944" s="52" t="str">
        <f>IF(G944="","",IFERROR(VLOOKUP(G944,'Product_Stock_Master产品维护'!$A$2:$L992,11,FALSE),"No"))</f>
        <v/>
      </c>
      <c r="AA944" s="52" t="str">
        <f>IF(G944="","",IFERROR(VLOOKUP(G944,'Product_Stock_Master产品维护'!$A$2:$L992,12,FALSE),""))</f>
        <v/>
      </c>
      <c r="AB944" s="52" t="str">
        <f t="shared" si="11"/>
        <v/>
      </c>
      <c r="AC944" s="52">
        <f t="shared" si="12"/>
        <v>0</v>
      </c>
    </row>
    <row r="945" ht="15.75" customHeight="1">
      <c r="A945" s="171"/>
      <c r="B945" s="171"/>
      <c r="C945" s="53"/>
      <c r="D945" s="53"/>
      <c r="E945" s="53"/>
      <c r="F945" s="53"/>
      <c r="G945" s="53"/>
      <c r="H945" s="52" t="str">
        <f>IF(G945="","",IFERROR(VLOOKUP(G945,'Product_Stock_Master产品维护'!$A$2:$E992,2,FALSE()),"SKU not found"))</f>
        <v/>
      </c>
      <c r="I945" s="52" t="str">
        <f>IF(G945="","",IFERROR(VLOOKUP(G945,'Product_Stock_Master产品维护'!$A$2:$E992,3,FALSE()),"Item type not found"))</f>
        <v/>
      </c>
      <c r="J945" s="53"/>
      <c r="K945" s="53"/>
      <c r="L945" s="53"/>
      <c r="M945" s="53"/>
      <c r="N945" s="53"/>
      <c r="O945" s="52" t="str">
        <f t="shared" si="1"/>
        <v/>
      </c>
      <c r="P945" s="53"/>
      <c r="Q945" s="52" t="str">
        <f t="shared" si="9"/>
        <v/>
      </c>
      <c r="R945" s="52" t="str">
        <f t="shared" si="3"/>
        <v/>
      </c>
      <c r="S945" s="52" t="str">
        <f t="shared" si="10"/>
        <v/>
      </c>
      <c r="T945" s="52" t="str">
        <f t="shared" si="5"/>
        <v/>
      </c>
      <c r="U945" s="52"/>
      <c r="V945" s="53"/>
      <c r="W945" s="52" t="str">
        <f t="shared" si="6"/>
        <v/>
      </c>
      <c r="X945" s="52">
        <f t="shared" si="7"/>
        <v>0</v>
      </c>
      <c r="Y945" s="52">
        <f t="shared" si="8"/>
        <v>0</v>
      </c>
      <c r="Z945" s="52" t="str">
        <f>IF(G945="","",IFERROR(VLOOKUP(G945,'Product_Stock_Master产品维护'!$A$2:$L992,11,FALSE),"No"))</f>
        <v/>
      </c>
      <c r="AA945" s="52" t="str">
        <f>IF(G945="","",IFERROR(VLOOKUP(G945,'Product_Stock_Master产品维护'!$A$2:$L992,12,FALSE),""))</f>
        <v/>
      </c>
      <c r="AB945" s="52" t="str">
        <f t="shared" si="11"/>
        <v/>
      </c>
      <c r="AC945" s="52">
        <f t="shared" si="12"/>
        <v>0</v>
      </c>
    </row>
    <row r="946" ht="15.75" customHeight="1">
      <c r="A946" s="171"/>
      <c r="B946" s="171"/>
      <c r="C946" s="53"/>
      <c r="D946" s="53"/>
      <c r="E946" s="53"/>
      <c r="F946" s="53"/>
      <c r="G946" s="53"/>
      <c r="H946" s="52" t="str">
        <f>IF(G946="","",IFERROR(VLOOKUP(G946,'Product_Stock_Master产品维护'!$A$2:$E992,2,FALSE()),"SKU not found"))</f>
        <v/>
      </c>
      <c r="I946" s="52" t="str">
        <f>IF(G946="","",IFERROR(VLOOKUP(G946,'Product_Stock_Master产品维护'!$A$2:$E992,3,FALSE()),"Item type not found"))</f>
        <v/>
      </c>
      <c r="J946" s="53"/>
      <c r="K946" s="53"/>
      <c r="L946" s="53"/>
      <c r="M946" s="53"/>
      <c r="N946" s="53"/>
      <c r="O946" s="52" t="str">
        <f t="shared" si="1"/>
        <v/>
      </c>
      <c r="P946" s="53"/>
      <c r="Q946" s="52" t="str">
        <f t="shared" si="9"/>
        <v/>
      </c>
      <c r="R946" s="52" t="str">
        <f t="shared" si="3"/>
        <v/>
      </c>
      <c r="S946" s="52" t="str">
        <f t="shared" si="10"/>
        <v/>
      </c>
      <c r="T946" s="52" t="str">
        <f t="shared" si="5"/>
        <v/>
      </c>
      <c r="U946" s="52"/>
      <c r="V946" s="53"/>
      <c r="W946" s="52" t="str">
        <f t="shared" si="6"/>
        <v/>
      </c>
      <c r="X946" s="52">
        <f t="shared" si="7"/>
        <v>0</v>
      </c>
      <c r="Y946" s="52">
        <f t="shared" si="8"/>
        <v>0</v>
      </c>
      <c r="Z946" s="52" t="str">
        <f>IF(G946="","",IFERROR(VLOOKUP(G946,'Product_Stock_Master产品维护'!$A$2:$L992,11,FALSE),"No"))</f>
        <v/>
      </c>
      <c r="AA946" s="52" t="str">
        <f>IF(G946="","",IFERROR(VLOOKUP(G946,'Product_Stock_Master产品维护'!$A$2:$L992,12,FALSE),""))</f>
        <v/>
      </c>
      <c r="AB946" s="52" t="str">
        <f t="shared" si="11"/>
        <v/>
      </c>
      <c r="AC946" s="52">
        <f t="shared" si="12"/>
        <v>0</v>
      </c>
    </row>
    <row r="947" ht="15.75" customHeight="1">
      <c r="A947" s="171"/>
      <c r="B947" s="171"/>
      <c r="C947" s="53"/>
      <c r="D947" s="53"/>
      <c r="E947" s="53"/>
      <c r="F947" s="53"/>
      <c r="G947" s="53"/>
      <c r="H947" s="52" t="str">
        <f>IF(G947="","",IFERROR(VLOOKUP(G947,'Product_Stock_Master产品维护'!$A$2:$E992,2,FALSE()),"SKU not found"))</f>
        <v/>
      </c>
      <c r="I947" s="52" t="str">
        <f>IF(G947="","",IFERROR(VLOOKUP(G947,'Product_Stock_Master产品维护'!$A$2:$E992,3,FALSE()),"Item type not found"))</f>
        <v/>
      </c>
      <c r="J947" s="53"/>
      <c r="K947" s="53"/>
      <c r="L947" s="53"/>
      <c r="M947" s="53"/>
      <c r="N947" s="53"/>
      <c r="O947" s="52" t="str">
        <f t="shared" si="1"/>
        <v/>
      </c>
      <c r="P947" s="53"/>
      <c r="Q947" s="52" t="str">
        <f t="shared" si="9"/>
        <v/>
      </c>
      <c r="R947" s="52" t="str">
        <f t="shared" si="3"/>
        <v/>
      </c>
      <c r="S947" s="52" t="str">
        <f t="shared" si="10"/>
        <v/>
      </c>
      <c r="T947" s="52" t="str">
        <f t="shared" si="5"/>
        <v/>
      </c>
      <c r="U947" s="52"/>
      <c r="V947" s="53"/>
      <c r="W947" s="52" t="str">
        <f t="shared" si="6"/>
        <v/>
      </c>
      <c r="X947" s="52">
        <f t="shared" si="7"/>
        <v>0</v>
      </c>
      <c r="Y947" s="52">
        <f t="shared" si="8"/>
        <v>0</v>
      </c>
      <c r="Z947" s="52" t="str">
        <f>IF(G947="","",IFERROR(VLOOKUP(G947,'Product_Stock_Master产品维护'!$A$2:$L992,11,FALSE),"No"))</f>
        <v/>
      </c>
      <c r="AA947" s="52" t="str">
        <f>IF(G947="","",IFERROR(VLOOKUP(G947,'Product_Stock_Master产品维护'!$A$2:$L992,12,FALSE),""))</f>
        <v/>
      </c>
      <c r="AB947" s="52" t="str">
        <f t="shared" si="11"/>
        <v/>
      </c>
      <c r="AC947" s="52">
        <f t="shared" si="12"/>
        <v>0</v>
      </c>
    </row>
    <row r="948" ht="15.75" customHeight="1">
      <c r="A948" s="171"/>
      <c r="B948" s="171"/>
      <c r="C948" s="53"/>
      <c r="D948" s="53"/>
      <c r="E948" s="53"/>
      <c r="F948" s="53"/>
      <c r="G948" s="53"/>
      <c r="H948" s="52" t="str">
        <f>IF(G948="","",IFERROR(VLOOKUP(G948,'Product_Stock_Master产品维护'!$A$2:$E992,2,FALSE()),"SKU not found"))</f>
        <v/>
      </c>
      <c r="I948" s="52" t="str">
        <f>IF(G948="","",IFERROR(VLOOKUP(G948,'Product_Stock_Master产品维护'!$A$2:$E992,3,FALSE()),"Item type not found"))</f>
        <v/>
      </c>
      <c r="J948" s="53"/>
      <c r="K948" s="53"/>
      <c r="L948" s="53"/>
      <c r="M948" s="53"/>
      <c r="N948" s="53"/>
      <c r="O948" s="52" t="str">
        <f t="shared" si="1"/>
        <v/>
      </c>
      <c r="P948" s="53"/>
      <c r="Q948" s="52" t="str">
        <f t="shared" si="9"/>
        <v/>
      </c>
      <c r="R948" s="52" t="str">
        <f t="shared" si="3"/>
        <v/>
      </c>
      <c r="S948" s="52" t="str">
        <f t="shared" si="10"/>
        <v/>
      </c>
      <c r="T948" s="52" t="str">
        <f t="shared" si="5"/>
        <v/>
      </c>
      <c r="U948" s="52"/>
      <c r="V948" s="53"/>
      <c r="W948" s="52" t="str">
        <f t="shared" si="6"/>
        <v/>
      </c>
      <c r="X948" s="52">
        <f t="shared" si="7"/>
        <v>0</v>
      </c>
      <c r="Y948" s="52">
        <f t="shared" si="8"/>
        <v>0</v>
      </c>
      <c r="Z948" s="52" t="str">
        <f>IF(G948="","",IFERROR(VLOOKUP(G948,'Product_Stock_Master产品维护'!$A$2:$L992,11,FALSE),"No"))</f>
        <v/>
      </c>
      <c r="AA948" s="52" t="str">
        <f>IF(G948="","",IFERROR(VLOOKUP(G948,'Product_Stock_Master产品维护'!$A$2:$L992,12,FALSE),""))</f>
        <v/>
      </c>
      <c r="AB948" s="52" t="str">
        <f t="shared" si="11"/>
        <v/>
      </c>
      <c r="AC948" s="52">
        <f t="shared" si="12"/>
        <v>0</v>
      </c>
    </row>
    <row r="949" ht="15.75" customHeight="1">
      <c r="A949" s="171"/>
      <c r="B949" s="171"/>
      <c r="C949" s="53"/>
      <c r="D949" s="53"/>
      <c r="E949" s="53"/>
      <c r="F949" s="53"/>
      <c r="G949" s="53"/>
      <c r="H949" s="52" t="str">
        <f>IF(G949="","",IFERROR(VLOOKUP(G949,'Product_Stock_Master产品维护'!$A$2:$E992,2,FALSE()),"SKU not found"))</f>
        <v/>
      </c>
      <c r="I949" s="52" t="str">
        <f>IF(G949="","",IFERROR(VLOOKUP(G949,'Product_Stock_Master产品维护'!$A$2:$E992,3,FALSE()),"Item type not found"))</f>
        <v/>
      </c>
      <c r="J949" s="53"/>
      <c r="K949" s="53"/>
      <c r="L949" s="53"/>
      <c r="M949" s="53"/>
      <c r="N949" s="53"/>
      <c r="O949" s="52" t="str">
        <f t="shared" si="1"/>
        <v/>
      </c>
      <c r="P949" s="53"/>
      <c r="Q949" s="52" t="str">
        <f t="shared" si="9"/>
        <v/>
      </c>
      <c r="R949" s="52" t="str">
        <f t="shared" si="3"/>
        <v/>
      </c>
      <c r="S949" s="52" t="str">
        <f t="shared" si="10"/>
        <v/>
      </c>
      <c r="T949" s="52" t="str">
        <f t="shared" si="5"/>
        <v/>
      </c>
      <c r="U949" s="52"/>
      <c r="V949" s="53"/>
      <c r="W949" s="52" t="str">
        <f t="shared" si="6"/>
        <v/>
      </c>
      <c r="X949" s="52">
        <f t="shared" si="7"/>
        <v>0</v>
      </c>
      <c r="Y949" s="52">
        <f t="shared" si="8"/>
        <v>0</v>
      </c>
      <c r="Z949" s="52" t="str">
        <f>IF(G949="","",IFERROR(VLOOKUP(G949,'Product_Stock_Master产品维护'!$A$2:$L992,11,FALSE),"No"))</f>
        <v/>
      </c>
      <c r="AA949" s="52" t="str">
        <f>IF(G949="","",IFERROR(VLOOKUP(G949,'Product_Stock_Master产品维护'!$A$2:$L992,12,FALSE),""))</f>
        <v/>
      </c>
      <c r="AB949" s="52" t="str">
        <f t="shared" si="11"/>
        <v/>
      </c>
      <c r="AC949" s="52">
        <f t="shared" si="12"/>
        <v>0</v>
      </c>
    </row>
    <row r="950" ht="15.75" customHeight="1">
      <c r="A950" s="171"/>
      <c r="B950" s="171"/>
      <c r="C950" s="53"/>
      <c r="D950" s="53"/>
      <c r="E950" s="53"/>
      <c r="F950" s="53"/>
      <c r="G950" s="53"/>
      <c r="H950" s="52" t="str">
        <f>IF(G950="","",IFERROR(VLOOKUP(G950,'Product_Stock_Master产品维护'!$A$2:$E992,2,FALSE()),"SKU not found"))</f>
        <v/>
      </c>
      <c r="I950" s="52" t="str">
        <f>IF(G950="","",IFERROR(VLOOKUP(G950,'Product_Stock_Master产品维护'!$A$2:$E992,3,FALSE()),"Item type not found"))</f>
        <v/>
      </c>
      <c r="J950" s="53"/>
      <c r="K950" s="53"/>
      <c r="L950" s="53"/>
      <c r="M950" s="53"/>
      <c r="N950" s="53"/>
      <c r="O950" s="52" t="str">
        <f t="shared" si="1"/>
        <v/>
      </c>
      <c r="P950" s="53"/>
      <c r="Q950" s="52" t="str">
        <f t="shared" si="9"/>
        <v/>
      </c>
      <c r="R950" s="52" t="str">
        <f t="shared" si="3"/>
        <v/>
      </c>
      <c r="S950" s="52" t="str">
        <f t="shared" si="10"/>
        <v/>
      </c>
      <c r="T950" s="52" t="str">
        <f t="shared" si="5"/>
        <v/>
      </c>
      <c r="U950" s="52"/>
      <c r="V950" s="53"/>
      <c r="W950" s="52" t="str">
        <f t="shared" si="6"/>
        <v/>
      </c>
      <c r="X950" s="52">
        <f t="shared" si="7"/>
        <v>0</v>
      </c>
      <c r="Y950" s="52">
        <f t="shared" si="8"/>
        <v>0</v>
      </c>
      <c r="Z950" s="52" t="str">
        <f>IF(G950="","",IFERROR(VLOOKUP(G950,'Product_Stock_Master产品维护'!$A$2:$L992,11,FALSE),"No"))</f>
        <v/>
      </c>
      <c r="AA950" s="52" t="str">
        <f>IF(G950="","",IFERROR(VLOOKUP(G950,'Product_Stock_Master产品维护'!$A$2:$L992,12,FALSE),""))</f>
        <v/>
      </c>
      <c r="AB950" s="52" t="str">
        <f t="shared" si="11"/>
        <v/>
      </c>
      <c r="AC950" s="52">
        <f t="shared" si="12"/>
        <v>0</v>
      </c>
    </row>
    <row r="951" ht="15.75" customHeight="1">
      <c r="A951" s="171"/>
      <c r="B951" s="171"/>
      <c r="C951" s="53"/>
      <c r="D951" s="53"/>
      <c r="E951" s="53"/>
      <c r="F951" s="53"/>
      <c r="G951" s="53"/>
      <c r="H951" s="52" t="str">
        <f>IF(G951="","",IFERROR(VLOOKUP(G951,'Product_Stock_Master产品维护'!$A$2:$E992,2,FALSE()),"SKU not found"))</f>
        <v/>
      </c>
      <c r="I951" s="52" t="str">
        <f>IF(G951="","",IFERROR(VLOOKUP(G951,'Product_Stock_Master产品维护'!$A$2:$E992,3,FALSE()),"Item type not found"))</f>
        <v/>
      </c>
      <c r="J951" s="53"/>
      <c r="K951" s="53"/>
      <c r="L951" s="53"/>
      <c r="M951" s="53"/>
      <c r="N951" s="53"/>
      <c r="O951" s="52" t="str">
        <f t="shared" si="1"/>
        <v/>
      </c>
      <c r="P951" s="53"/>
      <c r="Q951" s="52" t="str">
        <f t="shared" si="9"/>
        <v/>
      </c>
      <c r="R951" s="52" t="str">
        <f t="shared" si="3"/>
        <v/>
      </c>
      <c r="S951" s="52" t="str">
        <f t="shared" si="10"/>
        <v/>
      </c>
      <c r="T951" s="52" t="str">
        <f t="shared" si="5"/>
        <v/>
      </c>
      <c r="U951" s="52"/>
      <c r="V951" s="53"/>
      <c r="W951" s="52" t="str">
        <f t="shared" si="6"/>
        <v/>
      </c>
      <c r="X951" s="52">
        <f t="shared" si="7"/>
        <v>0</v>
      </c>
      <c r="Y951" s="52">
        <f t="shared" si="8"/>
        <v>0</v>
      </c>
      <c r="Z951" s="52" t="str">
        <f>IF(G951="","",IFERROR(VLOOKUP(G951,'Product_Stock_Master产品维护'!$A$2:$L992,11,FALSE),"No"))</f>
        <v/>
      </c>
      <c r="AA951" s="52" t="str">
        <f>IF(G951="","",IFERROR(VLOOKUP(G951,'Product_Stock_Master产品维护'!$A$2:$L992,12,FALSE),""))</f>
        <v/>
      </c>
      <c r="AB951" s="52" t="str">
        <f t="shared" si="11"/>
        <v/>
      </c>
      <c r="AC951" s="52">
        <f t="shared" si="12"/>
        <v>0</v>
      </c>
    </row>
    <row r="952" ht="15.75" customHeight="1">
      <c r="A952" s="171"/>
      <c r="B952" s="171"/>
      <c r="C952" s="53"/>
      <c r="D952" s="53"/>
      <c r="E952" s="53"/>
      <c r="F952" s="53"/>
      <c r="G952" s="53"/>
      <c r="H952" s="52" t="str">
        <f>IF(G952="","",IFERROR(VLOOKUP(G952,'Product_Stock_Master产品维护'!$A$2:$E992,2,FALSE()),"SKU not found"))</f>
        <v/>
      </c>
      <c r="I952" s="52" t="str">
        <f>IF(G952="","",IFERROR(VLOOKUP(G952,'Product_Stock_Master产品维护'!$A$2:$E992,3,FALSE()),"Item type not found"))</f>
        <v/>
      </c>
      <c r="J952" s="53"/>
      <c r="K952" s="53"/>
      <c r="L952" s="53"/>
      <c r="M952" s="53"/>
      <c r="N952" s="53"/>
      <c r="O952" s="52" t="str">
        <f t="shared" si="1"/>
        <v/>
      </c>
      <c r="P952" s="53"/>
      <c r="Q952" s="52" t="str">
        <f t="shared" si="9"/>
        <v/>
      </c>
      <c r="R952" s="52" t="str">
        <f t="shared" si="3"/>
        <v/>
      </c>
      <c r="S952" s="52" t="str">
        <f t="shared" si="10"/>
        <v/>
      </c>
      <c r="T952" s="52" t="str">
        <f t="shared" si="5"/>
        <v/>
      </c>
      <c r="U952" s="52"/>
      <c r="V952" s="53"/>
      <c r="W952" s="52" t="str">
        <f t="shared" si="6"/>
        <v/>
      </c>
      <c r="X952" s="52">
        <f t="shared" si="7"/>
        <v>0</v>
      </c>
      <c r="Y952" s="52">
        <f t="shared" si="8"/>
        <v>0</v>
      </c>
      <c r="Z952" s="52" t="str">
        <f>IF(G952="","",IFERROR(VLOOKUP(G952,'Product_Stock_Master产品维护'!$A$2:$L992,11,FALSE),"No"))</f>
        <v/>
      </c>
      <c r="AA952" s="52" t="str">
        <f>IF(G952="","",IFERROR(VLOOKUP(G952,'Product_Stock_Master产品维护'!$A$2:$L992,12,FALSE),""))</f>
        <v/>
      </c>
      <c r="AB952" s="52" t="str">
        <f t="shared" si="11"/>
        <v/>
      </c>
      <c r="AC952" s="52">
        <f t="shared" si="12"/>
        <v>0</v>
      </c>
    </row>
    <row r="953" ht="15.75" customHeight="1">
      <c r="A953" s="171"/>
      <c r="B953" s="171"/>
      <c r="C953" s="53"/>
      <c r="D953" s="53"/>
      <c r="E953" s="53"/>
      <c r="F953" s="53"/>
      <c r="G953" s="53"/>
      <c r="H953" s="52" t="str">
        <f>IF(G953="","",IFERROR(VLOOKUP(G953,'Product_Stock_Master产品维护'!$A$2:$E992,2,FALSE()),"SKU not found"))</f>
        <v/>
      </c>
      <c r="I953" s="52" t="str">
        <f>IF(G953="","",IFERROR(VLOOKUP(G953,'Product_Stock_Master产品维护'!$A$2:$E992,3,FALSE()),"Item type not found"))</f>
        <v/>
      </c>
      <c r="J953" s="53"/>
      <c r="K953" s="53"/>
      <c r="L953" s="53"/>
      <c r="M953" s="53"/>
      <c r="N953" s="53"/>
      <c r="O953" s="52" t="str">
        <f t="shared" si="1"/>
        <v/>
      </c>
      <c r="P953" s="53"/>
      <c r="Q953" s="52" t="str">
        <f t="shared" si="9"/>
        <v/>
      </c>
      <c r="R953" s="52" t="str">
        <f t="shared" si="3"/>
        <v/>
      </c>
      <c r="S953" s="52" t="str">
        <f t="shared" si="10"/>
        <v/>
      </c>
      <c r="T953" s="52" t="str">
        <f t="shared" si="5"/>
        <v/>
      </c>
      <c r="U953" s="52"/>
      <c r="V953" s="53"/>
      <c r="W953" s="52" t="str">
        <f t="shared" si="6"/>
        <v/>
      </c>
      <c r="X953" s="52">
        <f t="shared" si="7"/>
        <v>0</v>
      </c>
      <c r="Y953" s="52">
        <f t="shared" si="8"/>
        <v>0</v>
      </c>
      <c r="Z953" s="52" t="str">
        <f>IF(G953="","",IFERROR(VLOOKUP(G953,'Product_Stock_Master产品维护'!$A$2:$L992,11,FALSE),"No"))</f>
        <v/>
      </c>
      <c r="AA953" s="52" t="str">
        <f>IF(G953="","",IFERROR(VLOOKUP(G953,'Product_Stock_Master产品维护'!$A$2:$L992,12,FALSE),""))</f>
        <v/>
      </c>
      <c r="AB953" s="52" t="str">
        <f t="shared" si="11"/>
        <v/>
      </c>
      <c r="AC953" s="52">
        <f t="shared" si="12"/>
        <v>0</v>
      </c>
    </row>
    <row r="954" ht="15.75" customHeight="1">
      <c r="A954" s="171"/>
      <c r="B954" s="171"/>
      <c r="C954" s="53"/>
      <c r="D954" s="53"/>
      <c r="E954" s="53"/>
      <c r="F954" s="53"/>
      <c r="G954" s="53"/>
      <c r="H954" s="52" t="str">
        <f>IF(G954="","",IFERROR(VLOOKUP(G954,'Product_Stock_Master产品维护'!$A$2:$E992,2,FALSE()),"SKU not found"))</f>
        <v/>
      </c>
      <c r="I954" s="52" t="str">
        <f>IF(G954="","",IFERROR(VLOOKUP(G954,'Product_Stock_Master产品维护'!$A$2:$E992,3,FALSE()),"Item type not found"))</f>
        <v/>
      </c>
      <c r="J954" s="53"/>
      <c r="K954" s="53"/>
      <c r="L954" s="53"/>
      <c r="M954" s="53"/>
      <c r="N954" s="53"/>
      <c r="O954" s="52" t="str">
        <f t="shared" si="1"/>
        <v/>
      </c>
      <c r="P954" s="53"/>
      <c r="Q954" s="52" t="str">
        <f t="shared" si="9"/>
        <v/>
      </c>
      <c r="R954" s="52" t="str">
        <f t="shared" si="3"/>
        <v/>
      </c>
      <c r="S954" s="52" t="str">
        <f t="shared" si="10"/>
        <v/>
      </c>
      <c r="T954" s="52" t="str">
        <f t="shared" si="5"/>
        <v/>
      </c>
      <c r="U954" s="52"/>
      <c r="V954" s="53"/>
      <c r="W954" s="52" t="str">
        <f t="shared" si="6"/>
        <v/>
      </c>
      <c r="X954" s="52">
        <f t="shared" si="7"/>
        <v>0</v>
      </c>
      <c r="Y954" s="52">
        <f t="shared" si="8"/>
        <v>0</v>
      </c>
      <c r="Z954" s="52" t="str">
        <f>IF(G954="","",IFERROR(VLOOKUP(G954,'Product_Stock_Master产品维护'!$A$2:$L992,11,FALSE),"No"))</f>
        <v/>
      </c>
      <c r="AA954" s="52" t="str">
        <f>IF(G954="","",IFERROR(VLOOKUP(G954,'Product_Stock_Master产品维护'!$A$2:$L992,12,FALSE),""))</f>
        <v/>
      </c>
      <c r="AB954" s="52" t="str">
        <f t="shared" si="11"/>
        <v/>
      </c>
      <c r="AC954" s="52">
        <f t="shared" si="12"/>
        <v>0</v>
      </c>
    </row>
    <row r="955" ht="15.75" customHeight="1">
      <c r="A955" s="171"/>
      <c r="B955" s="171"/>
      <c r="C955" s="53"/>
      <c r="D955" s="53"/>
      <c r="E955" s="53"/>
      <c r="F955" s="53"/>
      <c r="G955" s="53"/>
      <c r="H955" s="52" t="str">
        <f>IF(G955="","",IFERROR(VLOOKUP(G955,'Product_Stock_Master产品维护'!$A$2:$E992,2,FALSE()),"SKU not found"))</f>
        <v/>
      </c>
      <c r="I955" s="52" t="str">
        <f>IF(G955="","",IFERROR(VLOOKUP(G955,'Product_Stock_Master产品维护'!$A$2:$E992,3,FALSE()),"Item type not found"))</f>
        <v/>
      </c>
      <c r="J955" s="53"/>
      <c r="K955" s="53"/>
      <c r="L955" s="53"/>
      <c r="M955" s="53"/>
      <c r="N955" s="53"/>
      <c r="O955" s="52" t="str">
        <f t="shared" si="1"/>
        <v/>
      </c>
      <c r="P955" s="53"/>
      <c r="Q955" s="52" t="str">
        <f t="shared" si="9"/>
        <v/>
      </c>
      <c r="R955" s="52" t="str">
        <f t="shared" si="3"/>
        <v/>
      </c>
      <c r="S955" s="52" t="str">
        <f t="shared" si="10"/>
        <v/>
      </c>
      <c r="T955" s="52" t="str">
        <f t="shared" si="5"/>
        <v/>
      </c>
      <c r="U955" s="52"/>
      <c r="V955" s="53"/>
      <c r="W955" s="52" t="str">
        <f t="shared" si="6"/>
        <v/>
      </c>
      <c r="X955" s="52">
        <f t="shared" si="7"/>
        <v>0</v>
      </c>
      <c r="Y955" s="52">
        <f t="shared" si="8"/>
        <v>0</v>
      </c>
      <c r="Z955" s="52" t="str">
        <f>IF(G955="","",IFERROR(VLOOKUP(G955,'Product_Stock_Master产品维护'!$A$2:$L992,11,FALSE),"No"))</f>
        <v/>
      </c>
      <c r="AA955" s="52" t="str">
        <f>IF(G955="","",IFERROR(VLOOKUP(G955,'Product_Stock_Master产品维护'!$A$2:$L992,12,FALSE),""))</f>
        <v/>
      </c>
      <c r="AB955" s="52" t="str">
        <f t="shared" si="11"/>
        <v/>
      </c>
      <c r="AC955" s="52">
        <f t="shared" si="12"/>
        <v>0</v>
      </c>
    </row>
    <row r="956" ht="15.75" customHeight="1">
      <c r="A956" s="171"/>
      <c r="B956" s="171"/>
      <c r="C956" s="53"/>
      <c r="D956" s="53"/>
      <c r="E956" s="53"/>
      <c r="F956" s="53"/>
      <c r="G956" s="53"/>
      <c r="H956" s="52" t="str">
        <f>IF(G956="","",IFERROR(VLOOKUP(G956,'Product_Stock_Master产品维护'!$A$2:$E992,2,FALSE()),"SKU not found"))</f>
        <v/>
      </c>
      <c r="I956" s="52" t="str">
        <f>IF(G956="","",IFERROR(VLOOKUP(G956,'Product_Stock_Master产品维护'!$A$2:$E992,3,FALSE()),"Item type not found"))</f>
        <v/>
      </c>
      <c r="J956" s="53"/>
      <c r="K956" s="53"/>
      <c r="L956" s="53"/>
      <c r="M956" s="53"/>
      <c r="N956" s="53"/>
      <c r="O956" s="52" t="str">
        <f t="shared" si="1"/>
        <v/>
      </c>
      <c r="P956" s="53"/>
      <c r="Q956" s="52" t="str">
        <f t="shared" si="9"/>
        <v/>
      </c>
      <c r="R956" s="52" t="str">
        <f t="shared" si="3"/>
        <v/>
      </c>
      <c r="S956" s="52" t="str">
        <f t="shared" si="10"/>
        <v/>
      </c>
      <c r="T956" s="52" t="str">
        <f t="shared" si="5"/>
        <v/>
      </c>
      <c r="U956" s="52"/>
      <c r="V956" s="53"/>
      <c r="W956" s="52" t="str">
        <f t="shared" si="6"/>
        <v/>
      </c>
      <c r="X956" s="52">
        <f t="shared" si="7"/>
        <v>0</v>
      </c>
      <c r="Y956" s="52">
        <f t="shared" si="8"/>
        <v>0</v>
      </c>
      <c r="Z956" s="52" t="str">
        <f>IF(G956="","",IFERROR(VLOOKUP(G956,'Product_Stock_Master产品维护'!$A$2:$L992,11,FALSE),"No"))</f>
        <v/>
      </c>
      <c r="AA956" s="52" t="str">
        <f>IF(G956="","",IFERROR(VLOOKUP(G956,'Product_Stock_Master产品维护'!$A$2:$L992,12,FALSE),""))</f>
        <v/>
      </c>
      <c r="AB956" s="52" t="str">
        <f t="shared" si="11"/>
        <v/>
      </c>
      <c r="AC956" s="52">
        <f t="shared" si="12"/>
        <v>0</v>
      </c>
    </row>
    <row r="957" ht="15.75" customHeight="1">
      <c r="A957" s="171"/>
      <c r="B957" s="171"/>
      <c r="C957" s="53"/>
      <c r="D957" s="53"/>
      <c r="E957" s="53"/>
      <c r="F957" s="53"/>
      <c r="G957" s="53"/>
      <c r="H957" s="52" t="str">
        <f>IF(G957="","",IFERROR(VLOOKUP(G957,'Product_Stock_Master产品维护'!$A$2:$E992,2,FALSE()),"SKU not found"))</f>
        <v/>
      </c>
      <c r="I957" s="52" t="str">
        <f>IF(G957="","",IFERROR(VLOOKUP(G957,'Product_Stock_Master产品维护'!$A$2:$E992,3,FALSE()),"Item type not found"))</f>
        <v/>
      </c>
      <c r="J957" s="53"/>
      <c r="K957" s="53"/>
      <c r="L957" s="53"/>
      <c r="M957" s="53"/>
      <c r="N957" s="53"/>
      <c r="O957" s="52" t="str">
        <f t="shared" si="1"/>
        <v/>
      </c>
      <c r="P957" s="53"/>
      <c r="Q957" s="52" t="str">
        <f t="shared" si="9"/>
        <v/>
      </c>
      <c r="R957" s="52" t="str">
        <f t="shared" si="3"/>
        <v/>
      </c>
      <c r="S957" s="52" t="str">
        <f t="shared" si="10"/>
        <v/>
      </c>
      <c r="T957" s="52" t="str">
        <f t="shared" si="5"/>
        <v/>
      </c>
      <c r="U957" s="52"/>
      <c r="V957" s="53"/>
      <c r="W957" s="52" t="str">
        <f t="shared" si="6"/>
        <v/>
      </c>
      <c r="X957" s="52">
        <f t="shared" si="7"/>
        <v>0</v>
      </c>
      <c r="Y957" s="52">
        <f t="shared" si="8"/>
        <v>0</v>
      </c>
      <c r="Z957" s="52" t="str">
        <f>IF(G957="","",IFERROR(VLOOKUP(G957,'Product_Stock_Master产品维护'!$A$2:$L992,11,FALSE),"No"))</f>
        <v/>
      </c>
      <c r="AA957" s="52" t="str">
        <f>IF(G957="","",IFERROR(VLOOKUP(G957,'Product_Stock_Master产品维护'!$A$2:$L992,12,FALSE),""))</f>
        <v/>
      </c>
      <c r="AB957" s="52" t="str">
        <f t="shared" si="11"/>
        <v/>
      </c>
      <c r="AC957" s="52">
        <f t="shared" si="12"/>
        <v>0</v>
      </c>
    </row>
    <row r="958" ht="15.75" customHeight="1">
      <c r="A958" s="171"/>
      <c r="B958" s="171"/>
      <c r="C958" s="53"/>
      <c r="D958" s="53"/>
      <c r="E958" s="53"/>
      <c r="F958" s="53"/>
      <c r="G958" s="53"/>
      <c r="H958" s="52" t="str">
        <f>IF(G958="","",IFERROR(VLOOKUP(G958,'Product_Stock_Master产品维护'!$A$2:$E992,2,FALSE()),"SKU not found"))</f>
        <v/>
      </c>
      <c r="I958" s="52" t="str">
        <f>IF(G958="","",IFERROR(VLOOKUP(G958,'Product_Stock_Master产品维护'!$A$2:$E992,3,FALSE()),"Item type not found"))</f>
        <v/>
      </c>
      <c r="J958" s="53"/>
      <c r="K958" s="53"/>
      <c r="L958" s="53"/>
      <c r="M958" s="53"/>
      <c r="N958" s="53"/>
      <c r="O958" s="52" t="str">
        <f t="shared" si="1"/>
        <v/>
      </c>
      <c r="P958" s="53"/>
      <c r="Q958" s="52" t="str">
        <f t="shared" si="9"/>
        <v/>
      </c>
      <c r="R958" s="52" t="str">
        <f t="shared" si="3"/>
        <v/>
      </c>
      <c r="S958" s="52" t="str">
        <f t="shared" si="10"/>
        <v/>
      </c>
      <c r="T958" s="52" t="str">
        <f t="shared" si="5"/>
        <v/>
      </c>
      <c r="U958" s="52"/>
      <c r="V958" s="53"/>
      <c r="W958" s="52" t="str">
        <f t="shared" si="6"/>
        <v/>
      </c>
      <c r="X958" s="52">
        <f t="shared" si="7"/>
        <v>0</v>
      </c>
      <c r="Y958" s="52">
        <f t="shared" si="8"/>
        <v>0</v>
      </c>
      <c r="Z958" s="52" t="str">
        <f>IF(G958="","",IFERROR(VLOOKUP(G958,'Product_Stock_Master产品维护'!$A$2:$L992,11,FALSE),"No"))</f>
        <v/>
      </c>
      <c r="AA958" s="52" t="str">
        <f>IF(G958="","",IFERROR(VLOOKUP(G958,'Product_Stock_Master产品维护'!$A$2:$L992,12,FALSE),""))</f>
        <v/>
      </c>
      <c r="AB958" s="52" t="str">
        <f t="shared" si="11"/>
        <v/>
      </c>
      <c r="AC958" s="52">
        <f t="shared" si="12"/>
        <v>0</v>
      </c>
    </row>
    <row r="959" ht="15.75" customHeight="1">
      <c r="A959" s="171"/>
      <c r="B959" s="171"/>
      <c r="C959" s="53"/>
      <c r="D959" s="53"/>
      <c r="E959" s="53"/>
      <c r="F959" s="53"/>
      <c r="G959" s="53"/>
      <c r="H959" s="52" t="str">
        <f>IF(G959="","",IFERROR(VLOOKUP(G959,'Product_Stock_Master产品维护'!$A$2:$E992,2,FALSE()),"SKU not found"))</f>
        <v/>
      </c>
      <c r="I959" s="52" t="str">
        <f>IF(G959="","",IFERROR(VLOOKUP(G959,'Product_Stock_Master产品维护'!$A$2:$E992,3,FALSE()),"Item type not found"))</f>
        <v/>
      </c>
      <c r="J959" s="53"/>
      <c r="K959" s="53"/>
      <c r="L959" s="53"/>
      <c r="M959" s="53"/>
      <c r="N959" s="53"/>
      <c r="O959" s="52" t="str">
        <f t="shared" si="1"/>
        <v/>
      </c>
      <c r="P959" s="53"/>
      <c r="Q959" s="52" t="str">
        <f t="shared" si="9"/>
        <v/>
      </c>
      <c r="R959" s="52" t="str">
        <f t="shared" si="3"/>
        <v/>
      </c>
      <c r="S959" s="52" t="str">
        <f t="shared" si="10"/>
        <v/>
      </c>
      <c r="T959" s="52" t="str">
        <f t="shared" si="5"/>
        <v/>
      </c>
      <c r="U959" s="52"/>
      <c r="V959" s="53"/>
      <c r="W959" s="52" t="str">
        <f t="shared" si="6"/>
        <v/>
      </c>
      <c r="X959" s="52">
        <f t="shared" si="7"/>
        <v>0</v>
      </c>
      <c r="Y959" s="52">
        <f t="shared" si="8"/>
        <v>0</v>
      </c>
      <c r="Z959" s="52" t="str">
        <f>IF(G959="","",IFERROR(VLOOKUP(G959,'Product_Stock_Master产品维护'!$A$2:$L992,11,FALSE),"No"))</f>
        <v/>
      </c>
      <c r="AA959" s="52" t="str">
        <f>IF(G959="","",IFERROR(VLOOKUP(G959,'Product_Stock_Master产品维护'!$A$2:$L992,12,FALSE),""))</f>
        <v/>
      </c>
      <c r="AB959" s="52" t="str">
        <f t="shared" si="11"/>
        <v/>
      </c>
      <c r="AC959" s="52">
        <f t="shared" si="12"/>
        <v>0</v>
      </c>
    </row>
    <row r="960" ht="15.75" customHeight="1">
      <c r="A960" s="171"/>
      <c r="B960" s="171"/>
      <c r="C960" s="53"/>
      <c r="D960" s="53"/>
      <c r="E960" s="53"/>
      <c r="F960" s="53"/>
      <c r="G960" s="53"/>
      <c r="H960" s="52" t="str">
        <f>IF(G960="","",IFERROR(VLOOKUP(G960,'Product_Stock_Master产品维护'!$A$2:$E992,2,FALSE()),"SKU not found"))</f>
        <v/>
      </c>
      <c r="I960" s="52" t="str">
        <f>IF(G960="","",IFERROR(VLOOKUP(G960,'Product_Stock_Master产品维护'!$A$2:$E992,3,FALSE()),"Item type not found"))</f>
        <v/>
      </c>
      <c r="J960" s="53"/>
      <c r="K960" s="53"/>
      <c r="L960" s="53"/>
      <c r="M960" s="53"/>
      <c r="N960" s="53"/>
      <c r="O960" s="52" t="str">
        <f t="shared" si="1"/>
        <v/>
      </c>
      <c r="P960" s="53"/>
      <c r="Q960" s="52" t="str">
        <f t="shared" si="9"/>
        <v/>
      </c>
      <c r="R960" s="52" t="str">
        <f t="shared" si="3"/>
        <v/>
      </c>
      <c r="S960" s="52" t="str">
        <f t="shared" si="10"/>
        <v/>
      </c>
      <c r="T960" s="52" t="str">
        <f t="shared" si="5"/>
        <v/>
      </c>
      <c r="U960" s="52"/>
      <c r="V960" s="53"/>
      <c r="W960" s="52" t="str">
        <f t="shared" si="6"/>
        <v/>
      </c>
      <c r="X960" s="52">
        <f t="shared" si="7"/>
        <v>0</v>
      </c>
      <c r="Y960" s="52">
        <f t="shared" si="8"/>
        <v>0</v>
      </c>
      <c r="Z960" s="52" t="str">
        <f>IF(G960="","",IFERROR(VLOOKUP(G960,'Product_Stock_Master产品维护'!$A$2:$L992,11,FALSE),"No"))</f>
        <v/>
      </c>
      <c r="AA960" s="52" t="str">
        <f>IF(G960="","",IFERROR(VLOOKUP(G960,'Product_Stock_Master产品维护'!$A$2:$L992,12,FALSE),""))</f>
        <v/>
      </c>
      <c r="AB960" s="52" t="str">
        <f t="shared" si="11"/>
        <v/>
      </c>
      <c r="AC960" s="52">
        <f t="shared" si="12"/>
        <v>0</v>
      </c>
    </row>
    <row r="961" ht="15.75" customHeight="1">
      <c r="A961" s="171"/>
      <c r="B961" s="171"/>
      <c r="C961" s="53"/>
      <c r="D961" s="53"/>
      <c r="E961" s="53"/>
      <c r="F961" s="53"/>
      <c r="G961" s="53"/>
      <c r="H961" s="52" t="str">
        <f>IF(G961="","",IFERROR(VLOOKUP(G961,'Product_Stock_Master产品维护'!$A$2:$E992,2,FALSE()),"SKU not found"))</f>
        <v/>
      </c>
      <c r="I961" s="52" t="str">
        <f>IF(G961="","",IFERROR(VLOOKUP(G961,'Product_Stock_Master产品维护'!$A$2:$E992,3,FALSE()),"Item type not found"))</f>
        <v/>
      </c>
      <c r="J961" s="53"/>
      <c r="K961" s="53"/>
      <c r="L961" s="53"/>
      <c r="M961" s="53"/>
      <c r="N961" s="53"/>
      <c r="O961" s="52" t="str">
        <f t="shared" si="1"/>
        <v/>
      </c>
      <c r="P961" s="53"/>
      <c r="Q961" s="52" t="str">
        <f t="shared" si="9"/>
        <v/>
      </c>
      <c r="R961" s="52" t="str">
        <f t="shared" si="3"/>
        <v/>
      </c>
      <c r="S961" s="52" t="str">
        <f t="shared" si="10"/>
        <v/>
      </c>
      <c r="T961" s="52" t="str">
        <f t="shared" si="5"/>
        <v/>
      </c>
      <c r="U961" s="52"/>
      <c r="V961" s="53"/>
      <c r="W961" s="52" t="str">
        <f t="shared" si="6"/>
        <v/>
      </c>
      <c r="X961" s="52">
        <f t="shared" si="7"/>
        <v>0</v>
      </c>
      <c r="Y961" s="52">
        <f t="shared" si="8"/>
        <v>0</v>
      </c>
      <c r="Z961" s="52" t="str">
        <f>IF(G961="","",IFERROR(VLOOKUP(G961,'Product_Stock_Master产品维护'!$A$2:$L992,11,FALSE),"No"))</f>
        <v/>
      </c>
      <c r="AA961" s="52" t="str">
        <f>IF(G961="","",IFERROR(VLOOKUP(G961,'Product_Stock_Master产品维护'!$A$2:$L992,12,FALSE),""))</f>
        <v/>
      </c>
      <c r="AB961" s="52" t="str">
        <f t="shared" si="11"/>
        <v/>
      </c>
      <c r="AC961" s="52">
        <f t="shared" si="12"/>
        <v>0</v>
      </c>
    </row>
    <row r="962" ht="15.75" customHeight="1">
      <c r="A962" s="171"/>
      <c r="B962" s="171"/>
      <c r="C962" s="53"/>
      <c r="D962" s="53"/>
      <c r="E962" s="53"/>
      <c r="F962" s="53"/>
      <c r="G962" s="53"/>
      <c r="H962" s="52" t="str">
        <f>IF(G962="","",IFERROR(VLOOKUP(G962,'Product_Stock_Master产品维护'!$A$2:$E992,2,FALSE()),"SKU not found"))</f>
        <v/>
      </c>
      <c r="I962" s="52" t="str">
        <f>IF(G962="","",IFERROR(VLOOKUP(G962,'Product_Stock_Master产品维护'!$A$2:$E992,3,FALSE()),"Item type not found"))</f>
        <v/>
      </c>
      <c r="J962" s="53"/>
      <c r="K962" s="53"/>
      <c r="L962" s="53"/>
      <c r="M962" s="53"/>
      <c r="N962" s="53"/>
      <c r="O962" s="52" t="str">
        <f t="shared" si="1"/>
        <v/>
      </c>
      <c r="P962" s="53"/>
      <c r="Q962" s="52" t="str">
        <f t="shared" si="9"/>
        <v/>
      </c>
      <c r="R962" s="52" t="str">
        <f t="shared" si="3"/>
        <v/>
      </c>
      <c r="S962" s="52" t="str">
        <f t="shared" si="10"/>
        <v/>
      </c>
      <c r="T962" s="52" t="str">
        <f t="shared" si="5"/>
        <v/>
      </c>
      <c r="U962" s="52"/>
      <c r="V962" s="53"/>
      <c r="W962" s="52" t="str">
        <f t="shared" si="6"/>
        <v/>
      </c>
      <c r="X962" s="52">
        <f t="shared" si="7"/>
        <v>0</v>
      </c>
      <c r="Y962" s="52">
        <f t="shared" si="8"/>
        <v>0</v>
      </c>
      <c r="Z962" s="52" t="str">
        <f>IF(G962="","",IFERROR(VLOOKUP(G962,'Product_Stock_Master产品维护'!$A$2:$L992,11,FALSE),"No"))</f>
        <v/>
      </c>
      <c r="AA962" s="52" t="str">
        <f>IF(G962="","",IFERROR(VLOOKUP(G962,'Product_Stock_Master产品维护'!$A$2:$L992,12,FALSE),""))</f>
        <v/>
      </c>
      <c r="AB962" s="52" t="str">
        <f t="shared" si="11"/>
        <v/>
      </c>
      <c r="AC962" s="52">
        <f t="shared" si="12"/>
        <v>0</v>
      </c>
    </row>
    <row r="963" ht="15.75" customHeight="1">
      <c r="A963" s="171"/>
      <c r="B963" s="171"/>
      <c r="C963" s="53"/>
      <c r="D963" s="53"/>
      <c r="E963" s="53"/>
      <c r="F963" s="53"/>
      <c r="G963" s="53"/>
      <c r="H963" s="52" t="str">
        <f>IF(G963="","",IFERROR(VLOOKUP(G963,'Product_Stock_Master产品维护'!$A$2:$E992,2,FALSE()),"SKU not found"))</f>
        <v/>
      </c>
      <c r="I963" s="52" t="str">
        <f>IF(G963="","",IFERROR(VLOOKUP(G963,'Product_Stock_Master产品维护'!$A$2:$E992,3,FALSE()),"Item type not found"))</f>
        <v/>
      </c>
      <c r="J963" s="53"/>
      <c r="K963" s="53"/>
      <c r="L963" s="53"/>
      <c r="M963" s="53"/>
      <c r="N963" s="53"/>
      <c r="O963" s="52" t="str">
        <f t="shared" si="1"/>
        <v/>
      </c>
      <c r="P963" s="53"/>
      <c r="Q963" s="52" t="str">
        <f t="shared" si="9"/>
        <v/>
      </c>
      <c r="R963" s="52" t="str">
        <f t="shared" si="3"/>
        <v/>
      </c>
      <c r="S963" s="52" t="str">
        <f t="shared" si="10"/>
        <v/>
      </c>
      <c r="T963" s="52" t="str">
        <f t="shared" si="5"/>
        <v/>
      </c>
      <c r="U963" s="52"/>
      <c r="V963" s="53"/>
      <c r="W963" s="52" t="str">
        <f t="shared" si="6"/>
        <v/>
      </c>
      <c r="X963" s="52">
        <f t="shared" si="7"/>
        <v>0</v>
      </c>
      <c r="Y963" s="52">
        <f t="shared" si="8"/>
        <v>0</v>
      </c>
      <c r="Z963" s="52" t="str">
        <f>IF(G963="","",IFERROR(VLOOKUP(G963,'Product_Stock_Master产品维护'!$A$2:$L992,11,FALSE),"No"))</f>
        <v/>
      </c>
      <c r="AA963" s="52" t="str">
        <f>IF(G963="","",IFERROR(VLOOKUP(G963,'Product_Stock_Master产品维护'!$A$2:$L992,12,FALSE),""))</f>
        <v/>
      </c>
      <c r="AB963" s="52" t="str">
        <f t="shared" si="11"/>
        <v/>
      </c>
      <c r="AC963" s="52">
        <f t="shared" si="12"/>
        <v>0</v>
      </c>
    </row>
    <row r="964" ht="15.75" customHeight="1">
      <c r="A964" s="171"/>
      <c r="B964" s="171"/>
      <c r="C964" s="53"/>
      <c r="D964" s="53"/>
      <c r="E964" s="53"/>
      <c r="F964" s="53"/>
      <c r="G964" s="53"/>
      <c r="H964" s="52" t="str">
        <f>IF(G964="","",IFERROR(VLOOKUP(G964,'Product_Stock_Master产品维护'!$A$2:$E992,2,FALSE()),"SKU not found"))</f>
        <v/>
      </c>
      <c r="I964" s="52" t="str">
        <f>IF(G964="","",IFERROR(VLOOKUP(G964,'Product_Stock_Master产品维护'!$A$2:$E992,3,FALSE()),"Item type not found"))</f>
        <v/>
      </c>
      <c r="J964" s="53"/>
      <c r="K964" s="53"/>
      <c r="L964" s="53"/>
      <c r="M964" s="53"/>
      <c r="N964" s="53"/>
      <c r="O964" s="52" t="str">
        <f t="shared" si="1"/>
        <v/>
      </c>
      <c r="P964" s="53"/>
      <c r="Q964" s="52" t="str">
        <f t="shared" si="9"/>
        <v/>
      </c>
      <c r="R964" s="52" t="str">
        <f t="shared" si="3"/>
        <v/>
      </c>
      <c r="S964" s="52" t="str">
        <f t="shared" si="10"/>
        <v/>
      </c>
      <c r="T964" s="52" t="str">
        <f t="shared" si="5"/>
        <v/>
      </c>
      <c r="U964" s="52"/>
      <c r="V964" s="53"/>
      <c r="W964" s="52" t="str">
        <f t="shared" si="6"/>
        <v/>
      </c>
      <c r="X964" s="52">
        <f t="shared" si="7"/>
        <v>0</v>
      </c>
      <c r="Y964" s="52">
        <f t="shared" si="8"/>
        <v>0</v>
      </c>
      <c r="Z964" s="52" t="str">
        <f>IF(G964="","",IFERROR(VLOOKUP(G964,'Product_Stock_Master产品维护'!$A$2:$L992,11,FALSE),"No"))</f>
        <v/>
      </c>
      <c r="AA964" s="52" t="str">
        <f>IF(G964="","",IFERROR(VLOOKUP(G964,'Product_Stock_Master产品维护'!$A$2:$L992,12,FALSE),""))</f>
        <v/>
      </c>
      <c r="AB964" s="52" t="str">
        <f t="shared" si="11"/>
        <v/>
      </c>
      <c r="AC964" s="52">
        <f t="shared" si="12"/>
        <v>0</v>
      </c>
    </row>
    <row r="965" ht="15.75" customHeight="1">
      <c r="A965" s="171"/>
      <c r="B965" s="171"/>
      <c r="C965" s="53"/>
      <c r="D965" s="53"/>
      <c r="E965" s="53"/>
      <c r="F965" s="53"/>
      <c r="G965" s="53"/>
      <c r="H965" s="52" t="str">
        <f>IF(G965="","",IFERROR(VLOOKUP(G965,'Product_Stock_Master产品维护'!$A$2:$E992,2,FALSE()),"SKU not found"))</f>
        <v/>
      </c>
      <c r="I965" s="52" t="str">
        <f>IF(G965="","",IFERROR(VLOOKUP(G965,'Product_Stock_Master产品维护'!$A$2:$E992,3,FALSE()),"Item type not found"))</f>
        <v/>
      </c>
      <c r="J965" s="53"/>
      <c r="K965" s="53"/>
      <c r="L965" s="53"/>
      <c r="M965" s="53"/>
      <c r="N965" s="53"/>
      <c r="O965" s="52" t="str">
        <f t="shared" si="1"/>
        <v/>
      </c>
      <c r="P965" s="53"/>
      <c r="Q965" s="52" t="str">
        <f t="shared" si="9"/>
        <v/>
      </c>
      <c r="R965" s="52" t="str">
        <f t="shared" si="3"/>
        <v/>
      </c>
      <c r="S965" s="52" t="str">
        <f t="shared" si="10"/>
        <v/>
      </c>
      <c r="T965" s="52" t="str">
        <f t="shared" si="5"/>
        <v/>
      </c>
      <c r="U965" s="52"/>
      <c r="V965" s="53"/>
      <c r="W965" s="52" t="str">
        <f t="shared" si="6"/>
        <v/>
      </c>
      <c r="X965" s="52">
        <f t="shared" si="7"/>
        <v>0</v>
      </c>
      <c r="Y965" s="52">
        <f t="shared" si="8"/>
        <v>0</v>
      </c>
      <c r="Z965" s="52" t="str">
        <f>IF(G965="","",IFERROR(VLOOKUP(G965,'Product_Stock_Master产品维护'!$A$2:$L992,11,FALSE),"No"))</f>
        <v/>
      </c>
      <c r="AA965" s="52" t="str">
        <f>IF(G965="","",IFERROR(VLOOKUP(G965,'Product_Stock_Master产品维护'!$A$2:$L992,12,FALSE),""))</f>
        <v/>
      </c>
      <c r="AB965" s="52" t="str">
        <f t="shared" si="11"/>
        <v/>
      </c>
      <c r="AC965" s="52">
        <f t="shared" si="12"/>
        <v>0</v>
      </c>
    </row>
    <row r="966" ht="15.75" customHeight="1">
      <c r="A966" s="171"/>
      <c r="B966" s="171"/>
      <c r="C966" s="53"/>
      <c r="D966" s="53"/>
      <c r="E966" s="53"/>
      <c r="F966" s="53"/>
      <c r="G966" s="53"/>
      <c r="H966" s="52" t="str">
        <f>IF(G966="","",IFERROR(VLOOKUP(G966,'Product_Stock_Master产品维护'!$A$2:$E992,2,FALSE()),"SKU not found"))</f>
        <v/>
      </c>
      <c r="I966" s="52" t="str">
        <f>IF(G966="","",IFERROR(VLOOKUP(G966,'Product_Stock_Master产品维护'!$A$2:$E992,3,FALSE()),"Item type not found"))</f>
        <v/>
      </c>
      <c r="J966" s="53"/>
      <c r="K966" s="53"/>
      <c r="L966" s="53"/>
      <c r="M966" s="53"/>
      <c r="N966" s="53"/>
      <c r="O966" s="52" t="str">
        <f t="shared" si="1"/>
        <v/>
      </c>
      <c r="P966" s="53"/>
      <c r="Q966" s="52" t="str">
        <f t="shared" si="9"/>
        <v/>
      </c>
      <c r="R966" s="52" t="str">
        <f t="shared" si="3"/>
        <v/>
      </c>
      <c r="S966" s="52" t="str">
        <f t="shared" si="10"/>
        <v/>
      </c>
      <c r="T966" s="52" t="str">
        <f t="shared" si="5"/>
        <v/>
      </c>
      <c r="U966" s="52"/>
      <c r="V966" s="53"/>
      <c r="W966" s="52" t="str">
        <f t="shared" si="6"/>
        <v/>
      </c>
      <c r="X966" s="52">
        <f t="shared" si="7"/>
        <v>0</v>
      </c>
      <c r="Y966" s="52">
        <f t="shared" si="8"/>
        <v>0</v>
      </c>
      <c r="Z966" s="52" t="str">
        <f>IF(G966="","",IFERROR(VLOOKUP(G966,'Product_Stock_Master产品维护'!$A$2:$L992,11,FALSE),"No"))</f>
        <v/>
      </c>
      <c r="AA966" s="52" t="str">
        <f>IF(G966="","",IFERROR(VLOOKUP(G966,'Product_Stock_Master产品维护'!$A$2:$L992,12,FALSE),""))</f>
        <v/>
      </c>
      <c r="AB966" s="52" t="str">
        <f t="shared" si="11"/>
        <v/>
      </c>
      <c r="AC966" s="52">
        <f t="shared" si="12"/>
        <v>0</v>
      </c>
    </row>
    <row r="967" ht="15.75" customHeight="1">
      <c r="A967" s="171"/>
      <c r="B967" s="171"/>
      <c r="C967" s="53"/>
      <c r="D967" s="53"/>
      <c r="E967" s="53"/>
      <c r="F967" s="53"/>
      <c r="G967" s="53"/>
      <c r="H967" s="52" t="str">
        <f>IF(G967="","",IFERROR(VLOOKUP(G967,'Product_Stock_Master产品维护'!$A$2:$E992,2,FALSE()),"SKU not found"))</f>
        <v/>
      </c>
      <c r="I967" s="52" t="str">
        <f>IF(G967="","",IFERROR(VLOOKUP(G967,'Product_Stock_Master产品维护'!$A$2:$E992,3,FALSE()),"Item type not found"))</f>
        <v/>
      </c>
      <c r="J967" s="53"/>
      <c r="K967" s="53"/>
      <c r="L967" s="53"/>
      <c r="M967" s="53"/>
      <c r="N967" s="53"/>
      <c r="O967" s="52" t="str">
        <f t="shared" si="1"/>
        <v/>
      </c>
      <c r="P967" s="53"/>
      <c r="Q967" s="52" t="str">
        <f t="shared" si="9"/>
        <v/>
      </c>
      <c r="R967" s="52" t="str">
        <f t="shared" si="3"/>
        <v/>
      </c>
      <c r="S967" s="52" t="str">
        <f t="shared" si="10"/>
        <v/>
      </c>
      <c r="T967" s="52" t="str">
        <f t="shared" si="5"/>
        <v/>
      </c>
      <c r="U967" s="52"/>
      <c r="V967" s="53"/>
      <c r="W967" s="52" t="str">
        <f t="shared" si="6"/>
        <v/>
      </c>
      <c r="X967" s="52">
        <f t="shared" si="7"/>
        <v>0</v>
      </c>
      <c r="Y967" s="52">
        <f t="shared" si="8"/>
        <v>0</v>
      </c>
      <c r="Z967" s="52" t="str">
        <f>IF(G967="","",IFERROR(VLOOKUP(G967,'Product_Stock_Master产品维护'!$A$2:$L992,11,FALSE),"No"))</f>
        <v/>
      </c>
      <c r="AA967" s="52" t="str">
        <f>IF(G967="","",IFERROR(VLOOKUP(G967,'Product_Stock_Master产品维护'!$A$2:$L992,12,FALSE),""))</f>
        <v/>
      </c>
      <c r="AB967" s="52" t="str">
        <f t="shared" si="11"/>
        <v/>
      </c>
      <c r="AC967" s="52">
        <f t="shared" si="12"/>
        <v>0</v>
      </c>
    </row>
    <row r="968" ht="15.75" customHeight="1">
      <c r="A968" s="171"/>
      <c r="B968" s="171"/>
      <c r="C968" s="53"/>
      <c r="D968" s="53"/>
      <c r="E968" s="53"/>
      <c r="F968" s="53"/>
      <c r="G968" s="53"/>
      <c r="H968" s="52" t="str">
        <f>IF(G968="","",IFERROR(VLOOKUP(G968,'Product_Stock_Master产品维护'!$A$2:$E992,2,FALSE()),"SKU not found"))</f>
        <v/>
      </c>
      <c r="I968" s="52" t="str">
        <f>IF(G968="","",IFERROR(VLOOKUP(G968,'Product_Stock_Master产品维护'!$A$2:$E992,3,FALSE()),"Item type not found"))</f>
        <v/>
      </c>
      <c r="J968" s="53"/>
      <c r="K968" s="53"/>
      <c r="L968" s="53"/>
      <c r="M968" s="53"/>
      <c r="N968" s="53"/>
      <c r="O968" s="52" t="str">
        <f t="shared" si="1"/>
        <v/>
      </c>
      <c r="P968" s="53"/>
      <c r="Q968" s="52" t="str">
        <f t="shared" si="9"/>
        <v/>
      </c>
      <c r="R968" s="52" t="str">
        <f t="shared" si="3"/>
        <v/>
      </c>
      <c r="S968" s="52" t="str">
        <f t="shared" si="10"/>
        <v/>
      </c>
      <c r="T968" s="52" t="str">
        <f t="shared" si="5"/>
        <v/>
      </c>
      <c r="U968" s="52"/>
      <c r="V968" s="53"/>
      <c r="W968" s="52" t="str">
        <f t="shared" si="6"/>
        <v/>
      </c>
      <c r="X968" s="52">
        <f t="shared" si="7"/>
        <v>0</v>
      </c>
      <c r="Y968" s="52">
        <f t="shared" si="8"/>
        <v>0</v>
      </c>
      <c r="Z968" s="52" t="str">
        <f>IF(G968="","",IFERROR(VLOOKUP(G968,'Product_Stock_Master产品维护'!$A$2:$L992,11,FALSE),"No"))</f>
        <v/>
      </c>
      <c r="AA968" s="52" t="str">
        <f>IF(G968="","",IFERROR(VLOOKUP(G968,'Product_Stock_Master产品维护'!$A$2:$L992,12,FALSE),""))</f>
        <v/>
      </c>
      <c r="AB968" s="52" t="str">
        <f t="shared" si="11"/>
        <v/>
      </c>
      <c r="AC968" s="52">
        <f t="shared" si="12"/>
        <v>0</v>
      </c>
    </row>
    <row r="969" ht="15.75" customHeight="1">
      <c r="A969" s="171"/>
      <c r="B969" s="171"/>
      <c r="C969" s="53"/>
      <c r="D969" s="53"/>
      <c r="E969" s="53"/>
      <c r="F969" s="53"/>
      <c r="G969" s="53"/>
      <c r="H969" s="52" t="str">
        <f>IF(G969="","",IFERROR(VLOOKUP(G969,'Product_Stock_Master产品维护'!$A$2:$E992,2,FALSE()),"SKU not found"))</f>
        <v/>
      </c>
      <c r="I969" s="52" t="str">
        <f>IF(G969="","",IFERROR(VLOOKUP(G969,'Product_Stock_Master产品维护'!$A$2:$E992,3,FALSE()),"Item type not found"))</f>
        <v/>
      </c>
      <c r="J969" s="53"/>
      <c r="K969" s="53"/>
      <c r="L969" s="53"/>
      <c r="M969" s="53"/>
      <c r="N969" s="53"/>
      <c r="O969" s="52" t="str">
        <f t="shared" si="1"/>
        <v/>
      </c>
      <c r="P969" s="53"/>
      <c r="Q969" s="52" t="str">
        <f t="shared" si="9"/>
        <v/>
      </c>
      <c r="R969" s="52" t="str">
        <f t="shared" si="3"/>
        <v/>
      </c>
      <c r="S969" s="52" t="str">
        <f t="shared" si="10"/>
        <v/>
      </c>
      <c r="T969" s="52" t="str">
        <f t="shared" si="5"/>
        <v/>
      </c>
      <c r="U969" s="52"/>
      <c r="V969" s="53"/>
      <c r="W969" s="52" t="str">
        <f t="shared" si="6"/>
        <v/>
      </c>
      <c r="X969" s="52">
        <f t="shared" si="7"/>
        <v>0</v>
      </c>
      <c r="Y969" s="52">
        <f t="shared" si="8"/>
        <v>0</v>
      </c>
      <c r="Z969" s="52" t="str">
        <f>IF(G969="","",IFERROR(VLOOKUP(G969,'Product_Stock_Master产品维护'!$A$2:$L992,11,FALSE),"No"))</f>
        <v/>
      </c>
      <c r="AA969" s="52" t="str">
        <f>IF(G969="","",IFERROR(VLOOKUP(G969,'Product_Stock_Master产品维护'!$A$2:$L992,12,FALSE),""))</f>
        <v/>
      </c>
      <c r="AB969" s="52" t="str">
        <f t="shared" si="11"/>
        <v/>
      </c>
      <c r="AC969" s="52">
        <f t="shared" si="12"/>
        <v>0</v>
      </c>
    </row>
    <row r="970" ht="15.75" customHeight="1">
      <c r="A970" s="171"/>
      <c r="B970" s="171"/>
      <c r="C970" s="53"/>
      <c r="D970" s="53"/>
      <c r="E970" s="53"/>
      <c r="F970" s="53"/>
      <c r="G970" s="53"/>
      <c r="H970" s="52" t="str">
        <f>IF(G970="","",IFERROR(VLOOKUP(G970,'Product_Stock_Master产品维护'!$A$2:$E992,2,FALSE()),"SKU not found"))</f>
        <v/>
      </c>
      <c r="I970" s="52" t="str">
        <f>IF(G970="","",IFERROR(VLOOKUP(G970,'Product_Stock_Master产品维护'!$A$2:$E992,3,FALSE()),"Item type not found"))</f>
        <v/>
      </c>
      <c r="J970" s="53"/>
      <c r="K970" s="53"/>
      <c r="L970" s="53"/>
      <c r="M970" s="53"/>
      <c r="N970" s="53"/>
      <c r="O970" s="52" t="str">
        <f t="shared" si="1"/>
        <v/>
      </c>
      <c r="P970" s="53"/>
      <c r="Q970" s="52" t="str">
        <f t="shared" si="9"/>
        <v/>
      </c>
      <c r="R970" s="52" t="str">
        <f t="shared" si="3"/>
        <v/>
      </c>
      <c r="S970" s="52" t="str">
        <f t="shared" si="10"/>
        <v/>
      </c>
      <c r="T970" s="52" t="str">
        <f t="shared" si="5"/>
        <v/>
      </c>
      <c r="U970" s="52"/>
      <c r="V970" s="53"/>
      <c r="W970" s="52" t="str">
        <f t="shared" si="6"/>
        <v/>
      </c>
      <c r="X970" s="52">
        <f t="shared" si="7"/>
        <v>0</v>
      </c>
      <c r="Y970" s="52">
        <f t="shared" si="8"/>
        <v>0</v>
      </c>
      <c r="Z970" s="52" t="str">
        <f>IF(G970="","",IFERROR(VLOOKUP(G970,'Product_Stock_Master产品维护'!$A$2:$L992,11,FALSE),"No"))</f>
        <v/>
      </c>
      <c r="AA970" s="52" t="str">
        <f>IF(G970="","",IFERROR(VLOOKUP(G970,'Product_Stock_Master产品维护'!$A$2:$L992,12,FALSE),""))</f>
        <v/>
      </c>
      <c r="AB970" s="52" t="str">
        <f t="shared" si="11"/>
        <v/>
      </c>
      <c r="AC970" s="52">
        <f t="shared" si="12"/>
        <v>0</v>
      </c>
    </row>
    <row r="971" ht="15.75" customHeight="1">
      <c r="A971" s="171"/>
      <c r="B971" s="171"/>
      <c r="C971" s="53"/>
      <c r="D971" s="53"/>
      <c r="E971" s="53"/>
      <c r="F971" s="53"/>
      <c r="G971" s="53"/>
      <c r="H971" s="52" t="str">
        <f>IF(G971="","",IFERROR(VLOOKUP(G971,'Product_Stock_Master产品维护'!$A$2:$E992,2,FALSE()),"SKU not found"))</f>
        <v/>
      </c>
      <c r="I971" s="52" t="str">
        <f>IF(G971="","",IFERROR(VLOOKUP(G971,'Product_Stock_Master产品维护'!$A$2:$E992,3,FALSE()),"Item type not found"))</f>
        <v/>
      </c>
      <c r="J971" s="53"/>
      <c r="K971" s="53"/>
      <c r="L971" s="53"/>
      <c r="M971" s="53"/>
      <c r="N971" s="53"/>
      <c r="O971" s="52" t="str">
        <f t="shared" si="1"/>
        <v/>
      </c>
      <c r="P971" s="53"/>
      <c r="Q971" s="52" t="str">
        <f t="shared" si="9"/>
        <v/>
      </c>
      <c r="R971" s="52" t="str">
        <f t="shared" si="3"/>
        <v/>
      </c>
      <c r="S971" s="52" t="str">
        <f t="shared" si="10"/>
        <v/>
      </c>
      <c r="T971" s="52" t="str">
        <f t="shared" si="5"/>
        <v/>
      </c>
      <c r="U971" s="52"/>
      <c r="V971" s="53"/>
      <c r="W971" s="52" t="str">
        <f t="shared" si="6"/>
        <v/>
      </c>
      <c r="X971" s="52">
        <f t="shared" si="7"/>
        <v>0</v>
      </c>
      <c r="Y971" s="52">
        <f t="shared" si="8"/>
        <v>0</v>
      </c>
      <c r="Z971" s="52" t="str">
        <f>IF(G971="","",IFERROR(VLOOKUP(G971,'Product_Stock_Master产品维护'!$A$2:$L992,11,FALSE),"No"))</f>
        <v/>
      </c>
      <c r="AA971" s="52" t="str">
        <f>IF(G971="","",IFERROR(VLOOKUP(G971,'Product_Stock_Master产品维护'!$A$2:$L992,12,FALSE),""))</f>
        <v/>
      </c>
      <c r="AB971" s="52" t="str">
        <f t="shared" si="11"/>
        <v/>
      </c>
      <c r="AC971" s="52">
        <f t="shared" si="12"/>
        <v>0</v>
      </c>
    </row>
    <row r="972" ht="15.75" customHeight="1">
      <c r="A972" s="171"/>
      <c r="B972" s="171"/>
      <c r="C972" s="53"/>
      <c r="D972" s="53"/>
      <c r="E972" s="53"/>
      <c r="F972" s="53"/>
      <c r="G972" s="53"/>
      <c r="H972" s="52" t="str">
        <f>IF(G972="","",IFERROR(VLOOKUP(G972,'Product_Stock_Master产品维护'!$A$2:$E992,2,FALSE()),"SKU not found"))</f>
        <v/>
      </c>
      <c r="I972" s="52" t="str">
        <f>IF(G972="","",IFERROR(VLOOKUP(G972,'Product_Stock_Master产品维护'!$A$2:$E992,3,FALSE()),"Item type not found"))</f>
        <v/>
      </c>
      <c r="J972" s="53"/>
      <c r="K972" s="53"/>
      <c r="L972" s="53"/>
      <c r="M972" s="53"/>
      <c r="N972" s="53"/>
      <c r="O972" s="52" t="str">
        <f t="shared" si="1"/>
        <v/>
      </c>
      <c r="P972" s="53"/>
      <c r="Q972" s="52" t="str">
        <f t="shared" si="9"/>
        <v/>
      </c>
      <c r="R972" s="52" t="str">
        <f t="shared" si="3"/>
        <v/>
      </c>
      <c r="S972" s="52" t="str">
        <f t="shared" si="10"/>
        <v/>
      </c>
      <c r="T972" s="52" t="str">
        <f t="shared" si="5"/>
        <v/>
      </c>
      <c r="U972" s="52"/>
      <c r="V972" s="53"/>
      <c r="W972" s="52" t="str">
        <f t="shared" si="6"/>
        <v/>
      </c>
      <c r="X972" s="52">
        <f t="shared" si="7"/>
        <v>0</v>
      </c>
      <c r="Y972" s="52">
        <f t="shared" si="8"/>
        <v>0</v>
      </c>
      <c r="Z972" s="52" t="str">
        <f>IF(G972="","",IFERROR(VLOOKUP(G972,'Product_Stock_Master产品维护'!$A$2:$L992,11,FALSE),"No"))</f>
        <v/>
      </c>
      <c r="AA972" s="52" t="str">
        <f>IF(G972="","",IFERROR(VLOOKUP(G972,'Product_Stock_Master产品维护'!$A$2:$L992,12,FALSE),""))</f>
        <v/>
      </c>
      <c r="AB972" s="52" t="str">
        <f t="shared" si="11"/>
        <v/>
      </c>
      <c r="AC972" s="52">
        <f t="shared" si="12"/>
        <v>0</v>
      </c>
    </row>
    <row r="973" ht="15.75" customHeight="1">
      <c r="A973" s="171"/>
      <c r="B973" s="171"/>
      <c r="C973" s="53"/>
      <c r="D973" s="53"/>
      <c r="E973" s="53"/>
      <c r="F973" s="53"/>
      <c r="G973" s="53"/>
      <c r="H973" s="52" t="str">
        <f>IF(G973="","",IFERROR(VLOOKUP(G973,'Product_Stock_Master产品维护'!$A$2:$E992,2,FALSE()),"SKU not found"))</f>
        <v/>
      </c>
      <c r="I973" s="52" t="str">
        <f>IF(G973="","",IFERROR(VLOOKUP(G973,'Product_Stock_Master产品维护'!$A$2:$E992,3,FALSE()),"Item type not found"))</f>
        <v/>
      </c>
      <c r="J973" s="53"/>
      <c r="K973" s="53"/>
      <c r="L973" s="53"/>
      <c r="M973" s="53"/>
      <c r="N973" s="53"/>
      <c r="O973" s="52" t="str">
        <f t="shared" si="1"/>
        <v/>
      </c>
      <c r="P973" s="53"/>
      <c r="Q973" s="52" t="str">
        <f t="shared" si="9"/>
        <v/>
      </c>
      <c r="R973" s="52" t="str">
        <f t="shared" si="3"/>
        <v/>
      </c>
      <c r="S973" s="52" t="str">
        <f t="shared" si="10"/>
        <v/>
      </c>
      <c r="T973" s="52" t="str">
        <f t="shared" si="5"/>
        <v/>
      </c>
      <c r="U973" s="52"/>
      <c r="V973" s="53"/>
      <c r="W973" s="52" t="str">
        <f t="shared" si="6"/>
        <v/>
      </c>
      <c r="X973" s="52">
        <f t="shared" si="7"/>
        <v>0</v>
      </c>
      <c r="Y973" s="52">
        <f t="shared" si="8"/>
        <v>0</v>
      </c>
      <c r="Z973" s="52" t="str">
        <f>IF(G973="","",IFERROR(VLOOKUP(G973,'Product_Stock_Master产品维护'!$A$2:$L992,11,FALSE),"No"))</f>
        <v/>
      </c>
      <c r="AA973" s="52" t="str">
        <f>IF(G973="","",IFERROR(VLOOKUP(G973,'Product_Stock_Master产品维护'!$A$2:$L992,12,FALSE),""))</f>
        <v/>
      </c>
      <c r="AB973" s="52" t="str">
        <f t="shared" si="11"/>
        <v/>
      </c>
      <c r="AC973" s="52">
        <f t="shared" si="12"/>
        <v>0</v>
      </c>
    </row>
    <row r="974" ht="15.75" customHeight="1">
      <c r="A974" s="171"/>
      <c r="B974" s="171"/>
      <c r="C974" s="53"/>
      <c r="D974" s="53"/>
      <c r="E974" s="53"/>
      <c r="F974" s="53"/>
      <c r="G974" s="53"/>
      <c r="H974" s="52" t="str">
        <f>IF(G974="","",IFERROR(VLOOKUP(G974,'Product_Stock_Master产品维护'!$A$2:$E992,2,FALSE()),"SKU not found"))</f>
        <v/>
      </c>
      <c r="I974" s="52" t="str">
        <f>IF(G974="","",IFERROR(VLOOKUP(G974,'Product_Stock_Master产品维护'!$A$2:$E992,3,FALSE()),"Item type not found"))</f>
        <v/>
      </c>
      <c r="J974" s="53"/>
      <c r="K974" s="53"/>
      <c r="L974" s="53"/>
      <c r="M974" s="53"/>
      <c r="N974" s="53"/>
      <c r="O974" s="52" t="str">
        <f t="shared" si="1"/>
        <v/>
      </c>
      <c r="P974" s="53"/>
      <c r="Q974" s="52" t="str">
        <f t="shared" si="9"/>
        <v/>
      </c>
      <c r="R974" s="52" t="str">
        <f t="shared" si="3"/>
        <v/>
      </c>
      <c r="S974" s="52" t="str">
        <f t="shared" si="10"/>
        <v/>
      </c>
      <c r="T974" s="52" t="str">
        <f t="shared" si="5"/>
        <v/>
      </c>
      <c r="U974" s="52"/>
      <c r="V974" s="53"/>
      <c r="W974" s="52" t="str">
        <f t="shared" si="6"/>
        <v/>
      </c>
      <c r="X974" s="52">
        <f t="shared" si="7"/>
        <v>0</v>
      </c>
      <c r="Y974" s="52">
        <f t="shared" si="8"/>
        <v>0</v>
      </c>
      <c r="Z974" s="52" t="str">
        <f>IF(G974="","",IFERROR(VLOOKUP(G974,'Product_Stock_Master产品维护'!$A$2:$L992,11,FALSE),"No"))</f>
        <v/>
      </c>
      <c r="AA974" s="52" t="str">
        <f>IF(G974="","",IFERROR(VLOOKUP(G974,'Product_Stock_Master产品维护'!$A$2:$L992,12,FALSE),""))</f>
        <v/>
      </c>
      <c r="AB974" s="52" t="str">
        <f t="shared" si="11"/>
        <v/>
      </c>
      <c r="AC974" s="52">
        <f t="shared" si="12"/>
        <v>0</v>
      </c>
    </row>
    <row r="975" ht="15.75" customHeight="1">
      <c r="A975" s="171"/>
      <c r="B975" s="171"/>
      <c r="C975" s="53"/>
      <c r="D975" s="53"/>
      <c r="E975" s="53"/>
      <c r="F975" s="53"/>
      <c r="G975" s="53"/>
      <c r="H975" s="52" t="str">
        <f>IF(G975="","",IFERROR(VLOOKUP(G975,'Product_Stock_Master产品维护'!$A$2:$E992,2,FALSE()),"SKU not found"))</f>
        <v/>
      </c>
      <c r="I975" s="52" t="str">
        <f>IF(G975="","",IFERROR(VLOOKUP(G975,'Product_Stock_Master产品维护'!$A$2:$E992,3,FALSE()),"Item type not found"))</f>
        <v/>
      </c>
      <c r="J975" s="53"/>
      <c r="K975" s="53"/>
      <c r="L975" s="53"/>
      <c r="M975" s="53"/>
      <c r="N975" s="53"/>
      <c r="O975" s="52" t="str">
        <f t="shared" si="1"/>
        <v/>
      </c>
      <c r="P975" s="53"/>
      <c r="Q975" s="52" t="str">
        <f t="shared" si="9"/>
        <v/>
      </c>
      <c r="R975" s="52" t="str">
        <f t="shared" si="3"/>
        <v/>
      </c>
      <c r="S975" s="52" t="str">
        <f t="shared" si="10"/>
        <v/>
      </c>
      <c r="T975" s="52" t="str">
        <f t="shared" si="5"/>
        <v/>
      </c>
      <c r="U975" s="52"/>
      <c r="V975" s="53"/>
      <c r="W975" s="52" t="str">
        <f t="shared" si="6"/>
        <v/>
      </c>
      <c r="X975" s="52">
        <f t="shared" si="7"/>
        <v>0</v>
      </c>
      <c r="Y975" s="52">
        <f t="shared" si="8"/>
        <v>0</v>
      </c>
      <c r="Z975" s="52" t="str">
        <f>IF(G975="","",IFERROR(VLOOKUP(G975,'Product_Stock_Master产品维护'!$A$2:$L992,11,FALSE),"No"))</f>
        <v/>
      </c>
      <c r="AA975" s="52" t="str">
        <f>IF(G975="","",IFERROR(VLOOKUP(G975,'Product_Stock_Master产品维护'!$A$2:$L992,12,FALSE),""))</f>
        <v/>
      </c>
      <c r="AB975" s="52" t="str">
        <f t="shared" si="11"/>
        <v/>
      </c>
      <c r="AC975" s="52">
        <f t="shared" si="12"/>
        <v>0</v>
      </c>
    </row>
    <row r="976" ht="15.75" customHeight="1">
      <c r="A976" s="171"/>
      <c r="B976" s="171"/>
      <c r="C976" s="53"/>
      <c r="D976" s="53"/>
      <c r="E976" s="53"/>
      <c r="F976" s="53"/>
      <c r="G976" s="53"/>
      <c r="H976" s="52" t="str">
        <f>IF(G976="","",IFERROR(VLOOKUP(G976,'Product_Stock_Master产品维护'!$A$2:$E992,2,FALSE()),"SKU not found"))</f>
        <v/>
      </c>
      <c r="I976" s="52" t="str">
        <f>IF(G976="","",IFERROR(VLOOKUP(G976,'Product_Stock_Master产品维护'!$A$2:$E992,3,FALSE()),"Item type not found"))</f>
        <v/>
      </c>
      <c r="J976" s="53"/>
      <c r="K976" s="53"/>
      <c r="L976" s="53"/>
      <c r="M976" s="53"/>
      <c r="N976" s="53"/>
      <c r="O976" s="52" t="str">
        <f t="shared" si="1"/>
        <v/>
      </c>
      <c r="P976" s="53"/>
      <c r="Q976" s="52" t="str">
        <f t="shared" si="9"/>
        <v/>
      </c>
      <c r="R976" s="52" t="str">
        <f t="shared" si="3"/>
        <v/>
      </c>
      <c r="S976" s="52" t="str">
        <f t="shared" si="10"/>
        <v/>
      </c>
      <c r="T976" s="52" t="str">
        <f t="shared" si="5"/>
        <v/>
      </c>
      <c r="U976" s="52"/>
      <c r="V976" s="53"/>
      <c r="W976" s="52" t="str">
        <f t="shared" si="6"/>
        <v/>
      </c>
      <c r="X976" s="52">
        <f t="shared" si="7"/>
        <v>0</v>
      </c>
      <c r="Y976" s="52">
        <f t="shared" si="8"/>
        <v>0</v>
      </c>
      <c r="Z976" s="52" t="str">
        <f>IF(G976="","",IFERROR(VLOOKUP(G976,'Product_Stock_Master产品维护'!$A$2:$L992,11,FALSE),"No"))</f>
        <v/>
      </c>
      <c r="AA976" s="52" t="str">
        <f>IF(G976="","",IFERROR(VLOOKUP(G976,'Product_Stock_Master产品维护'!$A$2:$L992,12,FALSE),""))</f>
        <v/>
      </c>
      <c r="AB976" s="52" t="str">
        <f t="shared" si="11"/>
        <v/>
      </c>
      <c r="AC976" s="52">
        <f t="shared" si="12"/>
        <v>0</v>
      </c>
    </row>
    <row r="977" ht="15.75" customHeight="1">
      <c r="A977" s="171"/>
      <c r="B977" s="171"/>
      <c r="C977" s="53"/>
      <c r="D977" s="53"/>
      <c r="E977" s="53"/>
      <c r="F977" s="53"/>
      <c r="G977" s="53"/>
      <c r="H977" s="52" t="str">
        <f>IF(G977="","",IFERROR(VLOOKUP(G977,'Product_Stock_Master产品维护'!$A$2:$E992,2,FALSE()),"SKU not found"))</f>
        <v/>
      </c>
      <c r="I977" s="52" t="str">
        <f>IF(G977="","",IFERROR(VLOOKUP(G977,'Product_Stock_Master产品维护'!$A$2:$E992,3,FALSE()),"Item type not found"))</f>
        <v/>
      </c>
      <c r="J977" s="53"/>
      <c r="K977" s="53"/>
      <c r="L977" s="53"/>
      <c r="M977" s="53"/>
      <c r="N977" s="53"/>
      <c r="O977" s="52" t="str">
        <f t="shared" si="1"/>
        <v/>
      </c>
      <c r="P977" s="53"/>
      <c r="Q977" s="52" t="str">
        <f t="shared" si="9"/>
        <v/>
      </c>
      <c r="R977" s="52" t="str">
        <f t="shared" si="3"/>
        <v/>
      </c>
      <c r="S977" s="52" t="str">
        <f t="shared" si="10"/>
        <v/>
      </c>
      <c r="T977" s="52" t="str">
        <f t="shared" si="5"/>
        <v/>
      </c>
      <c r="U977" s="52"/>
      <c r="V977" s="53"/>
      <c r="W977" s="52" t="str">
        <f t="shared" si="6"/>
        <v/>
      </c>
      <c r="X977" s="52">
        <f t="shared" si="7"/>
        <v>0</v>
      </c>
      <c r="Y977" s="52">
        <f t="shared" si="8"/>
        <v>0</v>
      </c>
      <c r="Z977" s="52" t="str">
        <f>IF(G977="","",IFERROR(VLOOKUP(G977,'Product_Stock_Master产品维护'!$A$2:$L992,11,FALSE),"No"))</f>
        <v/>
      </c>
      <c r="AA977" s="52" t="str">
        <f>IF(G977="","",IFERROR(VLOOKUP(G977,'Product_Stock_Master产品维护'!$A$2:$L992,12,FALSE),""))</f>
        <v/>
      </c>
      <c r="AB977" s="52" t="str">
        <f t="shared" si="11"/>
        <v/>
      </c>
      <c r="AC977" s="52">
        <f t="shared" si="12"/>
        <v>0</v>
      </c>
    </row>
    <row r="978" ht="15.75" customHeight="1">
      <c r="A978" s="171"/>
      <c r="B978" s="171"/>
      <c r="C978" s="53"/>
      <c r="D978" s="53"/>
      <c r="E978" s="53"/>
      <c r="F978" s="53"/>
      <c r="G978" s="53"/>
      <c r="H978" s="52" t="str">
        <f>IF(G978="","",IFERROR(VLOOKUP(G978,'Product_Stock_Master产品维护'!$A$2:$E992,2,FALSE()),"SKU not found"))</f>
        <v/>
      </c>
      <c r="I978" s="52" t="str">
        <f>IF(G978="","",IFERROR(VLOOKUP(G978,'Product_Stock_Master产品维护'!$A$2:$E992,3,FALSE()),"Item type not found"))</f>
        <v/>
      </c>
      <c r="J978" s="53"/>
      <c r="K978" s="53"/>
      <c r="L978" s="53"/>
      <c r="M978" s="53"/>
      <c r="N978" s="53"/>
      <c r="O978" s="52" t="str">
        <f t="shared" si="1"/>
        <v/>
      </c>
      <c r="P978" s="53"/>
      <c r="Q978" s="52" t="str">
        <f t="shared" si="9"/>
        <v/>
      </c>
      <c r="R978" s="52" t="str">
        <f t="shared" si="3"/>
        <v/>
      </c>
      <c r="S978" s="52" t="str">
        <f t="shared" si="10"/>
        <v/>
      </c>
      <c r="T978" s="52" t="str">
        <f t="shared" si="5"/>
        <v/>
      </c>
      <c r="U978" s="52"/>
      <c r="V978" s="53"/>
      <c r="W978" s="52" t="str">
        <f t="shared" si="6"/>
        <v/>
      </c>
      <c r="X978" s="52">
        <f t="shared" si="7"/>
        <v>0</v>
      </c>
      <c r="Y978" s="52">
        <f t="shared" si="8"/>
        <v>0</v>
      </c>
      <c r="Z978" s="52" t="str">
        <f>IF(G978="","",IFERROR(VLOOKUP(G978,'Product_Stock_Master产品维护'!$A$2:$L992,11,FALSE),"No"))</f>
        <v/>
      </c>
      <c r="AA978" s="52" t="str">
        <f>IF(G978="","",IFERROR(VLOOKUP(G978,'Product_Stock_Master产品维护'!$A$2:$L992,12,FALSE),""))</f>
        <v/>
      </c>
      <c r="AB978" s="52" t="str">
        <f t="shared" si="11"/>
        <v/>
      </c>
      <c r="AC978" s="52">
        <f t="shared" si="12"/>
        <v>0</v>
      </c>
    </row>
    <row r="979" ht="15.75" customHeight="1">
      <c r="A979" s="171"/>
      <c r="B979" s="171"/>
      <c r="C979" s="53"/>
      <c r="D979" s="53"/>
      <c r="E979" s="53"/>
      <c r="F979" s="53"/>
      <c r="G979" s="53"/>
      <c r="H979" s="52" t="str">
        <f>IF(G979="","",IFERROR(VLOOKUP(G979,'Product_Stock_Master产品维护'!$A$2:$E992,2,FALSE()),"SKU not found"))</f>
        <v/>
      </c>
      <c r="I979" s="52" t="str">
        <f>IF(G979="","",IFERROR(VLOOKUP(G979,'Product_Stock_Master产品维护'!$A$2:$E992,3,FALSE()),"Item type not found"))</f>
        <v/>
      </c>
      <c r="J979" s="53"/>
      <c r="K979" s="53"/>
      <c r="L979" s="53"/>
      <c r="M979" s="53"/>
      <c r="N979" s="53"/>
      <c r="O979" s="52" t="str">
        <f t="shared" si="1"/>
        <v/>
      </c>
      <c r="P979" s="53"/>
      <c r="Q979" s="52" t="str">
        <f t="shared" si="9"/>
        <v/>
      </c>
      <c r="R979" s="52" t="str">
        <f t="shared" si="3"/>
        <v/>
      </c>
      <c r="S979" s="52" t="str">
        <f t="shared" si="10"/>
        <v/>
      </c>
      <c r="T979" s="52" t="str">
        <f t="shared" si="5"/>
        <v/>
      </c>
      <c r="U979" s="52"/>
      <c r="V979" s="53"/>
      <c r="W979" s="52" t="str">
        <f t="shared" si="6"/>
        <v/>
      </c>
      <c r="X979" s="52">
        <f t="shared" si="7"/>
        <v>0</v>
      </c>
      <c r="Y979" s="52">
        <f t="shared" si="8"/>
        <v>0</v>
      </c>
      <c r="Z979" s="52" t="str">
        <f>IF(G979="","",IFERROR(VLOOKUP(G979,'Product_Stock_Master产品维护'!$A$2:$L992,11,FALSE),"No"))</f>
        <v/>
      </c>
      <c r="AA979" s="52" t="str">
        <f>IF(G979="","",IFERROR(VLOOKUP(G979,'Product_Stock_Master产品维护'!$A$2:$L992,12,FALSE),""))</f>
        <v/>
      </c>
      <c r="AB979" s="52" t="str">
        <f t="shared" si="11"/>
        <v/>
      </c>
      <c r="AC979" s="52">
        <f t="shared" si="12"/>
        <v>0</v>
      </c>
    </row>
    <row r="980" ht="15.75" customHeight="1">
      <c r="A980" s="171"/>
      <c r="B980" s="171"/>
      <c r="C980" s="53"/>
      <c r="D980" s="53"/>
      <c r="E980" s="53"/>
      <c r="F980" s="53"/>
      <c r="G980" s="53"/>
      <c r="H980" s="52" t="str">
        <f>IF(G980="","",IFERROR(VLOOKUP(G980,'Product_Stock_Master产品维护'!$A$2:$E992,2,FALSE()),"SKU not found"))</f>
        <v/>
      </c>
      <c r="I980" s="52" t="str">
        <f>IF(G980="","",IFERROR(VLOOKUP(G980,'Product_Stock_Master产品维护'!$A$2:$E992,3,FALSE()),"Item type not found"))</f>
        <v/>
      </c>
      <c r="J980" s="53"/>
      <c r="K980" s="53"/>
      <c r="L980" s="53"/>
      <c r="M980" s="53"/>
      <c r="N980" s="53"/>
      <c r="O980" s="52" t="str">
        <f t="shared" si="1"/>
        <v/>
      </c>
      <c r="P980" s="53"/>
      <c r="Q980" s="52" t="str">
        <f t="shared" si="9"/>
        <v/>
      </c>
      <c r="R980" s="52" t="str">
        <f t="shared" si="3"/>
        <v/>
      </c>
      <c r="S980" s="52" t="str">
        <f t="shared" si="10"/>
        <v/>
      </c>
      <c r="T980" s="52" t="str">
        <f t="shared" si="5"/>
        <v/>
      </c>
      <c r="U980" s="52"/>
      <c r="V980" s="53"/>
      <c r="W980" s="52" t="str">
        <f t="shared" si="6"/>
        <v/>
      </c>
      <c r="X980" s="52">
        <f t="shared" si="7"/>
        <v>0</v>
      </c>
      <c r="Y980" s="52">
        <f t="shared" si="8"/>
        <v>0</v>
      </c>
      <c r="Z980" s="52" t="str">
        <f>IF(G980="","",IFERROR(VLOOKUP(G980,'Product_Stock_Master产品维护'!$A$2:$L992,11,FALSE),"No"))</f>
        <v/>
      </c>
      <c r="AA980" s="52" t="str">
        <f>IF(G980="","",IFERROR(VLOOKUP(G980,'Product_Stock_Master产品维护'!$A$2:$L992,12,FALSE),""))</f>
        <v/>
      </c>
      <c r="AB980" s="52" t="str">
        <f t="shared" si="11"/>
        <v/>
      </c>
      <c r="AC980" s="52">
        <f t="shared" si="12"/>
        <v>0</v>
      </c>
    </row>
    <row r="981" ht="15.75" customHeight="1">
      <c r="A981" s="171"/>
      <c r="B981" s="171"/>
      <c r="C981" s="53"/>
      <c r="D981" s="53"/>
      <c r="E981" s="53"/>
      <c r="F981" s="53"/>
      <c r="G981" s="53"/>
      <c r="H981" s="52" t="str">
        <f>IF(G981="","",IFERROR(VLOOKUP(G981,'Product_Stock_Master产品维护'!$A$2:$E992,2,FALSE()),"SKU not found"))</f>
        <v/>
      </c>
      <c r="I981" s="52" t="str">
        <f>IF(G981="","",IFERROR(VLOOKUP(G981,'Product_Stock_Master产品维护'!$A$2:$E992,3,FALSE()),"Item type not found"))</f>
        <v/>
      </c>
      <c r="J981" s="53"/>
      <c r="K981" s="53"/>
      <c r="L981" s="53"/>
      <c r="M981" s="53"/>
      <c r="N981" s="53"/>
      <c r="O981" s="52" t="str">
        <f t="shared" si="1"/>
        <v/>
      </c>
      <c r="P981" s="53"/>
      <c r="Q981" s="52" t="str">
        <f t="shared" si="9"/>
        <v/>
      </c>
      <c r="R981" s="52" t="str">
        <f t="shared" si="3"/>
        <v/>
      </c>
      <c r="S981" s="52" t="str">
        <f t="shared" si="10"/>
        <v/>
      </c>
      <c r="T981" s="52" t="str">
        <f t="shared" si="5"/>
        <v/>
      </c>
      <c r="U981" s="52"/>
      <c r="V981" s="53"/>
      <c r="W981" s="52" t="str">
        <f t="shared" si="6"/>
        <v/>
      </c>
      <c r="X981" s="52">
        <f t="shared" si="7"/>
        <v>0</v>
      </c>
      <c r="Y981" s="52">
        <f t="shared" si="8"/>
        <v>0</v>
      </c>
      <c r="Z981" s="52" t="str">
        <f>IF(G981="","",IFERROR(VLOOKUP(G981,'Product_Stock_Master产品维护'!$A$2:$L992,11,FALSE),"No"))</f>
        <v/>
      </c>
      <c r="AA981" s="52" t="str">
        <f>IF(G981="","",IFERROR(VLOOKUP(G981,'Product_Stock_Master产品维护'!$A$2:$L992,12,FALSE),""))</f>
        <v/>
      </c>
      <c r="AB981" s="52" t="str">
        <f t="shared" si="11"/>
        <v/>
      </c>
      <c r="AC981" s="52">
        <f t="shared" si="12"/>
        <v>0</v>
      </c>
    </row>
    <row r="982" ht="15.75" customHeight="1">
      <c r="A982" s="171"/>
      <c r="B982" s="171"/>
      <c r="C982" s="53"/>
      <c r="D982" s="53"/>
      <c r="E982" s="53"/>
      <c r="F982" s="53"/>
      <c r="G982" s="53"/>
      <c r="H982" s="52" t="str">
        <f>IF(G982="","",IFERROR(VLOOKUP(G982,'Product_Stock_Master产品维护'!$A$2:$E992,2,FALSE()),"SKU not found"))</f>
        <v/>
      </c>
      <c r="I982" s="52" t="str">
        <f>IF(G982="","",IFERROR(VLOOKUP(G982,'Product_Stock_Master产品维护'!$A$2:$E992,3,FALSE()),"Item type not found"))</f>
        <v/>
      </c>
      <c r="J982" s="53"/>
      <c r="K982" s="53"/>
      <c r="L982" s="53"/>
      <c r="M982" s="53"/>
      <c r="N982" s="53"/>
      <c r="O982" s="52" t="str">
        <f t="shared" si="1"/>
        <v/>
      </c>
      <c r="P982" s="53"/>
      <c r="Q982" s="52" t="str">
        <f t="shared" si="9"/>
        <v/>
      </c>
      <c r="R982" s="52" t="str">
        <f t="shared" si="3"/>
        <v/>
      </c>
      <c r="S982" s="52" t="str">
        <f t="shared" si="10"/>
        <v/>
      </c>
      <c r="T982" s="52" t="str">
        <f t="shared" si="5"/>
        <v/>
      </c>
      <c r="U982" s="52"/>
      <c r="V982" s="53"/>
      <c r="W982" s="52" t="str">
        <f t="shared" si="6"/>
        <v/>
      </c>
      <c r="X982" s="52">
        <f t="shared" si="7"/>
        <v>0</v>
      </c>
      <c r="Y982" s="52">
        <f t="shared" si="8"/>
        <v>0</v>
      </c>
      <c r="Z982" s="52" t="str">
        <f>IF(G982="","",IFERROR(VLOOKUP(G982,'Product_Stock_Master产品维护'!$A$2:$L992,11,FALSE),"No"))</f>
        <v/>
      </c>
      <c r="AA982" s="52" t="str">
        <f>IF(G982="","",IFERROR(VLOOKUP(G982,'Product_Stock_Master产品维护'!$A$2:$L992,12,FALSE),""))</f>
        <v/>
      </c>
      <c r="AB982" s="52" t="str">
        <f t="shared" si="11"/>
        <v/>
      </c>
      <c r="AC982" s="52">
        <f t="shared" si="12"/>
        <v>0</v>
      </c>
    </row>
    <row r="983" ht="15.75" customHeight="1">
      <c r="A983" s="171"/>
      <c r="B983" s="171"/>
      <c r="C983" s="53"/>
      <c r="D983" s="53"/>
      <c r="E983" s="53"/>
      <c r="F983" s="53"/>
      <c r="G983" s="53"/>
      <c r="H983" s="52" t="str">
        <f>IF(G983="","",IFERROR(VLOOKUP(G983,'Product_Stock_Master产品维护'!$A$2:$E992,2,FALSE()),"SKU not found"))</f>
        <v/>
      </c>
      <c r="I983" s="52" t="str">
        <f>IF(G983="","",IFERROR(VLOOKUP(G983,'Product_Stock_Master产品维护'!$A$2:$E992,3,FALSE()),"Item type not found"))</f>
        <v/>
      </c>
      <c r="J983" s="53"/>
      <c r="K983" s="53"/>
      <c r="L983" s="53"/>
      <c r="M983" s="53"/>
      <c r="N983" s="53"/>
      <c r="O983" s="52" t="str">
        <f t="shared" si="1"/>
        <v/>
      </c>
      <c r="P983" s="53"/>
      <c r="Q983" s="52" t="str">
        <f t="shared" si="9"/>
        <v/>
      </c>
      <c r="R983" s="52" t="str">
        <f t="shared" si="3"/>
        <v/>
      </c>
      <c r="S983" s="52" t="str">
        <f t="shared" si="10"/>
        <v/>
      </c>
      <c r="T983" s="52" t="str">
        <f t="shared" si="5"/>
        <v/>
      </c>
      <c r="U983" s="52"/>
      <c r="V983" s="53"/>
      <c r="W983" s="52" t="str">
        <f t="shared" si="6"/>
        <v/>
      </c>
      <c r="X983" s="52">
        <f t="shared" si="7"/>
        <v>0</v>
      </c>
      <c r="Y983" s="52">
        <f t="shared" si="8"/>
        <v>0</v>
      </c>
      <c r="Z983" s="52" t="str">
        <f>IF(G983="","",IFERROR(VLOOKUP(G983,'Product_Stock_Master产品维护'!$A$2:$L992,11,FALSE),"No"))</f>
        <v/>
      </c>
      <c r="AA983" s="52" t="str">
        <f>IF(G983="","",IFERROR(VLOOKUP(G983,'Product_Stock_Master产品维护'!$A$2:$L992,12,FALSE),""))</f>
        <v/>
      </c>
      <c r="AB983" s="52" t="str">
        <f t="shared" si="11"/>
        <v/>
      </c>
      <c r="AC983" s="52">
        <f t="shared" si="12"/>
        <v>0</v>
      </c>
    </row>
    <row r="984" ht="15.75" customHeight="1">
      <c r="A984" s="171"/>
      <c r="B984" s="171"/>
      <c r="C984" s="53"/>
      <c r="D984" s="53"/>
      <c r="E984" s="53"/>
      <c r="F984" s="53"/>
      <c r="G984" s="53"/>
      <c r="H984" s="52" t="str">
        <f>IF(G984="","",IFERROR(VLOOKUP(G984,'Product_Stock_Master产品维护'!$A$2:$E992,2,FALSE()),"SKU not found"))</f>
        <v/>
      </c>
      <c r="I984" s="52" t="str">
        <f>IF(G984="","",IFERROR(VLOOKUP(G984,'Product_Stock_Master产品维护'!$A$2:$E992,3,FALSE()),"Item type not found"))</f>
        <v/>
      </c>
      <c r="J984" s="53"/>
      <c r="K984" s="53"/>
      <c r="L984" s="53"/>
      <c r="M984" s="53"/>
      <c r="N984" s="53"/>
      <c r="O984" s="52" t="str">
        <f t="shared" si="1"/>
        <v/>
      </c>
      <c r="P984" s="53"/>
      <c r="Q984" s="52" t="str">
        <f t="shared" si="9"/>
        <v/>
      </c>
      <c r="R984" s="52" t="str">
        <f t="shared" si="3"/>
        <v/>
      </c>
      <c r="S984" s="52" t="str">
        <f t="shared" si="10"/>
        <v/>
      </c>
      <c r="T984" s="52" t="str">
        <f t="shared" si="5"/>
        <v/>
      </c>
      <c r="U984" s="52"/>
      <c r="V984" s="53"/>
      <c r="W984" s="52" t="str">
        <f t="shared" si="6"/>
        <v/>
      </c>
      <c r="X984" s="52">
        <f t="shared" si="7"/>
        <v>0</v>
      </c>
      <c r="Y984" s="52">
        <f t="shared" si="8"/>
        <v>0</v>
      </c>
      <c r="Z984" s="52" t="str">
        <f>IF(G984="","",IFERROR(VLOOKUP(G984,'Product_Stock_Master产品维护'!$A$2:$L992,11,FALSE),"No"))</f>
        <v/>
      </c>
      <c r="AA984" s="52" t="str">
        <f>IF(G984="","",IFERROR(VLOOKUP(G984,'Product_Stock_Master产品维护'!$A$2:$L992,12,FALSE),""))</f>
        <v/>
      </c>
      <c r="AB984" s="52" t="str">
        <f t="shared" si="11"/>
        <v/>
      </c>
      <c r="AC984" s="52">
        <f t="shared" si="12"/>
        <v>0</v>
      </c>
    </row>
    <row r="985" ht="15.75" customHeight="1">
      <c r="A985" s="171"/>
      <c r="B985" s="171"/>
      <c r="C985" s="53"/>
      <c r="D985" s="53"/>
      <c r="E985" s="53"/>
      <c r="F985" s="53"/>
      <c r="G985" s="53"/>
      <c r="H985" s="52" t="str">
        <f>IF(G985="","",IFERROR(VLOOKUP(G985,'Product_Stock_Master产品维护'!$A$2:$E992,2,FALSE()),"SKU not found"))</f>
        <v/>
      </c>
      <c r="I985" s="52" t="str">
        <f>IF(G985="","",IFERROR(VLOOKUP(G985,'Product_Stock_Master产品维护'!$A$2:$E992,3,FALSE()),"Item type not found"))</f>
        <v/>
      </c>
      <c r="J985" s="53"/>
      <c r="K985" s="53"/>
      <c r="L985" s="53"/>
      <c r="M985" s="53"/>
      <c r="N985" s="53"/>
      <c r="O985" s="52" t="str">
        <f t="shared" si="1"/>
        <v/>
      </c>
      <c r="P985" s="53"/>
      <c r="Q985" s="52" t="str">
        <f t="shared" si="9"/>
        <v/>
      </c>
      <c r="R985" s="52" t="str">
        <f t="shared" si="3"/>
        <v/>
      </c>
      <c r="S985" s="52" t="str">
        <f t="shared" si="10"/>
        <v/>
      </c>
      <c r="T985" s="52" t="str">
        <f t="shared" si="5"/>
        <v/>
      </c>
      <c r="U985" s="52"/>
      <c r="V985" s="53"/>
      <c r="W985" s="52" t="str">
        <f t="shared" si="6"/>
        <v/>
      </c>
      <c r="X985" s="52">
        <f t="shared" si="7"/>
        <v>0</v>
      </c>
      <c r="Y985" s="52">
        <f t="shared" si="8"/>
        <v>0</v>
      </c>
      <c r="Z985" s="52" t="str">
        <f>IF(G985="","",IFERROR(VLOOKUP(G985,'Product_Stock_Master产品维护'!$A$2:$L992,11,FALSE),"No"))</f>
        <v/>
      </c>
      <c r="AA985" s="52" t="str">
        <f>IF(G985="","",IFERROR(VLOOKUP(G985,'Product_Stock_Master产品维护'!$A$2:$L992,12,FALSE),""))</f>
        <v/>
      </c>
      <c r="AB985" s="52" t="str">
        <f t="shared" si="11"/>
        <v/>
      </c>
      <c r="AC985" s="52">
        <f t="shared" si="12"/>
        <v>0</v>
      </c>
    </row>
    <row r="986" ht="15.75" customHeight="1">
      <c r="A986" s="171"/>
      <c r="B986" s="171"/>
      <c r="C986" s="53"/>
      <c r="D986" s="53"/>
      <c r="E986" s="53"/>
      <c r="F986" s="53"/>
      <c r="G986" s="53"/>
      <c r="H986" s="52" t="str">
        <f>IF(G986="","",IFERROR(VLOOKUP(G986,'Product_Stock_Master产品维护'!$A$2:$E992,2,FALSE()),"SKU not found"))</f>
        <v/>
      </c>
      <c r="I986" s="52" t="str">
        <f>IF(G986="","",IFERROR(VLOOKUP(G986,'Product_Stock_Master产品维护'!$A$2:$E992,3,FALSE()),"Item type not found"))</f>
        <v/>
      </c>
      <c r="J986" s="53"/>
      <c r="K986" s="53"/>
      <c r="L986" s="53"/>
      <c r="M986" s="53"/>
      <c r="N986" s="53"/>
      <c r="O986" s="52" t="str">
        <f t="shared" si="1"/>
        <v/>
      </c>
      <c r="P986" s="53"/>
      <c r="Q986" s="52" t="str">
        <f t="shared" si="9"/>
        <v/>
      </c>
      <c r="R986" s="52" t="str">
        <f t="shared" si="3"/>
        <v/>
      </c>
      <c r="S986" s="52" t="str">
        <f t="shared" si="10"/>
        <v/>
      </c>
      <c r="T986" s="52" t="str">
        <f t="shared" si="5"/>
        <v/>
      </c>
      <c r="U986" s="52"/>
      <c r="V986" s="53"/>
      <c r="W986" s="52" t="str">
        <f t="shared" si="6"/>
        <v/>
      </c>
      <c r="X986" s="52">
        <f t="shared" si="7"/>
        <v>0</v>
      </c>
      <c r="Y986" s="52">
        <f t="shared" si="8"/>
        <v>0</v>
      </c>
      <c r="Z986" s="52" t="str">
        <f>IF(G986="","",IFERROR(VLOOKUP(G986,'Product_Stock_Master产品维护'!$A$2:$L992,11,FALSE),"No"))</f>
        <v/>
      </c>
      <c r="AA986" s="52" t="str">
        <f>IF(G986="","",IFERROR(VLOOKUP(G986,'Product_Stock_Master产品维护'!$A$2:$L992,12,FALSE),""))</f>
        <v/>
      </c>
      <c r="AB986" s="52" t="str">
        <f t="shared" si="11"/>
        <v/>
      </c>
      <c r="AC986" s="52">
        <f t="shared" si="12"/>
        <v>0</v>
      </c>
    </row>
    <row r="987" ht="15.75" customHeight="1">
      <c r="A987" s="171"/>
      <c r="B987" s="171"/>
      <c r="C987" s="53"/>
      <c r="D987" s="53"/>
      <c r="E987" s="53"/>
      <c r="F987" s="53"/>
      <c r="G987" s="53"/>
      <c r="H987" s="52" t="str">
        <f>IF(G987="","",IFERROR(VLOOKUP(G987,'Product_Stock_Master产品维护'!$A$2:$E992,2,FALSE()),"SKU not found"))</f>
        <v/>
      </c>
      <c r="I987" s="52" t="str">
        <f>IF(G987="","",IFERROR(VLOOKUP(G987,'Product_Stock_Master产品维护'!$A$2:$E992,3,FALSE()),"Item type not found"))</f>
        <v/>
      </c>
      <c r="J987" s="53"/>
      <c r="K987" s="53"/>
      <c r="L987" s="53"/>
      <c r="M987" s="53"/>
      <c r="N987" s="53"/>
      <c r="O987" s="52" t="str">
        <f t="shared" si="1"/>
        <v/>
      </c>
      <c r="P987" s="53"/>
      <c r="Q987" s="52" t="str">
        <f t="shared" si="9"/>
        <v/>
      </c>
      <c r="R987" s="52" t="str">
        <f t="shared" si="3"/>
        <v/>
      </c>
      <c r="S987" s="52" t="str">
        <f t="shared" si="10"/>
        <v/>
      </c>
      <c r="T987" s="52" t="str">
        <f t="shared" si="5"/>
        <v/>
      </c>
      <c r="U987" s="52"/>
      <c r="V987" s="53"/>
      <c r="W987" s="52" t="str">
        <f t="shared" si="6"/>
        <v/>
      </c>
      <c r="X987" s="52">
        <f t="shared" si="7"/>
        <v>0</v>
      </c>
      <c r="Y987" s="52">
        <f t="shared" si="8"/>
        <v>0</v>
      </c>
      <c r="Z987" s="52" t="str">
        <f>IF(G987="","",IFERROR(VLOOKUP(G987,'Product_Stock_Master产品维护'!$A$2:$L992,11,FALSE),"No"))</f>
        <v/>
      </c>
      <c r="AA987" s="52" t="str">
        <f>IF(G987="","",IFERROR(VLOOKUP(G987,'Product_Stock_Master产品维护'!$A$2:$L992,12,FALSE),""))</f>
        <v/>
      </c>
      <c r="AB987" s="52" t="str">
        <f t="shared" si="11"/>
        <v/>
      </c>
      <c r="AC987" s="52">
        <f t="shared" si="12"/>
        <v>0</v>
      </c>
    </row>
    <row r="988" ht="15.75" customHeight="1">
      <c r="A988" s="171"/>
      <c r="B988" s="171"/>
      <c r="C988" s="53"/>
      <c r="D988" s="53"/>
      <c r="E988" s="53"/>
      <c r="F988" s="53"/>
      <c r="G988" s="53"/>
      <c r="H988" s="52" t="str">
        <f>IF(G988="","",IFERROR(VLOOKUP(G988,'Product_Stock_Master产品维护'!$A$2:$E992,2,FALSE()),"SKU not found"))</f>
        <v/>
      </c>
      <c r="I988" s="52" t="str">
        <f>IF(G988="","",IFERROR(VLOOKUP(G988,'Product_Stock_Master产品维护'!$A$2:$E992,3,FALSE()),"Item type not found"))</f>
        <v/>
      </c>
      <c r="J988" s="53"/>
      <c r="K988" s="53"/>
      <c r="L988" s="53"/>
      <c r="M988" s="53"/>
      <c r="N988" s="53"/>
      <c r="O988" s="52" t="str">
        <f t="shared" si="1"/>
        <v/>
      </c>
      <c r="P988" s="53"/>
      <c r="Q988" s="52" t="str">
        <f t="shared" si="9"/>
        <v/>
      </c>
      <c r="R988" s="52" t="str">
        <f t="shared" si="3"/>
        <v/>
      </c>
      <c r="S988" s="52" t="str">
        <f t="shared" si="10"/>
        <v/>
      </c>
      <c r="T988" s="52" t="str">
        <f t="shared" si="5"/>
        <v/>
      </c>
      <c r="U988" s="52"/>
      <c r="V988" s="53"/>
      <c r="W988" s="52" t="str">
        <f t="shared" si="6"/>
        <v/>
      </c>
      <c r="X988" s="52">
        <f t="shared" si="7"/>
        <v>0</v>
      </c>
      <c r="Y988" s="52">
        <f t="shared" si="8"/>
        <v>0</v>
      </c>
      <c r="Z988" s="52" t="str">
        <f>IF(G988="","",IFERROR(VLOOKUP(G988,'Product_Stock_Master产品维护'!$A$2:$L992,11,FALSE),"No"))</f>
        <v/>
      </c>
      <c r="AA988" s="52" t="str">
        <f>IF(G988="","",IFERROR(VLOOKUP(G988,'Product_Stock_Master产品维护'!$A$2:$L992,12,FALSE),""))</f>
        <v/>
      </c>
      <c r="AB988" s="52" t="str">
        <f t="shared" si="11"/>
        <v/>
      </c>
      <c r="AC988" s="52">
        <f t="shared" si="12"/>
        <v>0</v>
      </c>
    </row>
    <row r="989" ht="15.75" customHeight="1">
      <c r="A989" s="171"/>
      <c r="B989" s="171"/>
      <c r="C989" s="53"/>
      <c r="D989" s="53"/>
      <c r="E989" s="53"/>
      <c r="F989" s="53"/>
      <c r="G989" s="53"/>
      <c r="H989" s="52" t="str">
        <f>IF(G989="","",IFERROR(VLOOKUP(G989,'Product_Stock_Master产品维护'!$A$2:$E992,2,FALSE()),"SKU not found"))</f>
        <v/>
      </c>
      <c r="I989" s="52" t="str">
        <f>IF(G989="","",IFERROR(VLOOKUP(G989,'Product_Stock_Master产品维护'!$A$2:$E992,3,FALSE()),"Item type not found"))</f>
        <v/>
      </c>
      <c r="J989" s="53"/>
      <c r="K989" s="53"/>
      <c r="L989" s="53"/>
      <c r="M989" s="53"/>
      <c r="N989" s="53"/>
      <c r="O989" s="52" t="str">
        <f t="shared" si="1"/>
        <v/>
      </c>
      <c r="P989" s="53"/>
      <c r="Q989" s="52" t="str">
        <f t="shared" si="9"/>
        <v/>
      </c>
      <c r="R989" s="52" t="str">
        <f t="shared" si="3"/>
        <v/>
      </c>
      <c r="S989" s="52" t="str">
        <f t="shared" si="10"/>
        <v/>
      </c>
      <c r="T989" s="52" t="str">
        <f t="shared" si="5"/>
        <v/>
      </c>
      <c r="U989" s="52"/>
      <c r="V989" s="53"/>
      <c r="W989" s="52" t="str">
        <f t="shared" si="6"/>
        <v/>
      </c>
      <c r="X989" s="52">
        <f t="shared" si="7"/>
        <v>0</v>
      </c>
      <c r="Y989" s="52">
        <f t="shared" si="8"/>
        <v>0</v>
      </c>
      <c r="Z989" s="52" t="str">
        <f>IF(G989="","",IFERROR(VLOOKUP(G989,'Product_Stock_Master产品维护'!$A$2:$L992,11,FALSE),"No"))</f>
        <v/>
      </c>
      <c r="AA989" s="52" t="str">
        <f>IF(G989="","",IFERROR(VLOOKUP(G989,'Product_Stock_Master产品维护'!$A$2:$L992,12,FALSE),""))</f>
        <v/>
      </c>
      <c r="AB989" s="52" t="str">
        <f t="shared" si="11"/>
        <v/>
      </c>
      <c r="AC989" s="52">
        <f t="shared" si="12"/>
        <v>0</v>
      </c>
    </row>
    <row r="990" ht="15.75" customHeight="1">
      <c r="A990" s="171"/>
      <c r="B990" s="171"/>
      <c r="C990" s="53"/>
      <c r="D990" s="53"/>
      <c r="E990" s="53"/>
      <c r="F990" s="53"/>
      <c r="G990" s="53"/>
      <c r="H990" s="52" t="str">
        <f>IF(G990="","",IFERROR(VLOOKUP(G990,'Product_Stock_Master产品维护'!$A$2:$E992,2,FALSE()),"SKU not found"))</f>
        <v/>
      </c>
      <c r="I990" s="52" t="str">
        <f>IF(G990="","",IFERROR(VLOOKUP(G990,'Product_Stock_Master产品维护'!$A$2:$E992,3,FALSE()),"Item type not found"))</f>
        <v/>
      </c>
      <c r="J990" s="53"/>
      <c r="K990" s="53"/>
      <c r="L990" s="53"/>
      <c r="M990" s="53"/>
      <c r="N990" s="53"/>
      <c r="O990" s="52" t="str">
        <f t="shared" si="1"/>
        <v/>
      </c>
      <c r="P990" s="53"/>
      <c r="Q990" s="52" t="str">
        <f t="shared" si="9"/>
        <v/>
      </c>
      <c r="R990" s="52" t="str">
        <f t="shared" si="3"/>
        <v/>
      </c>
      <c r="S990" s="52" t="str">
        <f t="shared" si="10"/>
        <v/>
      </c>
      <c r="T990" s="52" t="str">
        <f t="shared" si="5"/>
        <v/>
      </c>
      <c r="U990" s="52"/>
      <c r="V990" s="53"/>
      <c r="W990" s="52" t="str">
        <f t="shared" si="6"/>
        <v/>
      </c>
      <c r="X990" s="52">
        <f t="shared" si="7"/>
        <v>0</v>
      </c>
      <c r="Y990" s="52">
        <f t="shared" si="8"/>
        <v>0</v>
      </c>
      <c r="Z990" s="52" t="str">
        <f>IF(G990="","",IFERROR(VLOOKUP(G990,'Product_Stock_Master产品维护'!$A$2:$L992,11,FALSE),"No"))</f>
        <v/>
      </c>
      <c r="AA990" s="52" t="str">
        <f>IF(G990="","",IFERROR(VLOOKUP(G990,'Product_Stock_Master产品维护'!$A$2:$L992,12,FALSE),""))</f>
        <v/>
      </c>
      <c r="AB990" s="52" t="str">
        <f t="shared" si="11"/>
        <v/>
      </c>
      <c r="AC990" s="52">
        <f t="shared" si="12"/>
        <v>0</v>
      </c>
    </row>
    <row r="991" ht="15.75" customHeight="1">
      <c r="A991" s="171"/>
      <c r="B991" s="171"/>
      <c r="C991" s="53"/>
      <c r="D991" s="53"/>
      <c r="E991" s="53"/>
      <c r="F991" s="53"/>
      <c r="G991" s="53"/>
      <c r="H991" s="52" t="str">
        <f>IF(G991="","",IFERROR(VLOOKUP(G991,'Product_Stock_Master产品维护'!$A$2:$E992,2,FALSE()),"SKU not found"))</f>
        <v/>
      </c>
      <c r="I991" s="52" t="str">
        <f>IF(G991="","",IFERROR(VLOOKUP(G991,'Product_Stock_Master产品维护'!$A$2:$E992,3,FALSE()),"Item type not found"))</f>
        <v/>
      </c>
      <c r="J991" s="53"/>
      <c r="K991" s="53"/>
      <c r="L991" s="53"/>
      <c r="M991" s="53"/>
      <c r="N991" s="53"/>
      <c r="O991" s="52" t="str">
        <f t="shared" si="1"/>
        <v/>
      </c>
      <c r="P991" s="53"/>
      <c r="Q991" s="52" t="str">
        <f t="shared" si="9"/>
        <v/>
      </c>
      <c r="R991" s="52" t="str">
        <f t="shared" si="3"/>
        <v/>
      </c>
      <c r="S991" s="52" t="str">
        <f t="shared" si="10"/>
        <v/>
      </c>
      <c r="T991" s="52" t="str">
        <f t="shared" si="5"/>
        <v/>
      </c>
      <c r="U991" s="52"/>
      <c r="V991" s="53"/>
      <c r="W991" s="52" t="str">
        <f t="shared" si="6"/>
        <v/>
      </c>
      <c r="X991" s="52">
        <f t="shared" si="7"/>
        <v>0</v>
      </c>
      <c r="Y991" s="52">
        <f t="shared" si="8"/>
        <v>0</v>
      </c>
      <c r="Z991" s="52" t="str">
        <f>IF(G991="","",IFERROR(VLOOKUP(G991,'Product_Stock_Master产品维护'!$A$2:$L992,11,FALSE),"No"))</f>
        <v/>
      </c>
      <c r="AA991" s="52" t="str">
        <f>IF(G991="","",IFERROR(VLOOKUP(G991,'Product_Stock_Master产品维护'!$A$2:$L992,12,FALSE),""))</f>
        <v/>
      </c>
      <c r="AB991" s="52" t="str">
        <f t="shared" si="11"/>
        <v/>
      </c>
      <c r="AC991" s="52">
        <f t="shared" si="12"/>
        <v>0</v>
      </c>
    </row>
    <row r="992" ht="15.75" customHeight="1">
      <c r="A992" s="171"/>
      <c r="B992" s="171"/>
      <c r="C992" s="53"/>
      <c r="D992" s="53"/>
      <c r="E992" s="53"/>
      <c r="F992" s="53"/>
      <c r="G992" s="53"/>
      <c r="H992" s="52" t="str">
        <f>IF(G992="","",IFERROR(VLOOKUP(G992,'Product_Stock_Master产品维护'!$A$2:$E992,2,FALSE()),"SKU not found"))</f>
        <v/>
      </c>
      <c r="I992" s="52" t="str">
        <f>IF(G992="","",IFERROR(VLOOKUP(G992,'Product_Stock_Master产品维护'!$A$2:$E992,3,FALSE()),"Item type not found"))</f>
        <v/>
      </c>
      <c r="J992" s="53"/>
      <c r="K992" s="53"/>
      <c r="L992" s="53"/>
      <c r="M992" s="53"/>
      <c r="N992" s="53"/>
      <c r="O992" s="52" t="str">
        <f t="shared" si="1"/>
        <v/>
      </c>
      <c r="P992" s="53"/>
      <c r="Q992" s="52" t="str">
        <f t="shared" si="9"/>
        <v/>
      </c>
      <c r="R992" s="52" t="str">
        <f t="shared" si="3"/>
        <v/>
      </c>
      <c r="S992" s="52" t="str">
        <f t="shared" si="10"/>
        <v/>
      </c>
      <c r="T992" s="52" t="str">
        <f t="shared" si="5"/>
        <v/>
      </c>
      <c r="U992" s="52"/>
      <c r="V992" s="53"/>
      <c r="W992" s="52" t="str">
        <f t="shared" si="6"/>
        <v/>
      </c>
      <c r="X992" s="52">
        <f t="shared" si="7"/>
        <v>0</v>
      </c>
      <c r="Y992" s="52">
        <f t="shared" si="8"/>
        <v>0</v>
      </c>
      <c r="Z992" s="52" t="str">
        <f>IF(G992="","",IFERROR(VLOOKUP(G992,'Product_Stock_Master产品维护'!$A$2:$L992,11,FALSE),"No"))</f>
        <v/>
      </c>
      <c r="AA992" s="52" t="str">
        <f>IF(G992="","",IFERROR(VLOOKUP(G992,'Product_Stock_Master产品维护'!$A$2:$L992,12,FALSE),""))</f>
        <v/>
      </c>
      <c r="AB992" s="52" t="str">
        <f t="shared" si="11"/>
        <v/>
      </c>
      <c r="AC992" s="52">
        <f t="shared" si="12"/>
        <v>0</v>
      </c>
    </row>
  </sheetData>
  <dataValidations>
    <dataValidation type="list" allowBlank="1" sqref="P2:P492">
      <formula1>"New / 新机,Repair_Good / 维修良品,Repair / 待修,Scrap / 报废,Material / 物料"</formula1>
    </dataValidation>
    <dataValidation type="list" allowBlank="1" showErrorMessage="1" sqref="C2:C492">
      <formula1>'Lists动作维护'!$A$2:$A$9</formula1>
    </dataValidation>
    <dataValidation type="list" allowBlank="1" sqref="L2:M492">
      <formula1>'Location_Master库位维护'!$A$2:$A$137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showGridLines="0" workbookViewId="0"/>
  </sheetViews>
  <sheetFormatPr customHeight="1" defaultColWidth="11.22" defaultRowHeight="15.0"/>
  <cols>
    <col customWidth="1" min="1" max="1" width="11.78"/>
    <col customWidth="1" min="2" max="19" width="10.22"/>
    <col customWidth="1" min="20" max="26" width="12.0"/>
  </cols>
  <sheetData>
    <row r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6"/>
      <c r="T1" s="7"/>
      <c r="U1" s="7"/>
      <c r="V1" s="7"/>
      <c r="W1" s="7"/>
      <c r="X1" s="7"/>
      <c r="Y1" s="7"/>
      <c r="Z1" s="7"/>
    </row>
    <row r="2">
      <c r="A2" s="10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8" t="s">
        <v>31</v>
      </c>
      <c r="B4" s="19" t="s">
        <v>34</v>
      </c>
      <c r="C4" s="21" t="s">
        <v>36</v>
      </c>
      <c r="D4" s="22" t="s">
        <v>38</v>
      </c>
      <c r="E4" s="19" t="s">
        <v>40</v>
      </c>
      <c r="F4" s="21" t="s">
        <v>41</v>
      </c>
      <c r="G4" s="22" t="s">
        <v>42</v>
      </c>
      <c r="H4" s="19" t="s">
        <v>43</v>
      </c>
      <c r="I4" s="21" t="s">
        <v>44</v>
      </c>
      <c r="J4" s="22" t="s">
        <v>46</v>
      </c>
      <c r="K4" s="19" t="s">
        <v>47</v>
      </c>
      <c r="L4" s="21" t="s">
        <v>49</v>
      </c>
      <c r="M4" s="22" t="s">
        <v>50</v>
      </c>
      <c r="N4" s="19" t="s">
        <v>51</v>
      </c>
      <c r="O4" s="21" t="s">
        <v>53</v>
      </c>
      <c r="P4" s="22" t="s">
        <v>55</v>
      </c>
      <c r="Q4" s="19" t="s">
        <v>56</v>
      </c>
      <c r="R4" s="21" t="s">
        <v>57</v>
      </c>
      <c r="S4" s="22" t="s">
        <v>59</v>
      </c>
      <c r="T4" s="13"/>
      <c r="U4" s="13"/>
      <c r="V4" s="13"/>
      <c r="W4" s="13"/>
      <c r="X4" s="13"/>
      <c r="Y4" s="13"/>
      <c r="Z4" s="13"/>
    </row>
    <row r="5">
      <c r="A5" s="27" t="s">
        <v>62</v>
      </c>
      <c r="B5" s="36" t="str">
        <f t="array" ref="B5">IFERROR(INDEX('Current_Stock_Detail 当前库存明细查询'!$S$2:$S$140,MATCH("R1-4-1-L",'Current_Stock_Detail 当前库存明细查询'!$N$2:$N$140,0)),"")</f>
        <v>R1-4-1-L
10-205-00018-02
Qty / 数量: 100</v>
      </c>
      <c r="C5" s="38" t="str">
        <f t="array" ref="C5">IFERROR(INDEX('Current_Stock_Detail 当前库存明细查询'!$S$2:$S$140,MATCH("R1-4-1-M",'Current_Stock_Detail 当前库存明细查询'!$N$2:$N$140,0)),"")</f>
        <v>R1-4-1-M
Empty / 空</v>
      </c>
      <c r="D5" s="40" t="str">
        <f t="array" ref="D5">IFERROR(INDEX('Current_Stock_Detail 当前库存明细查询'!$S$2:$S$140,MATCH("R1-4-1-R",'Current_Stock_Detail 当前库存明细查询'!$N$2:$N$140,0)),"")</f>
        <v>R1-4-1-R
10-120-00471-00
Qty / 数量: 19</v>
      </c>
      <c r="E5" s="36" t="str">
        <f t="array" ref="E5">IFERROR(INDEX('Current_Stock_Detail 当前库存明细查询'!$S$2:$S$140,MATCH("R1-4-2-L",'Current_Stock_Detail 当前库存明细查询'!$N$2:$N$140,0)),"")</f>
        <v>R1-4-2-L
10-105-00346-00
Qty / 数量: 200</v>
      </c>
      <c r="F5" s="38" t="str">
        <f t="array" ref="F5">IFERROR(INDEX('Current_Stock_Detail 当前库存明细查询'!$S$2:$S$140,MATCH("R1-4-2-M",'Current_Stock_Detail 当前库存明细查询'!$N$2:$N$140,0)),"")</f>
        <v>R1-4-2-M
Empty / 空</v>
      </c>
      <c r="G5" s="40" t="str">
        <f t="array" ref="G5">IFERROR(INDEX('Current_Stock_Detail 当前库存明细查询'!$S$2:$S$140,MATCH("R1-4-2-R",'Current_Stock_Detail 当前库存明细查询'!$N$2:$N$140,0)),"")</f>
        <v>R1-4-2-R
10-120-00471-00
Qty / 数量: 20</v>
      </c>
      <c r="H5" s="36" t="str">
        <f t="array" ref="H5">IFERROR(INDEX('Current_Stock_Detail 当前库存明细查询'!$S$2:$S$140,MATCH("R1-4-3-L",'Current_Stock_Detail 当前库存明细查询'!$N$2:$N$140,0)),"")</f>
        <v>R1-4-3-L
20-012-10219-08
Qty / 数量: 75</v>
      </c>
      <c r="I5" s="38" t="str">
        <f t="array" ref="I5">IFERROR(INDEX('Current_Stock_Detail 当前库存明细查询'!$S$2:$S$140,MATCH("R1-4-3-M",'Current_Stock_Detail 当前库存明细查询'!$N$2:$N$140,0)),"")</f>
        <v>R1-4-3-M
Empty / 空</v>
      </c>
      <c r="J5" s="40" t="str">
        <f t="array" ref="J5">IFERROR(INDEX('Current_Stock_Detail 当前库存明细查询'!$S$2:$S$140,MATCH("R1-4-3-R",'Current_Stock_Detail 当前库存明细查询'!$N$2:$N$140,0)),"")</f>
        <v>R1-4-3-R
20-012-10330-11
Qty / 数量: 99</v>
      </c>
      <c r="K5" s="36" t="str">
        <f t="array" ref="K5">IFERROR(INDEX('Current_Stock_Detail 当前库存明细查询'!$S$2:$S$140,MATCH("R1-4-4-L",'Current_Stock_Detail 当前库存明细查询'!$N$2:$N$140,0)),"")</f>
        <v>R1-4-4-L
Qty / 数量: 99</v>
      </c>
      <c r="L5" s="38" t="str">
        <f t="array" ref="L5">IFERROR(INDEX('Current_Stock_Detail 当前库存明细查询'!$S$2:$S$140,MATCH("R1-4-4-M",'Current_Stock_Detail 当前库存明细查询'!$N$2:$N$140,0)),"")</f>
        <v>R1-4-4-M
Empty / 空</v>
      </c>
      <c r="M5" s="40" t="str">
        <f t="array" ref="M5">IFERROR(INDEX('Current_Stock_Detail 当前库存明细查询'!$S$2:$S$140,MATCH("R1-4-4-R",'Current_Stock_Detail 当前库存明细查询'!$N$2:$N$140,0)),"")</f>
        <v>R1-4-4-R
Mixed / 混装: 2 SKUs
Container / 容器: Mix07
Qty / 数量: 26</v>
      </c>
      <c r="N5" s="36" t="str">
        <f t="array" ref="N5">IFERROR(INDEX('Current_Stock_Detail 当前库存明细查询'!$S$2:$S$140,MATCH("R1-4-5-L",'Current_Stock_Detail 当前库存明细查询'!$N$2:$N$140,0)),"")</f>
        <v>R1-4-5-L
Qty / 数量: 99</v>
      </c>
      <c r="O5" s="38" t="str">
        <f t="array" ref="O5">IFERROR(INDEX('Current_Stock_Detail 当前库存明细查询'!$S$2:$S$140,MATCH("R1-4-5-M",'Current_Stock_Detail 当前库存明细查询'!$N$2:$N$140,0)),"")</f>
        <v>R1-4-5-M
Empty / 空</v>
      </c>
      <c r="P5" s="40" t="str">
        <f t="array" ref="P5">IFERROR(INDEX('Current_Stock_Detail 当前库存明细查询'!$S$2:$S$140,MATCH("R1-4-5-R",'Current_Stock_Detail 当前库存明细查询'!$N$2:$N$140,0)),"")</f>
        <v>R1-4-5-R
物料
Qty / 数量: 99</v>
      </c>
      <c r="Q5" s="36" t="str">
        <f t="array" ref="Q5">IFERROR(INDEX('Current_Stock_Detail 当前库存明细查询'!$S$2:$S$140,MATCH("R1-4-6-L",'Current_Stock_Detail 当前库存明细查询'!$N$2:$N$140,0)),"")</f>
        <v>R1-4-6-L
物料
Qty / 数量: 99</v>
      </c>
      <c r="R5" s="38" t="str">
        <f t="array" ref="R5">IFERROR(INDEX('Current_Stock_Detail 当前库存明细查询'!$S$2:$S$140,MATCH("R1-4-6-M",'Current_Stock_Detail 当前库存明细查询'!$N$2:$N$140,0)),"")</f>
        <v>R1-4-6-M
物料
Qty / 数量: 99</v>
      </c>
      <c r="S5" s="40" t="str">
        <f t="array" ref="S5">IFERROR(INDEX('Current_Stock_Detail 当前库存明细查询'!$S$2:$S$140,MATCH("R1-4-6-R",'Current_Stock_Detail 当前库存明细查询'!$N$2:$N$140,0)),"")</f>
        <v>R1-4-6-R
物料
Qty / 数量: 99</v>
      </c>
      <c r="T5" s="13"/>
      <c r="U5" s="13"/>
      <c r="V5" s="13"/>
      <c r="W5" s="13"/>
      <c r="X5" s="13"/>
      <c r="Y5" s="13"/>
      <c r="Z5" s="13"/>
    </row>
    <row r="6">
      <c r="A6" s="43" t="s">
        <v>111</v>
      </c>
      <c r="B6" s="44" t="str">
        <f t="array" ref="B6">IFERROR(INDEX('Current_Stock_Detail 当前库存明细查询'!$S$2:$S$140,MATCH("R1-3-1-L",'Current_Stock_Detail 当前库存明细查询'!$N$2:$N$140,0)),"")</f>
        <v>R1-3-1-L
97-406-00018-00
Qty / 数量: 84</v>
      </c>
      <c r="C6" s="45" t="str">
        <f t="array" ref="C6">IFERROR(INDEX('Current_Stock_Detail 当前库存明细查询'!$S$2:$S$140,MATCH("R1-3-1-M",'Current_Stock_Detail 当前库存明细查询'!$N$2:$N$140,0)),"")</f>
        <v>R1-3-1-M
Empty / 空</v>
      </c>
      <c r="D6" s="46" t="str">
        <f t="array" ref="D6">IFERROR(INDEX('Current_Stock_Detail 当前库存明细查询'!$S$2:$S$140,MATCH("R1-3-1-R",'Current_Stock_Detail 当前库存明细查询'!$N$2:$N$140,0)),"")</f>
        <v>R1-3-1-R
97-406-00018-00
Qty / 数量: 84</v>
      </c>
      <c r="E6" s="44" t="str">
        <f t="array" ref="E6">IFERROR(INDEX('Current_Stock_Detail 当前库存明细查询'!$S$2:$S$140,MATCH("R1-3-2-L",'Current_Stock_Detail 当前库存明细查询'!$N$2:$N$140,0)),"")</f>
        <v>R1-3-2-L
97-406-00017-00
Qty / 数量: 39</v>
      </c>
      <c r="F6" s="45" t="str">
        <f t="array" ref="F6">IFERROR(INDEX('Current_Stock_Detail 当前库存明细查询'!$S$2:$S$140,MATCH("R1-3-2-M",'Current_Stock_Detail 当前库存明细查询'!$N$2:$N$140,0)),"")</f>
        <v>R1-3-2-M
Empty / 空</v>
      </c>
      <c r="G6" s="46" t="str">
        <f t="array" ref="G6">IFERROR(INDEX('Current_Stock_Detail 当前库存明细查询'!$S$2:$S$140,MATCH("R1-3-2-R",'Current_Stock_Detail 当前库存明细查询'!$N$2:$N$140,0)),"")</f>
        <v>R1-3-2-R
97-406-00017-00
Qty / 数量: 38</v>
      </c>
      <c r="H6" s="44" t="str">
        <f t="array" ref="H6">IFERROR(INDEX('Current_Stock_Detail 当前库存明细查询'!$S$2:$S$140,MATCH("R1-3-3-L",'Current_Stock_Detail 当前库存明细查询'!$N$2:$N$140,0)),"")</f>
        <v>R1-3-3-L
20-012-10342-02
Qty / 数量: 75</v>
      </c>
      <c r="I6" s="45" t="str">
        <f t="array" ref="I6">IFERROR(INDEX('Current_Stock_Detail 当前库存明细查询'!$S$2:$S$140,MATCH("R1-3-3-M",'Current_Stock_Detail 当前库存明细查询'!$N$2:$N$140,0)),"")</f>
        <v>R1-3-3-M
Empty / 空</v>
      </c>
      <c r="J6" s="46" t="str">
        <f t="array" ref="J6">IFERROR(INDEX('Current_Stock_Detail 当前库存明细查询'!$S$2:$S$140,MATCH("R1-3-3-R",'Current_Stock_Detail 当前库存明细查询'!$N$2:$N$140,0)),"")</f>
        <v>R1-3-3-R
20-012-20142-00
Qty / 数量: 99</v>
      </c>
      <c r="K6" s="44" t="str">
        <f t="array" ref="K6">IFERROR(INDEX('Current_Stock_Detail 当前库存明细查询'!$S$2:$S$140,MATCH("R1-3-4-L",'Current_Stock_Detail 当前库存明细查询'!$N$2:$N$140,0)),"")</f>
        <v>R1-3-4-L
Qty / 数量: 99</v>
      </c>
      <c r="L6" s="45" t="str">
        <f t="array" ref="L6">IFERROR(INDEX('Current_Stock_Detail 当前库存明细查询'!$S$2:$S$140,MATCH("R1-3-4-M",'Current_Stock_Detail 当前库存明细查询'!$N$2:$N$140,0)),"")</f>
        <v>R1-3-4-M
Empty / 空</v>
      </c>
      <c r="M6" s="46" t="str">
        <f t="array" ref="M6">IFERROR(INDEX('Current_Stock_Detail 当前库存明细查询'!$S$2:$S$140,MATCH("R1-3-4-R",'Current_Stock_Detail 当前库存明细查询'!$N$2:$N$140,0)),"")</f>
        <v>R1-3-4-R
Qty / 数量: 99</v>
      </c>
      <c r="N6" s="44" t="str">
        <f t="array" ref="N6">IFERROR(INDEX('Current_Stock_Detail 当前库存明细查询'!$S$2:$S$140,MATCH("R1-3-5-L",'Current_Stock_Detail 当前库存明细查询'!$N$2:$N$140,0)),"")</f>
        <v>R1-3-5-L
Qty / 数量: 99</v>
      </c>
      <c r="O6" s="45" t="str">
        <f t="array" ref="O6">IFERROR(INDEX('Current_Stock_Detail 当前库存明细查询'!$S$2:$S$140,MATCH("R1-3-5-M",'Current_Stock_Detail 当前库存明细查询'!$N$2:$N$140,0)),"")</f>
        <v>R1-3-5-M
Empty / 空</v>
      </c>
      <c r="P6" s="46" t="str">
        <f t="array" ref="P6">IFERROR(INDEX('Current_Stock_Detail 当前库存明细查询'!$S$2:$S$140,MATCH("R1-3-5-R",'Current_Stock_Detail 当前库存明细查询'!$N$2:$N$140,0)),"")</f>
        <v>R1-3-5-R
Qty / 数量: 99</v>
      </c>
      <c r="Q6" s="44" t="str">
        <f t="array" ref="Q6">IFERROR(INDEX('Current_Stock_Detail 当前库存明细查询'!$S$2:$S$140,MATCH("R1-3-6-L",'Current_Stock_Detail 当前库存明细查询'!$N$2:$N$140,0)),"")</f>
        <v>R1-3-6-L
物料
Qty / 数量: 99</v>
      </c>
      <c r="R6" s="45" t="str">
        <f t="array" ref="R6">IFERROR(INDEX('Current_Stock_Detail 当前库存明细查询'!$S$2:$S$140,MATCH("R1-3-6-M",'Current_Stock_Detail 当前库存明细查询'!$N$2:$N$140,0)),"")</f>
        <v>R1-3-6-M
物料
Qty / 数量: 99</v>
      </c>
      <c r="S6" s="46" t="str">
        <f t="array" ref="S6">IFERROR(INDEX('Current_Stock_Detail 当前库存明细查询'!$S$2:$S$140,MATCH("R1-3-6-R",'Current_Stock_Detail 当前库存明细查询'!$N$2:$N$140,0)),"")</f>
        <v>R1-3-6-R
物料
Qty / 数量: 99</v>
      </c>
      <c r="T6" s="13"/>
      <c r="U6" s="13"/>
      <c r="V6" s="13"/>
      <c r="W6" s="13"/>
      <c r="X6" s="13"/>
      <c r="Y6" s="13"/>
      <c r="Z6" s="13"/>
    </row>
    <row r="7">
      <c r="A7" s="43" t="s">
        <v>148</v>
      </c>
      <c r="B7" s="44" t="str">
        <f t="array" ref="B7">IFERROR(INDEX('Current_Stock_Detail 当前库存明细查询'!$S$2:$S$140,MATCH("R1-2-1-L",'Current_Stock_Detail 当前库存明细查询'!$N$2:$N$140,0)),"")</f>
        <v>R1-2-1-L
97-414-00027-00
Qty / 数量: 288</v>
      </c>
      <c r="C7" s="45" t="str">
        <f t="array" ref="C7">IFERROR(INDEX('Current_Stock_Detail 当前库存明细查询'!$S$2:$S$140,MATCH("R1-2-1-M",'Current_Stock_Detail 当前库存明细查询'!$N$2:$N$140,0)),"")</f>
        <v>R1-2-1-M
Empty / 空</v>
      </c>
      <c r="D7" s="46" t="str">
        <f t="array" ref="D7">IFERROR(INDEX('Current_Stock_Detail 当前库存明细查询'!$S$2:$S$140,MATCH("R1-2-1-R",'Current_Stock_Detail 当前库存明细查询'!$N$2:$N$140,0)),"")</f>
        <v>R1-2-1-R
97-414-00027-00
Qty / 数量: 288</v>
      </c>
      <c r="E7" s="44" t="str">
        <f t="array" ref="E7">IFERROR(INDEX('Current_Stock_Detail 当前库存明细查询'!$S$2:$S$140,MATCH("R1-2-2-L",'Current_Stock_Detail 当前库存明细查询'!$N$2:$N$140,0)),"")</f>
        <v>R1-2-2-L
Empty / 空</v>
      </c>
      <c r="F7" s="45" t="str">
        <f t="array" ref="F7">IFERROR(INDEX('Current_Stock_Detail 当前库存明细查询'!$S$2:$S$140,MATCH("R1-2-2-M",'Current_Stock_Detail 当前库存明细查询'!$N$2:$N$140,0)),"")</f>
        <v>R1-2-2-M
Empty / 空</v>
      </c>
      <c r="G7" s="46" t="str">
        <f t="array" ref="G7">IFERROR(INDEX('Current_Stock_Detail 当前库存明细查询'!$S$2:$S$140,MATCH("R1-2-2-R",'Current_Stock_Detail 当前库存明细查询'!$N$2:$N$140,0)),"")</f>
        <v>R1-2-2-R
Qty / 数量: 99</v>
      </c>
      <c r="H7" s="44" t="str">
        <f t="array" ref="H7">IFERROR(INDEX('Current_Stock_Detail 当前库存明细查询'!$S$2:$S$140,MATCH("R1-2-3-L",'Current_Stock_Detail 当前库存明细查询'!$N$2:$N$140,0)),"")</f>
        <v>R1-2-3-L
Qty / 数量: 99</v>
      </c>
      <c r="I7" s="45" t="str">
        <f t="array" ref="I7">IFERROR(INDEX('Current_Stock_Detail 当前库存明细查询'!$S$2:$S$140,MATCH("R1-2-3-M",'Current_Stock_Detail 当前库存明细查询'!$N$2:$N$140,0)),"")</f>
        <v>R1-2-3-M
Empty / 空</v>
      </c>
      <c r="J7" s="46" t="str">
        <f t="array" ref="J7">IFERROR(INDEX('Current_Stock_Detail 当前库存明细查询'!$S$2:$S$140,MATCH("R1-2-3-R",'Current_Stock_Detail 当前库存明细查询'!$N$2:$N$140,0)),"")</f>
        <v>R1-2-3-R
Qty / 数量: 99</v>
      </c>
      <c r="K7" s="44" t="str">
        <f t="array" ref="K7">IFERROR(INDEX('Current_Stock_Detail 当前库存明细查询'!$S$2:$S$140,MATCH("R1-2-4-L",'Current_Stock_Detail 当前库存明细查询'!$N$2:$N$140,0)),"")</f>
        <v>R1-2-4-L
Qty / 数量: 99</v>
      </c>
      <c r="L7" s="45" t="str">
        <f t="array" ref="L7">IFERROR(INDEX('Current_Stock_Detail 当前库存明细查询'!$S$2:$S$140,MATCH("R1-2-4-M",'Current_Stock_Detail 当前库存明细查询'!$N$2:$N$140,0)),"")</f>
        <v>R1-2-4-M
Empty / 空</v>
      </c>
      <c r="M7" s="46" t="str">
        <f t="array" ref="M7">IFERROR(INDEX('Current_Stock_Detail 当前库存明细查询'!$S$2:$S$140,MATCH("R1-2-4-R",'Current_Stock_Detail 当前库存明细查询'!$N$2:$N$140,0)),"")</f>
        <v>R1-2-4-R
Qty / 数量: 99</v>
      </c>
      <c r="N7" s="44" t="str">
        <f t="array" ref="N7">IFERROR(INDEX('Current_Stock_Detail 当前库存明细查询'!$S$2:$S$140,MATCH("R1-2-5-L",'Current_Stock_Detail 当前库存明细查询'!$N$2:$N$140,0)),"")</f>
        <v>R1-2-5-L
Mixed / 混装: 2 SKUs
Container / 容器: Mix06
Qty / 数量: 166</v>
      </c>
      <c r="O7" s="45" t="str">
        <f t="array" ref="O7">IFERROR(INDEX('Current_Stock_Detail 当前库存明细查询'!$S$2:$S$140,MATCH("R1-2-5-M",'Current_Stock_Detail 当前库存明细查询'!$N$2:$N$140,0)),"")</f>
        <v>R1-2-5-M
Empty / 空</v>
      </c>
      <c r="P7" s="46" t="str">
        <f t="array" ref="P7">IFERROR(INDEX('Current_Stock_Detail 当前库存明细查询'!$S$2:$S$140,MATCH("R1-2-5-R",'Current_Stock_Detail 当前库存明细查询'!$N$2:$N$140,0)),"")</f>
        <v>R1-2-5-R
20-051-00080-00
Qty / 数量: 93</v>
      </c>
      <c r="Q7" s="44" t="str">
        <f t="array" ref="Q7">IFERROR(INDEX('Current_Stock_Detail 当前库存明细查询'!$S$2:$S$140,MATCH("R1-2-6-L",'Current_Stock_Detail 当前库存明细查询'!$N$2:$N$140,0)),"")</f>
        <v>R1-2-6-L
物料
Qty / 数量: 99</v>
      </c>
      <c r="R7" s="45" t="str">
        <f t="array" ref="R7">IFERROR(INDEX('Current_Stock_Detail 当前库存明细查询'!$S$2:$S$140,MATCH("R1-2-6-M",'Current_Stock_Detail 当前库存明细查询'!$N$2:$N$140,0)),"")</f>
        <v>R1-2-6-M
物料
Qty / 数量: 99</v>
      </c>
      <c r="S7" s="46" t="str">
        <f t="array" ref="S7">IFERROR(INDEX('Current_Stock_Detail 当前库存明细查询'!$S$2:$S$140,MATCH("R1-2-6-R",'Current_Stock_Detail 当前库存明细查询'!$N$2:$N$140,0)),"")</f>
        <v>R1-2-6-R
物料
Qty / 数量: 99</v>
      </c>
      <c r="T7" s="13"/>
      <c r="U7" s="13"/>
      <c r="V7" s="13"/>
      <c r="W7" s="13"/>
      <c r="X7" s="13"/>
      <c r="Y7" s="13"/>
      <c r="Z7" s="13"/>
    </row>
    <row r="8">
      <c r="A8" s="43" t="s">
        <v>183</v>
      </c>
      <c r="B8" s="44" t="str">
        <f t="array" ref="B8">IFERROR(INDEX('Current_Stock_Detail 当前库存明细查询'!$S$2:$S$140,MATCH("R1-1-1-L",'Current_Stock_Detail 当前库存明细查询'!$N$2:$N$140,0)),"")</f>
        <v>R1-1-1-L
Empty / 空</v>
      </c>
      <c r="C8" s="45" t="str">
        <f t="array" ref="C8">IFERROR(INDEX('Current_Stock_Detail 当前库存明细查询'!$S$2:$S$140,MATCH("R1-1-1-M",'Current_Stock_Detail 当前库存明细查询'!$N$2:$N$140,0)),"")</f>
        <v>R1-1-1-M
Empty / 空</v>
      </c>
      <c r="D8" s="46" t="str">
        <f t="array" ref="D8">IFERROR(INDEX('Current_Stock_Detail 当前库存明细查询'!$S$2:$S$140,MATCH("R1-1-1-R",'Current_Stock_Detail 当前库存明细查询'!$N$2:$N$140,0)),"")</f>
        <v>R1-1-1-R
Empty / 空</v>
      </c>
      <c r="E8" s="44" t="str">
        <f t="array" ref="E8">IFERROR(INDEX('Current_Stock_Detail 当前库存明细查询'!$S$2:$S$140,MATCH("R1-1-2-L",'Current_Stock_Detail 当前库存明细查询'!$N$2:$N$140,0)),"")</f>
        <v>R1-1-2-L
Empty / 空</v>
      </c>
      <c r="F8" s="45" t="str">
        <f t="array" ref="F8">IFERROR(INDEX('Current_Stock_Detail 当前库存明细查询'!$S$2:$S$140,MATCH("R1-1-2-M",'Current_Stock_Detail 当前库存明细查询'!$N$2:$N$140,0)),"")</f>
        <v>R1-1-2-M
Empty / 空</v>
      </c>
      <c r="G8" s="46" t="str">
        <f t="array" ref="G8">IFERROR(INDEX('Current_Stock_Detail 当前库存明细查询'!$S$2:$S$140,MATCH("R1-1-2-R",'Current_Stock_Detail 当前库存明细查询'!$N$2:$N$140,0)),"")</f>
        <v>R1-1-2-R
Empty / 空</v>
      </c>
      <c r="H8" s="44" t="str">
        <f t="array" ref="H8">IFERROR(INDEX('Current_Stock_Detail 当前库存明细查询'!$S$2:$S$140,MATCH("R1-1-3-L",'Current_Stock_Detail 当前库存明细查询'!$N$2:$N$140,0)),"")</f>
        <v>R1-1-3-L
Empty / 空</v>
      </c>
      <c r="I8" s="45" t="str">
        <f t="array" ref="I8">IFERROR(INDEX('Current_Stock_Detail 当前库存明细查询'!$S$2:$S$140,MATCH("R1-1-3-M",'Current_Stock_Detail 当前库存明细查询'!$N$2:$N$140,0)),"")</f>
        <v>R1-1-3-M
Empty / 空</v>
      </c>
      <c r="J8" s="46" t="str">
        <f t="array" ref="J8">IFERROR(INDEX('Current_Stock_Detail 当前库存明细查询'!$S$2:$S$140,MATCH("R1-1-3-R",'Current_Stock_Detail 当前库存明细查询'!$N$2:$N$140,0)),"")</f>
        <v>R1-1-3-R
Empty / 空</v>
      </c>
      <c r="K8" s="44" t="str">
        <f t="array" ref="K8">IFERROR(INDEX('Current_Stock_Detail 当前库存明细查询'!$S$2:$S$140,MATCH("R1-1-4-L",'Current_Stock_Detail 当前库存明细查询'!$N$2:$N$140,0)),"")</f>
        <v>R1-1-4-L
Empty / 空</v>
      </c>
      <c r="L8" s="45" t="str">
        <f t="array" ref="L8">IFERROR(INDEX('Current_Stock_Detail 当前库存明细查询'!$S$2:$S$140,MATCH("R1-1-4-M",'Current_Stock_Detail 当前库存明细查询'!$N$2:$N$140,0)),"")</f>
        <v>R1-1-4-M
Empty / 空</v>
      </c>
      <c r="M8" s="46" t="str">
        <f t="array" ref="M8">IFERROR(INDEX('Current_Stock_Detail 当前库存明细查询'!$S$2:$S$140,MATCH("R1-1-4-R",'Current_Stock_Detail 当前库存明细查询'!$N$2:$N$140,0)),"")</f>
        <v>R1-1-4-R
Empty / 空</v>
      </c>
      <c r="N8" s="44" t="str">
        <f t="array" ref="N8">IFERROR(INDEX('Current_Stock_Detail 当前库存明细查询'!$S$2:$S$140,MATCH("R1-1-5-L",'Current_Stock_Detail 当前库存明细查询'!$N$2:$N$140,0)),"")</f>
        <v>R1-1-5-L
物料
Qty / 数量: 99</v>
      </c>
      <c r="O8" s="45" t="str">
        <f t="array" ref="O8">IFERROR(INDEX('Current_Stock_Detail 当前库存明细查询'!$S$2:$S$140,MATCH("R1-1-5-M",'Current_Stock_Detail 当前库存明细查询'!$N$2:$N$140,0)),"")</f>
        <v>R1-1-5-M
Empty / 空</v>
      </c>
      <c r="P8" s="46" t="str">
        <f t="array" ref="P8">IFERROR(INDEX('Current_Stock_Detail 当前库存明细查询'!$S$2:$S$140,MATCH("R1-1-5-R",'Current_Stock_Detail 当前库存明细查询'!$N$2:$N$140,0)),"")</f>
        <v>R1-1-5-R
物料
Qty / 数量: 99</v>
      </c>
      <c r="Q8" s="44" t="str">
        <f t="array" ref="Q8">IFERROR(INDEX('Current_Stock_Detail 当前库存明细查询'!$S$2:$S$140,MATCH("R1-1-6-L",'Current_Stock_Detail 当前库存明细查询'!$N$2:$N$140,0)),"")</f>
        <v>R1-1-6-L
物料
Qty / 数量: 99</v>
      </c>
      <c r="R8" s="45" t="str">
        <f t="array" ref="R8">IFERROR(INDEX('Current_Stock_Detail 当前库存明细查询'!$S$2:$S$140,MATCH("R1-1-6-M",'Current_Stock_Detail 当前库存明细查询'!$N$2:$N$140,0)),"")</f>
        <v>R1-1-6-M
物料
Qty / 数量: 99</v>
      </c>
      <c r="S8" s="46" t="str">
        <f t="array" ref="S8">IFERROR(INDEX('Current_Stock_Detail 当前库存明细查询'!$S$2:$S$140,MATCH("R1-1-6-R",'Current_Stock_Detail 当前库存明细查询'!$N$2:$N$140,0)),"")</f>
        <v>R1-1-6-R
物料
Qty / 数量: 99</v>
      </c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8" t="s">
        <v>214</v>
      </c>
      <c r="B10" s="19" t="s">
        <v>34</v>
      </c>
      <c r="C10" s="21" t="s">
        <v>36</v>
      </c>
      <c r="D10" s="22" t="s">
        <v>38</v>
      </c>
      <c r="E10" s="19" t="s">
        <v>40</v>
      </c>
      <c r="F10" s="21" t="s">
        <v>41</v>
      </c>
      <c r="G10" s="22" t="s">
        <v>42</v>
      </c>
      <c r="H10" s="19" t="s">
        <v>43</v>
      </c>
      <c r="I10" s="21" t="s">
        <v>44</v>
      </c>
      <c r="J10" s="22" t="s">
        <v>46</v>
      </c>
      <c r="K10" s="19" t="s">
        <v>47</v>
      </c>
      <c r="L10" s="21" t="s">
        <v>49</v>
      </c>
      <c r="M10" s="22" t="s">
        <v>50</v>
      </c>
      <c r="N10" s="19" t="s">
        <v>51</v>
      </c>
      <c r="O10" s="21" t="s">
        <v>53</v>
      </c>
      <c r="P10" s="22" t="s">
        <v>55</v>
      </c>
      <c r="Q10" s="50"/>
      <c r="R10" s="51"/>
      <c r="S10" s="51"/>
      <c r="T10" s="13"/>
      <c r="U10" s="13"/>
      <c r="V10" s="13"/>
      <c r="W10" s="13"/>
      <c r="X10" s="13"/>
      <c r="Y10" s="13"/>
      <c r="Z10" s="13"/>
    </row>
    <row r="11">
      <c r="A11" s="27" t="s">
        <v>62</v>
      </c>
      <c r="B11" s="36" t="str">
        <f t="array" ref="B11">IFERROR(INDEX('Current_Stock_Detail 当前库存明细查询'!$S$2:$S$140,MATCH("R2-4-1-L",'Current_Stock_Detail 当前库存明细查询'!$N$2:$N$140,0)),"")</f>
        <v>R2-4-1-L
20-012-10270-04
Qty / 数量: 40</v>
      </c>
      <c r="C11" s="38" t="str">
        <f t="array" ref="C11">IFERROR(INDEX('Current_Stock_Detail 当前库存明细查询'!$S$2:$S$140,MATCH("R2-4-1-M",'Current_Stock_Detail 当前库存明细查询'!$N$2:$N$140,0)),"")</f>
        <v>R2-4-1-M
Empty / 空</v>
      </c>
      <c r="D11" s="40" t="str">
        <f t="array" ref="D11">IFERROR(INDEX('Current_Stock_Detail 当前库存明细查询'!$S$2:$S$140,MATCH("R2-4-1-R",'Current_Stock_Detail 当前库存明细查询'!$N$2:$N$140,0)),"")</f>
        <v>R2-4-1-R
20-012-10270-04
Qty / 数量: 40</v>
      </c>
      <c r="E11" s="36" t="str">
        <f t="array" ref="E11">IFERROR(INDEX('Current_Stock_Detail 当前库存明细查询'!$S$2:$S$140,MATCH("R2-4-2-L",'Current_Stock_Detail 当前库存明细查询'!$N$2:$N$140,0)),"")</f>
        <v>R2-4-2-L
物料
Qty / 数量: 99</v>
      </c>
      <c r="F11" s="38" t="str">
        <f t="array" ref="F11">IFERROR(INDEX('Current_Stock_Detail 当前库存明细查询'!$S$2:$S$140,MATCH("R2-4-2-M",'Current_Stock_Detail 当前库存明细查询'!$N$2:$N$140,0)),"")</f>
        <v>R2-4-2-M
Empty / 空</v>
      </c>
      <c r="G11" s="40" t="str">
        <f t="array" ref="G11">IFERROR(INDEX('Current_Stock_Detail 当前库存明细查询'!$S$2:$S$140,MATCH("R2-4-2-R",'Current_Stock_Detail 当前库存明细查询'!$N$2:$N$140,0)),"")</f>
        <v>R2-4-2-R
物料
Qty / 数量: 99</v>
      </c>
      <c r="H11" s="36" t="str">
        <f t="array" ref="H11">IFERROR(INDEX('Current_Stock_Detail 当前库存明细查询'!$S$2:$S$140,MATCH("R2-4-3-L",'Current_Stock_Detail 当前库存明细查询'!$N$2:$N$140,0)),"")</f>
        <v>R2-4-3-L
坏机
Qty / 数量: 8</v>
      </c>
      <c r="I11" s="38" t="str">
        <f t="array" ref="I11">IFERROR(INDEX('Current_Stock_Detail 当前库存明细查询'!$S$2:$S$140,MATCH("R2-4-3-M",'Current_Stock_Detail 当前库存明细查询'!$N$2:$N$140,0)),"")</f>
        <v>R2-4-3-M
Empty / 空</v>
      </c>
      <c r="J11" s="40" t="str">
        <f t="array" ref="J11">IFERROR(INDEX('Current_Stock_Detail 当前库存明细查询'!$S$2:$S$140,MATCH("R2-4-3-R",'Current_Stock_Detail 当前库存明细查询'!$N$2:$N$140,0)),"")</f>
        <v>R2-4-3-R
坏机
Qty / 数量: 7</v>
      </c>
      <c r="K11" s="36" t="str">
        <f t="array" ref="K11">IFERROR(INDEX('Current_Stock_Detail 当前库存明细查询'!$S$2:$S$140,MATCH("R2-4-4-L",'Current_Stock_Detail 当前库存明细查询'!$N$2:$N$140,0)),"")</f>
        <v>R2-4-4-L
97-223-00107-00
Qty / 数量: 16</v>
      </c>
      <c r="L11" s="38" t="str">
        <f t="array" ref="L11">IFERROR(INDEX('Current_Stock_Detail 当前库存明细查询'!$S$2:$S$140,MATCH("R2-4-4-M",'Current_Stock_Detail 当前库存明细查询'!$N$2:$N$140,0)),"")</f>
        <v>R2-4-4-M
Empty / 空</v>
      </c>
      <c r="M11" s="40" t="str">
        <f t="array" ref="M11">IFERROR(INDEX('Current_Stock_Detail 当前库存明细查询'!$S$2:$S$140,MATCH("R2-4-4-R",'Current_Stock_Detail 当前库存明细查询'!$N$2:$N$140,0)),"")</f>
        <v>R2-4-4-R
97-223-00107-00
Qty / 数量: 16</v>
      </c>
      <c r="N11" s="36" t="str">
        <f t="array" ref="N11">IFERROR(INDEX('Current_Stock_Detail 当前库存明细查询'!$S$2:$S$140,MATCH("R2-4-5-L",'Current_Stock_Detail 当前库存明细查询'!$N$2:$N$140,0)),"")</f>
        <v>R2-4-5-L
97-406-00017-00
Qty / 数量: 34</v>
      </c>
      <c r="O11" s="38" t="str">
        <f t="array" ref="O11">IFERROR(INDEX('Current_Stock_Detail 当前库存明细查询'!$S$2:$S$140,MATCH("R2-4-5-M",'Current_Stock_Detail 当前库存明细查询'!$N$2:$N$140,0)),"")</f>
        <v>R2-4-5-M
Empty / 空</v>
      </c>
      <c r="P11" s="40" t="str">
        <f t="array" ref="P11">IFERROR(INDEX('Current_Stock_Detail 当前库存明细查询'!$S$2:$S$140,MATCH("R2-4-5-R",'Current_Stock_Detail 当前库存明细查询'!$N$2:$N$140,0)),"")</f>
        <v>R2-4-5-R
97-406-00017-00
Qty / 数量: 35</v>
      </c>
      <c r="Q11" s="50"/>
      <c r="R11" s="51"/>
      <c r="S11" s="51"/>
      <c r="T11" s="13"/>
      <c r="U11" s="13"/>
      <c r="V11" s="13"/>
      <c r="W11" s="13"/>
      <c r="X11" s="13"/>
      <c r="Y11" s="13"/>
      <c r="Z11" s="13"/>
    </row>
    <row r="12">
      <c r="A12" s="43" t="s">
        <v>111</v>
      </c>
      <c r="B12" s="44" t="str">
        <f t="array" ref="B12">IFERROR(INDEX('Current_Stock_Detail 当前库存明细查询'!$S$2:$S$140,MATCH("R2-3-1-L",'Current_Stock_Detail 当前库存明细查询'!$N$2:$N$140,0)),"")</f>
        <v>R2-3-1-L
Empty / 空</v>
      </c>
      <c r="C12" s="45" t="str">
        <f t="array" ref="C12">IFERROR(INDEX('Current_Stock_Detail 当前库存明细查询'!$S$2:$S$140,MATCH("R2-3-1-M",'Current_Stock_Detail 当前库存明细查询'!$N$2:$N$140,0)),"")</f>
        <v>R2-3-1-M
Empty / 空</v>
      </c>
      <c r="D12" s="46" t="str">
        <f t="array" ref="D12">IFERROR(INDEX('Current_Stock_Detail 当前库存明细查询'!$S$2:$S$140,MATCH("R2-3-1-R",'Current_Stock_Detail 当前库存明细查询'!$N$2:$N$140,0)),"")</f>
        <v>R2-3-1-R
坏机
Qty / 数量: 99</v>
      </c>
      <c r="E12" s="44" t="str">
        <f t="array" ref="E12">IFERROR(INDEX('Current_Stock_Detail 当前库存明细查询'!$S$2:$S$140,MATCH("R2-3-2-L",'Current_Stock_Detail 当前库存明细查询'!$N$2:$N$140,0)),"")</f>
        <v>R2-3-2-L
坏机
Qty / 数量: 99</v>
      </c>
      <c r="F12" s="45" t="str">
        <f t="array" ref="F12">IFERROR(INDEX('Current_Stock_Detail 当前库存明细查询'!$S$2:$S$140,MATCH("R2-3-2-M",'Current_Stock_Detail 当前库存明细查询'!$N$2:$N$140,0)),"")</f>
        <v>R2-3-2-M
Empty / 空</v>
      </c>
      <c r="G12" s="46" t="str">
        <f t="array" ref="G12">IFERROR(INDEX('Current_Stock_Detail 当前库存明细查询'!$S$2:$S$140,MATCH("R2-3-2-R",'Current_Stock_Detail 当前库存明细查询'!$N$2:$N$140,0)),"")</f>
        <v>R2-3-2-R
坏机
Qty / 数量: 99</v>
      </c>
      <c r="H12" s="44" t="str">
        <f t="array" ref="H12">IFERROR(INDEX('Current_Stock_Detail 当前库存明细查询'!$S$2:$S$140,MATCH("R2-3-3-L",'Current_Stock_Detail 当前库存明细查询'!$N$2:$N$140,0)),"")</f>
        <v>R2-3-3-L
Empty / 空</v>
      </c>
      <c r="I12" s="45" t="str">
        <f t="array" ref="I12">IFERROR(INDEX('Current_Stock_Detail 当前库存明细查询'!$S$2:$S$140,MATCH("R2-3-3-M",'Current_Stock_Detail 当前库存明细查询'!$N$2:$N$140,0)),"")</f>
        <v>R2-3-3-M
Empty / 空</v>
      </c>
      <c r="J12" s="46" t="str">
        <f t="array" ref="J12">IFERROR(INDEX('Current_Stock_Detail 当前库存明细查询'!$S$2:$S$140,MATCH("R2-3-3-R",'Current_Stock_Detail 当前库存明细查询'!$N$2:$N$140,0)),"")</f>
        <v>R2-3-3-R
坏机
Qty / 数量: 6</v>
      </c>
      <c r="K12" s="44" t="str">
        <f t="array" ref="K12">IFERROR(INDEX('Current_Stock_Detail 当前库存明细查询'!$S$2:$S$140,MATCH("R2-3-4-L",'Current_Stock_Detail 当前库存明细查询'!$N$2:$N$140,0)),"")</f>
        <v>R2-3-4-L
97-229-00021-00
Qty / 数量: 6</v>
      </c>
      <c r="L12" s="45" t="str">
        <f t="array" ref="L12">IFERROR(INDEX('Current_Stock_Detail 当前库存明细查询'!$S$2:$S$140,MATCH("R2-3-4-M",'Current_Stock_Detail 当前库存明细查询'!$N$2:$N$140,0)),"")</f>
        <v>R2-3-4-M
Empty / 空</v>
      </c>
      <c r="M12" s="46" t="str">
        <f t="array" ref="M12">IFERROR(INDEX('Current_Stock_Detail 当前库存明细查询'!$S$2:$S$140,MATCH("R2-3-4-R",'Current_Stock_Detail 当前库存明细查询'!$N$2:$N$140,0)),"")</f>
        <v>R2-3-4-R
97-229-00021-00
Qty / 数量: 6</v>
      </c>
      <c r="N12" s="44" t="str">
        <f t="array" ref="N12">IFERROR(INDEX('Current_Stock_Detail 当前库存明细查询'!$S$2:$S$140,MATCH("R2-3-5-L",'Current_Stock_Detail 当前库存明细查询'!$N$2:$N$140,0)),"")</f>
        <v>R2-3-5-L
Mixed / 混装: 2 SKUs
Container / 容器: Mix003
Qty / 数量: 6</v>
      </c>
      <c r="O12" s="45" t="str">
        <f t="array" ref="O12">IFERROR(INDEX('Current_Stock_Detail 当前库存明细查询'!$S$2:$S$140,MATCH("R2-3-5-M",'Current_Stock_Detail 当前库存明细查询'!$N$2:$N$140,0)),"")</f>
        <v>R2-3-5-M
Empty / 空</v>
      </c>
      <c r="P12" s="46" t="str">
        <f t="array" ref="P12">IFERROR(INDEX('Current_Stock_Detail 当前库存明细查询'!$S$2:$S$140,MATCH("R2-3-5-R",'Current_Stock_Detail 当前库存明细查询'!$N$2:$N$140,0)),"")</f>
        <v>R2-3-5-R
Mixed / 混装: 3 SKUs
Container / 容器: Mix004
Qty / 数量: 6</v>
      </c>
      <c r="Q12" s="50"/>
      <c r="R12" s="51"/>
      <c r="S12" s="51"/>
      <c r="T12" s="13"/>
      <c r="U12" s="13"/>
      <c r="V12" s="13"/>
      <c r="W12" s="13"/>
      <c r="X12" s="13"/>
      <c r="Y12" s="13"/>
      <c r="Z12" s="13"/>
    </row>
    <row r="13">
      <c r="A13" s="43" t="s">
        <v>148</v>
      </c>
      <c r="B13" s="44" t="str">
        <f t="array" ref="B13">IFERROR(INDEX('Current_Stock_Detail 当前库存明细查询'!$S$2:$S$140,MATCH("R2-2-1-L",'Current_Stock_Detail 当前库存明细查询'!$N$2:$N$140,0)),"")</f>
        <v>R2-2-1-L
坏机
Qty / 数量: 99</v>
      </c>
      <c r="C13" s="45" t="str">
        <f t="array" ref="C13">IFERROR(INDEX('Current_Stock_Detail 当前库存明细查询'!$S$2:$S$140,MATCH("R2-2-1-M",'Current_Stock_Detail 当前库存明细查询'!$N$2:$N$140,0)),"")</f>
        <v>R2-2-1-M
Empty / 空</v>
      </c>
      <c r="D13" s="46" t="str">
        <f t="array" ref="D13">IFERROR(INDEX('Current_Stock_Detail 当前库存明细查询'!$S$2:$S$140,MATCH("R2-2-1-R",'Current_Stock_Detail 当前库存明细查询'!$N$2:$N$140,0)),"")</f>
        <v>R2-2-1-R
坏机
Qty / 数量: 99</v>
      </c>
      <c r="E13" s="44" t="str">
        <f t="array" ref="E13">IFERROR(INDEX('Current_Stock_Detail 当前库存明细查询'!$S$2:$S$140,MATCH("R2-2-2-L",'Current_Stock_Detail 当前库存明细查询'!$N$2:$N$140,0)),"")</f>
        <v>R2-2-2-L
坏机
Qty / 数量: 99</v>
      </c>
      <c r="F13" s="45" t="str">
        <f t="array" ref="F13">IFERROR(INDEX('Current_Stock_Detail 当前库存明细查询'!$S$2:$S$140,MATCH("R2-2-2-M",'Current_Stock_Detail 当前库存明细查询'!$N$2:$N$140,0)),"")</f>
        <v>R2-2-2-M
Empty / 空</v>
      </c>
      <c r="G13" s="46" t="str">
        <f t="array" ref="G13">IFERROR(INDEX('Current_Stock_Detail 当前库存明细查询'!$S$2:$S$140,MATCH("R2-2-2-R",'Current_Stock_Detail 当前库存明细查询'!$N$2:$N$140,0)),"")</f>
        <v>R2-2-2-R
坏机
Qty / 数量: 99</v>
      </c>
      <c r="H13" s="44" t="str">
        <f t="array" ref="H13">IFERROR(INDEX('Current_Stock_Detail 当前库存明细查询'!$S$2:$S$140,MATCH("R2-2-3-L",'Current_Stock_Detail 当前库存明细查询'!$N$2:$N$140,0)),"")</f>
        <v>R2-2-3-L
Empty / 空</v>
      </c>
      <c r="I13" s="45" t="str">
        <f t="array" ref="I13">IFERROR(INDEX('Current_Stock_Detail 当前库存明细查询'!$S$2:$S$140,MATCH("R2-2-3-M",'Current_Stock_Detail 当前库存明细查询'!$N$2:$N$140,0)),"")</f>
        <v>R2-2-3-M
Empty / 空</v>
      </c>
      <c r="J13" s="46" t="str">
        <f t="array" ref="J13">IFERROR(INDEX('Current_Stock_Detail 当前库存明细查询'!$S$2:$S$140,MATCH("R2-2-3-R",'Current_Stock_Detail 当前库存明细查询'!$N$2:$N$140,0)),"")</f>
        <v>R2-2-3-R
坏机
Qty / 数量: 5</v>
      </c>
      <c r="K13" s="44" t="str">
        <f t="array" ref="K13">IFERROR(INDEX('Current_Stock_Detail 当前库存明细查询'!$S$2:$S$140,MATCH("R2-2-4-L",'Current_Stock_Detail 当前库存明细查询'!$N$2:$N$140,0)),"")</f>
        <v>R2-2-4-L
97-229-00021-00
Qty / 数量: 6</v>
      </c>
      <c r="L13" s="45" t="str">
        <f t="array" ref="L13">IFERROR(INDEX('Current_Stock_Detail 当前库存明细查询'!$S$2:$S$140,MATCH("R2-2-4-M",'Current_Stock_Detail 当前库存明细查询'!$N$2:$N$140,0)),"")</f>
        <v>R2-2-4-M
Empty / 空</v>
      </c>
      <c r="M13" s="46" t="str">
        <f t="array" ref="M13">IFERROR(INDEX('Current_Stock_Detail 当前库存明细查询'!$S$2:$S$140,MATCH("R2-2-4-R",'Current_Stock_Detail 当前库存明细查询'!$N$2:$N$140,0)),"")</f>
        <v>R2-2-4-R
97-229-00021-00
Qty / 数量: 6</v>
      </c>
      <c r="N13" s="44" t="str">
        <f t="array" ref="N13">IFERROR(INDEX('Current_Stock_Detail 当前库存明细查询'!$S$2:$S$140,MATCH("R2-2-5-L",'Current_Stock_Detail 当前库存明细查询'!$N$2:$N$140,0)),"")</f>
        <v>R2-2-5-L
Mixed / 混装: 3 SKUs
Container / 容器: Mix002
Qty / 数量: 12</v>
      </c>
      <c r="O13" s="45" t="str">
        <f t="array" ref="O13">IFERROR(INDEX('Current_Stock_Detail 当前库存明细查询'!$S$2:$S$140,MATCH("R2-2-5-M",'Current_Stock_Detail 当前库存明细查询'!$N$2:$N$140,0)),"")</f>
        <v>R2-2-5-M
Empty / 空</v>
      </c>
      <c r="P13" s="46" t="str">
        <f t="array" ref="P13">IFERROR(INDEX('Current_Stock_Detail 当前库存明细查询'!$S$2:$S$140,MATCH("R2-2-5-R",'Current_Stock_Detail 当前库存明细查询'!$N$2:$N$140,0)),"")</f>
        <v>R2-2-5-R
97-223-00107-00
Qty / 数量: 12</v>
      </c>
      <c r="Q13" s="50"/>
      <c r="R13" s="51"/>
      <c r="S13" s="51"/>
      <c r="T13" s="13"/>
      <c r="U13" s="13"/>
      <c r="V13" s="13"/>
      <c r="W13" s="13"/>
      <c r="X13" s="13"/>
      <c r="Y13" s="13"/>
      <c r="Z13" s="13"/>
    </row>
    <row r="14">
      <c r="A14" s="43" t="s">
        <v>183</v>
      </c>
      <c r="B14" s="44" t="str">
        <f t="array" ref="B14">IFERROR(INDEX('Current_Stock_Detail 当前库存明细查询'!$S$2:$S$140,MATCH("R2-1-1-L",'Current_Stock_Detail 当前库存明细查询'!$N$2:$N$140,0)),"")</f>
        <v>R2-1-1-L
坏机
Qty / 数量: 99</v>
      </c>
      <c r="C14" s="45" t="str">
        <f t="array" ref="C14">IFERROR(INDEX('Current_Stock_Detail 当前库存明细查询'!$S$2:$S$140,MATCH("R2-1-1-M",'Current_Stock_Detail 当前库存明细查询'!$N$2:$N$140,0)),"")</f>
        <v>R2-1-1-M
Empty / 空</v>
      </c>
      <c r="D14" s="46" t="str">
        <f t="array" ref="D14">IFERROR(INDEX('Current_Stock_Detail 当前库存明细查询'!$S$2:$S$140,MATCH("R2-1-1-R",'Current_Stock_Detail 当前库存明细查询'!$N$2:$N$140,0)),"")</f>
        <v>R2-1-1-R
坏机
Qty / 数量: 99</v>
      </c>
      <c r="E14" s="44" t="str">
        <f t="array" ref="E14">IFERROR(INDEX('Current_Stock_Detail 当前库存明细查询'!$S$2:$S$140,MATCH("R2-1-2-L",'Current_Stock_Detail 当前库存明细查询'!$N$2:$N$140,0)),"")</f>
        <v>R2-1-2-L
坏机
Qty / 数量: 99</v>
      </c>
      <c r="F14" s="45" t="str">
        <f t="array" ref="F14">IFERROR(INDEX('Current_Stock_Detail 当前库存明细查询'!$S$2:$S$140,MATCH("R2-1-2-M",'Current_Stock_Detail 当前库存明细查询'!$N$2:$N$140,0)),"")</f>
        <v>R2-1-2-M
Empty / 空</v>
      </c>
      <c r="G14" s="46" t="str">
        <f t="array" ref="G14">IFERROR(INDEX('Current_Stock_Detail 当前库存明细查询'!$S$2:$S$140,MATCH("R2-1-2-R",'Current_Stock_Detail 当前库存明细查询'!$N$2:$N$140,0)),"")</f>
        <v>R2-1-2-R
坏机
Qty / 数量: 6</v>
      </c>
      <c r="H14" s="44" t="str">
        <f t="array" ref="H14">IFERROR(INDEX('Current_Stock_Detail 当前库存明细查询'!$S$2:$S$140,MATCH("R2-1-3-L",'Current_Stock_Detail 当前库存明细查询'!$N$2:$N$140,0)),"")</f>
        <v>R2-1-3-L
坏机
Qty / 数量: 3</v>
      </c>
      <c r="I14" s="45" t="str">
        <f t="array" ref="I14">IFERROR(INDEX('Current_Stock_Detail 当前库存明细查询'!$S$2:$S$140,MATCH("R2-1-3-M",'Current_Stock_Detail 当前库存明细查询'!$N$2:$N$140,0)),"")</f>
        <v>R2-1-3-M
Empty / 空</v>
      </c>
      <c r="J14" s="46" t="str">
        <f t="array" ref="J14">IFERROR(INDEX('Current_Stock_Detail 当前库存明细查询'!$S$2:$S$140,MATCH("R2-1-3-R",'Current_Stock_Detail 当前库存明细查询'!$N$2:$N$140,0)),"")</f>
        <v>R2-1-3-R
Mixed / 混装: 2 SKUs
Container / 容器: 
Qty / 数量: 16</v>
      </c>
      <c r="K14" s="44" t="str">
        <f t="array" ref="K14">IFERROR(INDEX('Current_Stock_Detail 当前库存明细查询'!$S$2:$S$140,MATCH("R2-1-4-L",'Current_Stock_Detail 当前库存明细查询'!$N$2:$N$140,0)),"")</f>
        <v>R2-1-4-L
Mixed / 混装: 2 SKUs
Container / 容器: Mix005
Qty / 数量: 16</v>
      </c>
      <c r="L14" s="45" t="str">
        <f t="array" ref="L14">IFERROR(INDEX('Current_Stock_Detail 当前库存明细查询'!$S$2:$S$140,MATCH("R2-1-4-M",'Current_Stock_Detail 当前库存明细查询'!$N$2:$N$140,0)),"")</f>
        <v>R2-1-4-M
Empty / 空</v>
      </c>
      <c r="M14" s="46" t="str">
        <f t="array" ref="M14">IFERROR(INDEX('Current_Stock_Detail 当前库存明细查询'!$S$2:$S$140,MATCH("R2-1-4-R",'Current_Stock_Detail 当前库存明细查询'!$N$2:$N$140,0)),"")</f>
        <v>R2-1-4-R
97-223-00107-00
Qty / 数量: 16</v>
      </c>
      <c r="N14" s="44" t="str">
        <f t="array" ref="N14">IFERROR(INDEX('Current_Stock_Detail 当前库存明细查询'!$S$2:$S$140,MATCH("R2-1-5-L",'Current_Stock_Detail 当前库存明细查询'!$N$2:$N$140,0)),"")</f>
        <v>R2-1-5-L
97-229-00018-00
Qty / 数量: 8</v>
      </c>
      <c r="O14" s="45" t="str">
        <f t="array" ref="O14">IFERROR(INDEX('Current_Stock_Detail 当前库存明细查询'!$S$2:$S$140,MATCH("R2-1-5-M",'Current_Stock_Detail 当前库存明细查询'!$N$2:$N$140,0)),"")</f>
        <v>R2-1-5-M
Empty / 空</v>
      </c>
      <c r="P14" s="46" t="str">
        <f t="array" ref="P14">IFERROR(INDEX('Current_Stock_Detail 当前库存明细查询'!$S$2:$S$140,MATCH("R2-1-5-R",'Current_Stock_Detail 当前库存明细查询'!$N$2:$N$140,0)),"")</f>
        <v>R2-1-5-R
Mixed / 混装: 2 SKUs
Container / 容器: Mix001
Qty / 数量: 8</v>
      </c>
      <c r="Q14" s="50"/>
      <c r="R14" s="51"/>
      <c r="S14" s="51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63" t="s">
        <v>369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13"/>
      <c r="U17" s="13"/>
      <c r="V17" s="13"/>
      <c r="W17" s="13"/>
      <c r="X17" s="13"/>
      <c r="Y17" s="13"/>
      <c r="Z17" s="13"/>
    </row>
    <row r="18">
      <c r="A18" s="64" t="s">
        <v>372</v>
      </c>
      <c r="B18" s="65" t="s">
        <v>373</v>
      </c>
      <c r="C18" s="65"/>
      <c r="D18" s="65"/>
      <c r="E18" s="65" t="s">
        <v>375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13"/>
      <c r="U18" s="13"/>
      <c r="V18" s="13"/>
      <c r="W18" s="13"/>
      <c r="X18" s="13"/>
      <c r="Y18" s="13"/>
      <c r="Z18" s="13"/>
    </row>
    <row r="19">
      <c r="A19" s="64"/>
      <c r="B19" s="65" t="str">
        <f t="array" ref="B19">IFERROR(INDEX('Current_Stock_Detail 当前库存明细查询'!$S$2:$S$140,MATCH("REPAIR-01",'Current_Stock_Detail 当前库存明细查询'!$N$2:$N$140,0)),"")</f>
        <v>REPAIR-01
Mixed / 混装: 2 SKUs
Container / 容器: 
Qty / 数量: 2</v>
      </c>
      <c r="C19" s="65"/>
      <c r="D19" s="65"/>
      <c r="E19" s="65" t="str">
        <f t="array" ref="E19">IFERROR(INDEX('Current_Stock_Detail 当前库存明细查询'!$S$2:$S$140,MATCH("RETURN-01",'Current_Stock_Detail 当前库存明细查询'!$N$2:$N$140,0)),"")</f>
        <v>RETURN-01
Empty / 空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13"/>
      <c r="U19" s="13"/>
      <c r="V19" s="13"/>
      <c r="W19" s="13"/>
      <c r="X19" s="13"/>
      <c r="Y19" s="13"/>
      <c r="Z19" s="13"/>
    </row>
    <row r="20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13"/>
      <c r="U20" s="13"/>
      <c r="V20" s="13"/>
      <c r="W20" s="13"/>
      <c r="X20" s="13"/>
      <c r="Y20" s="13"/>
      <c r="Z20" s="13"/>
    </row>
    <row r="21" ht="15.75" customHeight="1">
      <c r="A21" s="64" t="s">
        <v>379</v>
      </c>
      <c r="B21" s="65" t="s">
        <v>380</v>
      </c>
      <c r="C21" s="65"/>
      <c r="D21" s="65"/>
      <c r="E21" s="65" t="s">
        <v>381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13"/>
      <c r="U21" s="13"/>
      <c r="V21" s="13"/>
      <c r="W21" s="13"/>
      <c r="X21" s="13"/>
      <c r="Y21" s="13"/>
      <c r="Z21" s="13"/>
    </row>
    <row r="22" ht="15.75" customHeight="1">
      <c r="A22" s="64"/>
      <c r="B22" s="65" t="str">
        <f t="array" ref="B22">IFERROR(INDEX('Current_Stock_Detail 当前库存明细查询'!$S$2:$S$140,MATCH("DISPATCH-01",'Current_Stock_Detail 当前库存明细查询'!$N$2:$N$140,0)),"")</f>
        <v>DISPATCH-01
Empty / 空</v>
      </c>
      <c r="C22" s="65"/>
      <c r="D22" s="65"/>
      <c r="E22" s="65" t="str">
        <f t="array" ref="E22">IFERROR(INDEX('Current_Stock_Detail 当前库存明细查询'!$S$2:$S$140,MATCH("FLEX-01",'Current_Stock_Detail 当前库存明细查询'!$N$2:$N$140,0)),"")</f>
        <v>FLEX-01
Mixed / 混装: 30 SKUs
Container / 容器: mix08
Qty / 数量: 243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S1"/>
    <mergeCell ref="A2:S2"/>
    <mergeCell ref="A17:S17"/>
  </mergeCells>
  <conditionalFormatting sqref="B5:S8">
    <cfRule type="expression" dxfId="0" priority="1" stopIfTrue="1">
      <formula>REGEXMATCH(B5,"Empty / 空")</formula>
    </cfRule>
  </conditionalFormatting>
  <conditionalFormatting sqref="B5:S8">
    <cfRule type="expression" dxfId="1" priority="2" stopIfTrue="1">
      <formula>NOT(REGEXMATCH(B5,"Empty / 空"))</formula>
    </cfRule>
  </conditionalFormatting>
  <conditionalFormatting sqref="B11:P14">
    <cfRule type="expression" dxfId="0" priority="3" stopIfTrue="1">
      <formula>REGEXMATCH(B11,"Empty / 空")</formula>
    </cfRule>
  </conditionalFormatting>
  <conditionalFormatting sqref="B11:P14">
    <cfRule type="expression" dxfId="1" priority="4" stopIfTrue="1">
      <formula>NOT(REGEXMATCH(B11,"Empty / 空"))</formula>
    </cfRule>
  </conditionalFormatting>
  <conditionalFormatting sqref="B19">
    <cfRule type="expression" dxfId="0" priority="5" stopIfTrue="1">
      <formula>REGEXMATCH(B19,"Empty / 空")</formula>
    </cfRule>
  </conditionalFormatting>
  <conditionalFormatting sqref="B19">
    <cfRule type="expression" dxfId="1" priority="6" stopIfTrue="1">
      <formula>NOT(REGEXMATCH(B19,"Empty / 空"))</formula>
    </cfRule>
  </conditionalFormatting>
  <conditionalFormatting sqref="E19">
    <cfRule type="expression" dxfId="0" priority="7" stopIfTrue="1">
      <formula>REGEXMATCH(E19,"Empty / 空")</formula>
    </cfRule>
  </conditionalFormatting>
  <conditionalFormatting sqref="E19">
    <cfRule type="expression" dxfId="1" priority="8" stopIfTrue="1">
      <formula>NOT(REGEXMATCH(E19,"Empty / 空"))</formula>
    </cfRule>
  </conditionalFormatting>
  <conditionalFormatting sqref="B22">
    <cfRule type="expression" dxfId="0" priority="9" stopIfTrue="1">
      <formula>REGEXMATCH(B22,"Empty / 空")</formula>
    </cfRule>
  </conditionalFormatting>
  <conditionalFormatting sqref="B22">
    <cfRule type="expression" dxfId="1" priority="10" stopIfTrue="1">
      <formula>NOT(REGEXMATCH(B22,"Empty / 空"))</formula>
    </cfRule>
  </conditionalFormatting>
  <conditionalFormatting sqref="E22">
    <cfRule type="expression" dxfId="0" priority="11" stopIfTrue="1">
      <formula>REGEXMATCH(E22,"Empty / 空")</formula>
    </cfRule>
  </conditionalFormatting>
  <conditionalFormatting sqref="E22">
    <cfRule type="expression" dxfId="1" priority="12" stopIfTrue="1">
      <formula>NOT(REGEXMATCH(E22,"Empty / 空"))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2.22"/>
    <col customWidth="1" min="2" max="2" width="8.44"/>
    <col customWidth="1" min="3" max="3" width="12.44"/>
    <col customWidth="1" min="4" max="4" width="12.67"/>
    <col customWidth="1" min="5" max="5" width="11.78"/>
    <col customWidth="1" min="6" max="6" width="12.22"/>
    <col customWidth="1" min="7" max="7" width="12.56"/>
    <col customWidth="1" min="8" max="8" width="11.78"/>
    <col customWidth="1" min="9" max="9" width="12.67"/>
    <col customWidth="1" min="10" max="10" width="13.33"/>
  </cols>
  <sheetData>
    <row r="1" ht="21.0" customHeight="1">
      <c r="A1" s="2" t="s">
        <v>2</v>
      </c>
      <c r="B1" s="8"/>
      <c r="C1" s="8"/>
      <c r="D1" s="8"/>
      <c r="E1" s="8"/>
      <c r="F1" s="8"/>
      <c r="G1" s="8"/>
      <c r="H1" s="8"/>
      <c r="I1" s="8"/>
      <c r="J1" s="12"/>
    </row>
    <row r="2" ht="31.5" customHeight="1">
      <c r="A2" s="15" t="s">
        <v>13</v>
      </c>
      <c r="B2" s="15" t="s">
        <v>15</v>
      </c>
      <c r="C2" s="17" t="s">
        <v>17</v>
      </c>
      <c r="D2" s="17" t="s">
        <v>19</v>
      </c>
      <c r="E2" s="17" t="s">
        <v>21</v>
      </c>
      <c r="F2" s="17" t="s">
        <v>22</v>
      </c>
      <c r="G2" s="17" t="s">
        <v>24</v>
      </c>
      <c r="H2" s="17" t="s">
        <v>26</v>
      </c>
      <c r="I2" s="17" t="s">
        <v>27</v>
      </c>
      <c r="J2" s="17" t="s">
        <v>29</v>
      </c>
    </row>
    <row r="3" ht="18.0" customHeight="1">
      <c r="A3" s="24">
        <f t="shared" ref="A3:A160" si="1">DATE(2026,7,20)+7*(ROW()-3)</f>
        <v>46223</v>
      </c>
      <c r="B3" s="26" t="str">
        <f t="shared" ref="B3:B160" si="2">"WK"&amp;TEXT(ISOWEEKNUM(A3),"00")</f>
        <v>WK30</v>
      </c>
      <c r="C3" s="29"/>
      <c r="D3" s="29"/>
      <c r="E3" s="29"/>
      <c r="F3" s="29"/>
      <c r="G3" s="29"/>
      <c r="H3" s="29"/>
      <c r="I3" s="29"/>
      <c r="J3" s="31"/>
    </row>
    <row r="4" ht="18.0" customHeight="1">
      <c r="A4" s="24">
        <f t="shared" si="1"/>
        <v>46230</v>
      </c>
      <c r="B4" s="26" t="str">
        <f t="shared" si="2"/>
        <v>WK31</v>
      </c>
      <c r="C4" s="29"/>
      <c r="D4" s="29"/>
      <c r="E4" s="29"/>
      <c r="F4" s="29"/>
      <c r="G4" s="29"/>
      <c r="H4" s="29"/>
      <c r="I4" s="29"/>
      <c r="J4" s="31"/>
    </row>
    <row r="5" ht="18.0" customHeight="1">
      <c r="A5" s="24">
        <f t="shared" si="1"/>
        <v>46237</v>
      </c>
      <c r="B5" s="26" t="str">
        <f t="shared" si="2"/>
        <v>WK32</v>
      </c>
      <c r="C5" s="29"/>
      <c r="D5" s="29"/>
      <c r="E5" s="29"/>
      <c r="F5" s="29"/>
      <c r="G5" s="29"/>
      <c r="H5" s="29"/>
      <c r="I5" s="29"/>
      <c r="J5" s="31"/>
    </row>
    <row r="6" ht="18.0" customHeight="1">
      <c r="A6" s="24">
        <f t="shared" si="1"/>
        <v>46244</v>
      </c>
      <c r="B6" s="26" t="str">
        <f t="shared" si="2"/>
        <v>WK33</v>
      </c>
      <c r="C6" s="29"/>
      <c r="D6" s="29"/>
      <c r="E6" s="29"/>
      <c r="F6" s="29"/>
      <c r="G6" s="29"/>
      <c r="H6" s="29"/>
      <c r="I6" s="29"/>
      <c r="J6" s="31"/>
    </row>
    <row r="7" ht="18.0" customHeight="1">
      <c r="A7" s="24">
        <f t="shared" si="1"/>
        <v>46251</v>
      </c>
      <c r="B7" s="26" t="str">
        <f t="shared" si="2"/>
        <v>WK34</v>
      </c>
      <c r="C7" s="29"/>
      <c r="D7" s="29"/>
      <c r="E7" s="29"/>
      <c r="F7" s="29"/>
      <c r="G7" s="29"/>
      <c r="H7" s="29"/>
      <c r="I7" s="29"/>
      <c r="J7" s="31"/>
    </row>
    <row r="8" ht="18.0" customHeight="1">
      <c r="A8" s="24">
        <f t="shared" si="1"/>
        <v>46258</v>
      </c>
      <c r="B8" s="26" t="str">
        <f t="shared" si="2"/>
        <v>WK35</v>
      </c>
      <c r="C8" s="29"/>
      <c r="D8" s="29"/>
      <c r="E8" s="29"/>
      <c r="F8" s="29"/>
      <c r="G8" s="29"/>
      <c r="H8" s="29"/>
      <c r="I8" s="29"/>
      <c r="J8" s="31"/>
    </row>
    <row r="9" ht="18.0" customHeight="1">
      <c r="A9" s="24">
        <f t="shared" si="1"/>
        <v>46265</v>
      </c>
      <c r="B9" s="26" t="str">
        <f t="shared" si="2"/>
        <v>WK36</v>
      </c>
      <c r="C9" s="29"/>
      <c r="D9" s="29"/>
      <c r="E9" s="29"/>
      <c r="F9" s="29"/>
      <c r="G9" s="29"/>
      <c r="H9" s="29"/>
      <c r="I9" s="29"/>
      <c r="J9" s="31"/>
    </row>
    <row r="10" ht="18.0" customHeight="1">
      <c r="A10" s="24">
        <f t="shared" si="1"/>
        <v>46272</v>
      </c>
      <c r="B10" s="26" t="str">
        <f t="shared" si="2"/>
        <v>WK37</v>
      </c>
      <c r="C10" s="29"/>
      <c r="D10" s="29"/>
      <c r="E10" s="29"/>
      <c r="F10" s="29"/>
      <c r="G10" s="29"/>
      <c r="H10" s="29"/>
      <c r="I10" s="29"/>
      <c r="J10" s="31"/>
    </row>
    <row r="11" ht="18.0" customHeight="1">
      <c r="A11" s="24">
        <f t="shared" si="1"/>
        <v>46279</v>
      </c>
      <c r="B11" s="26" t="str">
        <f t="shared" si="2"/>
        <v>WK38</v>
      </c>
      <c r="C11" s="29"/>
      <c r="D11" s="29"/>
      <c r="E11" s="29"/>
      <c r="F11" s="29"/>
      <c r="G11" s="29"/>
      <c r="H11" s="29"/>
      <c r="I11" s="29"/>
      <c r="J11" s="31"/>
    </row>
    <row r="12" ht="18.0" customHeight="1">
      <c r="A12" s="24">
        <f t="shared" si="1"/>
        <v>46286</v>
      </c>
      <c r="B12" s="26" t="str">
        <f t="shared" si="2"/>
        <v>WK39</v>
      </c>
      <c r="C12" s="29"/>
      <c r="D12" s="29"/>
      <c r="E12" s="29"/>
      <c r="F12" s="29"/>
      <c r="G12" s="29"/>
      <c r="H12" s="29"/>
      <c r="I12" s="29"/>
      <c r="J12" s="31"/>
    </row>
    <row r="13" ht="18.0" customHeight="1">
      <c r="A13" s="24">
        <f t="shared" si="1"/>
        <v>46293</v>
      </c>
      <c r="B13" s="26" t="str">
        <f t="shared" si="2"/>
        <v>WK40</v>
      </c>
      <c r="C13" s="29"/>
      <c r="D13" s="29"/>
      <c r="E13" s="29"/>
      <c r="F13" s="29"/>
      <c r="G13" s="29"/>
      <c r="H13" s="29"/>
      <c r="I13" s="29"/>
      <c r="J13" s="31"/>
    </row>
    <row r="14" ht="18.0" customHeight="1">
      <c r="A14" s="24">
        <f t="shared" si="1"/>
        <v>46300</v>
      </c>
      <c r="B14" s="26" t="str">
        <f t="shared" si="2"/>
        <v>WK41</v>
      </c>
      <c r="C14" s="29"/>
      <c r="D14" s="29"/>
      <c r="E14" s="29"/>
      <c r="F14" s="29"/>
      <c r="G14" s="29"/>
      <c r="H14" s="29"/>
      <c r="I14" s="29"/>
      <c r="J14" s="31"/>
    </row>
    <row r="15" ht="18.0" customHeight="1">
      <c r="A15" s="24">
        <f t="shared" si="1"/>
        <v>46307</v>
      </c>
      <c r="B15" s="26" t="str">
        <f t="shared" si="2"/>
        <v>WK42</v>
      </c>
      <c r="C15" s="29"/>
      <c r="D15" s="29"/>
      <c r="E15" s="29"/>
      <c r="F15" s="29"/>
      <c r="G15" s="29"/>
      <c r="H15" s="29"/>
      <c r="I15" s="29"/>
      <c r="J15" s="31"/>
    </row>
    <row r="16" ht="18.0" customHeight="1">
      <c r="A16" s="24">
        <f t="shared" si="1"/>
        <v>46314</v>
      </c>
      <c r="B16" s="26" t="str">
        <f t="shared" si="2"/>
        <v>WK43</v>
      </c>
      <c r="C16" s="29"/>
      <c r="D16" s="29"/>
      <c r="E16" s="29"/>
      <c r="F16" s="29"/>
      <c r="G16" s="29"/>
      <c r="H16" s="29"/>
      <c r="I16" s="29"/>
      <c r="J16" s="31"/>
    </row>
    <row r="17" ht="18.0" customHeight="1">
      <c r="A17" s="24">
        <f t="shared" si="1"/>
        <v>46321</v>
      </c>
      <c r="B17" s="26" t="str">
        <f t="shared" si="2"/>
        <v>WK44</v>
      </c>
      <c r="C17" s="29"/>
      <c r="D17" s="29"/>
      <c r="E17" s="29"/>
      <c r="F17" s="29"/>
      <c r="G17" s="29"/>
      <c r="H17" s="29"/>
      <c r="I17" s="29"/>
      <c r="J17" s="31"/>
    </row>
    <row r="18" ht="18.0" customHeight="1">
      <c r="A18" s="24">
        <f t="shared" si="1"/>
        <v>46328</v>
      </c>
      <c r="B18" s="26" t="str">
        <f t="shared" si="2"/>
        <v>WK45</v>
      </c>
      <c r="C18" s="29"/>
      <c r="D18" s="29"/>
      <c r="E18" s="29"/>
      <c r="F18" s="29"/>
      <c r="G18" s="29"/>
      <c r="H18" s="29"/>
      <c r="I18" s="29"/>
      <c r="J18" s="31"/>
    </row>
    <row r="19" ht="18.0" customHeight="1">
      <c r="A19" s="24">
        <f t="shared" si="1"/>
        <v>46335</v>
      </c>
      <c r="B19" s="26" t="str">
        <f t="shared" si="2"/>
        <v>WK46</v>
      </c>
      <c r="C19" s="29"/>
      <c r="D19" s="29"/>
      <c r="E19" s="29"/>
      <c r="F19" s="29"/>
      <c r="G19" s="29"/>
      <c r="H19" s="29"/>
      <c r="I19" s="29"/>
      <c r="J19" s="31"/>
    </row>
    <row r="20" ht="18.0" customHeight="1">
      <c r="A20" s="24">
        <f t="shared" si="1"/>
        <v>46342</v>
      </c>
      <c r="B20" s="26" t="str">
        <f t="shared" si="2"/>
        <v>WK47</v>
      </c>
      <c r="C20" s="29"/>
      <c r="D20" s="29"/>
      <c r="E20" s="29"/>
      <c r="F20" s="29"/>
      <c r="G20" s="29"/>
      <c r="H20" s="29"/>
      <c r="I20" s="29"/>
      <c r="J20" s="31"/>
    </row>
    <row r="21" ht="18.0" customHeight="1">
      <c r="A21" s="24">
        <f t="shared" si="1"/>
        <v>46349</v>
      </c>
      <c r="B21" s="26" t="str">
        <f t="shared" si="2"/>
        <v>WK48</v>
      </c>
      <c r="C21" s="29"/>
      <c r="D21" s="29"/>
      <c r="E21" s="29"/>
      <c r="F21" s="29"/>
      <c r="G21" s="29"/>
      <c r="H21" s="29"/>
      <c r="I21" s="29"/>
      <c r="J21" s="31"/>
    </row>
    <row r="22" ht="18.0" customHeight="1">
      <c r="A22" s="24">
        <f t="shared" si="1"/>
        <v>46356</v>
      </c>
      <c r="B22" s="26" t="str">
        <f t="shared" si="2"/>
        <v>WK49</v>
      </c>
      <c r="C22" s="29"/>
      <c r="D22" s="29"/>
      <c r="E22" s="29"/>
      <c r="F22" s="29"/>
      <c r="G22" s="29"/>
      <c r="H22" s="29"/>
      <c r="I22" s="29"/>
      <c r="J22" s="31"/>
    </row>
    <row r="23" ht="18.0" customHeight="1">
      <c r="A23" s="24">
        <f t="shared" si="1"/>
        <v>46363</v>
      </c>
      <c r="B23" s="26" t="str">
        <f t="shared" si="2"/>
        <v>WK50</v>
      </c>
      <c r="C23" s="29"/>
      <c r="D23" s="29"/>
      <c r="E23" s="29"/>
      <c r="F23" s="29"/>
      <c r="G23" s="29"/>
      <c r="H23" s="29"/>
      <c r="I23" s="29"/>
      <c r="J23" s="31"/>
    </row>
    <row r="24" ht="18.0" customHeight="1">
      <c r="A24" s="24">
        <f t="shared" si="1"/>
        <v>46370</v>
      </c>
      <c r="B24" s="26" t="str">
        <f t="shared" si="2"/>
        <v>WK51</v>
      </c>
      <c r="C24" s="29"/>
      <c r="D24" s="29"/>
      <c r="E24" s="29"/>
      <c r="F24" s="29"/>
      <c r="G24" s="29"/>
      <c r="H24" s="29"/>
      <c r="I24" s="29"/>
      <c r="J24" s="31"/>
    </row>
    <row r="25" ht="18.0" customHeight="1">
      <c r="A25" s="24">
        <f t="shared" si="1"/>
        <v>46377</v>
      </c>
      <c r="B25" s="26" t="str">
        <f t="shared" si="2"/>
        <v>WK52</v>
      </c>
      <c r="C25" s="29"/>
      <c r="D25" s="29"/>
      <c r="E25" s="29"/>
      <c r="F25" s="29"/>
      <c r="G25" s="29"/>
      <c r="H25" s="29"/>
      <c r="I25" s="29"/>
      <c r="J25" s="31"/>
    </row>
    <row r="26" ht="18.0" customHeight="1">
      <c r="A26" s="24">
        <f t="shared" si="1"/>
        <v>46384</v>
      </c>
      <c r="B26" s="26" t="str">
        <f t="shared" si="2"/>
        <v>WK53</v>
      </c>
      <c r="C26" s="29"/>
      <c r="D26" s="29"/>
      <c r="E26" s="29"/>
      <c r="F26" s="29"/>
      <c r="G26" s="29"/>
      <c r="H26" s="29"/>
      <c r="I26" s="29"/>
      <c r="J26" s="31"/>
    </row>
    <row r="27" ht="18.0" customHeight="1">
      <c r="A27" s="24">
        <f t="shared" si="1"/>
        <v>46391</v>
      </c>
      <c r="B27" s="26" t="str">
        <f t="shared" si="2"/>
        <v>WK01</v>
      </c>
      <c r="C27" s="29"/>
      <c r="D27" s="29"/>
      <c r="E27" s="29"/>
      <c r="F27" s="29"/>
      <c r="G27" s="29"/>
      <c r="H27" s="29"/>
      <c r="I27" s="29"/>
      <c r="J27" s="31"/>
    </row>
    <row r="28" ht="18.0" customHeight="1">
      <c r="A28" s="24">
        <f t="shared" si="1"/>
        <v>46398</v>
      </c>
      <c r="B28" s="26" t="str">
        <f t="shared" si="2"/>
        <v>WK02</v>
      </c>
      <c r="C28" s="29"/>
      <c r="D28" s="29"/>
      <c r="E28" s="29"/>
      <c r="F28" s="29"/>
      <c r="G28" s="29"/>
      <c r="H28" s="29"/>
      <c r="I28" s="29"/>
      <c r="J28" s="31"/>
    </row>
    <row r="29" ht="18.0" customHeight="1">
      <c r="A29" s="24">
        <f t="shared" si="1"/>
        <v>46405</v>
      </c>
      <c r="B29" s="26" t="str">
        <f t="shared" si="2"/>
        <v>WK03</v>
      </c>
      <c r="C29" s="29"/>
      <c r="D29" s="29"/>
      <c r="E29" s="29"/>
      <c r="F29" s="29"/>
      <c r="G29" s="29"/>
      <c r="H29" s="29"/>
      <c r="I29" s="29"/>
      <c r="J29" s="31"/>
    </row>
    <row r="30" ht="18.0" customHeight="1">
      <c r="A30" s="24">
        <f t="shared" si="1"/>
        <v>46412</v>
      </c>
      <c r="B30" s="26" t="str">
        <f t="shared" si="2"/>
        <v>WK04</v>
      </c>
      <c r="C30" s="29"/>
      <c r="D30" s="29"/>
      <c r="E30" s="29"/>
      <c r="F30" s="29"/>
      <c r="G30" s="29"/>
      <c r="H30" s="29"/>
      <c r="I30" s="29"/>
      <c r="J30" s="31"/>
    </row>
    <row r="31" ht="18.0" customHeight="1">
      <c r="A31" s="24">
        <f t="shared" si="1"/>
        <v>46419</v>
      </c>
      <c r="B31" s="26" t="str">
        <f t="shared" si="2"/>
        <v>WK05</v>
      </c>
      <c r="C31" s="29"/>
      <c r="D31" s="29"/>
      <c r="E31" s="29"/>
      <c r="F31" s="29"/>
      <c r="G31" s="29"/>
      <c r="H31" s="29"/>
      <c r="I31" s="29"/>
      <c r="J31" s="31"/>
    </row>
    <row r="32" ht="18.0" customHeight="1">
      <c r="A32" s="24">
        <f t="shared" si="1"/>
        <v>46426</v>
      </c>
      <c r="B32" s="26" t="str">
        <f t="shared" si="2"/>
        <v>WK06</v>
      </c>
      <c r="C32" s="29"/>
      <c r="D32" s="29"/>
      <c r="E32" s="29"/>
      <c r="F32" s="29"/>
      <c r="G32" s="29"/>
      <c r="H32" s="29"/>
      <c r="I32" s="29"/>
      <c r="J32" s="31"/>
    </row>
    <row r="33" ht="18.0" customHeight="1">
      <c r="A33" s="24">
        <f t="shared" si="1"/>
        <v>46433</v>
      </c>
      <c r="B33" s="26" t="str">
        <f t="shared" si="2"/>
        <v>WK07</v>
      </c>
      <c r="C33" s="29"/>
      <c r="D33" s="29"/>
      <c r="E33" s="29"/>
      <c r="F33" s="29"/>
      <c r="G33" s="29"/>
      <c r="H33" s="29"/>
      <c r="I33" s="29"/>
      <c r="J33" s="31"/>
    </row>
    <row r="34" ht="18.0" customHeight="1">
      <c r="A34" s="24">
        <f t="shared" si="1"/>
        <v>46440</v>
      </c>
      <c r="B34" s="26" t="str">
        <f t="shared" si="2"/>
        <v>WK08</v>
      </c>
      <c r="C34" s="29"/>
      <c r="D34" s="29"/>
      <c r="E34" s="29"/>
      <c r="F34" s="29"/>
      <c r="G34" s="29"/>
      <c r="H34" s="29"/>
      <c r="I34" s="29"/>
      <c r="J34" s="31"/>
    </row>
    <row r="35" ht="18.0" customHeight="1">
      <c r="A35" s="24">
        <f t="shared" si="1"/>
        <v>46447</v>
      </c>
      <c r="B35" s="26" t="str">
        <f t="shared" si="2"/>
        <v>WK09</v>
      </c>
      <c r="C35" s="29"/>
      <c r="D35" s="29"/>
      <c r="E35" s="29"/>
      <c r="F35" s="29"/>
      <c r="G35" s="29"/>
      <c r="H35" s="29"/>
      <c r="I35" s="29"/>
      <c r="J35" s="31"/>
    </row>
    <row r="36" ht="18.0" customHeight="1">
      <c r="A36" s="24">
        <f t="shared" si="1"/>
        <v>46454</v>
      </c>
      <c r="B36" s="26" t="str">
        <f t="shared" si="2"/>
        <v>WK10</v>
      </c>
      <c r="C36" s="29"/>
      <c r="D36" s="29"/>
      <c r="E36" s="29"/>
      <c r="F36" s="29"/>
      <c r="G36" s="29"/>
      <c r="H36" s="29"/>
      <c r="I36" s="29"/>
      <c r="J36" s="31"/>
    </row>
    <row r="37" ht="18.0" customHeight="1">
      <c r="A37" s="24">
        <f t="shared" si="1"/>
        <v>46461</v>
      </c>
      <c r="B37" s="26" t="str">
        <f t="shared" si="2"/>
        <v>WK11</v>
      </c>
      <c r="C37" s="29"/>
      <c r="D37" s="29"/>
      <c r="E37" s="29"/>
      <c r="F37" s="29"/>
      <c r="G37" s="29"/>
      <c r="H37" s="29"/>
      <c r="I37" s="29"/>
      <c r="J37" s="31"/>
    </row>
    <row r="38" ht="18.0" customHeight="1">
      <c r="A38" s="24">
        <f t="shared" si="1"/>
        <v>46468</v>
      </c>
      <c r="B38" s="26" t="str">
        <f t="shared" si="2"/>
        <v>WK12</v>
      </c>
      <c r="C38" s="29"/>
      <c r="D38" s="29"/>
      <c r="E38" s="29"/>
      <c r="F38" s="29"/>
      <c r="G38" s="29"/>
      <c r="H38" s="29"/>
      <c r="I38" s="29"/>
      <c r="J38" s="31"/>
    </row>
    <row r="39" ht="18.0" customHeight="1">
      <c r="A39" s="24">
        <f t="shared" si="1"/>
        <v>46475</v>
      </c>
      <c r="B39" s="26" t="str">
        <f t="shared" si="2"/>
        <v>WK13</v>
      </c>
      <c r="C39" s="29"/>
      <c r="D39" s="29"/>
      <c r="E39" s="29"/>
      <c r="F39" s="29"/>
      <c r="G39" s="29"/>
      <c r="H39" s="29"/>
      <c r="I39" s="29"/>
      <c r="J39" s="31"/>
    </row>
    <row r="40" ht="18.0" customHeight="1">
      <c r="A40" s="24">
        <f t="shared" si="1"/>
        <v>46482</v>
      </c>
      <c r="B40" s="26" t="str">
        <f t="shared" si="2"/>
        <v>WK14</v>
      </c>
      <c r="C40" s="29"/>
      <c r="D40" s="29"/>
      <c r="E40" s="29"/>
      <c r="F40" s="29"/>
      <c r="G40" s="29"/>
      <c r="H40" s="29"/>
      <c r="I40" s="29"/>
      <c r="J40" s="31"/>
    </row>
    <row r="41" ht="18.0" customHeight="1">
      <c r="A41" s="24">
        <f t="shared" si="1"/>
        <v>46489</v>
      </c>
      <c r="B41" s="26" t="str">
        <f t="shared" si="2"/>
        <v>WK15</v>
      </c>
      <c r="C41" s="29"/>
      <c r="D41" s="29"/>
      <c r="E41" s="29"/>
      <c r="F41" s="29"/>
      <c r="G41" s="29"/>
      <c r="H41" s="29"/>
      <c r="I41" s="29"/>
      <c r="J41" s="31"/>
    </row>
    <row r="42" ht="18.0" customHeight="1">
      <c r="A42" s="24">
        <f t="shared" si="1"/>
        <v>46496</v>
      </c>
      <c r="B42" s="26" t="str">
        <f t="shared" si="2"/>
        <v>WK16</v>
      </c>
      <c r="C42" s="29"/>
      <c r="D42" s="29"/>
      <c r="E42" s="29"/>
      <c r="F42" s="29"/>
      <c r="G42" s="29"/>
      <c r="H42" s="29"/>
      <c r="I42" s="29"/>
      <c r="J42" s="31"/>
    </row>
    <row r="43" ht="18.0" customHeight="1">
      <c r="A43" s="24">
        <f t="shared" si="1"/>
        <v>46503</v>
      </c>
      <c r="B43" s="26" t="str">
        <f t="shared" si="2"/>
        <v>WK17</v>
      </c>
      <c r="C43" s="29"/>
      <c r="D43" s="29"/>
      <c r="E43" s="29"/>
      <c r="F43" s="29"/>
      <c r="G43" s="29"/>
      <c r="H43" s="29"/>
      <c r="I43" s="29"/>
      <c r="J43" s="31"/>
    </row>
    <row r="44" ht="18.0" customHeight="1">
      <c r="A44" s="24">
        <f t="shared" si="1"/>
        <v>46510</v>
      </c>
      <c r="B44" s="26" t="str">
        <f t="shared" si="2"/>
        <v>WK18</v>
      </c>
      <c r="C44" s="29"/>
      <c r="D44" s="29"/>
      <c r="E44" s="29"/>
      <c r="F44" s="29"/>
      <c r="G44" s="29"/>
      <c r="H44" s="29"/>
      <c r="I44" s="29"/>
      <c r="J44" s="31"/>
    </row>
    <row r="45" ht="18.0" customHeight="1">
      <c r="A45" s="24">
        <f t="shared" si="1"/>
        <v>46517</v>
      </c>
      <c r="B45" s="26" t="str">
        <f t="shared" si="2"/>
        <v>WK19</v>
      </c>
      <c r="C45" s="29"/>
      <c r="D45" s="29"/>
      <c r="E45" s="29"/>
      <c r="F45" s="29"/>
      <c r="G45" s="29"/>
      <c r="H45" s="29"/>
      <c r="I45" s="29"/>
      <c r="J45" s="31"/>
    </row>
    <row r="46" ht="18.0" customHeight="1">
      <c r="A46" s="24">
        <f t="shared" si="1"/>
        <v>46524</v>
      </c>
      <c r="B46" s="26" t="str">
        <f t="shared" si="2"/>
        <v>WK20</v>
      </c>
      <c r="C46" s="29"/>
      <c r="D46" s="29"/>
      <c r="E46" s="29"/>
      <c r="F46" s="29"/>
      <c r="G46" s="29"/>
      <c r="H46" s="29"/>
      <c r="I46" s="29"/>
      <c r="J46" s="31"/>
    </row>
    <row r="47" ht="18.0" customHeight="1">
      <c r="A47" s="24">
        <f t="shared" si="1"/>
        <v>46531</v>
      </c>
      <c r="B47" s="26" t="str">
        <f t="shared" si="2"/>
        <v>WK21</v>
      </c>
      <c r="C47" s="29"/>
      <c r="D47" s="29"/>
      <c r="E47" s="29"/>
      <c r="F47" s="29"/>
      <c r="G47" s="29"/>
      <c r="H47" s="29"/>
      <c r="I47" s="29"/>
      <c r="J47" s="31"/>
    </row>
    <row r="48" ht="18.0" customHeight="1">
      <c r="A48" s="24">
        <f t="shared" si="1"/>
        <v>46538</v>
      </c>
      <c r="B48" s="26" t="str">
        <f t="shared" si="2"/>
        <v>WK22</v>
      </c>
      <c r="C48" s="29"/>
      <c r="D48" s="29"/>
      <c r="E48" s="29"/>
      <c r="F48" s="29"/>
      <c r="G48" s="29"/>
      <c r="H48" s="29"/>
      <c r="I48" s="29"/>
      <c r="J48" s="31"/>
    </row>
    <row r="49" ht="18.0" customHeight="1">
      <c r="A49" s="24">
        <f t="shared" si="1"/>
        <v>46545</v>
      </c>
      <c r="B49" s="26" t="str">
        <f t="shared" si="2"/>
        <v>WK23</v>
      </c>
      <c r="C49" s="29"/>
      <c r="D49" s="29"/>
      <c r="E49" s="29"/>
      <c r="F49" s="29"/>
      <c r="G49" s="29"/>
      <c r="H49" s="29"/>
      <c r="I49" s="29"/>
      <c r="J49" s="31"/>
    </row>
    <row r="50" ht="18.0" customHeight="1">
      <c r="A50" s="24">
        <f t="shared" si="1"/>
        <v>46552</v>
      </c>
      <c r="B50" s="26" t="str">
        <f t="shared" si="2"/>
        <v>WK24</v>
      </c>
      <c r="C50" s="29"/>
      <c r="D50" s="29"/>
      <c r="E50" s="29"/>
      <c r="F50" s="29"/>
      <c r="G50" s="29"/>
      <c r="H50" s="29"/>
      <c r="I50" s="29"/>
      <c r="J50" s="31"/>
    </row>
    <row r="51" ht="18.0" customHeight="1">
      <c r="A51" s="24">
        <f t="shared" si="1"/>
        <v>46559</v>
      </c>
      <c r="B51" s="26" t="str">
        <f t="shared" si="2"/>
        <v>WK25</v>
      </c>
      <c r="C51" s="29"/>
      <c r="D51" s="29"/>
      <c r="E51" s="29"/>
      <c r="F51" s="29"/>
      <c r="G51" s="29"/>
      <c r="H51" s="29"/>
      <c r="I51" s="29"/>
      <c r="J51" s="31"/>
    </row>
    <row r="52" ht="18.0" customHeight="1">
      <c r="A52" s="24">
        <f t="shared" si="1"/>
        <v>46566</v>
      </c>
      <c r="B52" s="26" t="str">
        <f t="shared" si="2"/>
        <v>WK26</v>
      </c>
      <c r="C52" s="29"/>
      <c r="D52" s="29"/>
      <c r="E52" s="29"/>
      <c r="F52" s="29"/>
      <c r="G52" s="29"/>
      <c r="H52" s="29"/>
      <c r="I52" s="29"/>
      <c r="J52" s="31"/>
    </row>
    <row r="53" ht="18.0" customHeight="1">
      <c r="A53" s="24">
        <f t="shared" si="1"/>
        <v>46573</v>
      </c>
      <c r="B53" s="26" t="str">
        <f t="shared" si="2"/>
        <v>WK27</v>
      </c>
      <c r="C53" s="29"/>
      <c r="D53" s="29"/>
      <c r="E53" s="29"/>
      <c r="F53" s="29"/>
      <c r="G53" s="29"/>
      <c r="H53" s="29"/>
      <c r="I53" s="29"/>
      <c r="J53" s="31"/>
    </row>
    <row r="54" ht="18.0" customHeight="1">
      <c r="A54" s="24">
        <f t="shared" si="1"/>
        <v>46580</v>
      </c>
      <c r="B54" s="26" t="str">
        <f t="shared" si="2"/>
        <v>WK28</v>
      </c>
      <c r="C54" s="29"/>
      <c r="D54" s="29"/>
      <c r="E54" s="29"/>
      <c r="F54" s="29"/>
      <c r="G54" s="29"/>
      <c r="H54" s="29"/>
      <c r="I54" s="29"/>
      <c r="J54" s="31"/>
    </row>
    <row r="55" ht="18.0" customHeight="1">
      <c r="A55" s="24">
        <f t="shared" si="1"/>
        <v>46587</v>
      </c>
      <c r="B55" s="26" t="str">
        <f t="shared" si="2"/>
        <v>WK29</v>
      </c>
      <c r="C55" s="29"/>
      <c r="D55" s="29"/>
      <c r="E55" s="29"/>
      <c r="F55" s="29"/>
      <c r="G55" s="29"/>
      <c r="H55" s="29"/>
      <c r="I55" s="29"/>
      <c r="J55" s="31"/>
    </row>
    <row r="56" ht="18.0" customHeight="1">
      <c r="A56" s="24">
        <f t="shared" si="1"/>
        <v>46594</v>
      </c>
      <c r="B56" s="26" t="str">
        <f t="shared" si="2"/>
        <v>WK30</v>
      </c>
      <c r="C56" s="29"/>
      <c r="D56" s="29"/>
      <c r="E56" s="29"/>
      <c r="F56" s="29"/>
      <c r="G56" s="29"/>
      <c r="H56" s="29"/>
      <c r="I56" s="29"/>
      <c r="J56" s="31"/>
    </row>
    <row r="57" ht="18.0" customHeight="1">
      <c r="A57" s="24">
        <f t="shared" si="1"/>
        <v>46601</v>
      </c>
      <c r="B57" s="26" t="str">
        <f t="shared" si="2"/>
        <v>WK31</v>
      </c>
      <c r="C57" s="29"/>
      <c r="D57" s="29"/>
      <c r="E57" s="29"/>
      <c r="F57" s="29"/>
      <c r="G57" s="29"/>
      <c r="H57" s="29"/>
      <c r="I57" s="29"/>
      <c r="J57" s="31"/>
    </row>
    <row r="58" ht="18.0" customHeight="1">
      <c r="A58" s="24">
        <f t="shared" si="1"/>
        <v>46608</v>
      </c>
      <c r="B58" s="26" t="str">
        <f t="shared" si="2"/>
        <v>WK32</v>
      </c>
      <c r="C58" s="29"/>
      <c r="D58" s="29"/>
      <c r="E58" s="29"/>
      <c r="F58" s="29"/>
      <c r="G58" s="29"/>
      <c r="H58" s="29"/>
      <c r="I58" s="29"/>
      <c r="J58" s="31"/>
    </row>
    <row r="59" ht="18.0" customHeight="1">
      <c r="A59" s="24">
        <f t="shared" si="1"/>
        <v>46615</v>
      </c>
      <c r="B59" s="26" t="str">
        <f t="shared" si="2"/>
        <v>WK33</v>
      </c>
      <c r="C59" s="29"/>
      <c r="D59" s="29"/>
      <c r="E59" s="29"/>
      <c r="F59" s="29"/>
      <c r="G59" s="29"/>
      <c r="H59" s="29"/>
      <c r="I59" s="29"/>
      <c r="J59" s="31"/>
    </row>
    <row r="60" ht="18.0" customHeight="1">
      <c r="A60" s="24">
        <f t="shared" si="1"/>
        <v>46622</v>
      </c>
      <c r="B60" s="26" t="str">
        <f t="shared" si="2"/>
        <v>WK34</v>
      </c>
      <c r="C60" s="29"/>
      <c r="D60" s="29"/>
      <c r="E60" s="29"/>
      <c r="F60" s="29"/>
      <c r="G60" s="29"/>
      <c r="H60" s="29"/>
      <c r="I60" s="29"/>
      <c r="J60" s="31"/>
    </row>
    <row r="61" ht="18.0" customHeight="1">
      <c r="A61" s="24">
        <f t="shared" si="1"/>
        <v>46629</v>
      </c>
      <c r="B61" s="26" t="str">
        <f t="shared" si="2"/>
        <v>WK35</v>
      </c>
      <c r="C61" s="29"/>
      <c r="D61" s="29"/>
      <c r="E61" s="29"/>
      <c r="F61" s="29"/>
      <c r="G61" s="29"/>
      <c r="H61" s="29"/>
      <c r="I61" s="29"/>
      <c r="J61" s="31"/>
    </row>
    <row r="62" ht="18.0" customHeight="1">
      <c r="A62" s="24">
        <f t="shared" si="1"/>
        <v>46636</v>
      </c>
      <c r="B62" s="26" t="str">
        <f t="shared" si="2"/>
        <v>WK36</v>
      </c>
      <c r="C62" s="29"/>
      <c r="D62" s="29"/>
      <c r="E62" s="29"/>
      <c r="F62" s="29"/>
      <c r="G62" s="29"/>
      <c r="H62" s="29"/>
      <c r="I62" s="29"/>
      <c r="J62" s="31"/>
    </row>
    <row r="63" ht="18.0" customHeight="1">
      <c r="A63" s="24">
        <f t="shared" si="1"/>
        <v>46643</v>
      </c>
      <c r="B63" s="26" t="str">
        <f t="shared" si="2"/>
        <v>WK37</v>
      </c>
      <c r="C63" s="29"/>
      <c r="D63" s="29"/>
      <c r="E63" s="29"/>
      <c r="F63" s="29"/>
      <c r="G63" s="29"/>
      <c r="H63" s="29"/>
      <c r="I63" s="29"/>
      <c r="J63" s="31"/>
    </row>
    <row r="64" ht="18.0" customHeight="1">
      <c r="A64" s="24">
        <f t="shared" si="1"/>
        <v>46650</v>
      </c>
      <c r="B64" s="26" t="str">
        <f t="shared" si="2"/>
        <v>WK38</v>
      </c>
      <c r="C64" s="29"/>
      <c r="D64" s="29"/>
      <c r="E64" s="29"/>
      <c r="F64" s="29"/>
      <c r="G64" s="29"/>
      <c r="H64" s="29"/>
      <c r="I64" s="29"/>
      <c r="J64" s="31"/>
    </row>
    <row r="65" ht="18.0" customHeight="1">
      <c r="A65" s="24">
        <f t="shared" si="1"/>
        <v>46657</v>
      </c>
      <c r="B65" s="26" t="str">
        <f t="shared" si="2"/>
        <v>WK39</v>
      </c>
      <c r="C65" s="29"/>
      <c r="D65" s="29"/>
      <c r="E65" s="29"/>
      <c r="F65" s="29"/>
      <c r="G65" s="29"/>
      <c r="H65" s="29"/>
      <c r="I65" s="29"/>
      <c r="J65" s="31"/>
    </row>
    <row r="66" ht="18.0" customHeight="1">
      <c r="A66" s="24">
        <f t="shared" si="1"/>
        <v>46664</v>
      </c>
      <c r="B66" s="26" t="str">
        <f t="shared" si="2"/>
        <v>WK40</v>
      </c>
      <c r="C66" s="29"/>
      <c r="D66" s="29"/>
      <c r="E66" s="29"/>
      <c r="F66" s="29"/>
      <c r="G66" s="29"/>
      <c r="H66" s="29"/>
      <c r="I66" s="29"/>
      <c r="J66" s="31"/>
    </row>
    <row r="67" ht="18.0" customHeight="1">
      <c r="A67" s="24">
        <f t="shared" si="1"/>
        <v>46671</v>
      </c>
      <c r="B67" s="26" t="str">
        <f t="shared" si="2"/>
        <v>WK41</v>
      </c>
      <c r="C67" s="29"/>
      <c r="D67" s="29"/>
      <c r="E67" s="29"/>
      <c r="F67" s="29"/>
      <c r="G67" s="29"/>
      <c r="H67" s="29"/>
      <c r="I67" s="29"/>
      <c r="J67" s="31"/>
    </row>
    <row r="68" ht="18.0" customHeight="1">
      <c r="A68" s="24">
        <f t="shared" si="1"/>
        <v>46678</v>
      </c>
      <c r="B68" s="26" t="str">
        <f t="shared" si="2"/>
        <v>WK42</v>
      </c>
      <c r="C68" s="29"/>
      <c r="D68" s="29"/>
      <c r="E68" s="29"/>
      <c r="F68" s="29"/>
      <c r="G68" s="29"/>
      <c r="H68" s="29"/>
      <c r="I68" s="29"/>
      <c r="J68" s="31"/>
    </row>
    <row r="69" ht="18.0" customHeight="1">
      <c r="A69" s="24">
        <f t="shared" si="1"/>
        <v>46685</v>
      </c>
      <c r="B69" s="26" t="str">
        <f t="shared" si="2"/>
        <v>WK43</v>
      </c>
      <c r="C69" s="29"/>
      <c r="D69" s="29"/>
      <c r="E69" s="29"/>
      <c r="F69" s="29"/>
      <c r="G69" s="29"/>
      <c r="H69" s="29"/>
      <c r="I69" s="29"/>
      <c r="J69" s="31"/>
    </row>
    <row r="70" ht="18.0" customHeight="1">
      <c r="A70" s="24">
        <f t="shared" si="1"/>
        <v>46692</v>
      </c>
      <c r="B70" s="26" t="str">
        <f t="shared" si="2"/>
        <v>WK44</v>
      </c>
      <c r="C70" s="29"/>
      <c r="D70" s="29"/>
      <c r="E70" s="29"/>
      <c r="F70" s="29"/>
      <c r="G70" s="29"/>
      <c r="H70" s="29"/>
      <c r="I70" s="29"/>
      <c r="J70" s="31"/>
    </row>
    <row r="71" ht="18.0" customHeight="1">
      <c r="A71" s="24">
        <f t="shared" si="1"/>
        <v>46699</v>
      </c>
      <c r="B71" s="26" t="str">
        <f t="shared" si="2"/>
        <v>WK45</v>
      </c>
      <c r="C71" s="29"/>
      <c r="D71" s="29"/>
      <c r="E71" s="29"/>
      <c r="F71" s="29"/>
      <c r="G71" s="29"/>
      <c r="H71" s="29"/>
      <c r="I71" s="29"/>
      <c r="J71" s="31"/>
    </row>
    <row r="72" ht="18.0" customHeight="1">
      <c r="A72" s="24">
        <f t="shared" si="1"/>
        <v>46706</v>
      </c>
      <c r="B72" s="26" t="str">
        <f t="shared" si="2"/>
        <v>WK46</v>
      </c>
      <c r="C72" s="29"/>
      <c r="D72" s="29"/>
      <c r="E72" s="29"/>
      <c r="F72" s="29"/>
      <c r="G72" s="29"/>
      <c r="H72" s="29"/>
      <c r="I72" s="29"/>
      <c r="J72" s="31"/>
    </row>
    <row r="73" ht="18.0" customHeight="1">
      <c r="A73" s="24">
        <f t="shared" si="1"/>
        <v>46713</v>
      </c>
      <c r="B73" s="26" t="str">
        <f t="shared" si="2"/>
        <v>WK47</v>
      </c>
      <c r="C73" s="29"/>
      <c r="D73" s="29"/>
      <c r="E73" s="29"/>
      <c r="F73" s="29"/>
      <c r="G73" s="29"/>
      <c r="H73" s="29"/>
      <c r="I73" s="29"/>
      <c r="J73" s="31"/>
    </row>
    <row r="74" ht="18.0" customHeight="1">
      <c r="A74" s="24">
        <f t="shared" si="1"/>
        <v>46720</v>
      </c>
      <c r="B74" s="26" t="str">
        <f t="shared" si="2"/>
        <v>WK48</v>
      </c>
      <c r="C74" s="29"/>
      <c r="D74" s="29"/>
      <c r="E74" s="29"/>
      <c r="F74" s="29"/>
      <c r="G74" s="29"/>
      <c r="H74" s="29"/>
      <c r="I74" s="29"/>
      <c r="J74" s="31"/>
    </row>
    <row r="75" ht="18.0" customHeight="1">
      <c r="A75" s="24">
        <f t="shared" si="1"/>
        <v>46727</v>
      </c>
      <c r="B75" s="26" t="str">
        <f t="shared" si="2"/>
        <v>WK49</v>
      </c>
      <c r="C75" s="29"/>
      <c r="D75" s="29"/>
      <c r="E75" s="29"/>
      <c r="F75" s="29"/>
      <c r="G75" s="29"/>
      <c r="H75" s="29"/>
      <c r="I75" s="29"/>
      <c r="J75" s="31"/>
    </row>
    <row r="76" ht="18.0" customHeight="1">
      <c r="A76" s="24">
        <f t="shared" si="1"/>
        <v>46734</v>
      </c>
      <c r="B76" s="26" t="str">
        <f t="shared" si="2"/>
        <v>WK50</v>
      </c>
      <c r="C76" s="29"/>
      <c r="D76" s="29"/>
      <c r="E76" s="29"/>
      <c r="F76" s="29"/>
      <c r="G76" s="29"/>
      <c r="H76" s="29"/>
      <c r="I76" s="29"/>
      <c r="J76" s="31"/>
    </row>
    <row r="77" ht="18.0" customHeight="1">
      <c r="A77" s="24">
        <f t="shared" si="1"/>
        <v>46741</v>
      </c>
      <c r="B77" s="26" t="str">
        <f t="shared" si="2"/>
        <v>WK51</v>
      </c>
      <c r="C77" s="29"/>
      <c r="D77" s="29"/>
      <c r="E77" s="29"/>
      <c r="F77" s="29"/>
      <c r="G77" s="29"/>
      <c r="H77" s="29"/>
      <c r="I77" s="29"/>
      <c r="J77" s="31"/>
    </row>
    <row r="78" ht="18.0" customHeight="1">
      <c r="A78" s="24">
        <f t="shared" si="1"/>
        <v>46748</v>
      </c>
      <c r="B78" s="26" t="str">
        <f t="shared" si="2"/>
        <v>WK52</v>
      </c>
      <c r="C78" s="29"/>
      <c r="D78" s="29"/>
      <c r="E78" s="29"/>
      <c r="F78" s="29"/>
      <c r="G78" s="29"/>
      <c r="H78" s="29"/>
      <c r="I78" s="29"/>
      <c r="J78" s="31"/>
    </row>
    <row r="79" ht="18.0" customHeight="1">
      <c r="A79" s="24">
        <f t="shared" si="1"/>
        <v>46755</v>
      </c>
      <c r="B79" s="26" t="str">
        <f t="shared" si="2"/>
        <v>WK01</v>
      </c>
      <c r="C79" s="29"/>
      <c r="D79" s="29"/>
      <c r="E79" s="29"/>
      <c r="F79" s="29"/>
      <c r="G79" s="29"/>
      <c r="H79" s="29"/>
      <c r="I79" s="29"/>
      <c r="J79" s="31"/>
    </row>
    <row r="80" ht="18.0" customHeight="1">
      <c r="A80" s="24">
        <f t="shared" si="1"/>
        <v>46762</v>
      </c>
      <c r="B80" s="26" t="str">
        <f t="shared" si="2"/>
        <v>WK02</v>
      </c>
      <c r="C80" s="29"/>
      <c r="D80" s="29"/>
      <c r="E80" s="29"/>
      <c r="F80" s="29"/>
      <c r="G80" s="29"/>
      <c r="H80" s="29"/>
      <c r="I80" s="29"/>
      <c r="J80" s="31"/>
    </row>
    <row r="81" ht="18.0" customHeight="1">
      <c r="A81" s="24">
        <f t="shared" si="1"/>
        <v>46769</v>
      </c>
      <c r="B81" s="26" t="str">
        <f t="shared" si="2"/>
        <v>WK03</v>
      </c>
      <c r="C81" s="29"/>
      <c r="D81" s="29"/>
      <c r="E81" s="29"/>
      <c r="F81" s="29"/>
      <c r="G81" s="29"/>
      <c r="H81" s="29"/>
      <c r="I81" s="29"/>
      <c r="J81" s="31"/>
    </row>
    <row r="82" ht="18.0" customHeight="1">
      <c r="A82" s="24">
        <f t="shared" si="1"/>
        <v>46776</v>
      </c>
      <c r="B82" s="26" t="str">
        <f t="shared" si="2"/>
        <v>WK04</v>
      </c>
      <c r="C82" s="29"/>
      <c r="D82" s="29"/>
      <c r="E82" s="29"/>
      <c r="F82" s="29"/>
      <c r="G82" s="29"/>
      <c r="H82" s="29"/>
      <c r="I82" s="29"/>
      <c r="J82" s="31"/>
    </row>
    <row r="83" ht="18.0" customHeight="1">
      <c r="A83" s="24">
        <f t="shared" si="1"/>
        <v>46783</v>
      </c>
      <c r="B83" s="26" t="str">
        <f t="shared" si="2"/>
        <v>WK05</v>
      </c>
      <c r="C83" s="29"/>
      <c r="D83" s="29"/>
      <c r="E83" s="29"/>
      <c r="F83" s="29"/>
      <c r="G83" s="29"/>
      <c r="H83" s="29"/>
      <c r="I83" s="29"/>
      <c r="J83" s="31"/>
    </row>
    <row r="84" ht="18.0" customHeight="1">
      <c r="A84" s="24">
        <f t="shared" si="1"/>
        <v>46790</v>
      </c>
      <c r="B84" s="26" t="str">
        <f t="shared" si="2"/>
        <v>WK06</v>
      </c>
      <c r="C84" s="29"/>
      <c r="D84" s="29"/>
      <c r="E84" s="29"/>
      <c r="F84" s="29"/>
      <c r="G84" s="29"/>
      <c r="H84" s="29"/>
      <c r="I84" s="29"/>
      <c r="J84" s="31"/>
    </row>
    <row r="85" ht="18.0" customHeight="1">
      <c r="A85" s="24">
        <f t="shared" si="1"/>
        <v>46797</v>
      </c>
      <c r="B85" s="26" t="str">
        <f t="shared" si="2"/>
        <v>WK07</v>
      </c>
      <c r="C85" s="29"/>
      <c r="D85" s="29"/>
      <c r="E85" s="29"/>
      <c r="F85" s="29"/>
      <c r="G85" s="29"/>
      <c r="H85" s="29"/>
      <c r="I85" s="29"/>
      <c r="J85" s="31"/>
    </row>
    <row r="86" ht="18.0" customHeight="1">
      <c r="A86" s="24">
        <f t="shared" si="1"/>
        <v>46804</v>
      </c>
      <c r="B86" s="26" t="str">
        <f t="shared" si="2"/>
        <v>WK08</v>
      </c>
      <c r="C86" s="29"/>
      <c r="D86" s="29"/>
      <c r="E86" s="29"/>
      <c r="F86" s="29"/>
      <c r="G86" s="29"/>
      <c r="H86" s="29"/>
      <c r="I86" s="29"/>
      <c r="J86" s="31"/>
    </row>
    <row r="87" ht="18.0" customHeight="1">
      <c r="A87" s="24">
        <f t="shared" si="1"/>
        <v>46811</v>
      </c>
      <c r="B87" s="26" t="str">
        <f t="shared" si="2"/>
        <v>WK09</v>
      </c>
      <c r="C87" s="29"/>
      <c r="D87" s="29"/>
      <c r="E87" s="29"/>
      <c r="F87" s="29"/>
      <c r="G87" s="29"/>
      <c r="H87" s="29"/>
      <c r="I87" s="29"/>
      <c r="J87" s="31"/>
    </row>
    <row r="88" ht="18.0" customHeight="1">
      <c r="A88" s="24">
        <f t="shared" si="1"/>
        <v>46818</v>
      </c>
      <c r="B88" s="26" t="str">
        <f t="shared" si="2"/>
        <v>WK10</v>
      </c>
      <c r="C88" s="29"/>
      <c r="D88" s="29"/>
      <c r="E88" s="29"/>
      <c r="F88" s="29"/>
      <c r="G88" s="29"/>
      <c r="H88" s="29"/>
      <c r="I88" s="29"/>
      <c r="J88" s="31"/>
    </row>
    <row r="89" ht="18.0" customHeight="1">
      <c r="A89" s="24">
        <f t="shared" si="1"/>
        <v>46825</v>
      </c>
      <c r="B89" s="26" t="str">
        <f t="shared" si="2"/>
        <v>WK11</v>
      </c>
      <c r="C89" s="29"/>
      <c r="D89" s="29"/>
      <c r="E89" s="29"/>
      <c r="F89" s="29"/>
      <c r="G89" s="29"/>
      <c r="H89" s="29"/>
      <c r="I89" s="29"/>
      <c r="J89" s="31"/>
    </row>
    <row r="90" ht="18.0" customHeight="1">
      <c r="A90" s="24">
        <f t="shared" si="1"/>
        <v>46832</v>
      </c>
      <c r="B90" s="26" t="str">
        <f t="shared" si="2"/>
        <v>WK12</v>
      </c>
      <c r="C90" s="29"/>
      <c r="D90" s="29"/>
      <c r="E90" s="29"/>
      <c r="F90" s="29"/>
      <c r="G90" s="29"/>
      <c r="H90" s="29"/>
      <c r="I90" s="29"/>
      <c r="J90" s="31"/>
    </row>
    <row r="91" ht="18.0" customHeight="1">
      <c r="A91" s="24">
        <f t="shared" si="1"/>
        <v>46839</v>
      </c>
      <c r="B91" s="26" t="str">
        <f t="shared" si="2"/>
        <v>WK13</v>
      </c>
      <c r="C91" s="29"/>
      <c r="D91" s="29"/>
      <c r="E91" s="29"/>
      <c r="F91" s="29"/>
      <c r="G91" s="29"/>
      <c r="H91" s="29"/>
      <c r="I91" s="29"/>
      <c r="J91" s="31"/>
    </row>
    <row r="92" ht="18.0" customHeight="1">
      <c r="A92" s="24">
        <f t="shared" si="1"/>
        <v>46846</v>
      </c>
      <c r="B92" s="26" t="str">
        <f t="shared" si="2"/>
        <v>WK14</v>
      </c>
      <c r="C92" s="29"/>
      <c r="D92" s="29"/>
      <c r="E92" s="29"/>
      <c r="F92" s="29"/>
      <c r="G92" s="29"/>
      <c r="H92" s="29"/>
      <c r="I92" s="29"/>
      <c r="J92" s="31"/>
    </row>
    <row r="93" ht="18.0" customHeight="1">
      <c r="A93" s="24">
        <f t="shared" si="1"/>
        <v>46853</v>
      </c>
      <c r="B93" s="26" t="str">
        <f t="shared" si="2"/>
        <v>WK15</v>
      </c>
      <c r="C93" s="29"/>
      <c r="D93" s="29"/>
      <c r="E93" s="29"/>
      <c r="F93" s="29"/>
      <c r="G93" s="29"/>
      <c r="H93" s="29"/>
      <c r="I93" s="29"/>
      <c r="J93" s="31"/>
    </row>
    <row r="94" ht="18.0" customHeight="1">
      <c r="A94" s="24">
        <f t="shared" si="1"/>
        <v>46860</v>
      </c>
      <c r="B94" s="26" t="str">
        <f t="shared" si="2"/>
        <v>WK16</v>
      </c>
      <c r="C94" s="29"/>
      <c r="D94" s="29"/>
      <c r="E94" s="29"/>
      <c r="F94" s="29"/>
      <c r="G94" s="29"/>
      <c r="H94" s="29"/>
      <c r="I94" s="29"/>
      <c r="J94" s="31"/>
    </row>
    <row r="95" ht="18.0" customHeight="1">
      <c r="A95" s="24">
        <f t="shared" si="1"/>
        <v>46867</v>
      </c>
      <c r="B95" s="26" t="str">
        <f t="shared" si="2"/>
        <v>WK17</v>
      </c>
      <c r="C95" s="29"/>
      <c r="D95" s="29"/>
      <c r="E95" s="29"/>
      <c r="F95" s="29"/>
      <c r="G95" s="29"/>
      <c r="H95" s="29"/>
      <c r="I95" s="29"/>
      <c r="J95" s="31"/>
    </row>
    <row r="96" ht="18.0" customHeight="1">
      <c r="A96" s="24">
        <f t="shared" si="1"/>
        <v>46874</v>
      </c>
      <c r="B96" s="26" t="str">
        <f t="shared" si="2"/>
        <v>WK18</v>
      </c>
      <c r="C96" s="29"/>
      <c r="D96" s="29"/>
      <c r="E96" s="29"/>
      <c r="F96" s="29"/>
      <c r="G96" s="29"/>
      <c r="H96" s="29"/>
      <c r="I96" s="29"/>
      <c r="J96" s="31"/>
    </row>
    <row r="97" ht="18.0" customHeight="1">
      <c r="A97" s="24">
        <f t="shared" si="1"/>
        <v>46881</v>
      </c>
      <c r="B97" s="26" t="str">
        <f t="shared" si="2"/>
        <v>WK19</v>
      </c>
      <c r="C97" s="29"/>
      <c r="D97" s="29"/>
      <c r="E97" s="29"/>
      <c r="F97" s="29"/>
      <c r="G97" s="29"/>
      <c r="H97" s="29"/>
      <c r="I97" s="29"/>
      <c r="J97" s="31"/>
    </row>
    <row r="98" ht="18.0" customHeight="1">
      <c r="A98" s="24">
        <f t="shared" si="1"/>
        <v>46888</v>
      </c>
      <c r="B98" s="26" t="str">
        <f t="shared" si="2"/>
        <v>WK20</v>
      </c>
      <c r="C98" s="29"/>
      <c r="D98" s="29"/>
      <c r="E98" s="29"/>
      <c r="F98" s="29"/>
      <c r="G98" s="29"/>
      <c r="H98" s="29"/>
      <c r="I98" s="29"/>
      <c r="J98" s="31"/>
    </row>
    <row r="99" ht="18.0" customHeight="1">
      <c r="A99" s="24">
        <f t="shared" si="1"/>
        <v>46895</v>
      </c>
      <c r="B99" s="26" t="str">
        <f t="shared" si="2"/>
        <v>WK21</v>
      </c>
      <c r="C99" s="29"/>
      <c r="D99" s="29"/>
      <c r="E99" s="29"/>
      <c r="F99" s="29"/>
      <c r="G99" s="29"/>
      <c r="H99" s="29"/>
      <c r="I99" s="29"/>
      <c r="J99" s="31"/>
    </row>
    <row r="100" ht="18.0" customHeight="1">
      <c r="A100" s="24">
        <f t="shared" si="1"/>
        <v>46902</v>
      </c>
      <c r="B100" s="26" t="str">
        <f t="shared" si="2"/>
        <v>WK22</v>
      </c>
      <c r="C100" s="29"/>
      <c r="D100" s="29"/>
      <c r="E100" s="29"/>
      <c r="F100" s="29"/>
      <c r="G100" s="29"/>
      <c r="H100" s="29"/>
      <c r="I100" s="29"/>
      <c r="J100" s="31"/>
    </row>
    <row r="101" ht="18.0" customHeight="1">
      <c r="A101" s="24">
        <f t="shared" si="1"/>
        <v>46909</v>
      </c>
      <c r="B101" s="26" t="str">
        <f t="shared" si="2"/>
        <v>WK23</v>
      </c>
      <c r="C101" s="29"/>
      <c r="D101" s="29"/>
      <c r="E101" s="29"/>
      <c r="F101" s="29"/>
      <c r="G101" s="29"/>
      <c r="H101" s="29"/>
      <c r="I101" s="29"/>
      <c r="J101" s="31"/>
    </row>
    <row r="102" ht="18.0" customHeight="1">
      <c r="A102" s="24">
        <f t="shared" si="1"/>
        <v>46916</v>
      </c>
      <c r="B102" s="26" t="str">
        <f t="shared" si="2"/>
        <v>WK24</v>
      </c>
      <c r="C102" s="29"/>
      <c r="D102" s="29"/>
      <c r="E102" s="29"/>
      <c r="F102" s="29"/>
      <c r="G102" s="29"/>
      <c r="H102" s="29"/>
      <c r="I102" s="29"/>
      <c r="J102" s="31"/>
    </row>
    <row r="103" ht="18.0" customHeight="1">
      <c r="A103" s="24">
        <f t="shared" si="1"/>
        <v>46923</v>
      </c>
      <c r="B103" s="26" t="str">
        <f t="shared" si="2"/>
        <v>WK25</v>
      </c>
      <c r="C103" s="29"/>
      <c r="D103" s="29"/>
      <c r="E103" s="29"/>
      <c r="F103" s="29"/>
      <c r="G103" s="29"/>
      <c r="H103" s="29"/>
      <c r="I103" s="29"/>
      <c r="J103" s="31"/>
    </row>
    <row r="104" ht="18.0" customHeight="1">
      <c r="A104" s="24">
        <f t="shared" si="1"/>
        <v>46930</v>
      </c>
      <c r="B104" s="26" t="str">
        <f t="shared" si="2"/>
        <v>WK26</v>
      </c>
      <c r="C104" s="29"/>
      <c r="D104" s="29"/>
      <c r="E104" s="29"/>
      <c r="F104" s="29"/>
      <c r="G104" s="29"/>
      <c r="H104" s="29"/>
      <c r="I104" s="29"/>
      <c r="J104" s="31"/>
    </row>
    <row r="105" ht="18.0" customHeight="1">
      <c r="A105" s="24">
        <f t="shared" si="1"/>
        <v>46937</v>
      </c>
      <c r="B105" s="26" t="str">
        <f t="shared" si="2"/>
        <v>WK27</v>
      </c>
      <c r="C105" s="29"/>
      <c r="D105" s="29"/>
      <c r="E105" s="29"/>
      <c r="F105" s="29"/>
      <c r="G105" s="29"/>
      <c r="H105" s="29"/>
      <c r="I105" s="29"/>
      <c r="J105" s="31"/>
    </row>
    <row r="106" ht="18.0" customHeight="1">
      <c r="A106" s="24">
        <f t="shared" si="1"/>
        <v>46944</v>
      </c>
      <c r="B106" s="26" t="str">
        <f t="shared" si="2"/>
        <v>WK28</v>
      </c>
      <c r="C106" s="29"/>
      <c r="D106" s="29"/>
      <c r="E106" s="29"/>
      <c r="F106" s="29"/>
      <c r="G106" s="29"/>
      <c r="H106" s="29"/>
      <c r="I106" s="29"/>
      <c r="J106" s="31"/>
    </row>
    <row r="107" ht="18.0" customHeight="1">
      <c r="A107" s="24">
        <f t="shared" si="1"/>
        <v>46951</v>
      </c>
      <c r="B107" s="26" t="str">
        <f t="shared" si="2"/>
        <v>WK29</v>
      </c>
      <c r="C107" s="29"/>
      <c r="D107" s="29"/>
      <c r="E107" s="29"/>
      <c r="F107" s="29"/>
      <c r="G107" s="29"/>
      <c r="H107" s="29"/>
      <c r="I107" s="29"/>
      <c r="J107" s="31"/>
    </row>
    <row r="108" ht="18.0" customHeight="1">
      <c r="A108" s="24">
        <f t="shared" si="1"/>
        <v>46958</v>
      </c>
      <c r="B108" s="26" t="str">
        <f t="shared" si="2"/>
        <v>WK30</v>
      </c>
      <c r="C108" s="29"/>
      <c r="D108" s="29"/>
      <c r="E108" s="29"/>
      <c r="F108" s="29"/>
      <c r="G108" s="29"/>
      <c r="H108" s="29"/>
      <c r="I108" s="29"/>
      <c r="J108" s="31"/>
    </row>
    <row r="109" ht="18.0" customHeight="1">
      <c r="A109" s="24">
        <f t="shared" si="1"/>
        <v>46965</v>
      </c>
      <c r="B109" s="26" t="str">
        <f t="shared" si="2"/>
        <v>WK31</v>
      </c>
      <c r="C109" s="29"/>
      <c r="D109" s="29"/>
      <c r="E109" s="29"/>
      <c r="F109" s="29"/>
      <c r="G109" s="29"/>
      <c r="H109" s="29"/>
      <c r="I109" s="29"/>
      <c r="J109" s="31"/>
    </row>
    <row r="110" ht="18.0" customHeight="1">
      <c r="A110" s="24">
        <f t="shared" si="1"/>
        <v>46972</v>
      </c>
      <c r="B110" s="26" t="str">
        <f t="shared" si="2"/>
        <v>WK32</v>
      </c>
      <c r="C110" s="29"/>
      <c r="D110" s="29"/>
      <c r="E110" s="29"/>
      <c r="F110" s="29"/>
      <c r="G110" s="29"/>
      <c r="H110" s="29"/>
      <c r="I110" s="29"/>
      <c r="J110" s="31"/>
    </row>
    <row r="111" ht="18.0" customHeight="1">
      <c r="A111" s="24">
        <f t="shared" si="1"/>
        <v>46979</v>
      </c>
      <c r="B111" s="26" t="str">
        <f t="shared" si="2"/>
        <v>WK33</v>
      </c>
      <c r="C111" s="29"/>
      <c r="D111" s="29"/>
      <c r="E111" s="29"/>
      <c r="F111" s="29"/>
      <c r="G111" s="29"/>
      <c r="H111" s="29"/>
      <c r="I111" s="29"/>
      <c r="J111" s="31"/>
    </row>
    <row r="112" ht="18.0" customHeight="1">
      <c r="A112" s="24">
        <f t="shared" si="1"/>
        <v>46986</v>
      </c>
      <c r="B112" s="26" t="str">
        <f t="shared" si="2"/>
        <v>WK34</v>
      </c>
      <c r="C112" s="29"/>
      <c r="D112" s="29"/>
      <c r="E112" s="29"/>
      <c r="F112" s="29"/>
      <c r="G112" s="29"/>
      <c r="H112" s="29"/>
      <c r="I112" s="29"/>
      <c r="J112" s="31"/>
    </row>
    <row r="113" ht="18.0" customHeight="1">
      <c r="A113" s="24">
        <f t="shared" si="1"/>
        <v>46993</v>
      </c>
      <c r="B113" s="26" t="str">
        <f t="shared" si="2"/>
        <v>WK35</v>
      </c>
      <c r="C113" s="29"/>
      <c r="D113" s="29"/>
      <c r="E113" s="29"/>
      <c r="F113" s="29"/>
      <c r="G113" s="29"/>
      <c r="H113" s="29"/>
      <c r="I113" s="29"/>
      <c r="J113" s="31"/>
    </row>
    <row r="114" ht="18.0" customHeight="1">
      <c r="A114" s="24">
        <f t="shared" si="1"/>
        <v>47000</v>
      </c>
      <c r="B114" s="26" t="str">
        <f t="shared" si="2"/>
        <v>WK36</v>
      </c>
      <c r="C114" s="29"/>
      <c r="D114" s="29"/>
      <c r="E114" s="29"/>
      <c r="F114" s="29"/>
      <c r="G114" s="29"/>
      <c r="H114" s="29"/>
      <c r="I114" s="29"/>
      <c r="J114" s="31"/>
    </row>
    <row r="115" ht="18.0" customHeight="1">
      <c r="A115" s="24">
        <f t="shared" si="1"/>
        <v>47007</v>
      </c>
      <c r="B115" s="26" t="str">
        <f t="shared" si="2"/>
        <v>WK37</v>
      </c>
      <c r="C115" s="29"/>
      <c r="D115" s="29"/>
      <c r="E115" s="29"/>
      <c r="F115" s="29"/>
      <c r="G115" s="29"/>
      <c r="H115" s="29"/>
      <c r="I115" s="29"/>
      <c r="J115" s="31"/>
    </row>
    <row r="116" ht="18.0" customHeight="1">
      <c r="A116" s="24">
        <f t="shared" si="1"/>
        <v>47014</v>
      </c>
      <c r="B116" s="26" t="str">
        <f t="shared" si="2"/>
        <v>WK38</v>
      </c>
      <c r="C116" s="29"/>
      <c r="D116" s="29"/>
      <c r="E116" s="29"/>
      <c r="F116" s="29"/>
      <c r="G116" s="29"/>
      <c r="H116" s="29"/>
      <c r="I116" s="29"/>
      <c r="J116" s="31"/>
    </row>
    <row r="117" ht="18.0" customHeight="1">
      <c r="A117" s="24">
        <f t="shared" si="1"/>
        <v>47021</v>
      </c>
      <c r="B117" s="26" t="str">
        <f t="shared" si="2"/>
        <v>WK39</v>
      </c>
      <c r="C117" s="29"/>
      <c r="D117" s="29"/>
      <c r="E117" s="29"/>
      <c r="F117" s="29"/>
      <c r="G117" s="29"/>
      <c r="H117" s="29"/>
      <c r="I117" s="29"/>
      <c r="J117" s="31"/>
    </row>
    <row r="118" ht="18.0" customHeight="1">
      <c r="A118" s="24">
        <f t="shared" si="1"/>
        <v>47028</v>
      </c>
      <c r="B118" s="26" t="str">
        <f t="shared" si="2"/>
        <v>WK40</v>
      </c>
      <c r="C118" s="29"/>
      <c r="D118" s="29"/>
      <c r="E118" s="29"/>
      <c r="F118" s="29"/>
      <c r="G118" s="29"/>
      <c r="H118" s="29"/>
      <c r="I118" s="29"/>
      <c r="J118" s="31"/>
    </row>
    <row r="119" ht="18.0" customHeight="1">
      <c r="A119" s="24">
        <f t="shared" si="1"/>
        <v>47035</v>
      </c>
      <c r="B119" s="26" t="str">
        <f t="shared" si="2"/>
        <v>WK41</v>
      </c>
      <c r="C119" s="29"/>
      <c r="D119" s="29"/>
      <c r="E119" s="29"/>
      <c r="F119" s="29"/>
      <c r="G119" s="29"/>
      <c r="H119" s="29"/>
      <c r="I119" s="29"/>
      <c r="J119" s="31"/>
    </row>
    <row r="120" ht="18.0" customHeight="1">
      <c r="A120" s="24">
        <f t="shared" si="1"/>
        <v>47042</v>
      </c>
      <c r="B120" s="26" t="str">
        <f t="shared" si="2"/>
        <v>WK42</v>
      </c>
      <c r="C120" s="29"/>
      <c r="D120" s="29"/>
      <c r="E120" s="29"/>
      <c r="F120" s="29"/>
      <c r="G120" s="29"/>
      <c r="H120" s="29"/>
      <c r="I120" s="29"/>
      <c r="J120" s="31"/>
    </row>
    <row r="121" ht="18.0" customHeight="1">
      <c r="A121" s="24">
        <f t="shared" si="1"/>
        <v>47049</v>
      </c>
      <c r="B121" s="26" t="str">
        <f t="shared" si="2"/>
        <v>WK43</v>
      </c>
      <c r="C121" s="29"/>
      <c r="D121" s="29"/>
      <c r="E121" s="29"/>
      <c r="F121" s="29"/>
      <c r="G121" s="29"/>
      <c r="H121" s="29"/>
      <c r="I121" s="29"/>
      <c r="J121" s="31"/>
    </row>
    <row r="122" ht="18.0" customHeight="1">
      <c r="A122" s="24">
        <f t="shared" si="1"/>
        <v>47056</v>
      </c>
      <c r="B122" s="26" t="str">
        <f t="shared" si="2"/>
        <v>WK44</v>
      </c>
      <c r="C122" s="29"/>
      <c r="D122" s="29"/>
      <c r="E122" s="29"/>
      <c r="F122" s="29"/>
      <c r="G122" s="29"/>
      <c r="H122" s="29"/>
      <c r="I122" s="29"/>
      <c r="J122" s="31"/>
    </row>
    <row r="123" ht="18.0" customHeight="1">
      <c r="A123" s="24">
        <f t="shared" si="1"/>
        <v>47063</v>
      </c>
      <c r="B123" s="26" t="str">
        <f t="shared" si="2"/>
        <v>WK45</v>
      </c>
      <c r="C123" s="29"/>
      <c r="D123" s="29"/>
      <c r="E123" s="29"/>
      <c r="F123" s="29"/>
      <c r="G123" s="29"/>
      <c r="H123" s="29"/>
      <c r="I123" s="29"/>
      <c r="J123" s="31"/>
    </row>
    <row r="124" ht="18.0" customHeight="1">
      <c r="A124" s="24">
        <f t="shared" si="1"/>
        <v>47070</v>
      </c>
      <c r="B124" s="26" t="str">
        <f t="shared" si="2"/>
        <v>WK46</v>
      </c>
      <c r="C124" s="29"/>
      <c r="D124" s="29"/>
      <c r="E124" s="29"/>
      <c r="F124" s="29"/>
      <c r="G124" s="29"/>
      <c r="H124" s="29"/>
      <c r="I124" s="29"/>
      <c r="J124" s="31"/>
    </row>
    <row r="125" ht="18.0" customHeight="1">
      <c r="A125" s="24">
        <f t="shared" si="1"/>
        <v>47077</v>
      </c>
      <c r="B125" s="26" t="str">
        <f t="shared" si="2"/>
        <v>WK47</v>
      </c>
      <c r="C125" s="29"/>
      <c r="D125" s="29"/>
      <c r="E125" s="29"/>
      <c r="F125" s="29"/>
      <c r="G125" s="29"/>
      <c r="H125" s="29"/>
      <c r="I125" s="29"/>
      <c r="J125" s="31"/>
    </row>
    <row r="126" ht="18.0" customHeight="1">
      <c r="A126" s="24">
        <f t="shared" si="1"/>
        <v>47084</v>
      </c>
      <c r="B126" s="26" t="str">
        <f t="shared" si="2"/>
        <v>WK48</v>
      </c>
      <c r="C126" s="29"/>
      <c r="D126" s="29"/>
      <c r="E126" s="29"/>
      <c r="F126" s="29"/>
      <c r="G126" s="29"/>
      <c r="H126" s="29"/>
      <c r="I126" s="29"/>
      <c r="J126" s="31"/>
    </row>
    <row r="127" ht="18.0" customHeight="1">
      <c r="A127" s="24">
        <f t="shared" si="1"/>
        <v>47091</v>
      </c>
      <c r="B127" s="26" t="str">
        <f t="shared" si="2"/>
        <v>WK49</v>
      </c>
      <c r="C127" s="29"/>
      <c r="D127" s="29"/>
      <c r="E127" s="29"/>
      <c r="F127" s="29"/>
      <c r="G127" s="29"/>
      <c r="H127" s="29"/>
      <c r="I127" s="29"/>
      <c r="J127" s="31"/>
    </row>
    <row r="128" ht="18.0" customHeight="1">
      <c r="A128" s="24">
        <f t="shared" si="1"/>
        <v>47098</v>
      </c>
      <c r="B128" s="26" t="str">
        <f t="shared" si="2"/>
        <v>WK50</v>
      </c>
      <c r="C128" s="29"/>
      <c r="D128" s="29"/>
      <c r="E128" s="29"/>
      <c r="F128" s="29"/>
      <c r="G128" s="29"/>
      <c r="H128" s="29"/>
      <c r="I128" s="29"/>
      <c r="J128" s="31"/>
    </row>
    <row r="129" ht="18.0" customHeight="1">
      <c r="A129" s="24">
        <f t="shared" si="1"/>
        <v>47105</v>
      </c>
      <c r="B129" s="26" t="str">
        <f t="shared" si="2"/>
        <v>WK51</v>
      </c>
      <c r="C129" s="29"/>
      <c r="D129" s="29"/>
      <c r="E129" s="29"/>
      <c r="F129" s="29"/>
      <c r="G129" s="29"/>
      <c r="H129" s="29"/>
      <c r="I129" s="29"/>
      <c r="J129" s="31"/>
    </row>
    <row r="130" ht="18.0" customHeight="1">
      <c r="A130" s="24">
        <f t="shared" si="1"/>
        <v>47112</v>
      </c>
      <c r="B130" s="26" t="str">
        <f t="shared" si="2"/>
        <v>WK52</v>
      </c>
      <c r="C130" s="29"/>
      <c r="D130" s="29"/>
      <c r="E130" s="29"/>
      <c r="F130" s="29"/>
      <c r="G130" s="29"/>
      <c r="H130" s="29"/>
      <c r="I130" s="29"/>
      <c r="J130" s="31"/>
    </row>
    <row r="131" ht="18.0" customHeight="1">
      <c r="A131" s="24">
        <f t="shared" si="1"/>
        <v>47119</v>
      </c>
      <c r="B131" s="26" t="str">
        <f t="shared" si="2"/>
        <v>WK01</v>
      </c>
      <c r="C131" s="29"/>
      <c r="D131" s="29"/>
      <c r="E131" s="29"/>
      <c r="F131" s="29"/>
      <c r="G131" s="29"/>
      <c r="H131" s="29"/>
      <c r="I131" s="29"/>
      <c r="J131" s="31"/>
    </row>
    <row r="132" ht="18.0" customHeight="1">
      <c r="A132" s="24">
        <f t="shared" si="1"/>
        <v>47126</v>
      </c>
      <c r="B132" s="26" t="str">
        <f t="shared" si="2"/>
        <v>WK02</v>
      </c>
      <c r="C132" s="29"/>
      <c r="D132" s="29"/>
      <c r="E132" s="29"/>
      <c r="F132" s="29"/>
      <c r="G132" s="29"/>
      <c r="H132" s="29"/>
      <c r="I132" s="29"/>
      <c r="J132" s="31"/>
    </row>
    <row r="133" ht="18.0" customHeight="1">
      <c r="A133" s="24">
        <f t="shared" si="1"/>
        <v>47133</v>
      </c>
      <c r="B133" s="26" t="str">
        <f t="shared" si="2"/>
        <v>WK03</v>
      </c>
      <c r="C133" s="29"/>
      <c r="D133" s="29"/>
      <c r="E133" s="29"/>
      <c r="F133" s="29"/>
      <c r="G133" s="29"/>
      <c r="H133" s="29"/>
      <c r="I133" s="29"/>
      <c r="J133" s="31"/>
    </row>
    <row r="134" ht="18.0" customHeight="1">
      <c r="A134" s="24">
        <f t="shared" si="1"/>
        <v>47140</v>
      </c>
      <c r="B134" s="26" t="str">
        <f t="shared" si="2"/>
        <v>WK04</v>
      </c>
      <c r="C134" s="29"/>
      <c r="D134" s="29"/>
      <c r="E134" s="29"/>
      <c r="F134" s="29"/>
      <c r="G134" s="29"/>
      <c r="H134" s="29"/>
      <c r="I134" s="29"/>
      <c r="J134" s="31"/>
    </row>
    <row r="135" ht="18.0" customHeight="1">
      <c r="A135" s="24">
        <f t="shared" si="1"/>
        <v>47147</v>
      </c>
      <c r="B135" s="26" t="str">
        <f t="shared" si="2"/>
        <v>WK05</v>
      </c>
      <c r="C135" s="29"/>
      <c r="D135" s="29"/>
      <c r="E135" s="29"/>
      <c r="F135" s="29"/>
      <c r="G135" s="29"/>
      <c r="H135" s="29"/>
      <c r="I135" s="29"/>
      <c r="J135" s="31"/>
    </row>
    <row r="136" ht="18.0" customHeight="1">
      <c r="A136" s="24">
        <f t="shared" si="1"/>
        <v>47154</v>
      </c>
      <c r="B136" s="26" t="str">
        <f t="shared" si="2"/>
        <v>WK06</v>
      </c>
      <c r="C136" s="29"/>
      <c r="D136" s="29"/>
      <c r="E136" s="29"/>
      <c r="F136" s="29"/>
      <c r="G136" s="29"/>
      <c r="H136" s="29"/>
      <c r="I136" s="29"/>
      <c r="J136" s="31"/>
    </row>
    <row r="137" ht="18.0" customHeight="1">
      <c r="A137" s="24">
        <f t="shared" si="1"/>
        <v>47161</v>
      </c>
      <c r="B137" s="26" t="str">
        <f t="shared" si="2"/>
        <v>WK07</v>
      </c>
      <c r="C137" s="29"/>
      <c r="D137" s="29"/>
      <c r="E137" s="29"/>
      <c r="F137" s="29"/>
      <c r="G137" s="29"/>
      <c r="H137" s="29"/>
      <c r="I137" s="29"/>
      <c r="J137" s="31"/>
    </row>
    <row r="138" ht="18.0" customHeight="1">
      <c r="A138" s="24">
        <f t="shared" si="1"/>
        <v>47168</v>
      </c>
      <c r="B138" s="26" t="str">
        <f t="shared" si="2"/>
        <v>WK08</v>
      </c>
      <c r="C138" s="29"/>
      <c r="D138" s="29"/>
      <c r="E138" s="29"/>
      <c r="F138" s="29"/>
      <c r="G138" s="29"/>
      <c r="H138" s="29"/>
      <c r="I138" s="29"/>
      <c r="J138" s="31"/>
    </row>
    <row r="139" ht="18.0" customHeight="1">
      <c r="A139" s="24">
        <f t="shared" si="1"/>
        <v>47175</v>
      </c>
      <c r="B139" s="26" t="str">
        <f t="shared" si="2"/>
        <v>WK09</v>
      </c>
      <c r="C139" s="29"/>
      <c r="D139" s="29"/>
      <c r="E139" s="29"/>
      <c r="F139" s="29"/>
      <c r="G139" s="29"/>
      <c r="H139" s="29"/>
      <c r="I139" s="29"/>
      <c r="J139" s="31"/>
    </row>
    <row r="140" ht="18.0" customHeight="1">
      <c r="A140" s="24">
        <f t="shared" si="1"/>
        <v>47182</v>
      </c>
      <c r="B140" s="26" t="str">
        <f t="shared" si="2"/>
        <v>WK10</v>
      </c>
      <c r="C140" s="29"/>
      <c r="D140" s="29"/>
      <c r="E140" s="29"/>
      <c r="F140" s="29"/>
      <c r="G140" s="29"/>
      <c r="H140" s="29"/>
      <c r="I140" s="29"/>
      <c r="J140" s="31"/>
    </row>
    <row r="141" ht="18.0" customHeight="1">
      <c r="A141" s="24">
        <f t="shared" si="1"/>
        <v>47189</v>
      </c>
      <c r="B141" s="26" t="str">
        <f t="shared" si="2"/>
        <v>WK11</v>
      </c>
      <c r="C141" s="29"/>
      <c r="D141" s="29"/>
      <c r="E141" s="29"/>
      <c r="F141" s="29"/>
      <c r="G141" s="29"/>
      <c r="H141" s="29"/>
      <c r="I141" s="29"/>
      <c r="J141" s="31"/>
    </row>
    <row r="142" ht="18.0" customHeight="1">
      <c r="A142" s="24">
        <f t="shared" si="1"/>
        <v>47196</v>
      </c>
      <c r="B142" s="26" t="str">
        <f t="shared" si="2"/>
        <v>WK12</v>
      </c>
      <c r="C142" s="29"/>
      <c r="D142" s="29"/>
      <c r="E142" s="29"/>
      <c r="F142" s="29"/>
      <c r="G142" s="29"/>
      <c r="H142" s="29"/>
      <c r="I142" s="29"/>
      <c r="J142" s="31"/>
    </row>
    <row r="143" ht="18.0" customHeight="1">
      <c r="A143" s="24">
        <f t="shared" si="1"/>
        <v>47203</v>
      </c>
      <c r="B143" s="26" t="str">
        <f t="shared" si="2"/>
        <v>WK13</v>
      </c>
      <c r="C143" s="29"/>
      <c r="D143" s="29"/>
      <c r="E143" s="29"/>
      <c r="F143" s="29"/>
      <c r="G143" s="29"/>
      <c r="H143" s="29"/>
      <c r="I143" s="29"/>
      <c r="J143" s="31"/>
    </row>
    <row r="144" ht="18.0" customHeight="1">
      <c r="A144" s="24">
        <f t="shared" si="1"/>
        <v>47210</v>
      </c>
      <c r="B144" s="26" t="str">
        <f t="shared" si="2"/>
        <v>WK14</v>
      </c>
      <c r="C144" s="29"/>
      <c r="D144" s="29"/>
      <c r="E144" s="29"/>
      <c r="F144" s="29"/>
      <c r="G144" s="29"/>
      <c r="H144" s="29"/>
      <c r="I144" s="29"/>
      <c r="J144" s="31"/>
    </row>
    <row r="145" ht="18.0" customHeight="1">
      <c r="A145" s="24">
        <f t="shared" si="1"/>
        <v>47217</v>
      </c>
      <c r="B145" s="26" t="str">
        <f t="shared" si="2"/>
        <v>WK15</v>
      </c>
      <c r="C145" s="29"/>
      <c r="D145" s="29"/>
      <c r="E145" s="29"/>
      <c r="F145" s="29"/>
      <c r="G145" s="29"/>
      <c r="H145" s="29"/>
      <c r="I145" s="29"/>
      <c r="J145" s="31"/>
    </row>
    <row r="146" ht="18.0" customHeight="1">
      <c r="A146" s="24">
        <f t="shared" si="1"/>
        <v>47224</v>
      </c>
      <c r="B146" s="26" t="str">
        <f t="shared" si="2"/>
        <v>WK16</v>
      </c>
      <c r="C146" s="29"/>
      <c r="D146" s="29"/>
      <c r="E146" s="29"/>
      <c r="F146" s="29"/>
      <c r="G146" s="29"/>
      <c r="H146" s="29"/>
      <c r="I146" s="29"/>
      <c r="J146" s="31"/>
    </row>
    <row r="147" ht="18.0" customHeight="1">
      <c r="A147" s="24">
        <f t="shared" si="1"/>
        <v>47231</v>
      </c>
      <c r="B147" s="26" t="str">
        <f t="shared" si="2"/>
        <v>WK17</v>
      </c>
      <c r="C147" s="29"/>
      <c r="D147" s="29"/>
      <c r="E147" s="29"/>
      <c r="F147" s="29"/>
      <c r="G147" s="29"/>
      <c r="H147" s="29"/>
      <c r="I147" s="29"/>
      <c r="J147" s="31"/>
    </row>
    <row r="148" ht="18.0" customHeight="1">
      <c r="A148" s="24">
        <f t="shared" si="1"/>
        <v>47238</v>
      </c>
      <c r="B148" s="26" t="str">
        <f t="shared" si="2"/>
        <v>WK18</v>
      </c>
      <c r="C148" s="29"/>
      <c r="D148" s="29"/>
      <c r="E148" s="29"/>
      <c r="F148" s="29"/>
      <c r="G148" s="29"/>
      <c r="H148" s="29"/>
      <c r="I148" s="29"/>
      <c r="J148" s="31"/>
    </row>
    <row r="149" ht="18.0" customHeight="1">
      <c r="A149" s="24">
        <f t="shared" si="1"/>
        <v>47245</v>
      </c>
      <c r="B149" s="26" t="str">
        <f t="shared" si="2"/>
        <v>WK19</v>
      </c>
      <c r="C149" s="29"/>
      <c r="D149" s="29"/>
      <c r="E149" s="29"/>
      <c r="F149" s="29"/>
      <c r="G149" s="29"/>
      <c r="H149" s="29"/>
      <c r="I149" s="29"/>
      <c r="J149" s="31"/>
    </row>
    <row r="150" ht="18.0" customHeight="1">
      <c r="A150" s="24">
        <f t="shared" si="1"/>
        <v>47252</v>
      </c>
      <c r="B150" s="26" t="str">
        <f t="shared" si="2"/>
        <v>WK20</v>
      </c>
      <c r="C150" s="29"/>
      <c r="D150" s="29"/>
      <c r="E150" s="29"/>
      <c r="F150" s="29"/>
      <c r="G150" s="29"/>
      <c r="H150" s="29"/>
      <c r="I150" s="29"/>
      <c r="J150" s="31"/>
    </row>
    <row r="151" ht="18.0" customHeight="1">
      <c r="A151" s="24">
        <f t="shared" si="1"/>
        <v>47259</v>
      </c>
      <c r="B151" s="26" t="str">
        <f t="shared" si="2"/>
        <v>WK21</v>
      </c>
      <c r="C151" s="29"/>
      <c r="D151" s="29"/>
      <c r="E151" s="29"/>
      <c r="F151" s="29"/>
      <c r="G151" s="29"/>
      <c r="H151" s="29"/>
      <c r="I151" s="29"/>
      <c r="J151" s="31"/>
    </row>
    <row r="152" ht="18.0" customHeight="1">
      <c r="A152" s="24">
        <f t="shared" si="1"/>
        <v>47266</v>
      </c>
      <c r="B152" s="26" t="str">
        <f t="shared" si="2"/>
        <v>WK22</v>
      </c>
      <c r="C152" s="29"/>
      <c r="D152" s="29"/>
      <c r="E152" s="29"/>
      <c r="F152" s="29"/>
      <c r="G152" s="29"/>
      <c r="H152" s="29"/>
      <c r="I152" s="29"/>
      <c r="J152" s="31"/>
    </row>
    <row r="153" ht="18.0" customHeight="1">
      <c r="A153" s="24">
        <f t="shared" si="1"/>
        <v>47273</v>
      </c>
      <c r="B153" s="26" t="str">
        <f t="shared" si="2"/>
        <v>WK23</v>
      </c>
      <c r="C153" s="29"/>
      <c r="D153" s="29"/>
      <c r="E153" s="29"/>
      <c r="F153" s="29"/>
      <c r="G153" s="29"/>
      <c r="H153" s="29"/>
      <c r="I153" s="29"/>
      <c r="J153" s="31"/>
    </row>
    <row r="154" ht="18.0" customHeight="1">
      <c r="A154" s="24">
        <f t="shared" si="1"/>
        <v>47280</v>
      </c>
      <c r="B154" s="26" t="str">
        <f t="shared" si="2"/>
        <v>WK24</v>
      </c>
      <c r="C154" s="29"/>
      <c r="D154" s="29"/>
      <c r="E154" s="29"/>
      <c r="F154" s="29"/>
      <c r="G154" s="29"/>
      <c r="H154" s="29"/>
      <c r="I154" s="29"/>
      <c r="J154" s="31"/>
    </row>
    <row r="155" ht="18.0" customHeight="1">
      <c r="A155" s="24">
        <f t="shared" si="1"/>
        <v>47287</v>
      </c>
      <c r="B155" s="26" t="str">
        <f t="shared" si="2"/>
        <v>WK25</v>
      </c>
      <c r="C155" s="29"/>
      <c r="D155" s="29"/>
      <c r="E155" s="29"/>
      <c r="F155" s="29"/>
      <c r="G155" s="29"/>
      <c r="H155" s="29"/>
      <c r="I155" s="29"/>
      <c r="J155" s="31"/>
    </row>
    <row r="156" ht="18.0" customHeight="1">
      <c r="A156" s="24">
        <f t="shared" si="1"/>
        <v>47294</v>
      </c>
      <c r="B156" s="26" t="str">
        <f t="shared" si="2"/>
        <v>WK26</v>
      </c>
      <c r="C156" s="29"/>
      <c r="D156" s="29"/>
      <c r="E156" s="29"/>
      <c r="F156" s="29"/>
      <c r="G156" s="29"/>
      <c r="H156" s="29"/>
      <c r="I156" s="29"/>
      <c r="J156" s="31"/>
    </row>
    <row r="157" ht="18.0" customHeight="1">
      <c r="A157" s="24">
        <f t="shared" si="1"/>
        <v>47301</v>
      </c>
      <c r="B157" s="26" t="str">
        <f t="shared" si="2"/>
        <v>WK27</v>
      </c>
      <c r="C157" s="29"/>
      <c r="D157" s="29"/>
      <c r="E157" s="29"/>
      <c r="F157" s="29"/>
      <c r="G157" s="29"/>
      <c r="H157" s="29"/>
      <c r="I157" s="29"/>
      <c r="J157" s="31"/>
    </row>
    <row r="158" ht="18.0" customHeight="1">
      <c r="A158" s="24">
        <f t="shared" si="1"/>
        <v>47308</v>
      </c>
      <c r="B158" s="26" t="str">
        <f t="shared" si="2"/>
        <v>WK28</v>
      </c>
      <c r="C158" s="29"/>
      <c r="D158" s="29"/>
      <c r="E158" s="29"/>
      <c r="F158" s="29"/>
      <c r="G158" s="29"/>
      <c r="H158" s="29"/>
      <c r="I158" s="29"/>
      <c r="J158" s="31"/>
    </row>
    <row r="159" ht="18.0" customHeight="1">
      <c r="A159" s="24">
        <f t="shared" si="1"/>
        <v>47315</v>
      </c>
      <c r="B159" s="26" t="str">
        <f t="shared" si="2"/>
        <v>WK29</v>
      </c>
      <c r="C159" s="29"/>
      <c r="D159" s="29"/>
      <c r="E159" s="29"/>
      <c r="F159" s="29"/>
      <c r="G159" s="29"/>
      <c r="H159" s="29"/>
      <c r="I159" s="29"/>
      <c r="J159" s="31"/>
    </row>
    <row r="160" ht="18.0" customHeight="1">
      <c r="A160" s="24">
        <f t="shared" si="1"/>
        <v>47322</v>
      </c>
      <c r="B160" s="26" t="str">
        <f t="shared" si="2"/>
        <v>WK30</v>
      </c>
      <c r="C160" s="29"/>
      <c r="D160" s="29"/>
      <c r="E160" s="29"/>
      <c r="F160" s="29"/>
      <c r="G160" s="29"/>
      <c r="H160" s="29"/>
      <c r="I160" s="29"/>
      <c r="J160" s="31"/>
    </row>
    <row r="161">
      <c r="A161" s="52"/>
      <c r="B161" s="52"/>
      <c r="C161" s="53"/>
      <c r="D161" s="53"/>
      <c r="E161" s="53"/>
      <c r="F161" s="53"/>
      <c r="G161" s="53"/>
      <c r="H161" s="53"/>
      <c r="I161" s="53"/>
      <c r="J161" s="53"/>
    </row>
    <row r="162">
      <c r="A162" s="52"/>
      <c r="B162" s="52"/>
      <c r="C162" s="53"/>
      <c r="D162" s="53"/>
      <c r="E162" s="53"/>
      <c r="F162" s="53"/>
      <c r="G162" s="53"/>
      <c r="H162" s="53"/>
      <c r="I162" s="53"/>
      <c r="J162" s="53"/>
    </row>
    <row r="163">
      <c r="A163" s="52"/>
      <c r="B163" s="52"/>
      <c r="C163" s="53"/>
      <c r="D163" s="53"/>
      <c r="E163" s="53"/>
      <c r="F163" s="53"/>
      <c r="G163" s="53"/>
      <c r="H163" s="53"/>
      <c r="I163" s="53"/>
      <c r="J163" s="53"/>
    </row>
    <row r="164">
      <c r="A164" s="52"/>
      <c r="B164" s="52"/>
      <c r="C164" s="53"/>
      <c r="D164" s="53"/>
      <c r="E164" s="53"/>
      <c r="F164" s="53"/>
      <c r="G164" s="53"/>
      <c r="H164" s="53"/>
      <c r="I164" s="53"/>
      <c r="J164" s="53"/>
    </row>
    <row r="165">
      <c r="A165" s="52"/>
      <c r="B165" s="52"/>
      <c r="C165" s="53"/>
      <c r="D165" s="53"/>
      <c r="E165" s="53"/>
      <c r="F165" s="53"/>
      <c r="G165" s="53"/>
      <c r="H165" s="53"/>
      <c r="I165" s="53"/>
      <c r="J165" s="53"/>
    </row>
    <row r="166">
      <c r="A166" s="52"/>
      <c r="B166" s="52"/>
      <c r="C166" s="53"/>
      <c r="D166" s="53"/>
      <c r="E166" s="53"/>
      <c r="F166" s="53"/>
      <c r="G166" s="53"/>
      <c r="H166" s="53"/>
      <c r="I166" s="53"/>
      <c r="J166" s="53"/>
    </row>
    <row r="167">
      <c r="A167" s="52"/>
      <c r="B167" s="52"/>
      <c r="C167" s="53"/>
      <c r="D167" s="53"/>
      <c r="E167" s="53"/>
      <c r="F167" s="53"/>
      <c r="G167" s="53"/>
      <c r="H167" s="53"/>
      <c r="I167" s="53"/>
      <c r="J167" s="53"/>
    </row>
    <row r="168">
      <c r="A168" s="52"/>
      <c r="B168" s="52"/>
      <c r="C168" s="53"/>
      <c r="D168" s="53"/>
      <c r="E168" s="53"/>
      <c r="F168" s="53"/>
      <c r="G168" s="53"/>
      <c r="H168" s="53"/>
      <c r="I168" s="53"/>
      <c r="J168" s="53"/>
    </row>
    <row r="169">
      <c r="A169" s="52"/>
      <c r="B169" s="52"/>
      <c r="C169" s="53"/>
      <c r="D169" s="53"/>
      <c r="E169" s="53"/>
      <c r="F169" s="53"/>
      <c r="G169" s="53"/>
      <c r="H169" s="53"/>
      <c r="I169" s="53"/>
      <c r="J169" s="53"/>
    </row>
    <row r="170">
      <c r="A170" s="52"/>
      <c r="B170" s="52"/>
      <c r="C170" s="53"/>
      <c r="D170" s="53"/>
      <c r="E170" s="53"/>
      <c r="F170" s="53"/>
      <c r="G170" s="53"/>
      <c r="H170" s="53"/>
      <c r="I170" s="53"/>
      <c r="J170" s="53"/>
    </row>
    <row r="171">
      <c r="A171" s="52"/>
      <c r="B171" s="52"/>
      <c r="C171" s="53"/>
      <c r="D171" s="53"/>
      <c r="E171" s="53"/>
      <c r="F171" s="53"/>
      <c r="G171" s="53"/>
      <c r="H171" s="53"/>
      <c r="I171" s="53"/>
      <c r="J171" s="53"/>
    </row>
    <row r="172">
      <c r="A172" s="52"/>
      <c r="B172" s="52"/>
      <c r="C172" s="53"/>
      <c r="D172" s="53"/>
      <c r="E172" s="53"/>
      <c r="F172" s="53"/>
      <c r="G172" s="53"/>
      <c r="H172" s="53"/>
      <c r="I172" s="53"/>
      <c r="J172" s="53"/>
    </row>
    <row r="173">
      <c r="A173" s="52"/>
      <c r="B173" s="52"/>
      <c r="C173" s="53"/>
      <c r="D173" s="53"/>
      <c r="E173" s="53"/>
      <c r="F173" s="53"/>
      <c r="G173" s="53"/>
      <c r="H173" s="53"/>
      <c r="I173" s="53"/>
      <c r="J173" s="53"/>
    </row>
    <row r="174">
      <c r="A174" s="52"/>
      <c r="B174" s="52"/>
      <c r="C174" s="53"/>
      <c r="D174" s="53"/>
      <c r="E174" s="53"/>
      <c r="F174" s="53"/>
      <c r="G174" s="53"/>
      <c r="H174" s="53"/>
      <c r="I174" s="53"/>
      <c r="J174" s="53"/>
    </row>
    <row r="175">
      <c r="A175" s="52"/>
      <c r="B175" s="52"/>
      <c r="C175" s="53"/>
      <c r="D175" s="53"/>
      <c r="E175" s="53"/>
      <c r="F175" s="53"/>
      <c r="G175" s="53"/>
      <c r="H175" s="53"/>
      <c r="I175" s="53"/>
      <c r="J175" s="53"/>
    </row>
    <row r="176">
      <c r="A176" s="52"/>
      <c r="B176" s="52"/>
      <c r="C176" s="53"/>
      <c r="D176" s="53"/>
      <c r="E176" s="53"/>
      <c r="F176" s="53"/>
      <c r="G176" s="53"/>
      <c r="H176" s="53"/>
      <c r="I176" s="53"/>
      <c r="J176" s="53"/>
    </row>
    <row r="177">
      <c r="A177" s="52"/>
      <c r="B177" s="52"/>
      <c r="C177" s="53"/>
      <c r="D177" s="53"/>
      <c r="E177" s="53"/>
      <c r="F177" s="53"/>
      <c r="G177" s="53"/>
      <c r="H177" s="53"/>
      <c r="I177" s="53"/>
      <c r="J177" s="53"/>
    </row>
    <row r="178">
      <c r="A178" s="52"/>
      <c r="B178" s="52"/>
      <c r="C178" s="53"/>
      <c r="D178" s="53"/>
      <c r="E178" s="53"/>
      <c r="F178" s="53"/>
      <c r="G178" s="53"/>
      <c r="H178" s="53"/>
      <c r="I178" s="53"/>
      <c r="J178" s="53"/>
    </row>
    <row r="179">
      <c r="A179" s="52"/>
      <c r="B179" s="52"/>
      <c r="C179" s="53"/>
      <c r="D179" s="53"/>
      <c r="E179" s="53"/>
      <c r="F179" s="53"/>
      <c r="G179" s="53"/>
      <c r="H179" s="53"/>
      <c r="I179" s="53"/>
      <c r="J179" s="53"/>
    </row>
    <row r="180">
      <c r="A180" s="52"/>
      <c r="B180" s="52"/>
      <c r="C180" s="53"/>
      <c r="D180" s="53"/>
      <c r="E180" s="53"/>
      <c r="F180" s="53"/>
      <c r="G180" s="53"/>
      <c r="H180" s="53"/>
      <c r="I180" s="53"/>
      <c r="J180" s="53"/>
    </row>
    <row r="181">
      <c r="A181" s="52"/>
      <c r="B181" s="52"/>
      <c r="C181" s="53"/>
      <c r="D181" s="53"/>
      <c r="E181" s="53"/>
      <c r="F181" s="53"/>
      <c r="G181" s="53"/>
      <c r="H181" s="53"/>
      <c r="I181" s="53"/>
      <c r="J181" s="53"/>
    </row>
    <row r="182">
      <c r="A182" s="52"/>
      <c r="B182" s="52"/>
      <c r="C182" s="53"/>
      <c r="D182" s="53"/>
      <c r="E182" s="53"/>
      <c r="F182" s="53"/>
      <c r="G182" s="53"/>
      <c r="H182" s="53"/>
      <c r="I182" s="53"/>
      <c r="J182" s="53"/>
    </row>
    <row r="183">
      <c r="A183" s="52"/>
      <c r="B183" s="52"/>
      <c r="C183" s="53"/>
      <c r="D183" s="53"/>
      <c r="E183" s="53"/>
      <c r="F183" s="53"/>
      <c r="G183" s="53"/>
      <c r="H183" s="53"/>
      <c r="I183" s="53"/>
      <c r="J183" s="53"/>
    </row>
    <row r="184">
      <c r="A184" s="52"/>
      <c r="B184" s="52"/>
      <c r="C184" s="53"/>
      <c r="D184" s="53"/>
      <c r="E184" s="53"/>
      <c r="F184" s="53"/>
      <c r="G184" s="53"/>
      <c r="H184" s="53"/>
      <c r="I184" s="53"/>
      <c r="J184" s="53"/>
    </row>
    <row r="185">
      <c r="A185" s="52"/>
      <c r="B185" s="52"/>
      <c r="C185" s="53"/>
      <c r="D185" s="53"/>
      <c r="E185" s="53"/>
      <c r="F185" s="53"/>
      <c r="G185" s="53"/>
      <c r="H185" s="53"/>
      <c r="I185" s="53"/>
      <c r="J185" s="53"/>
    </row>
    <row r="186">
      <c r="A186" s="52"/>
      <c r="B186" s="52"/>
      <c r="C186" s="53"/>
      <c r="D186" s="53"/>
      <c r="E186" s="53"/>
      <c r="F186" s="53"/>
      <c r="G186" s="53"/>
      <c r="H186" s="53"/>
      <c r="I186" s="53"/>
      <c r="J186" s="53"/>
    </row>
    <row r="187">
      <c r="A187" s="52"/>
      <c r="B187" s="52"/>
      <c r="C187" s="53"/>
      <c r="D187" s="53"/>
      <c r="E187" s="53"/>
      <c r="F187" s="53"/>
      <c r="G187" s="53"/>
      <c r="H187" s="53"/>
      <c r="I187" s="53"/>
      <c r="J187" s="53"/>
    </row>
    <row r="188">
      <c r="A188" s="52"/>
      <c r="B188" s="52"/>
      <c r="C188" s="53"/>
      <c r="D188" s="53"/>
      <c r="E188" s="53"/>
      <c r="F188" s="53"/>
      <c r="G188" s="53"/>
      <c r="H188" s="53"/>
      <c r="I188" s="53"/>
      <c r="J188" s="53"/>
    </row>
    <row r="189">
      <c r="A189" s="52"/>
      <c r="B189" s="52"/>
      <c r="C189" s="53"/>
      <c r="D189" s="53"/>
      <c r="E189" s="53"/>
      <c r="F189" s="53"/>
      <c r="G189" s="53"/>
      <c r="H189" s="53"/>
      <c r="I189" s="53"/>
      <c r="J189" s="53"/>
    </row>
    <row r="190">
      <c r="A190" s="52"/>
      <c r="B190" s="52"/>
      <c r="C190" s="53"/>
      <c r="D190" s="53"/>
      <c r="E190" s="53"/>
      <c r="F190" s="53"/>
      <c r="G190" s="53"/>
      <c r="H190" s="53"/>
      <c r="I190" s="53"/>
      <c r="J190" s="53"/>
    </row>
    <row r="191">
      <c r="A191" s="52"/>
      <c r="B191" s="52"/>
      <c r="C191" s="53"/>
      <c r="D191" s="53"/>
      <c r="E191" s="53"/>
      <c r="F191" s="53"/>
      <c r="G191" s="53"/>
      <c r="H191" s="53"/>
      <c r="I191" s="53"/>
      <c r="J191" s="53"/>
    </row>
    <row r="192">
      <c r="A192" s="52"/>
      <c r="B192" s="52"/>
      <c r="C192" s="53"/>
      <c r="D192" s="53"/>
      <c r="E192" s="53"/>
      <c r="F192" s="53"/>
      <c r="G192" s="53"/>
      <c r="H192" s="53"/>
      <c r="I192" s="53"/>
      <c r="J192" s="53"/>
    </row>
    <row r="193">
      <c r="A193" s="52"/>
      <c r="B193" s="52"/>
      <c r="C193" s="53"/>
      <c r="D193" s="53"/>
      <c r="E193" s="53"/>
      <c r="F193" s="53"/>
      <c r="G193" s="53"/>
      <c r="H193" s="53"/>
      <c r="I193" s="53"/>
      <c r="J193" s="53"/>
    </row>
    <row r="194">
      <c r="A194" s="52"/>
      <c r="B194" s="52"/>
      <c r="C194" s="53"/>
      <c r="D194" s="53"/>
      <c r="E194" s="53"/>
      <c r="F194" s="53"/>
      <c r="G194" s="53"/>
      <c r="H194" s="53"/>
      <c r="I194" s="53"/>
      <c r="J194" s="53"/>
    </row>
    <row r="195">
      <c r="A195" s="52"/>
      <c r="B195" s="52"/>
      <c r="C195" s="53"/>
      <c r="D195" s="53"/>
      <c r="E195" s="53"/>
      <c r="F195" s="53"/>
      <c r="G195" s="53"/>
      <c r="H195" s="53"/>
      <c r="I195" s="53"/>
      <c r="J195" s="53"/>
    </row>
    <row r="196">
      <c r="A196" s="52"/>
      <c r="B196" s="52"/>
      <c r="C196" s="53"/>
      <c r="D196" s="53"/>
      <c r="E196" s="53"/>
      <c r="F196" s="53"/>
      <c r="G196" s="53"/>
      <c r="H196" s="53"/>
      <c r="I196" s="53"/>
      <c r="J196" s="53"/>
    </row>
    <row r="197">
      <c r="A197" s="52"/>
      <c r="B197" s="52"/>
      <c r="C197" s="53"/>
      <c r="D197" s="53"/>
      <c r="E197" s="53"/>
      <c r="F197" s="53"/>
      <c r="G197" s="53"/>
      <c r="H197" s="53"/>
      <c r="I197" s="53"/>
      <c r="J197" s="53"/>
    </row>
    <row r="198">
      <c r="A198" s="52"/>
      <c r="B198" s="52"/>
      <c r="C198" s="53"/>
      <c r="D198" s="53"/>
      <c r="E198" s="53"/>
      <c r="F198" s="53"/>
      <c r="G198" s="53"/>
      <c r="H198" s="53"/>
      <c r="I198" s="53"/>
      <c r="J198" s="53"/>
    </row>
    <row r="199">
      <c r="A199" s="52"/>
      <c r="B199" s="52"/>
      <c r="C199" s="53"/>
      <c r="D199" s="53"/>
      <c r="E199" s="53"/>
      <c r="F199" s="53"/>
      <c r="G199" s="53"/>
      <c r="H199" s="53"/>
      <c r="I199" s="53"/>
      <c r="J199" s="53"/>
    </row>
    <row r="200">
      <c r="A200" s="52"/>
      <c r="B200" s="52"/>
      <c r="C200" s="53"/>
      <c r="D200" s="53"/>
      <c r="E200" s="53"/>
      <c r="F200" s="53"/>
      <c r="G200" s="53"/>
      <c r="H200" s="53"/>
      <c r="I200" s="53"/>
      <c r="J200" s="53"/>
    </row>
  </sheetData>
  <autoFilter ref="$A$2:$J$160"/>
  <mergeCells count="1">
    <mergeCell ref="A1:J1"/>
  </mergeCells>
  <dataValidations>
    <dataValidation type="decimal" operator="greaterThanOrEqual" allowBlank="1" showInputMessage="1" prompt="Enter a non-negative weekly figure / 请输入非负周数据" sqref="C3:I160">
      <formula1>0.0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3" width="18.0"/>
    <col customWidth="1" min="4" max="5" width="12.0"/>
    <col customWidth="1" min="6" max="7" width="18.0"/>
    <col customWidth="1" min="8" max="8" width="12.0"/>
    <col customWidth="1" min="9" max="9" width="18.0"/>
    <col customWidth="1" min="10" max="10" width="22.0"/>
    <col customWidth="1" min="11" max="11" width="12.0"/>
    <col customWidth="1" min="12" max="12" width="9.78"/>
    <col customWidth="1" min="13" max="13" width="2.33"/>
    <col customWidth="1" min="14" max="14" width="18.0"/>
    <col customWidth="1" min="15" max="15" width="16.0"/>
    <col customWidth="1" min="16" max="16" width="12.0"/>
    <col customWidth="1" min="17" max="17" width="16.0"/>
    <col customWidth="1" min="18" max="18" width="24.0"/>
    <col customWidth="1" min="19" max="19" width="32.0"/>
    <col customWidth="1" min="20" max="20" width="11.56"/>
    <col customWidth="1" min="21" max="27" width="12.0"/>
  </cols>
  <sheetData>
    <row r="1">
      <c r="A1" s="54" t="s">
        <v>281</v>
      </c>
      <c r="B1" s="54" t="s">
        <v>284</v>
      </c>
      <c r="C1" s="54" t="s">
        <v>285</v>
      </c>
      <c r="D1" s="54" t="s">
        <v>286</v>
      </c>
      <c r="E1" s="54" t="s">
        <v>287</v>
      </c>
      <c r="F1" s="54" t="s">
        <v>288</v>
      </c>
      <c r="G1" s="54" t="s">
        <v>289</v>
      </c>
      <c r="H1" s="54" t="s">
        <v>290</v>
      </c>
      <c r="I1" s="54" t="s">
        <v>291</v>
      </c>
      <c r="J1" s="54" t="s">
        <v>292</v>
      </c>
      <c r="K1" s="54" t="s">
        <v>293</v>
      </c>
      <c r="L1" s="55" t="s">
        <v>294</v>
      </c>
      <c r="M1" s="55" t="s">
        <v>295</v>
      </c>
      <c r="N1" s="54" t="s">
        <v>296</v>
      </c>
      <c r="O1" s="54" t="s">
        <v>297</v>
      </c>
      <c r="P1" s="54" t="s">
        <v>298</v>
      </c>
      <c r="Q1" s="54" t="s">
        <v>299</v>
      </c>
      <c r="R1" s="54" t="s">
        <v>300</v>
      </c>
      <c r="S1" s="54" t="s">
        <v>302</v>
      </c>
      <c r="T1" s="55" t="s">
        <v>303</v>
      </c>
      <c r="U1" s="56"/>
      <c r="V1" s="56"/>
      <c r="W1" s="56"/>
      <c r="X1" s="56"/>
      <c r="Y1" s="56"/>
      <c r="Z1" s="56"/>
      <c r="AA1" s="56"/>
    </row>
    <row r="2">
      <c r="A2" s="57">
        <f>IF('主表 Stock_Transaction_Log'!$T2="","",IF(COUNTIF('主表 Stock_Transaction_Log'!$T$2:$T2,'主表 Stock_Transaction_Log'!$T2)=1,ROW('主表 Stock_Transaction_Log'!$T2),""))</f>
        <v>2</v>
      </c>
      <c r="B2" s="57" t="str">
        <f t="array" ref="B2">IF($A2="","",INDEX('主表 Stock_Transaction_Log'!$Q:$Q,$A2))</f>
        <v>R1-2-1-L</v>
      </c>
      <c r="C2" s="57" t="str">
        <f t="array" ref="C2">IF($A2="","",IF(INDEX('主表 Stock_Transaction_Log'!$F:$F,$A2)=0,"",INDEX('主表 Stock_Transaction_Log'!$F:$F,$A2)))</f>
        <v/>
      </c>
      <c r="D2" s="57" t="str">
        <f t="array" ref="D2">IF($A2="","",INDEX('主表 Stock_Transaction_Log'!$G:$G,$A2))</f>
        <v>97-414-00027-00</v>
      </c>
      <c r="E2" s="57" t="str">
        <f t="array" ref="E2">IF($A2="","",INDEX('主表 Stock_Transaction_Log'!$H:$H,$A2))</f>
        <v>EQ4800-side-cover</v>
      </c>
      <c r="F2" s="57" t="str">
        <f t="array" ref="F2">IF($A2="","",INDEX('主表 Stock_Transaction_Log'!$I:$I,$A2))</f>
        <v>Material</v>
      </c>
      <c r="G2" s="57" t="str">
        <f t="array" ref="G2">IF($A2="","",IF(INDEX('主表 Stock_Transaction_Log'!$R:$R,$A2)=0,"",INDEX('主表 Stock_Transaction_Log'!$R:$R,$A2)))</f>
        <v/>
      </c>
      <c r="H2" s="57">
        <f t="array" ref="H2">IF($A2="","",SUMIF('主表 Stock_Transaction_Log'!$T:$T,INDEX('主表 Stock_Transaction_Log'!$T:$T,$A2),'主表 Stock_Transaction_Log'!$S:$S)+SUMIF('主表 Stock_Transaction_Log'!$AB:$AB,INDEX('主表 Stock_Transaction_Log'!$T:$T,$A2),'主表 Stock_Transaction_Log'!$AC:$AC))</f>
        <v>288</v>
      </c>
      <c r="I2" s="57" t="str">
        <f t="shared" ref="I2:I992" si="1">IF($A2="","",IF($H2&gt;0,"In Stock / 在库",IF($H2=0,"Out / 已出库","Negative / 负库存异常")))</f>
        <v>In Stock / 在库</v>
      </c>
      <c r="J2" s="57" t="str">
        <f t="shared" ref="J2:J992" si="2">IF($A2="","",IF($C2&lt;&gt;"","Container detail / 容器明细",IF($G2&lt;&gt;"","SN-level repair stock / 维修SN明细","Stock line / 库存明细")))</f>
        <v>Stock line / 库存明细</v>
      </c>
      <c r="K2" s="57" t="b">
        <f t="shared" ref="K2:K992" si="3">IF($A2="","",TRUE())</f>
        <v>1</v>
      </c>
      <c r="L2" s="57" t="str">
        <f t="array" ref="L2">IF($A2="","",INDEX('主表 Stock_Transaction_Log'!$P:$P,$A2))</f>
        <v>Material / 物料</v>
      </c>
      <c r="M2" s="57">
        <f>IF($A2="","",IF($H2&lt;=0,0,SUMIFS('主表 Stock_Transaction_Log'!$K$2:$K1000,'主表 Stock_Transaction_Log'!$C$2:$C1000,"Prepared",'主表 Stock_Transaction_Log'!$L$2:$L1000,$B2,'主表 Stock_Transaction_Log'!$F$2:$F1000,$C2,'主表 Stock_Transaction_Log'!$G$2:$G1000,$D2,'主表 Stock_Transaction_Log'!$P$2:$P1000,$L2)))</f>
        <v>0</v>
      </c>
      <c r="N2" s="57" t="s">
        <v>347</v>
      </c>
      <c r="O2" s="57">
        <f t="shared" ref="O2:O500" si="4">IF(N2="","",SUMIFS($H:$H,$B:$B,N2,$I:$I,"In Stock / 在库"))</f>
        <v>0</v>
      </c>
      <c r="P2" s="57">
        <f t="shared" ref="P2:P500" si="5">IF(N2="","",COUNTIFS($B:$B,N2,$I:$I,"In Stock / 在库"))</f>
        <v>0</v>
      </c>
      <c r="Q2" s="57">
        <f t="shared" ref="Q2:Q137" si="6">IF(N2="","",COUNTIFS($B$2:$B$500,N2,$I$2:$I$500,"In Stock / 在库"))</f>
        <v>0</v>
      </c>
      <c r="R2" s="57" t="str">
        <f t="shared" ref="R2:R500" si="7">IF(N2="","",IFERROR(INDEX($C$2:$C$500,MATCH(1,INDEX(($B$2:$B$500=N2)*($C$2:$C$500&lt;&gt;""),0),0)),""))</f>
        <v/>
      </c>
      <c r="S2" s="57" t="str">
        <f t="shared" ref="S2:S500" si="8">IF(N2="","",IF(O2=0,N2&amp;CHAR(10)&amp;"Empty / 空",IF(Q2&gt;1,N2&amp;CHAR(10)&amp;"Mixed / 混装: "&amp;Q2&amp;" SKUs"&amp;CHAR(10)&amp;"Container / 容器: "&amp;R2&amp;CHAR(10)&amp;"Qty / 数量: "&amp;O2,N2&amp;CHAR(10)&amp;IFERROR(INDEX($D$2:$D$500,MATCH(1,INDEX(($B$2:$B$500=N2)*($H$2:$H$500&gt;0),0),0)),"")&amp;CHAR(10)&amp;"Qty / 数量: "&amp;O2)))</f>
        <v>R1-1-1-L
Empty / 空</v>
      </c>
      <c r="T2" s="57" t="str">
        <f>IFERROR(__xludf.DUMMYFUNCTION("IF($N2="""","""",IF($O2=0,""Empty / 空"",IFERROR(LET(c,UNIQUE(FILTER($L$2:$L$500,$B$2:$B$500=$N2,$H$2:$H$500&gt;0,$L$2:$L$500&lt;&gt;"""")),IF(COUNTA(c)&gt;1,""Mixed / 混放: ""&amp;TEXTJOIN("" + "",TRUE,c),INDEX(c,1))),""Unclassified / 未分类"")))"),"Empty / 空")</f>
        <v>Empty / 空</v>
      </c>
      <c r="U2" s="58"/>
      <c r="V2" s="58"/>
      <c r="W2" s="58"/>
      <c r="X2" s="58"/>
      <c r="Y2" s="58"/>
      <c r="Z2" s="58"/>
      <c r="AA2" s="58"/>
    </row>
    <row r="3">
      <c r="A3" s="57">
        <f>IF('主表 Stock_Transaction_Log'!$T3="","",IF(COUNTIF('主表 Stock_Transaction_Log'!$T$2:$T3,'主表 Stock_Transaction_Log'!$T3)=1,ROW('主表 Stock_Transaction_Log'!$T3),""))</f>
        <v>3</v>
      </c>
      <c r="B3" s="57" t="str">
        <f t="array" ref="B3">IF($A3="","",INDEX('主表 Stock_Transaction_Log'!$Q:$Q,$A3))</f>
        <v>R1-2-1-M</v>
      </c>
      <c r="C3" s="57" t="str">
        <f t="array" ref="C3">IF($A3="","",IF(INDEX('主表 Stock_Transaction_Log'!$F:$F,$A3)=0,"",INDEX('主表 Stock_Transaction_Log'!$F:$F,$A3)))</f>
        <v/>
      </c>
      <c r="D3" s="57" t="str">
        <f t="array" ref="D3">IF($A3="","",INDEX('主表 Stock_Transaction_Log'!$G:$G,$A3))</f>
        <v>97-414-00027-00</v>
      </c>
      <c r="E3" s="57" t="str">
        <f t="array" ref="E3">IF($A3="","",INDEX('主表 Stock_Transaction_Log'!$H:$H,$A3))</f>
        <v>EQ4800-side-cover</v>
      </c>
      <c r="F3" s="57" t="str">
        <f t="array" ref="F3">IF($A3="","",INDEX('主表 Stock_Transaction_Log'!$I:$I,$A3))</f>
        <v>Material</v>
      </c>
      <c r="G3" s="57" t="str">
        <f t="array" ref="G3">IF($A3="","",IF(INDEX('主表 Stock_Transaction_Log'!$R:$R,$A3)=0,"",INDEX('主表 Stock_Transaction_Log'!$R:$R,$A3)))</f>
        <v/>
      </c>
      <c r="H3" s="57">
        <f t="array" ref="H3">IF($A3="","",SUMIF('主表 Stock_Transaction_Log'!$T:$T,INDEX('主表 Stock_Transaction_Log'!$T:$T,$A3),'主表 Stock_Transaction_Log'!$S:$S)+SUMIF('主表 Stock_Transaction_Log'!$AB:$AB,INDEX('主表 Stock_Transaction_Log'!$T:$T,$A3),'主表 Stock_Transaction_Log'!$AC:$AC))</f>
        <v>0</v>
      </c>
      <c r="I3" s="57" t="str">
        <f t="shared" si="1"/>
        <v>Out / 已出库</v>
      </c>
      <c r="J3" s="57" t="str">
        <f t="shared" si="2"/>
        <v>Stock line / 库存明细</v>
      </c>
      <c r="K3" s="57" t="b">
        <f t="shared" si="3"/>
        <v>1</v>
      </c>
      <c r="L3" s="57" t="str">
        <f t="array" ref="L3">IF($A3="","",INDEX('主表 Stock_Transaction_Log'!$P:$P,$A3))</f>
        <v>Material / 物料</v>
      </c>
      <c r="M3" s="57">
        <f>IF($A3="","",IF($H3&lt;=0,0,SUMIFS('主表 Stock_Transaction_Log'!$K$2:$K1000,'主表 Stock_Transaction_Log'!$C$2:$C1000,"Prepared",'主表 Stock_Transaction_Log'!$L$2:$L1000,$B3,'主表 Stock_Transaction_Log'!$F$2:$F1000,$C3,'主表 Stock_Transaction_Log'!$G$2:$G1000,$D3,'主表 Stock_Transaction_Log'!$P$2:$P1000,$L3)))</f>
        <v>0</v>
      </c>
      <c r="N3" s="57" t="s">
        <v>368</v>
      </c>
      <c r="O3" s="57">
        <f t="shared" si="4"/>
        <v>0</v>
      </c>
      <c r="P3" s="57">
        <f t="shared" si="5"/>
        <v>0</v>
      </c>
      <c r="Q3" s="57">
        <f t="shared" si="6"/>
        <v>0</v>
      </c>
      <c r="R3" s="57" t="str">
        <f t="shared" si="7"/>
        <v/>
      </c>
      <c r="S3" s="57" t="str">
        <f t="shared" si="8"/>
        <v>R1-1-1-M
Empty / 空</v>
      </c>
      <c r="T3" s="57" t="str">
        <f>IFERROR(__xludf.DUMMYFUNCTION("IF($N3="""","""",IF($O3=0,""Empty / 空"",IFERROR(LET(c,UNIQUE(FILTER($L$2:$L$500,$B$2:$B$500=$N3,$H$2:$H$500&gt;0,$L$2:$L$500&lt;&gt;"""")),IF(COUNTA(c)&gt;1,""Mixed / 混放: ""&amp;TEXTJOIN("" + "",TRUE,c),INDEX(c,1))),""Unclassified / 未分类"")))"),"Empty / 空")</f>
        <v>Empty / 空</v>
      </c>
      <c r="U3" s="58"/>
      <c r="V3" s="58"/>
      <c r="W3" s="58"/>
      <c r="X3" s="58"/>
      <c r="Y3" s="58"/>
      <c r="Z3" s="58"/>
      <c r="AA3" s="58"/>
    </row>
    <row r="4">
      <c r="A4" s="57">
        <f>IF('主表 Stock_Transaction_Log'!$T4="","",IF(COUNTIF('主表 Stock_Transaction_Log'!$T$2:$T4,'主表 Stock_Transaction_Log'!$T4)=1,ROW('主表 Stock_Transaction_Log'!$T4),""))</f>
        <v>4</v>
      </c>
      <c r="B4" s="57" t="str">
        <f t="array" ref="B4">IF($A4="","",INDEX('主表 Stock_Transaction_Log'!$Q:$Q,$A4))</f>
        <v>R1-2-1-R</v>
      </c>
      <c r="C4" s="57" t="str">
        <f t="array" ref="C4">IF($A4="","",IF(INDEX('主表 Stock_Transaction_Log'!$F:$F,$A4)=0,"",INDEX('主表 Stock_Transaction_Log'!$F:$F,$A4)))</f>
        <v/>
      </c>
      <c r="D4" s="57" t="str">
        <f t="array" ref="D4">IF($A4="","",INDEX('主表 Stock_Transaction_Log'!$G:$G,$A4))</f>
        <v>41-406-00002-00</v>
      </c>
      <c r="E4" s="57" t="str">
        <f t="array" ref="E4">IF($A4="","",INDEX('主表 Stock_Transaction_Log'!$H:$H,$A4))</f>
        <v>H3 Smart遮线罩</v>
      </c>
      <c r="F4" s="57" t="str">
        <f t="array" ref="F4">IF($A4="","",INDEX('主表 Stock_Transaction_Log'!$I:$I,$A4))</f>
        <v>Material</v>
      </c>
      <c r="G4" s="57" t="str">
        <f t="array" ref="G4">IF($A4="","",IF(INDEX('主表 Stock_Transaction_Log'!$R:$R,$A4)=0,"",INDEX('主表 Stock_Transaction_Log'!$R:$R,$A4)))</f>
        <v/>
      </c>
      <c r="H4" s="57">
        <f t="array" ref="H4">IF($A4="","",SUMIF('主表 Stock_Transaction_Log'!$T:$T,INDEX('主表 Stock_Transaction_Log'!$T:$T,$A4),'主表 Stock_Transaction_Log'!$S:$S)+SUMIF('主表 Stock_Transaction_Log'!$AB:$AB,INDEX('主表 Stock_Transaction_Log'!$T:$T,$A4),'主表 Stock_Transaction_Log'!$AC:$AC))</f>
        <v>0</v>
      </c>
      <c r="I4" s="57" t="str">
        <f t="shared" si="1"/>
        <v>Out / 已出库</v>
      </c>
      <c r="J4" s="57" t="str">
        <f t="shared" si="2"/>
        <v>Stock line / 库存明细</v>
      </c>
      <c r="K4" s="57" t="b">
        <f t="shared" si="3"/>
        <v>1</v>
      </c>
      <c r="L4" s="57" t="str">
        <f t="array" ref="L4">IF($A4="","",INDEX('主表 Stock_Transaction_Log'!$P:$P,$A4))</f>
        <v>Material / 物料</v>
      </c>
      <c r="M4" s="57">
        <f>IF($A4="","",IF($H4&lt;=0,0,SUMIFS('主表 Stock_Transaction_Log'!$K$2:$K1000,'主表 Stock_Transaction_Log'!$C$2:$C1000,"Prepared",'主表 Stock_Transaction_Log'!$L$2:$L1000,$B4,'主表 Stock_Transaction_Log'!$F$2:$F1000,$C4,'主表 Stock_Transaction_Log'!$G$2:$G1000,$D4,'主表 Stock_Transaction_Log'!$P$2:$P1000,$L4)))</f>
        <v>0</v>
      </c>
      <c r="N4" s="57" t="s">
        <v>386</v>
      </c>
      <c r="O4" s="57">
        <f t="shared" si="4"/>
        <v>0</v>
      </c>
      <c r="P4" s="57">
        <f t="shared" si="5"/>
        <v>0</v>
      </c>
      <c r="Q4" s="57">
        <f t="shared" si="6"/>
        <v>0</v>
      </c>
      <c r="R4" s="57" t="str">
        <f t="shared" si="7"/>
        <v/>
      </c>
      <c r="S4" s="57" t="str">
        <f t="shared" si="8"/>
        <v>R1-1-1-R
Empty / 空</v>
      </c>
      <c r="T4" s="57" t="str">
        <f>IFERROR(__xludf.DUMMYFUNCTION("IF($N4="""","""",IF($O4=0,""Empty / 空"",IFERROR(LET(c,UNIQUE(FILTER($L$2:$L$500,$B$2:$B$500=$N4,$H$2:$H$500&gt;0,$L$2:$L$500&lt;&gt;"""")),IF(COUNTA(c)&gt;1,""Mixed / 混放: ""&amp;TEXTJOIN("" + "",TRUE,c),INDEX(c,1))),""Unclassified / 未分类"")))"),"Empty / 空")</f>
        <v>Empty / 空</v>
      </c>
      <c r="U4" s="58"/>
      <c r="V4" s="58"/>
      <c r="W4" s="58"/>
      <c r="X4" s="58"/>
      <c r="Y4" s="58"/>
      <c r="Z4" s="58"/>
      <c r="AA4" s="58"/>
    </row>
    <row r="5">
      <c r="A5" s="57">
        <f>IF('主表 Stock_Transaction_Log'!$T5="","",IF(COUNTIF('主表 Stock_Transaction_Log'!$T$2:$T5,'主表 Stock_Transaction_Log'!$T5)=1,ROW('主表 Stock_Transaction_Log'!$T5),""))</f>
        <v>5</v>
      </c>
      <c r="B5" s="57" t="str">
        <f t="array" ref="B5">IF($A5="","",INDEX('主表 Stock_Transaction_Log'!$Q:$Q,$A5))</f>
        <v>R1-3-1-L</v>
      </c>
      <c r="C5" s="57" t="str">
        <f t="array" ref="C5">IF($A5="","",IF(INDEX('主表 Stock_Transaction_Log'!$F:$F,$A5)=0,"",INDEX('主表 Stock_Transaction_Log'!$F:$F,$A5)))</f>
        <v/>
      </c>
      <c r="D5" s="57" t="str">
        <f t="array" ref="D5">IF($A5="","",INDEX('主表 Stock_Transaction_Log'!$G:$G,$A5))</f>
        <v>20-051-00080-00</v>
      </c>
      <c r="E5" s="57" t="str">
        <f t="array" ref="E5">IF($A5="","",INDEX('主表 Stock_Transaction_Log'!$H:$H,$A5))</f>
        <v>线束半成品 功率线 62930 IEC 131 1x16.0 mm² 红/黑 DC1500V 90℃ VW-1 CQ6-安费诺-正负极外部动力线-光伏线5米PV</v>
      </c>
      <c r="F5" s="57" t="str">
        <f t="array" ref="F5">IF($A5="","",INDEX('主表 Stock_Transaction_Log'!$I:$I,$A5))</f>
        <v>Material</v>
      </c>
      <c r="G5" s="57" t="str">
        <f t="array" ref="G5">IF($A5="","",IF(INDEX('主表 Stock_Transaction_Log'!$R:$R,$A5)=0,"",INDEX('主表 Stock_Transaction_Log'!$R:$R,$A5)))</f>
        <v/>
      </c>
      <c r="H5" s="57">
        <f t="array" ref="H5">IF($A5="","",SUMIF('主表 Stock_Transaction_Log'!$T:$T,INDEX('主表 Stock_Transaction_Log'!$T:$T,$A5),'主表 Stock_Transaction_Log'!$S:$S)+SUMIF('主表 Stock_Transaction_Log'!$AB:$AB,INDEX('主表 Stock_Transaction_Log'!$T:$T,$A5),'主表 Stock_Transaction_Log'!$AC:$AC))</f>
        <v>0</v>
      </c>
      <c r="I5" s="57" t="str">
        <f t="shared" si="1"/>
        <v>Out / 已出库</v>
      </c>
      <c r="J5" s="57" t="str">
        <f t="shared" si="2"/>
        <v>Stock line / 库存明细</v>
      </c>
      <c r="K5" s="57" t="b">
        <f t="shared" si="3"/>
        <v>1</v>
      </c>
      <c r="L5" s="57" t="str">
        <f t="array" ref="L5">IF($A5="","",INDEX('主表 Stock_Transaction_Log'!$P:$P,$A5))</f>
        <v>Material / 物料</v>
      </c>
      <c r="M5" s="57">
        <f>IF($A5="","",IF($H5&lt;=0,0,SUMIFS('主表 Stock_Transaction_Log'!$K$2:$K1000,'主表 Stock_Transaction_Log'!$C$2:$C1000,"Prepared",'主表 Stock_Transaction_Log'!$L$2:$L1000,$B5,'主表 Stock_Transaction_Log'!$F$2:$F1000,$C5,'主表 Stock_Transaction_Log'!$G$2:$G1000,$D5,'主表 Stock_Transaction_Log'!$P$2:$P1000,$L5)))</f>
        <v>0</v>
      </c>
      <c r="N5" s="57" t="s">
        <v>391</v>
      </c>
      <c r="O5" s="57">
        <f t="shared" si="4"/>
        <v>0</v>
      </c>
      <c r="P5" s="57">
        <f t="shared" si="5"/>
        <v>0</v>
      </c>
      <c r="Q5" s="57">
        <f t="shared" si="6"/>
        <v>0</v>
      </c>
      <c r="R5" s="57" t="str">
        <f t="shared" si="7"/>
        <v/>
      </c>
      <c r="S5" s="57" t="str">
        <f t="shared" si="8"/>
        <v>R1-1-2-L
Empty / 空</v>
      </c>
      <c r="T5" s="57" t="str">
        <f>IFERROR(__xludf.DUMMYFUNCTION("IF($N5="""","""",IF($O5=0,""Empty / 空"",IFERROR(LET(c,UNIQUE(FILTER($L$2:$L$500,$B$2:$B$500=$N5,$H$2:$H$500&gt;0,$L$2:$L$500&lt;&gt;"""")),IF(COUNTA(c)&gt;1,""Mixed / 混放: ""&amp;TEXTJOIN("" + "",TRUE,c),INDEX(c,1))),""Unclassified / 未分类"")))"),"Empty / 空")</f>
        <v>Empty / 空</v>
      </c>
      <c r="U5" s="58"/>
      <c r="V5" s="58"/>
      <c r="W5" s="58"/>
      <c r="X5" s="58"/>
      <c r="Y5" s="58"/>
      <c r="Z5" s="58"/>
      <c r="AA5" s="58"/>
    </row>
    <row r="6">
      <c r="A6" s="57">
        <f>IF('主表 Stock_Transaction_Log'!$T6="","",IF(COUNTIF('主表 Stock_Transaction_Log'!$T$2:$T6,'主表 Stock_Transaction_Log'!$T6)=1,ROW('主表 Stock_Transaction_Log'!$T6),""))</f>
        <v>6</v>
      </c>
      <c r="B6" s="57" t="str">
        <f t="array" ref="B6">IF($A6="","",INDEX('主表 Stock_Transaction_Log'!$Q:$Q,$A6))</f>
        <v>R1-3-1-M</v>
      </c>
      <c r="C6" s="57" t="str">
        <f t="array" ref="C6">IF($A6="","",IF(INDEX('主表 Stock_Transaction_Log'!$F:$F,$A6)=0,"",INDEX('主表 Stock_Transaction_Log'!$F:$F,$A6)))</f>
        <v/>
      </c>
      <c r="D6" s="57" t="str">
        <f t="array" ref="D6">IF($A6="","",INDEX('主表 Stock_Transaction_Log'!$G:$G,$A6))</f>
        <v>41-406-00002-00</v>
      </c>
      <c r="E6" s="57" t="str">
        <f t="array" ref="E6">IF($A6="","",INDEX('主表 Stock_Transaction_Log'!$H:$H,$A6))</f>
        <v>H3 Smart遮线罩</v>
      </c>
      <c r="F6" s="57" t="str">
        <f t="array" ref="F6">IF($A6="","",INDEX('主表 Stock_Transaction_Log'!$I:$I,$A6))</f>
        <v>Material</v>
      </c>
      <c r="G6" s="57" t="str">
        <f t="array" ref="G6">IF($A6="","",IF(INDEX('主表 Stock_Transaction_Log'!$R:$R,$A6)=0,"",INDEX('主表 Stock_Transaction_Log'!$R:$R,$A6)))</f>
        <v/>
      </c>
      <c r="H6" s="57">
        <f t="array" ref="H6">IF($A6="","",SUMIF('主表 Stock_Transaction_Log'!$T:$T,INDEX('主表 Stock_Transaction_Log'!$T:$T,$A6),'主表 Stock_Transaction_Log'!$S:$S)+SUMIF('主表 Stock_Transaction_Log'!$AB:$AB,INDEX('主表 Stock_Transaction_Log'!$T:$T,$A6),'主表 Stock_Transaction_Log'!$AC:$AC))</f>
        <v>0</v>
      </c>
      <c r="I6" s="57" t="str">
        <f t="shared" si="1"/>
        <v>Out / 已出库</v>
      </c>
      <c r="J6" s="57" t="str">
        <f t="shared" si="2"/>
        <v>Stock line / 库存明细</v>
      </c>
      <c r="K6" s="57" t="b">
        <f t="shared" si="3"/>
        <v>1</v>
      </c>
      <c r="L6" s="57" t="str">
        <f t="array" ref="L6">IF($A6="","",INDEX('主表 Stock_Transaction_Log'!$P:$P,$A6))</f>
        <v>Material / 物料</v>
      </c>
      <c r="M6" s="57">
        <f>IF($A6="","",IF($H6&lt;=0,0,SUMIFS('主表 Stock_Transaction_Log'!$K$2:$K1000,'主表 Stock_Transaction_Log'!$C$2:$C1000,"Prepared",'主表 Stock_Transaction_Log'!$L$2:$L1000,$B6,'主表 Stock_Transaction_Log'!$F$2:$F1000,$C6,'主表 Stock_Transaction_Log'!$G$2:$G1000,$D6,'主表 Stock_Transaction_Log'!$P$2:$P1000,$L6)))</f>
        <v>0</v>
      </c>
      <c r="N6" s="57" t="s">
        <v>400</v>
      </c>
      <c r="O6" s="57">
        <f t="shared" si="4"/>
        <v>0</v>
      </c>
      <c r="P6" s="57">
        <f t="shared" si="5"/>
        <v>0</v>
      </c>
      <c r="Q6" s="57">
        <f t="shared" si="6"/>
        <v>0</v>
      </c>
      <c r="R6" s="57" t="str">
        <f t="shared" si="7"/>
        <v/>
      </c>
      <c r="S6" s="57" t="str">
        <f t="shared" si="8"/>
        <v>R1-1-2-M
Empty / 空</v>
      </c>
      <c r="T6" s="57" t="str">
        <f>IFERROR(__xludf.DUMMYFUNCTION("IF($N6="""","""",IF($O6=0,""Empty / 空"",IFERROR(LET(c,UNIQUE(FILTER($L$2:$L$500,$B$2:$B$500=$N6,$H$2:$H$500&gt;0,$L$2:$L$500&lt;&gt;"""")),IF(COUNTA(c)&gt;1,""Mixed / 混放: ""&amp;TEXTJOIN("" + "",TRUE,c),INDEX(c,1))),""Unclassified / 未分类"")))"),"Empty / 空")</f>
        <v>Empty / 空</v>
      </c>
      <c r="U6" s="58"/>
      <c r="V6" s="58"/>
      <c r="W6" s="58"/>
      <c r="X6" s="58"/>
      <c r="Y6" s="58"/>
      <c r="Z6" s="58"/>
      <c r="AA6" s="58"/>
    </row>
    <row r="7">
      <c r="A7" s="57">
        <f>IF('主表 Stock_Transaction_Log'!$T7="","",IF(COUNTIF('主表 Stock_Transaction_Log'!$T$2:$T7,'主表 Stock_Transaction_Log'!$T7)=1,ROW('主表 Stock_Transaction_Log'!$T7),""))</f>
        <v>7</v>
      </c>
      <c r="B7" s="57" t="str">
        <f t="array" ref="B7">IF($A7="","",INDEX('主表 Stock_Transaction_Log'!$Q:$Q,$A7))</f>
        <v>R1-3-1-R</v>
      </c>
      <c r="C7" s="57" t="str">
        <f t="array" ref="C7">IF($A7="","",IF(INDEX('主表 Stock_Transaction_Log'!$F:$F,$A7)=0,"",INDEX('主表 Stock_Transaction_Log'!$F:$F,$A7)))</f>
        <v/>
      </c>
      <c r="D7" s="57" t="str">
        <f t="array" ref="D7">IF($A7="","",INDEX('主表 Stock_Transaction_Log'!$G:$G,$A7))</f>
        <v>41-406-00002-00</v>
      </c>
      <c r="E7" s="57" t="str">
        <f t="array" ref="E7">IF($A7="","",INDEX('主表 Stock_Transaction_Log'!$H:$H,$A7))</f>
        <v>H3 Smart遮线罩</v>
      </c>
      <c r="F7" s="57" t="str">
        <f t="array" ref="F7">IF($A7="","",INDEX('主表 Stock_Transaction_Log'!$I:$I,$A7))</f>
        <v>Material</v>
      </c>
      <c r="G7" s="57" t="str">
        <f t="array" ref="G7">IF($A7="","",IF(INDEX('主表 Stock_Transaction_Log'!$R:$R,$A7)=0,"",INDEX('主表 Stock_Transaction_Log'!$R:$R,$A7)))</f>
        <v/>
      </c>
      <c r="H7" s="57">
        <f t="array" ref="H7">IF($A7="","",SUMIF('主表 Stock_Transaction_Log'!$T:$T,INDEX('主表 Stock_Transaction_Log'!$T:$T,$A7),'主表 Stock_Transaction_Log'!$S:$S)+SUMIF('主表 Stock_Transaction_Log'!$AB:$AB,INDEX('主表 Stock_Transaction_Log'!$T:$T,$A7),'主表 Stock_Transaction_Log'!$AC:$AC))</f>
        <v>0</v>
      </c>
      <c r="I7" s="57" t="str">
        <f t="shared" si="1"/>
        <v>Out / 已出库</v>
      </c>
      <c r="J7" s="57" t="str">
        <f t="shared" si="2"/>
        <v>Stock line / 库存明细</v>
      </c>
      <c r="K7" s="57" t="b">
        <f t="shared" si="3"/>
        <v>1</v>
      </c>
      <c r="L7" s="57" t="str">
        <f t="array" ref="L7">IF($A7="","",INDEX('主表 Stock_Transaction_Log'!$P:$P,$A7))</f>
        <v>Material / 物料</v>
      </c>
      <c r="M7" s="57">
        <f>IF($A7="","",IF($H7&lt;=0,0,SUMIFS('主表 Stock_Transaction_Log'!$K$2:$K1000,'主表 Stock_Transaction_Log'!$C$2:$C1000,"Prepared",'主表 Stock_Transaction_Log'!$L$2:$L1000,$B7,'主表 Stock_Transaction_Log'!$F$2:$F1000,$C7,'主表 Stock_Transaction_Log'!$G$2:$G1000,$D7,'主表 Stock_Transaction_Log'!$P$2:$P1000,$L7)))</f>
        <v>0</v>
      </c>
      <c r="N7" s="57" t="s">
        <v>405</v>
      </c>
      <c r="O7" s="57">
        <f t="shared" si="4"/>
        <v>0</v>
      </c>
      <c r="P7" s="57">
        <f t="shared" si="5"/>
        <v>0</v>
      </c>
      <c r="Q7" s="57">
        <f t="shared" si="6"/>
        <v>0</v>
      </c>
      <c r="R7" s="57" t="str">
        <f t="shared" si="7"/>
        <v/>
      </c>
      <c r="S7" s="57" t="str">
        <f t="shared" si="8"/>
        <v>R1-1-2-R
Empty / 空</v>
      </c>
      <c r="T7" s="57" t="str">
        <f>IFERROR(__xludf.DUMMYFUNCTION("IF($N7="""","""",IF($O7=0,""Empty / 空"",IFERROR(LET(c,UNIQUE(FILTER($L$2:$L$500,$B$2:$B$500=$N7,$H$2:$H$500&gt;0,$L$2:$L$500&lt;&gt;"""")),IF(COUNTA(c)&gt;1,""Mixed / 混放: ""&amp;TEXTJOIN("" + "",TRUE,c),INDEX(c,1))),""Unclassified / 未分类"")))"),"Empty / 空")</f>
        <v>Empty / 空</v>
      </c>
      <c r="U7" s="58"/>
      <c r="V7" s="58"/>
      <c r="W7" s="58"/>
      <c r="X7" s="58"/>
      <c r="Y7" s="58"/>
      <c r="Z7" s="58"/>
      <c r="AA7" s="58"/>
    </row>
    <row r="8">
      <c r="A8" s="57">
        <f>IF('主表 Stock_Transaction_Log'!$T8="","",IF(COUNTIF('主表 Stock_Transaction_Log'!$T$2:$T8,'主表 Stock_Transaction_Log'!$T8)=1,ROW('主表 Stock_Transaction_Log'!$T8),""))</f>
        <v>8</v>
      </c>
      <c r="B8" s="57" t="str">
        <f t="array" ref="B8">IF($A8="","",INDEX('主表 Stock_Transaction_Log'!$Q:$Q,$A8))</f>
        <v>R1-4-1-L</v>
      </c>
      <c r="C8" s="57" t="str">
        <f t="array" ref="C8">IF($A8="","",IF(INDEX('主表 Stock_Transaction_Log'!$F:$F,$A8)=0,"",INDEX('主表 Stock_Transaction_Log'!$F:$F,$A8)))</f>
        <v/>
      </c>
      <c r="D8" s="57" t="str">
        <f t="array" ref="D8">IF($A8="","",INDEX('主表 Stock_Transaction_Log'!$G:$G,$A8))</f>
        <v>97-406-00017-00</v>
      </c>
      <c r="E8" s="57" t="str">
        <f t="array" ref="E8">IF($A8="","",INDEX('主表 Stock_Transaction_Log'!$H:$H,$A8))</f>
        <v>KH遮线罩</v>
      </c>
      <c r="F8" s="57" t="str">
        <f t="array" ref="F8">IF($A8="","",INDEX('主表 Stock_Transaction_Log'!$I:$I,$A8))</f>
        <v>Material</v>
      </c>
      <c r="G8" s="57" t="str">
        <f t="array" ref="G8">IF($A8="","",IF(INDEX('主表 Stock_Transaction_Log'!$R:$R,$A8)=0,"",INDEX('主表 Stock_Transaction_Log'!$R:$R,$A8)))</f>
        <v/>
      </c>
      <c r="H8" s="57">
        <f t="array" ref="H8">IF($A8="","",SUMIF('主表 Stock_Transaction_Log'!$T:$T,INDEX('主表 Stock_Transaction_Log'!$T:$T,$A8),'主表 Stock_Transaction_Log'!$S:$S)+SUMIF('主表 Stock_Transaction_Log'!$AB:$AB,INDEX('主表 Stock_Transaction_Log'!$T:$T,$A8),'主表 Stock_Transaction_Log'!$AC:$AC))</f>
        <v>0</v>
      </c>
      <c r="I8" s="57" t="str">
        <f t="shared" si="1"/>
        <v>Out / 已出库</v>
      </c>
      <c r="J8" s="57" t="str">
        <f t="shared" si="2"/>
        <v>Stock line / 库存明细</v>
      </c>
      <c r="K8" s="57" t="b">
        <f t="shared" si="3"/>
        <v>1</v>
      </c>
      <c r="L8" s="57" t="str">
        <f t="array" ref="L8">IF($A8="","",INDEX('主表 Stock_Transaction_Log'!$P:$P,$A8))</f>
        <v>Material / 物料</v>
      </c>
      <c r="M8" s="57">
        <f>IF($A8="","",IF($H8&lt;=0,0,SUMIFS('主表 Stock_Transaction_Log'!$K$2:$K1000,'主表 Stock_Transaction_Log'!$C$2:$C1000,"Prepared",'主表 Stock_Transaction_Log'!$L$2:$L1000,$B8,'主表 Stock_Transaction_Log'!$F$2:$F1000,$C8,'主表 Stock_Transaction_Log'!$G$2:$G1000,$D8,'主表 Stock_Transaction_Log'!$P$2:$P1000,$L8)))</f>
        <v>0</v>
      </c>
      <c r="N8" s="57" t="s">
        <v>419</v>
      </c>
      <c r="O8" s="57">
        <f t="shared" si="4"/>
        <v>0</v>
      </c>
      <c r="P8" s="57">
        <f t="shared" si="5"/>
        <v>0</v>
      </c>
      <c r="Q8" s="57">
        <f t="shared" si="6"/>
        <v>0</v>
      </c>
      <c r="R8" s="57" t="str">
        <f t="shared" si="7"/>
        <v/>
      </c>
      <c r="S8" s="57" t="str">
        <f t="shared" si="8"/>
        <v>R1-1-3-L
Empty / 空</v>
      </c>
      <c r="T8" s="57" t="str">
        <f>IFERROR(__xludf.DUMMYFUNCTION("IF($N8="""","""",IF($O8=0,""Empty / 空"",IFERROR(LET(c,UNIQUE(FILTER($L$2:$L$500,$B$2:$B$500=$N8,$H$2:$H$500&gt;0,$L$2:$L$500&lt;&gt;"""")),IF(COUNTA(c)&gt;1,""Mixed / 混放: ""&amp;TEXTJOIN("" + "",TRUE,c),INDEX(c,1))),""Unclassified / 未分类"")))"),"Empty / 空")</f>
        <v>Empty / 空</v>
      </c>
      <c r="U8" s="58"/>
      <c r="V8" s="58"/>
      <c r="W8" s="58"/>
      <c r="X8" s="58"/>
      <c r="Y8" s="58"/>
      <c r="Z8" s="58"/>
      <c r="AA8" s="58"/>
    </row>
    <row r="9">
      <c r="A9" s="57">
        <f>IF('主表 Stock_Transaction_Log'!$T9="","",IF(COUNTIF('主表 Stock_Transaction_Log'!$T$2:$T9,'主表 Stock_Transaction_Log'!$T9)=1,ROW('主表 Stock_Transaction_Log'!$T9),""))</f>
        <v>9</v>
      </c>
      <c r="B9" s="57" t="str">
        <f t="array" ref="B9">IF($A9="","",INDEX('主表 Stock_Transaction_Log'!$Q:$Q,$A9))</f>
        <v>R1-4-1-R</v>
      </c>
      <c r="C9" s="57" t="str">
        <f t="array" ref="C9">IF($A9="","",IF(INDEX('主表 Stock_Transaction_Log'!$F:$F,$A9)=0,"",INDEX('主表 Stock_Transaction_Log'!$F:$F,$A9)))</f>
        <v/>
      </c>
      <c r="D9" s="57" t="str">
        <f t="array" ref="D9">IF($A9="","",INDEX('主表 Stock_Transaction_Log'!$G:$G,$A9))</f>
        <v>10-120-00471-00</v>
      </c>
      <c r="E9" s="57" t="str">
        <f t="array" ref="E9">IF($A9="","",INDEX('主表 Stock_Transaction_Log'!$H:$H,$A9))</f>
        <v>保温棉 橡胶泡棉 -90° -180° V-0 黑色 1主8从 上保温棉+下保温棉+四周保温棉(4+5) 带纸箱</v>
      </c>
      <c r="F9" s="57" t="str">
        <f t="array" ref="F9">IF($A9="","",INDEX('主表 Stock_Transaction_Log'!$I:$I,$A9))</f>
        <v>Material</v>
      </c>
      <c r="G9" s="57" t="str">
        <f t="array" ref="G9">IF($A9="","",IF(INDEX('主表 Stock_Transaction_Log'!$R:$R,$A9)=0,"",INDEX('主表 Stock_Transaction_Log'!$R:$R,$A9)))</f>
        <v/>
      </c>
      <c r="H9" s="57">
        <f t="array" ref="H9">IF($A9="","",SUMIF('主表 Stock_Transaction_Log'!$T:$T,INDEX('主表 Stock_Transaction_Log'!$T:$T,$A9),'主表 Stock_Transaction_Log'!$S:$S)+SUMIF('主表 Stock_Transaction_Log'!$AB:$AB,INDEX('主表 Stock_Transaction_Log'!$T:$T,$A9),'主表 Stock_Transaction_Log'!$AC:$AC))</f>
        <v>19</v>
      </c>
      <c r="I9" s="57" t="str">
        <f t="shared" si="1"/>
        <v>In Stock / 在库</v>
      </c>
      <c r="J9" s="57" t="str">
        <f t="shared" si="2"/>
        <v>Stock line / 库存明细</v>
      </c>
      <c r="K9" s="57" t="b">
        <f t="shared" si="3"/>
        <v>1</v>
      </c>
      <c r="L9" s="57" t="str">
        <f t="array" ref="L9">IF($A9="","",INDEX('主表 Stock_Transaction_Log'!$P:$P,$A9))</f>
        <v>Material / 物料</v>
      </c>
      <c r="M9" s="57">
        <f>IF($A9="","",IF($H9&lt;=0,0,SUMIFS('主表 Stock_Transaction_Log'!$K$2:$K1000,'主表 Stock_Transaction_Log'!$C$2:$C1000,"Prepared",'主表 Stock_Transaction_Log'!$L$2:$L1000,$B9,'主表 Stock_Transaction_Log'!$F$2:$F1000,$C9,'主表 Stock_Transaction_Log'!$G$2:$G1000,$D9,'主表 Stock_Transaction_Log'!$P$2:$P1000,$L9)))</f>
        <v>0</v>
      </c>
      <c r="N9" s="57" t="s">
        <v>432</v>
      </c>
      <c r="O9" s="57">
        <f t="shared" si="4"/>
        <v>0</v>
      </c>
      <c r="P9" s="57">
        <f t="shared" si="5"/>
        <v>0</v>
      </c>
      <c r="Q9" s="57">
        <f t="shared" si="6"/>
        <v>0</v>
      </c>
      <c r="R9" s="57" t="str">
        <f t="shared" si="7"/>
        <v/>
      </c>
      <c r="S9" s="57" t="str">
        <f t="shared" si="8"/>
        <v>R1-1-3-M
Empty / 空</v>
      </c>
      <c r="T9" s="57" t="str">
        <f>IFERROR(__xludf.DUMMYFUNCTION("IF($N9="""","""",IF($O9=0,""Empty / 空"",IFERROR(LET(c,UNIQUE(FILTER($L$2:$L$500,$B$2:$B$500=$N9,$H$2:$H$500&gt;0,$L$2:$L$500&lt;&gt;"""")),IF(COUNTA(c)&gt;1,""Mixed / 混放: ""&amp;TEXTJOIN("" + "",TRUE,c),INDEX(c,1))),""Unclassified / 未分类"")))"),"Empty / 空")</f>
        <v>Empty / 空</v>
      </c>
      <c r="U9" s="58"/>
      <c r="V9" s="58"/>
      <c r="W9" s="58"/>
      <c r="X9" s="58"/>
      <c r="Y9" s="58"/>
      <c r="Z9" s="58"/>
      <c r="AA9" s="58"/>
    </row>
    <row r="10">
      <c r="A10" s="57">
        <f>IF('主表 Stock_Transaction_Log'!$T10="","",IF(COUNTIF('主表 Stock_Transaction_Log'!$T$2:$T10,'主表 Stock_Transaction_Log'!$T10)=1,ROW('主表 Stock_Transaction_Log'!$T10),""))</f>
        <v>10</v>
      </c>
      <c r="B10" s="57" t="str">
        <f t="array" ref="B10">IF($A10="","",INDEX('主表 Stock_Transaction_Log'!$Q:$Q,$A10))</f>
        <v>R1-2-2-L</v>
      </c>
      <c r="C10" s="57" t="str">
        <f t="array" ref="C10">IF($A10="","",IF(INDEX('主表 Stock_Transaction_Log'!$F:$F,$A10)=0,"",INDEX('主表 Stock_Transaction_Log'!$F:$F,$A10)))</f>
        <v/>
      </c>
      <c r="D10" s="57" t="str">
        <f t="array" ref="D10">IF($A10="","",INDEX('主表 Stock_Transaction_Log'!$G:$G,$A10))</f>
        <v>41-406-00002-00</v>
      </c>
      <c r="E10" s="57" t="str">
        <f t="array" ref="E10">IF($A10="","",INDEX('主表 Stock_Transaction_Log'!$H:$H,$A10))</f>
        <v>H3 Smart遮线罩</v>
      </c>
      <c r="F10" s="57" t="str">
        <f t="array" ref="F10">IF($A10="","",INDEX('主表 Stock_Transaction_Log'!$I:$I,$A10))</f>
        <v>Material</v>
      </c>
      <c r="G10" s="57" t="str">
        <f t="array" ref="G10">IF($A10="","",IF(INDEX('主表 Stock_Transaction_Log'!$R:$R,$A10)=0,"",INDEX('主表 Stock_Transaction_Log'!$R:$R,$A10)))</f>
        <v/>
      </c>
      <c r="H10" s="57">
        <f t="array" ref="H10">IF($A10="","",SUMIF('主表 Stock_Transaction_Log'!$T:$T,INDEX('主表 Stock_Transaction_Log'!$T:$T,$A10),'主表 Stock_Transaction_Log'!$S:$S)+SUMIF('主表 Stock_Transaction_Log'!$AB:$AB,INDEX('主表 Stock_Transaction_Log'!$T:$T,$A10),'主表 Stock_Transaction_Log'!$AC:$AC))</f>
        <v>0</v>
      </c>
      <c r="I10" s="57" t="str">
        <f t="shared" si="1"/>
        <v>Out / 已出库</v>
      </c>
      <c r="J10" s="57" t="str">
        <f t="shared" si="2"/>
        <v>Stock line / 库存明细</v>
      </c>
      <c r="K10" s="57" t="b">
        <f t="shared" si="3"/>
        <v>1</v>
      </c>
      <c r="L10" s="57" t="str">
        <f t="array" ref="L10">IF($A10="","",INDEX('主表 Stock_Transaction_Log'!$P:$P,$A10))</f>
        <v>Material / 物料</v>
      </c>
      <c r="M10" s="57">
        <f>IF($A10="","",IF($H10&lt;=0,0,SUMIFS('主表 Stock_Transaction_Log'!$K$2:$K1000,'主表 Stock_Transaction_Log'!$C$2:$C1000,"Prepared",'主表 Stock_Transaction_Log'!$L$2:$L1000,$B10,'主表 Stock_Transaction_Log'!$F$2:$F1000,$C10,'主表 Stock_Transaction_Log'!$G$2:$G1000,$D10,'主表 Stock_Transaction_Log'!$P$2:$P1000,$L10)))</f>
        <v>0</v>
      </c>
      <c r="N10" s="57" t="s">
        <v>442</v>
      </c>
      <c r="O10" s="57">
        <f t="shared" si="4"/>
        <v>0</v>
      </c>
      <c r="P10" s="57">
        <f t="shared" si="5"/>
        <v>0</v>
      </c>
      <c r="Q10" s="57">
        <f t="shared" si="6"/>
        <v>0</v>
      </c>
      <c r="R10" s="57" t="str">
        <f t="shared" si="7"/>
        <v/>
      </c>
      <c r="S10" s="57" t="str">
        <f t="shared" si="8"/>
        <v>R1-1-3-R
Empty / 空</v>
      </c>
      <c r="T10" s="57" t="str">
        <f>IFERROR(__xludf.DUMMYFUNCTION("IF($N10="""","""",IF($O10=0,""Empty / 空"",IFERROR(LET(c,UNIQUE(FILTER($L$2:$L$500,$B$2:$B$500=$N10,$H$2:$H$500&gt;0,$L$2:$L$500&lt;&gt;"""")),IF(COUNTA(c)&gt;1,""Mixed / 混放: ""&amp;TEXTJOIN("" + "",TRUE,c),INDEX(c,1))),""Unclassified / 未分类"")))"),"Empty / 空")</f>
        <v>Empty / 空</v>
      </c>
      <c r="U10" s="58"/>
      <c r="V10" s="58"/>
      <c r="W10" s="58"/>
      <c r="X10" s="58"/>
      <c r="Y10" s="58"/>
      <c r="Z10" s="58"/>
      <c r="AA10" s="58"/>
    </row>
    <row r="11">
      <c r="A11" s="57">
        <f>IF('主表 Stock_Transaction_Log'!$T11="","",IF(COUNTIF('主表 Stock_Transaction_Log'!$T$2:$T11,'主表 Stock_Transaction_Log'!$T11)=1,ROW('主表 Stock_Transaction_Log'!$T11),""))</f>
        <v>11</v>
      </c>
      <c r="B11" s="57" t="str">
        <f t="array" ref="B11">IF($A11="","",INDEX('主表 Stock_Transaction_Log'!$Q:$Q,$A11))</f>
        <v>R1-2-2-M</v>
      </c>
      <c r="C11" s="57" t="str">
        <f t="array" ref="C11">IF($A11="","",IF(INDEX('主表 Stock_Transaction_Log'!$F:$F,$A11)=0,"",INDEX('主表 Stock_Transaction_Log'!$F:$F,$A11)))</f>
        <v/>
      </c>
      <c r="D11" s="57" t="str">
        <f t="array" ref="D11">IF($A11="","",INDEX('主表 Stock_Transaction_Log'!$G:$G,$A11))</f>
        <v>41-406-00002-00</v>
      </c>
      <c r="E11" s="57" t="str">
        <f t="array" ref="E11">IF($A11="","",INDEX('主表 Stock_Transaction_Log'!$H:$H,$A11))</f>
        <v>H3 Smart遮线罩</v>
      </c>
      <c r="F11" s="57" t="str">
        <f t="array" ref="F11">IF($A11="","",INDEX('主表 Stock_Transaction_Log'!$I:$I,$A11))</f>
        <v>Material</v>
      </c>
      <c r="G11" s="57" t="str">
        <f t="array" ref="G11">IF($A11="","",IF(INDEX('主表 Stock_Transaction_Log'!$R:$R,$A11)=0,"",INDEX('主表 Stock_Transaction_Log'!$R:$R,$A11)))</f>
        <v/>
      </c>
      <c r="H11" s="57">
        <f t="array" ref="H11">IF($A11="","",SUMIF('主表 Stock_Transaction_Log'!$T:$T,INDEX('主表 Stock_Transaction_Log'!$T:$T,$A11),'主表 Stock_Transaction_Log'!$S:$S)+SUMIF('主表 Stock_Transaction_Log'!$AB:$AB,INDEX('主表 Stock_Transaction_Log'!$T:$T,$A11),'主表 Stock_Transaction_Log'!$AC:$AC))</f>
        <v>0</v>
      </c>
      <c r="I11" s="57" t="str">
        <f t="shared" si="1"/>
        <v>Out / 已出库</v>
      </c>
      <c r="J11" s="57" t="str">
        <f t="shared" si="2"/>
        <v>Stock line / 库存明细</v>
      </c>
      <c r="K11" s="57" t="b">
        <f t="shared" si="3"/>
        <v>1</v>
      </c>
      <c r="L11" s="57" t="str">
        <f t="array" ref="L11">IF($A11="","",INDEX('主表 Stock_Transaction_Log'!$P:$P,$A11))</f>
        <v>Material / 物料</v>
      </c>
      <c r="M11" s="57">
        <f>IF($A11="","",IF($H11&lt;=0,0,SUMIFS('主表 Stock_Transaction_Log'!$K$2:$K1000,'主表 Stock_Transaction_Log'!$C$2:$C1000,"Prepared",'主表 Stock_Transaction_Log'!$L$2:$L1000,$B11,'主表 Stock_Transaction_Log'!$F$2:$F1000,$C11,'主表 Stock_Transaction_Log'!$G$2:$G1000,$D11,'主表 Stock_Transaction_Log'!$P$2:$P1000,$L11)))</f>
        <v>0</v>
      </c>
      <c r="N11" s="57" t="s">
        <v>453</v>
      </c>
      <c r="O11" s="57">
        <f t="shared" si="4"/>
        <v>0</v>
      </c>
      <c r="P11" s="57">
        <f t="shared" si="5"/>
        <v>0</v>
      </c>
      <c r="Q11" s="57">
        <f t="shared" si="6"/>
        <v>0</v>
      </c>
      <c r="R11" s="57" t="str">
        <f t="shared" si="7"/>
        <v/>
      </c>
      <c r="S11" s="57" t="str">
        <f t="shared" si="8"/>
        <v>R1-1-4-L
Empty / 空</v>
      </c>
      <c r="T11" s="57" t="str">
        <f>IFERROR(__xludf.DUMMYFUNCTION("IF($N11="""","""",IF($O11=0,""Empty / 空"",IFERROR(LET(c,UNIQUE(FILTER($L$2:$L$500,$B$2:$B$500=$N11,$H$2:$H$500&gt;0,$L$2:$L$500&lt;&gt;"""")),IF(COUNTA(c)&gt;1,""Mixed / 混放: ""&amp;TEXTJOIN("" + "",TRUE,c),INDEX(c,1))),""Unclassified / 未分类"")))"),"Empty / 空")</f>
        <v>Empty / 空</v>
      </c>
      <c r="U11" s="58"/>
      <c r="V11" s="58"/>
      <c r="W11" s="58"/>
      <c r="X11" s="58"/>
      <c r="Y11" s="58"/>
      <c r="Z11" s="58"/>
      <c r="AA11" s="58"/>
    </row>
    <row r="12">
      <c r="A12" s="57">
        <f>IF('主表 Stock_Transaction_Log'!$T12="","",IF(COUNTIF('主表 Stock_Transaction_Log'!$T$2:$T12,'主表 Stock_Transaction_Log'!$T12)=1,ROW('主表 Stock_Transaction_Log'!$T12),""))</f>
        <v>12</v>
      </c>
      <c r="B12" s="57" t="str">
        <f t="array" ref="B12">IF($A12="","",INDEX('主表 Stock_Transaction_Log'!$Q:$Q,$A12))</f>
        <v>R1-2-2-R</v>
      </c>
      <c r="C12" s="57" t="str">
        <f t="array" ref="C12">IF($A12="","",IF(INDEX('主表 Stock_Transaction_Log'!$F:$F,$A12)=0,"",INDEX('主表 Stock_Transaction_Log'!$F:$F,$A12)))</f>
        <v/>
      </c>
      <c r="D12" s="57" t="str">
        <f t="array" ref="D12">IF($A12="","",INDEX('主表 Stock_Transaction_Log'!$G:$G,$A12))</f>
        <v>41-406-00002-00</v>
      </c>
      <c r="E12" s="57" t="str">
        <f t="array" ref="E12">IF($A12="","",INDEX('主表 Stock_Transaction_Log'!$H:$H,$A12))</f>
        <v>H3 Smart遮线罩</v>
      </c>
      <c r="F12" s="57" t="str">
        <f t="array" ref="F12">IF($A12="","",INDEX('主表 Stock_Transaction_Log'!$I:$I,$A12))</f>
        <v>Material</v>
      </c>
      <c r="G12" s="57" t="str">
        <f t="array" ref="G12">IF($A12="","",IF(INDEX('主表 Stock_Transaction_Log'!$R:$R,$A12)=0,"",INDEX('主表 Stock_Transaction_Log'!$R:$R,$A12)))</f>
        <v/>
      </c>
      <c r="H12" s="57">
        <f t="array" ref="H12">IF($A12="","",SUMIF('主表 Stock_Transaction_Log'!$T:$T,INDEX('主表 Stock_Transaction_Log'!$T:$T,$A12),'主表 Stock_Transaction_Log'!$S:$S)+SUMIF('主表 Stock_Transaction_Log'!$AB:$AB,INDEX('主表 Stock_Transaction_Log'!$T:$T,$A12),'主表 Stock_Transaction_Log'!$AC:$AC))</f>
        <v>0</v>
      </c>
      <c r="I12" s="57" t="str">
        <f t="shared" si="1"/>
        <v>Out / 已出库</v>
      </c>
      <c r="J12" s="57" t="str">
        <f t="shared" si="2"/>
        <v>Stock line / 库存明细</v>
      </c>
      <c r="K12" s="57" t="b">
        <f t="shared" si="3"/>
        <v>1</v>
      </c>
      <c r="L12" s="57" t="str">
        <f t="array" ref="L12">IF($A12="","",INDEX('主表 Stock_Transaction_Log'!$P:$P,$A12))</f>
        <v>Material / 物料</v>
      </c>
      <c r="M12" s="57">
        <f>IF($A12="","",IF($H12&lt;=0,0,SUMIFS('主表 Stock_Transaction_Log'!$K$2:$K1000,'主表 Stock_Transaction_Log'!$C$2:$C1000,"Prepared",'主表 Stock_Transaction_Log'!$L$2:$L1000,$B12,'主表 Stock_Transaction_Log'!$F$2:$F1000,$C12,'主表 Stock_Transaction_Log'!$G$2:$G1000,$D12,'主表 Stock_Transaction_Log'!$P$2:$P1000,$L12)))</f>
        <v>0</v>
      </c>
      <c r="N12" s="57" t="s">
        <v>473</v>
      </c>
      <c r="O12" s="57">
        <f t="shared" si="4"/>
        <v>0</v>
      </c>
      <c r="P12" s="57">
        <f t="shared" si="5"/>
        <v>0</v>
      </c>
      <c r="Q12" s="57">
        <f t="shared" si="6"/>
        <v>0</v>
      </c>
      <c r="R12" s="57" t="str">
        <f t="shared" si="7"/>
        <v/>
      </c>
      <c r="S12" s="57" t="str">
        <f t="shared" si="8"/>
        <v>R1-1-4-M
Empty / 空</v>
      </c>
      <c r="T12" s="57" t="str">
        <f>IFERROR(__xludf.DUMMYFUNCTION("IF($N12="""","""",IF($O12=0,""Empty / 空"",IFERROR(LET(c,UNIQUE(FILTER($L$2:$L$500,$B$2:$B$500=$N12,$H$2:$H$500&gt;0,$L$2:$L$500&lt;&gt;"""")),IF(COUNTA(c)&gt;1,""Mixed / 混放: ""&amp;TEXTJOIN("" + "",TRUE,c),INDEX(c,1))),""Unclassified / 未分类"")))"),"Empty / 空")</f>
        <v>Empty / 空</v>
      </c>
      <c r="U12" s="58"/>
      <c r="V12" s="58"/>
      <c r="W12" s="58"/>
      <c r="X12" s="58"/>
      <c r="Y12" s="58"/>
      <c r="Z12" s="58"/>
      <c r="AA12" s="58"/>
    </row>
    <row r="13">
      <c r="A13" s="57">
        <f>IF('主表 Stock_Transaction_Log'!$T13="","",IF(COUNTIF('主表 Stock_Transaction_Log'!$T$2:$T13,'主表 Stock_Transaction_Log'!$T13)=1,ROW('主表 Stock_Transaction_Log'!$T13),""))</f>
        <v>13</v>
      </c>
      <c r="B13" s="57" t="str">
        <f t="array" ref="B13">IF($A13="","",INDEX('主表 Stock_Transaction_Log'!$Q:$Q,$A13))</f>
        <v>R1-3-2-L</v>
      </c>
      <c r="C13" s="57" t="str">
        <f t="array" ref="C13">IF($A13="","",IF(INDEX('主表 Stock_Transaction_Log'!$F:$F,$A13)=0,"",INDEX('主表 Stock_Transaction_Log'!$F:$F,$A13)))</f>
        <v/>
      </c>
      <c r="D13" s="57" t="str">
        <f t="array" ref="D13">IF($A13="","",INDEX('主表 Stock_Transaction_Log'!$G:$G,$A13))</f>
        <v>41-406-00002-00</v>
      </c>
      <c r="E13" s="57" t="str">
        <f t="array" ref="E13">IF($A13="","",INDEX('主表 Stock_Transaction_Log'!$H:$H,$A13))</f>
        <v>H3 Smart遮线罩</v>
      </c>
      <c r="F13" s="57" t="str">
        <f t="array" ref="F13">IF($A13="","",INDEX('主表 Stock_Transaction_Log'!$I:$I,$A13))</f>
        <v>Material</v>
      </c>
      <c r="G13" s="57" t="str">
        <f t="array" ref="G13">IF($A13="","",IF(INDEX('主表 Stock_Transaction_Log'!$R:$R,$A13)=0,"",INDEX('主表 Stock_Transaction_Log'!$R:$R,$A13)))</f>
        <v/>
      </c>
      <c r="H13" s="57">
        <f t="array" ref="H13">IF($A13="","",SUMIF('主表 Stock_Transaction_Log'!$T:$T,INDEX('主表 Stock_Transaction_Log'!$T:$T,$A13),'主表 Stock_Transaction_Log'!$S:$S)+SUMIF('主表 Stock_Transaction_Log'!$AB:$AB,INDEX('主表 Stock_Transaction_Log'!$T:$T,$A13),'主表 Stock_Transaction_Log'!$AC:$AC))</f>
        <v>0</v>
      </c>
      <c r="I13" s="57" t="str">
        <f t="shared" si="1"/>
        <v>Out / 已出库</v>
      </c>
      <c r="J13" s="57" t="str">
        <f t="shared" si="2"/>
        <v>Stock line / 库存明细</v>
      </c>
      <c r="K13" s="57" t="b">
        <f t="shared" si="3"/>
        <v>1</v>
      </c>
      <c r="L13" s="57" t="str">
        <f t="array" ref="L13">IF($A13="","",INDEX('主表 Stock_Transaction_Log'!$P:$P,$A13))</f>
        <v>Material / 物料</v>
      </c>
      <c r="M13" s="57">
        <f>IF($A13="","",IF($H13&lt;=0,0,SUMIFS('主表 Stock_Transaction_Log'!$K$2:$K1000,'主表 Stock_Transaction_Log'!$C$2:$C1000,"Prepared",'主表 Stock_Transaction_Log'!$L$2:$L1000,$B13,'主表 Stock_Transaction_Log'!$F$2:$F1000,$C13,'主表 Stock_Transaction_Log'!$G$2:$G1000,$D13,'主表 Stock_Transaction_Log'!$P$2:$P1000,$L13)))</f>
        <v>0</v>
      </c>
      <c r="N13" s="57" t="s">
        <v>504</v>
      </c>
      <c r="O13" s="57">
        <f t="shared" si="4"/>
        <v>0</v>
      </c>
      <c r="P13" s="57">
        <f t="shared" si="5"/>
        <v>0</v>
      </c>
      <c r="Q13" s="57">
        <f t="shared" si="6"/>
        <v>0</v>
      </c>
      <c r="R13" s="57" t="str">
        <f t="shared" si="7"/>
        <v/>
      </c>
      <c r="S13" s="57" t="str">
        <f t="shared" si="8"/>
        <v>R1-1-4-R
Empty / 空</v>
      </c>
      <c r="T13" s="57" t="str">
        <f>IFERROR(__xludf.DUMMYFUNCTION("IF($N13="""","""",IF($O13=0,""Empty / 空"",IFERROR(LET(c,UNIQUE(FILTER($L$2:$L$500,$B$2:$B$500=$N13,$H$2:$H$500&gt;0,$L$2:$L$500&lt;&gt;"""")),IF(COUNTA(c)&gt;1,""Mixed / 混放: ""&amp;TEXTJOIN("" + "",TRUE,c),INDEX(c,1))),""Unclassified / 未分类"")))"),"Empty / 空")</f>
        <v>Empty / 空</v>
      </c>
      <c r="U13" s="58"/>
      <c r="V13" s="58"/>
      <c r="W13" s="58"/>
      <c r="X13" s="58"/>
      <c r="Y13" s="58"/>
      <c r="Z13" s="58"/>
      <c r="AA13" s="58"/>
    </row>
    <row r="14">
      <c r="A14" s="57">
        <f>IF('主表 Stock_Transaction_Log'!$T14="","",IF(COUNTIF('主表 Stock_Transaction_Log'!$T$2:$T14,'主表 Stock_Transaction_Log'!$T14)=1,ROW('主表 Stock_Transaction_Log'!$T14),""))</f>
        <v>14</v>
      </c>
      <c r="B14" s="57" t="str">
        <f t="array" ref="B14">IF($A14="","",INDEX('主表 Stock_Transaction_Log'!$Q:$Q,$A14))</f>
        <v>R1-3-2-M</v>
      </c>
      <c r="C14" s="57" t="str">
        <f t="array" ref="C14">IF($A14="","",IF(INDEX('主表 Stock_Transaction_Log'!$F:$F,$A14)=0,"",INDEX('主表 Stock_Transaction_Log'!$F:$F,$A14)))</f>
        <v/>
      </c>
      <c r="D14" s="57" t="str">
        <f t="array" ref="D14">IF($A14="","",INDEX('主表 Stock_Transaction_Log'!$G:$G,$A14))</f>
        <v>41-406-00002-00</v>
      </c>
      <c r="E14" s="57" t="str">
        <f t="array" ref="E14">IF($A14="","",INDEX('主表 Stock_Transaction_Log'!$H:$H,$A14))</f>
        <v>H3 Smart遮线罩</v>
      </c>
      <c r="F14" s="57" t="str">
        <f t="array" ref="F14">IF($A14="","",INDEX('主表 Stock_Transaction_Log'!$I:$I,$A14))</f>
        <v>Material</v>
      </c>
      <c r="G14" s="57" t="str">
        <f t="array" ref="G14">IF($A14="","",IF(INDEX('主表 Stock_Transaction_Log'!$R:$R,$A14)=0,"",INDEX('主表 Stock_Transaction_Log'!$R:$R,$A14)))</f>
        <v/>
      </c>
      <c r="H14" s="57">
        <f t="array" ref="H14">IF($A14="","",SUMIF('主表 Stock_Transaction_Log'!$T:$T,INDEX('主表 Stock_Transaction_Log'!$T:$T,$A14),'主表 Stock_Transaction_Log'!$S:$S)+SUMIF('主表 Stock_Transaction_Log'!$AB:$AB,INDEX('主表 Stock_Transaction_Log'!$T:$T,$A14),'主表 Stock_Transaction_Log'!$AC:$AC))</f>
        <v>0</v>
      </c>
      <c r="I14" s="57" t="str">
        <f t="shared" si="1"/>
        <v>Out / 已出库</v>
      </c>
      <c r="J14" s="57" t="str">
        <f t="shared" si="2"/>
        <v>Stock line / 库存明细</v>
      </c>
      <c r="K14" s="57" t="b">
        <f t="shared" si="3"/>
        <v>1</v>
      </c>
      <c r="L14" s="57" t="str">
        <f t="array" ref="L14">IF($A14="","",INDEX('主表 Stock_Transaction_Log'!$P:$P,$A14))</f>
        <v>Material / 物料</v>
      </c>
      <c r="M14" s="57">
        <f>IF($A14="","",IF($H14&lt;=0,0,SUMIFS('主表 Stock_Transaction_Log'!$K$2:$K1000,'主表 Stock_Transaction_Log'!$C$2:$C1000,"Prepared",'主表 Stock_Transaction_Log'!$L$2:$L1000,$B14,'主表 Stock_Transaction_Log'!$F$2:$F1000,$C14,'主表 Stock_Transaction_Log'!$G$2:$G1000,$D14,'主表 Stock_Transaction_Log'!$P$2:$P1000,$L14)))</f>
        <v>0</v>
      </c>
      <c r="N14" s="57" t="s">
        <v>514</v>
      </c>
      <c r="O14" s="57">
        <f t="shared" si="4"/>
        <v>99</v>
      </c>
      <c r="P14" s="57">
        <f t="shared" si="5"/>
        <v>1</v>
      </c>
      <c r="Q14" s="57">
        <f t="shared" si="6"/>
        <v>1</v>
      </c>
      <c r="R14" s="57" t="str">
        <f t="shared" si="7"/>
        <v/>
      </c>
      <c r="S14" s="57" t="str">
        <f t="shared" si="8"/>
        <v>R1-1-5-L
物料
Qty / 数量: 99</v>
      </c>
      <c r="T14" s="57" t="str">
        <f>IFERROR(__xludf.DUMMYFUNCTION("IF($N14="""","""",IF($O14=0,""Empty / 空"",IFERROR(LET(c,UNIQUE(FILTER($L$2:$L$500,$B$2:$B$500=$N14,$H$2:$H$500&gt;0,$L$2:$L$500&lt;&gt;"""")),IF(COUNTA(c)&gt;1,""Mixed / 混放: ""&amp;TEXTJOIN("" + "",TRUE,c),INDEX(c,1))),""Unclassified / 未分类"")))"),"Material / 物料")</f>
        <v>Material / 物料</v>
      </c>
      <c r="U14" s="58"/>
      <c r="V14" s="58"/>
      <c r="W14" s="58"/>
      <c r="X14" s="58"/>
      <c r="Y14" s="58"/>
      <c r="Z14" s="58"/>
      <c r="AA14" s="58"/>
    </row>
    <row r="15">
      <c r="A15" s="57">
        <f>IF('主表 Stock_Transaction_Log'!$T15="","",IF(COUNTIF('主表 Stock_Transaction_Log'!$T$2:$T15,'主表 Stock_Transaction_Log'!$T15)=1,ROW('主表 Stock_Transaction_Log'!$T15),""))</f>
        <v>15</v>
      </c>
      <c r="B15" s="57" t="str">
        <f t="array" ref="B15">IF($A15="","",INDEX('主表 Stock_Transaction_Log'!$Q:$Q,$A15))</f>
        <v>R1-3-2-R</v>
      </c>
      <c r="C15" s="57" t="str">
        <f t="array" ref="C15">IF($A15="","",IF(INDEX('主表 Stock_Transaction_Log'!$F:$F,$A15)=0,"",INDEX('主表 Stock_Transaction_Log'!$F:$F,$A15)))</f>
        <v/>
      </c>
      <c r="D15" s="57" t="str">
        <f t="array" ref="D15">IF($A15="","",INDEX('主表 Stock_Transaction_Log'!$G:$G,$A15))</f>
        <v>41-406-00002-00</v>
      </c>
      <c r="E15" s="57" t="str">
        <f t="array" ref="E15">IF($A15="","",INDEX('主表 Stock_Transaction_Log'!$H:$H,$A15))</f>
        <v>H3 Smart遮线罩</v>
      </c>
      <c r="F15" s="57" t="str">
        <f t="array" ref="F15">IF($A15="","",INDEX('主表 Stock_Transaction_Log'!$I:$I,$A15))</f>
        <v>Material</v>
      </c>
      <c r="G15" s="57" t="str">
        <f t="array" ref="G15">IF($A15="","",IF(INDEX('主表 Stock_Transaction_Log'!$R:$R,$A15)=0,"",INDEX('主表 Stock_Transaction_Log'!$R:$R,$A15)))</f>
        <v/>
      </c>
      <c r="H15" s="57">
        <f t="array" ref="H15">IF($A15="","",SUMIF('主表 Stock_Transaction_Log'!$T:$T,INDEX('主表 Stock_Transaction_Log'!$T:$T,$A15),'主表 Stock_Transaction_Log'!$S:$S)+SUMIF('主表 Stock_Transaction_Log'!$AB:$AB,INDEX('主表 Stock_Transaction_Log'!$T:$T,$A15),'主表 Stock_Transaction_Log'!$AC:$AC))</f>
        <v>0</v>
      </c>
      <c r="I15" s="57" t="str">
        <f t="shared" si="1"/>
        <v>Out / 已出库</v>
      </c>
      <c r="J15" s="57" t="str">
        <f t="shared" si="2"/>
        <v>Stock line / 库存明细</v>
      </c>
      <c r="K15" s="57" t="b">
        <f t="shared" si="3"/>
        <v>1</v>
      </c>
      <c r="L15" s="57" t="str">
        <f t="array" ref="L15">IF($A15="","",INDEX('主表 Stock_Transaction_Log'!$P:$P,$A15))</f>
        <v>Material / 物料</v>
      </c>
      <c r="M15" s="57">
        <f>IF($A15="","",IF($H15&lt;=0,0,SUMIFS('主表 Stock_Transaction_Log'!$K$2:$K1000,'主表 Stock_Transaction_Log'!$C$2:$C1000,"Prepared",'主表 Stock_Transaction_Log'!$L$2:$L1000,$B15,'主表 Stock_Transaction_Log'!$F$2:$F1000,$C15,'主表 Stock_Transaction_Log'!$G$2:$G1000,$D15,'主表 Stock_Transaction_Log'!$P$2:$P1000,$L15)))</f>
        <v>0</v>
      </c>
      <c r="N15" s="57" t="s">
        <v>524</v>
      </c>
      <c r="O15" s="57">
        <f t="shared" si="4"/>
        <v>0</v>
      </c>
      <c r="P15" s="57">
        <f t="shared" si="5"/>
        <v>0</v>
      </c>
      <c r="Q15" s="57">
        <f t="shared" si="6"/>
        <v>0</v>
      </c>
      <c r="R15" s="57" t="str">
        <f t="shared" si="7"/>
        <v/>
      </c>
      <c r="S15" s="57" t="str">
        <f t="shared" si="8"/>
        <v>R1-1-5-M
Empty / 空</v>
      </c>
      <c r="T15" s="57" t="str">
        <f>IFERROR(__xludf.DUMMYFUNCTION("IF($N15="""","""",IF($O15=0,""Empty / 空"",IFERROR(LET(c,UNIQUE(FILTER($L$2:$L$500,$B$2:$B$500=$N15,$H$2:$H$500&gt;0,$L$2:$L$500&lt;&gt;"""")),IF(COUNTA(c)&gt;1,""Mixed / 混放: ""&amp;TEXTJOIN("" + "",TRUE,c),INDEX(c,1))),""Unclassified / 未分类"")))"),"Empty / 空")</f>
        <v>Empty / 空</v>
      </c>
      <c r="U15" s="58"/>
      <c r="V15" s="58"/>
      <c r="W15" s="58"/>
      <c r="X15" s="58"/>
      <c r="Y15" s="58"/>
      <c r="Z15" s="58"/>
      <c r="AA15" s="58"/>
    </row>
    <row r="16">
      <c r="A16" s="57">
        <f>IF('主表 Stock_Transaction_Log'!$T16="","",IF(COUNTIF('主表 Stock_Transaction_Log'!$T$2:$T16,'主表 Stock_Transaction_Log'!$T16)=1,ROW('主表 Stock_Transaction_Log'!$T16),""))</f>
        <v>16</v>
      </c>
      <c r="B16" s="57" t="str">
        <f t="array" ref="B16">IF($A16="","",INDEX('主表 Stock_Transaction_Log'!$Q:$Q,$A16))</f>
        <v>R1-4-2-L</v>
      </c>
      <c r="C16" s="57" t="str">
        <f t="array" ref="C16">IF($A16="","",IF(INDEX('主表 Stock_Transaction_Log'!$F:$F,$A16)=0,"",INDEX('主表 Stock_Transaction_Log'!$F:$F,$A16)))</f>
        <v/>
      </c>
      <c r="D16" s="57" t="str">
        <f t="array" ref="D16">IF($A16="","",INDEX('主表 Stock_Transaction_Log'!$G:$G,$A16))</f>
        <v>97-406-00017-00</v>
      </c>
      <c r="E16" s="57" t="str">
        <f t="array" ref="E16">IF($A16="","",INDEX('主表 Stock_Transaction_Log'!$H:$H,$A16))</f>
        <v>KH遮线罩</v>
      </c>
      <c r="F16" s="57" t="str">
        <f t="array" ref="F16">IF($A16="","",INDEX('主表 Stock_Transaction_Log'!$I:$I,$A16))</f>
        <v>Material</v>
      </c>
      <c r="G16" s="57" t="str">
        <f t="array" ref="G16">IF($A16="","",IF(INDEX('主表 Stock_Transaction_Log'!$R:$R,$A16)=0,"",INDEX('主表 Stock_Transaction_Log'!$R:$R,$A16)))</f>
        <v/>
      </c>
      <c r="H16" s="57">
        <f t="array" ref="H16">IF($A16="","",SUMIF('主表 Stock_Transaction_Log'!$T:$T,INDEX('主表 Stock_Transaction_Log'!$T:$T,$A16),'主表 Stock_Transaction_Log'!$S:$S)+SUMIF('主表 Stock_Transaction_Log'!$AB:$AB,INDEX('主表 Stock_Transaction_Log'!$T:$T,$A16),'主表 Stock_Transaction_Log'!$AC:$AC))</f>
        <v>0</v>
      </c>
      <c r="I16" s="57" t="str">
        <f t="shared" si="1"/>
        <v>Out / 已出库</v>
      </c>
      <c r="J16" s="57" t="str">
        <f t="shared" si="2"/>
        <v>Stock line / 库存明细</v>
      </c>
      <c r="K16" s="57" t="b">
        <f t="shared" si="3"/>
        <v>1</v>
      </c>
      <c r="L16" s="57" t="str">
        <f t="array" ref="L16">IF($A16="","",INDEX('主表 Stock_Transaction_Log'!$P:$P,$A16))</f>
        <v>Material / 物料</v>
      </c>
      <c r="M16" s="57">
        <f>IF($A16="","",IF($H16&lt;=0,0,SUMIFS('主表 Stock_Transaction_Log'!$K$2:$K1000,'主表 Stock_Transaction_Log'!$C$2:$C1000,"Prepared",'主表 Stock_Transaction_Log'!$L$2:$L1000,$B16,'主表 Stock_Transaction_Log'!$F$2:$F1000,$C16,'主表 Stock_Transaction_Log'!$G$2:$G1000,$D16,'主表 Stock_Transaction_Log'!$P$2:$P1000,$L16)))</f>
        <v>0</v>
      </c>
      <c r="N16" s="57" t="s">
        <v>532</v>
      </c>
      <c r="O16" s="57">
        <f t="shared" si="4"/>
        <v>99</v>
      </c>
      <c r="P16" s="57">
        <f t="shared" si="5"/>
        <v>1</v>
      </c>
      <c r="Q16" s="57">
        <f t="shared" si="6"/>
        <v>1</v>
      </c>
      <c r="R16" s="57" t="str">
        <f t="shared" si="7"/>
        <v/>
      </c>
      <c r="S16" s="57" t="str">
        <f t="shared" si="8"/>
        <v>R1-1-5-R
物料
Qty / 数量: 99</v>
      </c>
      <c r="T16" s="57" t="str">
        <f>IFERROR(__xludf.DUMMYFUNCTION("IF($N16="""","""",IF($O16=0,""Empty / 空"",IFERROR(LET(c,UNIQUE(FILTER($L$2:$L$500,$B$2:$B$500=$N16,$H$2:$H$500&gt;0,$L$2:$L$500&lt;&gt;"""")),IF(COUNTA(c)&gt;1,""Mixed / 混放: ""&amp;TEXTJOIN("" + "",TRUE,c),INDEX(c,1))),""Unclassified / 未分类"")))"),"Material / 物料")</f>
        <v>Material / 物料</v>
      </c>
      <c r="U16" s="58"/>
      <c r="V16" s="58"/>
      <c r="W16" s="58"/>
      <c r="X16" s="58"/>
      <c r="Y16" s="58"/>
      <c r="Z16" s="58"/>
      <c r="AA16" s="58"/>
    </row>
    <row r="17">
      <c r="A17" s="57">
        <f>IF('主表 Stock_Transaction_Log'!$T17="","",IF(COUNTIF('主表 Stock_Transaction_Log'!$T$2:$T17,'主表 Stock_Transaction_Log'!$T17)=1,ROW('主表 Stock_Transaction_Log'!$T17),""))</f>
        <v>17</v>
      </c>
      <c r="B17" s="57" t="str">
        <f t="array" ref="B17">IF($A17="","",INDEX('主表 Stock_Transaction_Log'!$Q:$Q,$A17))</f>
        <v>R1-4-2-R</v>
      </c>
      <c r="C17" s="57" t="str">
        <f t="array" ref="C17">IF($A17="","",IF(INDEX('主表 Stock_Transaction_Log'!$F:$F,$A17)=0,"",INDEX('主表 Stock_Transaction_Log'!$F:$F,$A17)))</f>
        <v/>
      </c>
      <c r="D17" s="57" t="str">
        <f t="array" ref="D17">IF($A17="","",INDEX('主表 Stock_Transaction_Log'!$G:$G,$A17))</f>
        <v>10-120-00471-00</v>
      </c>
      <c r="E17" s="57" t="str">
        <f t="array" ref="E17">IF($A17="","",INDEX('主表 Stock_Transaction_Log'!$H:$H,$A17))</f>
        <v>保温棉 橡胶泡棉 -90° -180° V-0 黑色 1主8从 上保温棉+下保温棉+四周保温棉(4+5) 带纸箱</v>
      </c>
      <c r="F17" s="57" t="str">
        <f t="array" ref="F17">IF($A17="","",INDEX('主表 Stock_Transaction_Log'!$I:$I,$A17))</f>
        <v>Material</v>
      </c>
      <c r="G17" s="57" t="str">
        <f t="array" ref="G17">IF($A17="","",IF(INDEX('主表 Stock_Transaction_Log'!$R:$R,$A17)=0,"",INDEX('主表 Stock_Transaction_Log'!$R:$R,$A17)))</f>
        <v/>
      </c>
      <c r="H17" s="57">
        <f t="array" ref="H17">IF($A17="","",SUMIF('主表 Stock_Transaction_Log'!$T:$T,INDEX('主表 Stock_Transaction_Log'!$T:$T,$A17),'主表 Stock_Transaction_Log'!$S:$S)+SUMIF('主表 Stock_Transaction_Log'!$AB:$AB,INDEX('主表 Stock_Transaction_Log'!$T:$T,$A17),'主表 Stock_Transaction_Log'!$AC:$AC))</f>
        <v>20</v>
      </c>
      <c r="I17" s="57" t="str">
        <f t="shared" si="1"/>
        <v>In Stock / 在库</v>
      </c>
      <c r="J17" s="57" t="str">
        <f t="shared" si="2"/>
        <v>Stock line / 库存明细</v>
      </c>
      <c r="K17" s="57" t="b">
        <f t="shared" si="3"/>
        <v>1</v>
      </c>
      <c r="L17" s="57" t="str">
        <f t="array" ref="L17">IF($A17="","",INDEX('主表 Stock_Transaction_Log'!$P:$P,$A17))</f>
        <v>Material / 物料</v>
      </c>
      <c r="M17" s="57">
        <f>IF($A17="","",IF($H17&lt;=0,0,SUMIFS('主表 Stock_Transaction_Log'!$K$2:$K1000,'主表 Stock_Transaction_Log'!$C$2:$C1000,"Prepared",'主表 Stock_Transaction_Log'!$L$2:$L1000,$B17,'主表 Stock_Transaction_Log'!$F$2:$F1000,$C17,'主表 Stock_Transaction_Log'!$G$2:$G1000,$D17,'主表 Stock_Transaction_Log'!$P$2:$P1000,$L17)))</f>
        <v>0</v>
      </c>
      <c r="N17" s="57" t="s">
        <v>518</v>
      </c>
      <c r="O17" s="57">
        <f t="shared" si="4"/>
        <v>99</v>
      </c>
      <c r="P17" s="57">
        <f t="shared" si="5"/>
        <v>1</v>
      </c>
      <c r="Q17" s="57">
        <f t="shared" si="6"/>
        <v>1</v>
      </c>
      <c r="R17" s="57" t="str">
        <f t="shared" si="7"/>
        <v/>
      </c>
      <c r="S17" s="57" t="str">
        <f t="shared" si="8"/>
        <v>R1-1-6-L
物料
Qty / 数量: 99</v>
      </c>
      <c r="T17" s="57" t="str">
        <f>IFERROR(__xludf.DUMMYFUNCTION("IF($N17="""","""",IF($O17=0,""Empty / 空"",IFERROR(LET(c,UNIQUE(FILTER($L$2:$L$500,$B$2:$B$500=$N17,$H$2:$H$500&gt;0,$L$2:$L$500&lt;&gt;"""")),IF(COUNTA(c)&gt;1,""Mixed / 混放: ""&amp;TEXTJOIN("" + "",TRUE,c),INDEX(c,1))),""Unclassified / 未分类"")))"),"Material / 物料")</f>
        <v>Material / 物料</v>
      </c>
      <c r="U17" s="58"/>
      <c r="V17" s="58"/>
      <c r="W17" s="58"/>
      <c r="X17" s="58"/>
      <c r="Y17" s="58"/>
      <c r="Z17" s="58"/>
      <c r="AA17" s="58"/>
    </row>
    <row r="18">
      <c r="A18" s="57">
        <f>IF('主表 Stock_Transaction_Log'!$T18="","",IF(COUNTIF('主表 Stock_Transaction_Log'!$T$2:$T18,'主表 Stock_Transaction_Log'!$T18)=1,ROW('主表 Stock_Transaction_Log'!$T18),""))</f>
        <v>18</v>
      </c>
      <c r="B18" s="57" t="str">
        <f t="array" ref="B18">IF($A18="","",INDEX('主表 Stock_Transaction_Log'!$Q:$Q,$A18))</f>
        <v>R1-2-3-L</v>
      </c>
      <c r="C18" s="57" t="str">
        <f t="array" ref="C18">IF($A18="","",IF(INDEX('主表 Stock_Transaction_Log'!$F:$F,$A18)=0,"",INDEX('主表 Stock_Transaction_Log'!$F:$F,$A18)))</f>
        <v/>
      </c>
      <c r="D18" s="57" t="str">
        <f t="array" ref="D18">IF($A18="","",INDEX('主表 Stock_Transaction_Log'!$G:$G,$A18))</f>
        <v>41-406-00002-00</v>
      </c>
      <c r="E18" s="57" t="str">
        <f t="array" ref="E18">IF($A18="","",INDEX('主表 Stock_Transaction_Log'!$H:$H,$A18))</f>
        <v>H3 Smart遮线罩</v>
      </c>
      <c r="F18" s="57" t="str">
        <f t="array" ref="F18">IF($A18="","",INDEX('主表 Stock_Transaction_Log'!$I:$I,$A18))</f>
        <v>Material</v>
      </c>
      <c r="G18" s="57" t="str">
        <f t="array" ref="G18">IF($A18="","",IF(INDEX('主表 Stock_Transaction_Log'!$R:$R,$A18)=0,"",INDEX('主表 Stock_Transaction_Log'!$R:$R,$A18)))</f>
        <v/>
      </c>
      <c r="H18" s="57">
        <f t="array" ref="H18">IF($A18="","",SUMIF('主表 Stock_Transaction_Log'!$T:$T,INDEX('主表 Stock_Transaction_Log'!$T:$T,$A18),'主表 Stock_Transaction_Log'!$S:$S)+SUMIF('主表 Stock_Transaction_Log'!$AB:$AB,INDEX('主表 Stock_Transaction_Log'!$T:$T,$A18),'主表 Stock_Transaction_Log'!$AC:$AC))</f>
        <v>0</v>
      </c>
      <c r="I18" s="57" t="str">
        <f t="shared" si="1"/>
        <v>Out / 已出库</v>
      </c>
      <c r="J18" s="57" t="str">
        <f t="shared" si="2"/>
        <v>Stock line / 库存明细</v>
      </c>
      <c r="K18" s="57" t="b">
        <f t="shared" si="3"/>
        <v>1</v>
      </c>
      <c r="L18" s="57" t="str">
        <f t="array" ref="L18">IF($A18="","",INDEX('主表 Stock_Transaction_Log'!$P:$P,$A18))</f>
        <v>Material / 物料</v>
      </c>
      <c r="M18" s="57">
        <f>IF($A18="","",IF($H18&lt;=0,0,SUMIFS('主表 Stock_Transaction_Log'!$K$2:$K1000,'主表 Stock_Transaction_Log'!$C$2:$C1000,"Prepared",'主表 Stock_Transaction_Log'!$L$2:$L1000,$B18,'主表 Stock_Transaction_Log'!$F$2:$F1000,$C18,'主表 Stock_Transaction_Log'!$G$2:$G1000,$D18,'主表 Stock_Transaction_Log'!$P$2:$P1000,$L18)))</f>
        <v>0</v>
      </c>
      <c r="N18" s="57" t="s">
        <v>529</v>
      </c>
      <c r="O18" s="57">
        <f t="shared" si="4"/>
        <v>99</v>
      </c>
      <c r="P18" s="57">
        <f t="shared" si="5"/>
        <v>1</v>
      </c>
      <c r="Q18" s="57">
        <f t="shared" si="6"/>
        <v>1</v>
      </c>
      <c r="R18" s="57" t="str">
        <f t="shared" si="7"/>
        <v/>
      </c>
      <c r="S18" s="57" t="str">
        <f t="shared" si="8"/>
        <v>R1-1-6-M
物料
Qty / 数量: 99</v>
      </c>
      <c r="T18" s="57" t="str">
        <f>IFERROR(__xludf.DUMMYFUNCTION("IF($N18="""","""",IF($O18=0,""Empty / 空"",IFERROR(LET(c,UNIQUE(FILTER($L$2:$L$500,$B$2:$B$500=$N18,$H$2:$H$500&gt;0,$L$2:$L$500&lt;&gt;"""")),IF(COUNTA(c)&gt;1,""Mixed / 混放: ""&amp;TEXTJOIN("" + "",TRUE,c),INDEX(c,1))),""Unclassified / 未分类"")))"),"Material / 物料")</f>
        <v>Material / 物料</v>
      </c>
      <c r="U18" s="58"/>
      <c r="V18" s="58"/>
      <c r="W18" s="58"/>
      <c r="X18" s="58"/>
      <c r="Y18" s="58"/>
      <c r="Z18" s="58"/>
      <c r="AA18" s="58"/>
    </row>
    <row r="19">
      <c r="A19" s="57" t="str">
        <f>IF('主表 Stock_Transaction_Log'!$T19="","",IF(COUNTIF('主表 Stock_Transaction_Log'!$T$2:$T19,'主表 Stock_Transaction_Log'!$T19)=1,ROW('主表 Stock_Transaction_Log'!$T19),""))</f>
        <v/>
      </c>
      <c r="B19" s="57" t="str">
        <f t="array" ref="B19">IF($A19="","",INDEX('主表 Stock_Transaction_Log'!$Q:$Q,$A19))</f>
        <v/>
      </c>
      <c r="C19" s="57" t="str">
        <f t="array" ref="C19">IF($A19="","",IF(INDEX('主表 Stock_Transaction_Log'!$F:$F,$A19)=0,"",INDEX('主表 Stock_Transaction_Log'!$F:$F,$A19)))</f>
        <v/>
      </c>
      <c r="D19" s="57" t="str">
        <f t="array" ref="D19">IF($A19="","",INDEX('主表 Stock_Transaction_Log'!$G:$G,$A19))</f>
        <v/>
      </c>
      <c r="E19" s="57" t="str">
        <f t="array" ref="E19">IF($A19="","",INDEX('主表 Stock_Transaction_Log'!$H:$H,$A19))</f>
        <v/>
      </c>
      <c r="F19" s="57" t="str">
        <f t="array" ref="F19">IF($A19="","",INDEX('主表 Stock_Transaction_Log'!$I:$I,$A19))</f>
        <v/>
      </c>
      <c r="G19" s="57" t="str">
        <f t="array" ref="G19">IF($A19="","",IF(INDEX('主表 Stock_Transaction_Log'!$R:$R,$A19)=0,"",INDEX('主表 Stock_Transaction_Log'!$R:$R,$A19)))</f>
        <v/>
      </c>
      <c r="H19" s="57" t="str">
        <f t="array" ref="H19">IF($A19="","",SUMIF('主表 Stock_Transaction_Log'!$T:$T,INDEX('主表 Stock_Transaction_Log'!$T:$T,$A19),'主表 Stock_Transaction_Log'!$S:$S)+SUMIF('主表 Stock_Transaction_Log'!$AB:$AB,INDEX('主表 Stock_Transaction_Log'!$T:$T,$A19),'主表 Stock_Transaction_Log'!$AC:$AC))</f>
        <v/>
      </c>
      <c r="I19" s="57" t="str">
        <f t="shared" si="1"/>
        <v/>
      </c>
      <c r="J19" s="57" t="str">
        <f t="shared" si="2"/>
        <v/>
      </c>
      <c r="K19" s="57" t="str">
        <f t="shared" si="3"/>
        <v/>
      </c>
      <c r="L19" s="57" t="str">
        <f t="array" ref="L19">IF($A19="","",INDEX('主表 Stock_Transaction_Log'!$P:$P,$A19))</f>
        <v/>
      </c>
      <c r="M19" s="57" t="str">
        <f>IF($A19="","",IF($H19&lt;=0,0,SUMIFS('主表 Stock_Transaction_Log'!$K$2:$K1000,'主表 Stock_Transaction_Log'!$C$2:$C1000,"Prepared",'主表 Stock_Transaction_Log'!$L$2:$L1000,$B19,'主表 Stock_Transaction_Log'!$F$2:$F1000,$C19,'主表 Stock_Transaction_Log'!$G$2:$G1000,$D19,'主表 Stock_Transaction_Log'!$P$2:$P1000,$L19)))</f>
        <v/>
      </c>
      <c r="N19" s="57" t="s">
        <v>531</v>
      </c>
      <c r="O19" s="57">
        <f t="shared" si="4"/>
        <v>99</v>
      </c>
      <c r="P19" s="57">
        <f t="shared" si="5"/>
        <v>1</v>
      </c>
      <c r="Q19" s="57">
        <f t="shared" si="6"/>
        <v>1</v>
      </c>
      <c r="R19" s="57" t="str">
        <f t="shared" si="7"/>
        <v/>
      </c>
      <c r="S19" s="57" t="str">
        <f t="shared" si="8"/>
        <v>R1-1-6-R
物料
Qty / 数量: 99</v>
      </c>
      <c r="T19" s="57" t="str">
        <f>IFERROR(__xludf.DUMMYFUNCTION("IF($N19="""","""",IF($O19=0,""Empty / 空"",IFERROR(LET(c,UNIQUE(FILTER($L$2:$L$500,$B$2:$B$500=$N19,$H$2:$H$500&gt;0,$L$2:$L$500&lt;&gt;"""")),IF(COUNTA(c)&gt;1,""Mixed / 混放: ""&amp;TEXTJOIN("" + "",TRUE,c),INDEX(c,1))),""Unclassified / 未分类"")))"),"Material / 物料")</f>
        <v>Material / 物料</v>
      </c>
      <c r="U19" s="58"/>
      <c r="V19" s="58"/>
      <c r="W19" s="58"/>
      <c r="X19" s="58"/>
      <c r="Y19" s="58"/>
      <c r="Z19" s="58"/>
      <c r="AA19" s="58"/>
    </row>
    <row r="20">
      <c r="A20" s="57" t="str">
        <f>IF('主表 Stock_Transaction_Log'!$T20="","",IF(COUNTIF('主表 Stock_Transaction_Log'!$T$2:$T20,'主表 Stock_Transaction_Log'!$T20)=1,ROW('主表 Stock_Transaction_Log'!$T20),""))</f>
        <v/>
      </c>
      <c r="B20" s="57" t="str">
        <f t="array" ref="B20">IF($A20="","",INDEX('主表 Stock_Transaction_Log'!$Q:$Q,$A20))</f>
        <v/>
      </c>
      <c r="C20" s="57" t="str">
        <f t="array" ref="C20">IF($A20="","",IF(INDEX('主表 Stock_Transaction_Log'!$F:$F,$A20)=0,"",INDEX('主表 Stock_Transaction_Log'!$F:$F,$A20)))</f>
        <v/>
      </c>
      <c r="D20" s="57" t="str">
        <f t="array" ref="D20">IF($A20="","",INDEX('主表 Stock_Transaction_Log'!$G:$G,$A20))</f>
        <v/>
      </c>
      <c r="E20" s="57" t="str">
        <f t="array" ref="E20">IF($A20="","",INDEX('主表 Stock_Transaction_Log'!$H:$H,$A20))</f>
        <v/>
      </c>
      <c r="F20" s="57" t="str">
        <f t="array" ref="F20">IF($A20="","",INDEX('主表 Stock_Transaction_Log'!$I:$I,$A20))</f>
        <v/>
      </c>
      <c r="G20" s="57" t="str">
        <f t="array" ref="G20">IF($A20="","",IF(INDEX('主表 Stock_Transaction_Log'!$R:$R,$A20)=0,"",INDEX('主表 Stock_Transaction_Log'!$R:$R,$A20)))</f>
        <v/>
      </c>
      <c r="H20" s="57" t="str">
        <f t="array" ref="H20">IF($A20="","",SUMIF('主表 Stock_Transaction_Log'!$T:$T,INDEX('主表 Stock_Transaction_Log'!$T:$T,$A20),'主表 Stock_Transaction_Log'!$S:$S)+SUMIF('主表 Stock_Transaction_Log'!$AB:$AB,INDEX('主表 Stock_Transaction_Log'!$T:$T,$A20),'主表 Stock_Transaction_Log'!$AC:$AC))</f>
        <v/>
      </c>
      <c r="I20" s="57" t="str">
        <f t="shared" si="1"/>
        <v/>
      </c>
      <c r="J20" s="57" t="str">
        <f t="shared" si="2"/>
        <v/>
      </c>
      <c r="K20" s="57" t="str">
        <f t="shared" si="3"/>
        <v/>
      </c>
      <c r="L20" s="57" t="str">
        <f t="array" ref="L20">IF($A20="","",INDEX('主表 Stock_Transaction_Log'!$P:$P,$A20))</f>
        <v/>
      </c>
      <c r="M20" s="57" t="str">
        <f>IF($A20="","",IF($H20&lt;=0,0,SUMIFS('主表 Stock_Transaction_Log'!$K$2:$K1000,'主表 Stock_Transaction_Log'!$C$2:$C1000,"Prepared",'主表 Stock_Transaction_Log'!$L$2:$L1000,$B20,'主表 Stock_Transaction_Log'!$F$2:$F1000,$C20,'主表 Stock_Transaction_Log'!$G$2:$G1000,$D20,'主表 Stock_Transaction_Log'!$P$2:$P1000,$L20)))</f>
        <v/>
      </c>
      <c r="N20" s="57" t="s">
        <v>75</v>
      </c>
      <c r="O20" s="57">
        <f t="shared" si="4"/>
        <v>288</v>
      </c>
      <c r="P20" s="57">
        <f t="shared" si="5"/>
        <v>1</v>
      </c>
      <c r="Q20" s="57">
        <f t="shared" si="6"/>
        <v>1</v>
      </c>
      <c r="R20" s="57" t="str">
        <f t="shared" si="7"/>
        <v/>
      </c>
      <c r="S20" s="57" t="str">
        <f t="shared" si="8"/>
        <v>R1-2-1-L
97-414-00027-00
Qty / 数量: 288</v>
      </c>
      <c r="T20" s="57" t="str">
        <f>IFERROR(__xludf.DUMMYFUNCTION("IF($N20="""","""",IF($O20=0,""Empty / 空"",IFERROR(LET(c,UNIQUE(FILTER($L$2:$L$500,$B$2:$B$500=$N20,$H$2:$H$500&gt;0,$L$2:$L$500&lt;&gt;"""")),IF(COUNTA(c)&gt;1,""Mixed / 混放: ""&amp;TEXTJOIN("" + "",TRUE,c),INDEX(c,1))),""Unclassified / 未分类"")))"),"Material / 物料")</f>
        <v>Material / 物料</v>
      </c>
      <c r="U20" s="58"/>
      <c r="V20" s="58"/>
      <c r="W20" s="58"/>
      <c r="X20" s="58"/>
      <c r="Y20" s="58"/>
      <c r="Z20" s="58"/>
      <c r="AA20" s="58"/>
    </row>
    <row r="21">
      <c r="A21" s="57" t="str">
        <f>IF('主表 Stock_Transaction_Log'!$T21="","",IF(COUNTIF('主表 Stock_Transaction_Log'!$T$2:$T21,'主表 Stock_Transaction_Log'!$T21)=1,ROW('主表 Stock_Transaction_Log'!$T21),""))</f>
        <v/>
      </c>
      <c r="B21" s="57" t="str">
        <f t="array" ref="B21">IF($A21="","",INDEX('主表 Stock_Transaction_Log'!$Q:$Q,$A21))</f>
        <v/>
      </c>
      <c r="C21" s="57" t="str">
        <f t="array" ref="C21">IF($A21="","",IF(INDEX('主表 Stock_Transaction_Log'!$F:$F,$A21)=0,"",INDEX('主表 Stock_Transaction_Log'!$F:$F,$A21)))</f>
        <v/>
      </c>
      <c r="D21" s="57" t="str">
        <f t="array" ref="D21">IF($A21="","",INDEX('主表 Stock_Transaction_Log'!$G:$G,$A21))</f>
        <v/>
      </c>
      <c r="E21" s="57" t="str">
        <f t="array" ref="E21">IF($A21="","",INDEX('主表 Stock_Transaction_Log'!$H:$H,$A21))</f>
        <v/>
      </c>
      <c r="F21" s="57" t="str">
        <f t="array" ref="F21">IF($A21="","",INDEX('主表 Stock_Transaction_Log'!$I:$I,$A21))</f>
        <v/>
      </c>
      <c r="G21" s="57" t="str">
        <f t="array" ref="G21">IF($A21="","",IF(INDEX('主表 Stock_Transaction_Log'!$R:$R,$A21)=0,"",INDEX('主表 Stock_Transaction_Log'!$R:$R,$A21)))</f>
        <v/>
      </c>
      <c r="H21" s="57" t="str">
        <f t="array" ref="H21">IF($A21="","",SUMIF('主表 Stock_Transaction_Log'!$T:$T,INDEX('主表 Stock_Transaction_Log'!$T:$T,$A21),'主表 Stock_Transaction_Log'!$S:$S)+SUMIF('主表 Stock_Transaction_Log'!$AB:$AB,INDEX('主表 Stock_Transaction_Log'!$T:$T,$A21),'主表 Stock_Transaction_Log'!$AC:$AC))</f>
        <v/>
      </c>
      <c r="I21" s="57" t="str">
        <f t="shared" si="1"/>
        <v/>
      </c>
      <c r="J21" s="57" t="str">
        <f t="shared" si="2"/>
        <v/>
      </c>
      <c r="K21" s="57" t="str">
        <f t="shared" si="3"/>
        <v/>
      </c>
      <c r="L21" s="57" t="str">
        <f t="array" ref="L21">IF($A21="","",INDEX('主表 Stock_Transaction_Log'!$P:$P,$A21))</f>
        <v/>
      </c>
      <c r="M21" s="57" t="str">
        <f>IF($A21="","",IF($H21&lt;=0,0,SUMIFS('主表 Stock_Transaction_Log'!$K$2:$K1000,'主表 Stock_Transaction_Log'!$C$2:$C1000,"Prepared",'主表 Stock_Transaction_Log'!$L$2:$L1000,$B21,'主表 Stock_Transaction_Log'!$F$2:$F1000,$C21,'主表 Stock_Transaction_Log'!$G$2:$G1000,$D21,'主表 Stock_Transaction_Log'!$P$2:$P1000,$L21)))</f>
        <v/>
      </c>
      <c r="N21" s="57" t="s">
        <v>95</v>
      </c>
      <c r="O21" s="57">
        <f t="shared" si="4"/>
        <v>0</v>
      </c>
      <c r="P21" s="57">
        <f t="shared" si="5"/>
        <v>0</v>
      </c>
      <c r="Q21" s="57">
        <f t="shared" si="6"/>
        <v>0</v>
      </c>
      <c r="R21" s="57" t="str">
        <f t="shared" si="7"/>
        <v/>
      </c>
      <c r="S21" s="57" t="str">
        <f t="shared" si="8"/>
        <v>R1-2-1-M
Empty / 空</v>
      </c>
      <c r="T21" s="57" t="str">
        <f>IFERROR(__xludf.DUMMYFUNCTION("IF($N21="""","""",IF($O21=0,""Empty / 空"",IFERROR(LET(c,UNIQUE(FILTER($L$2:$L$500,$B$2:$B$500=$N21,$H$2:$H$500&gt;0,$L$2:$L$500&lt;&gt;"""")),IF(COUNTA(c)&gt;1,""Mixed / 混放: ""&amp;TEXTJOIN("" + "",TRUE,c),INDEX(c,1))),""Unclassified / 未分类"")))"),"Empty / 空")</f>
        <v>Empty / 空</v>
      </c>
      <c r="U21" s="58"/>
      <c r="V21" s="58"/>
      <c r="W21" s="58"/>
      <c r="X21" s="58"/>
      <c r="Y21" s="58"/>
      <c r="Z21" s="58"/>
      <c r="AA21" s="58"/>
    </row>
    <row r="22">
      <c r="A22" s="57" t="str">
        <f>IF('主表 Stock_Transaction_Log'!$T22="","",IF(COUNTIF('主表 Stock_Transaction_Log'!$T$2:$T22,'主表 Stock_Transaction_Log'!$T22)=1,ROW('主表 Stock_Transaction_Log'!$T22),""))</f>
        <v/>
      </c>
      <c r="B22" s="57" t="str">
        <f t="array" ref="B22">IF($A22="","",INDEX('主表 Stock_Transaction_Log'!$Q:$Q,$A22))</f>
        <v/>
      </c>
      <c r="C22" s="57" t="str">
        <f t="array" ref="C22">IF($A22="","",IF(INDEX('主表 Stock_Transaction_Log'!$F:$F,$A22)=0,"",INDEX('主表 Stock_Transaction_Log'!$F:$F,$A22)))</f>
        <v/>
      </c>
      <c r="D22" s="57" t="str">
        <f t="array" ref="D22">IF($A22="","",INDEX('主表 Stock_Transaction_Log'!$G:$G,$A22))</f>
        <v/>
      </c>
      <c r="E22" s="57" t="str">
        <f t="array" ref="E22">IF($A22="","",INDEX('主表 Stock_Transaction_Log'!$H:$H,$A22))</f>
        <v/>
      </c>
      <c r="F22" s="57" t="str">
        <f t="array" ref="F22">IF($A22="","",INDEX('主表 Stock_Transaction_Log'!$I:$I,$A22))</f>
        <v/>
      </c>
      <c r="G22" s="57" t="str">
        <f t="array" ref="G22">IF($A22="","",IF(INDEX('主表 Stock_Transaction_Log'!$R:$R,$A22)=0,"",INDEX('主表 Stock_Transaction_Log'!$R:$R,$A22)))</f>
        <v/>
      </c>
      <c r="H22" s="57" t="str">
        <f t="array" ref="H22">IF($A22="","",SUMIF('主表 Stock_Transaction_Log'!$T:$T,INDEX('主表 Stock_Transaction_Log'!$T:$T,$A22),'主表 Stock_Transaction_Log'!$S:$S)+SUMIF('主表 Stock_Transaction_Log'!$AB:$AB,INDEX('主表 Stock_Transaction_Log'!$T:$T,$A22),'主表 Stock_Transaction_Log'!$AC:$AC))</f>
        <v/>
      </c>
      <c r="I22" s="57" t="str">
        <f t="shared" si="1"/>
        <v/>
      </c>
      <c r="J22" s="57" t="str">
        <f t="shared" si="2"/>
        <v/>
      </c>
      <c r="K22" s="57" t="str">
        <f t="shared" si="3"/>
        <v/>
      </c>
      <c r="L22" s="57" t="str">
        <f t="array" ref="L22">IF($A22="","",INDEX('主表 Stock_Transaction_Log'!$P:$P,$A22))</f>
        <v/>
      </c>
      <c r="M22" s="57" t="str">
        <f>IF($A22="","",IF($H22&lt;=0,0,SUMIFS('主表 Stock_Transaction_Log'!$K$2:$K1000,'主表 Stock_Transaction_Log'!$C$2:$C1000,"Prepared",'主表 Stock_Transaction_Log'!$L$2:$L1000,$B22,'主表 Stock_Transaction_Log'!$F$2:$F1000,$C22,'主表 Stock_Transaction_Log'!$G$2:$G1000,$D22,'主表 Stock_Transaction_Log'!$P$2:$P1000,$L22)))</f>
        <v/>
      </c>
      <c r="N22" s="57" t="s">
        <v>106</v>
      </c>
      <c r="O22" s="57">
        <f t="shared" si="4"/>
        <v>288</v>
      </c>
      <c r="P22" s="57">
        <f t="shared" si="5"/>
        <v>1</v>
      </c>
      <c r="Q22" s="57">
        <f t="shared" si="6"/>
        <v>1</v>
      </c>
      <c r="R22" s="57" t="str">
        <f t="shared" si="7"/>
        <v/>
      </c>
      <c r="S22" s="57" t="str">
        <f t="shared" si="8"/>
        <v>R1-2-1-R
97-414-00027-00
Qty / 数量: 288</v>
      </c>
      <c r="T22" s="57" t="str">
        <f>IFERROR(__xludf.DUMMYFUNCTION("IF($N22="""","""",IF($O22=0,""Empty / 空"",IFERROR(LET(c,UNIQUE(FILTER($L$2:$L$500,$B$2:$B$500=$N22,$H$2:$H$500&gt;0,$L$2:$L$500&lt;&gt;"""")),IF(COUNTA(c)&gt;1,""Mixed / 混放: ""&amp;TEXTJOIN("" + "",TRUE,c),INDEX(c,1))),""Unclassified / 未分类"")))"),"Material / 物料")</f>
        <v>Material / 物料</v>
      </c>
      <c r="U22" s="58"/>
      <c r="V22" s="58"/>
      <c r="W22" s="58"/>
      <c r="X22" s="58"/>
      <c r="Y22" s="58"/>
      <c r="Z22" s="58"/>
      <c r="AA22" s="58"/>
    </row>
    <row r="23">
      <c r="A23" s="57" t="str">
        <f>IF('主表 Stock_Transaction_Log'!$T23="","",IF(COUNTIF('主表 Stock_Transaction_Log'!$T$2:$T23,'主表 Stock_Transaction_Log'!$T23)=1,ROW('主表 Stock_Transaction_Log'!$T23),""))</f>
        <v/>
      </c>
      <c r="B23" s="57" t="str">
        <f t="array" ref="B23">IF($A23="","",INDEX('主表 Stock_Transaction_Log'!$Q:$Q,$A23))</f>
        <v/>
      </c>
      <c r="C23" s="57" t="str">
        <f t="array" ref="C23">IF($A23="","",IF(INDEX('主表 Stock_Transaction_Log'!$F:$F,$A23)=0,"",INDEX('主表 Stock_Transaction_Log'!$F:$F,$A23)))</f>
        <v/>
      </c>
      <c r="D23" s="57" t="str">
        <f t="array" ref="D23">IF($A23="","",INDEX('主表 Stock_Transaction_Log'!$G:$G,$A23))</f>
        <v/>
      </c>
      <c r="E23" s="57" t="str">
        <f t="array" ref="E23">IF($A23="","",INDEX('主表 Stock_Transaction_Log'!$H:$H,$A23))</f>
        <v/>
      </c>
      <c r="F23" s="57" t="str">
        <f t="array" ref="F23">IF($A23="","",INDEX('主表 Stock_Transaction_Log'!$I:$I,$A23))</f>
        <v/>
      </c>
      <c r="G23" s="57" t="str">
        <f t="array" ref="G23">IF($A23="","",IF(INDEX('主表 Stock_Transaction_Log'!$R:$R,$A23)=0,"",INDEX('主表 Stock_Transaction_Log'!$R:$R,$A23)))</f>
        <v/>
      </c>
      <c r="H23" s="57" t="str">
        <f t="array" ref="H23">IF($A23="","",SUMIF('主表 Stock_Transaction_Log'!$T:$T,INDEX('主表 Stock_Transaction_Log'!$T:$T,$A23),'主表 Stock_Transaction_Log'!$S:$S)+SUMIF('主表 Stock_Transaction_Log'!$AB:$AB,INDEX('主表 Stock_Transaction_Log'!$T:$T,$A23),'主表 Stock_Transaction_Log'!$AC:$AC))</f>
        <v/>
      </c>
      <c r="I23" s="57" t="str">
        <f t="shared" si="1"/>
        <v/>
      </c>
      <c r="J23" s="57" t="str">
        <f t="shared" si="2"/>
        <v/>
      </c>
      <c r="K23" s="57" t="str">
        <f t="shared" si="3"/>
        <v/>
      </c>
      <c r="L23" s="57" t="str">
        <f t="array" ref="L23">IF($A23="","",INDEX('主表 Stock_Transaction_Log'!$P:$P,$A23))</f>
        <v/>
      </c>
      <c r="M23" s="57" t="str">
        <f>IF($A23="","",IF($H23&lt;=0,0,SUMIFS('主表 Stock_Transaction_Log'!$K$2:$K1000,'主表 Stock_Transaction_Log'!$C$2:$C1000,"Prepared",'主表 Stock_Transaction_Log'!$L$2:$L1000,$B23,'主表 Stock_Transaction_Log'!$F$2:$F1000,$C23,'主表 Stock_Transaction_Log'!$G$2:$G1000,$D23,'主表 Stock_Transaction_Log'!$P$2:$P1000,$L23)))</f>
        <v/>
      </c>
      <c r="N23" s="57" t="s">
        <v>159</v>
      </c>
      <c r="O23" s="57">
        <f t="shared" si="4"/>
        <v>0</v>
      </c>
      <c r="P23" s="57">
        <f t="shared" si="5"/>
        <v>0</v>
      </c>
      <c r="Q23" s="57">
        <f t="shared" si="6"/>
        <v>0</v>
      </c>
      <c r="R23" s="57" t="str">
        <f t="shared" si="7"/>
        <v/>
      </c>
      <c r="S23" s="57" t="str">
        <f t="shared" si="8"/>
        <v>R1-2-2-L
Empty / 空</v>
      </c>
      <c r="T23" s="57" t="str">
        <f>IFERROR(__xludf.DUMMYFUNCTION("IF($N23="""","""",IF($O23=0,""Empty / 空"",IFERROR(LET(c,UNIQUE(FILTER($L$2:$L$500,$B$2:$B$500=$N23,$H$2:$H$500&gt;0,$L$2:$L$500&lt;&gt;"""")),IF(COUNTA(c)&gt;1,""Mixed / 混放: ""&amp;TEXTJOIN("" + "",TRUE,c),INDEX(c,1))),""Unclassified / 未分类"")))"),"Empty / 空")</f>
        <v>Empty / 空</v>
      </c>
      <c r="U23" s="58"/>
      <c r="V23" s="58"/>
      <c r="W23" s="58"/>
      <c r="X23" s="58"/>
      <c r="Y23" s="58"/>
      <c r="Z23" s="58"/>
      <c r="AA23" s="58"/>
    </row>
    <row r="24">
      <c r="A24" s="57" t="str">
        <f>IF('主表 Stock_Transaction_Log'!$T24="","",IF(COUNTIF('主表 Stock_Transaction_Log'!$T$2:$T24,'主表 Stock_Transaction_Log'!$T24)=1,ROW('主表 Stock_Transaction_Log'!$T24),""))</f>
        <v/>
      </c>
      <c r="B24" s="57" t="str">
        <f t="array" ref="B24">IF($A24="","",INDEX('主表 Stock_Transaction_Log'!$Q:$Q,$A24))</f>
        <v/>
      </c>
      <c r="C24" s="57" t="str">
        <f t="array" ref="C24">IF($A24="","",IF(INDEX('主表 Stock_Transaction_Log'!$F:$F,$A24)=0,"",INDEX('主表 Stock_Transaction_Log'!$F:$F,$A24)))</f>
        <v/>
      </c>
      <c r="D24" s="57" t="str">
        <f t="array" ref="D24">IF($A24="","",INDEX('主表 Stock_Transaction_Log'!$G:$G,$A24))</f>
        <v/>
      </c>
      <c r="E24" s="57" t="str">
        <f t="array" ref="E24">IF($A24="","",INDEX('主表 Stock_Transaction_Log'!$H:$H,$A24))</f>
        <v/>
      </c>
      <c r="F24" s="57" t="str">
        <f t="array" ref="F24">IF($A24="","",INDEX('主表 Stock_Transaction_Log'!$I:$I,$A24))</f>
        <v/>
      </c>
      <c r="G24" s="57" t="str">
        <f t="array" ref="G24">IF($A24="","",IF(INDEX('主表 Stock_Transaction_Log'!$R:$R,$A24)=0,"",INDEX('主表 Stock_Transaction_Log'!$R:$R,$A24)))</f>
        <v/>
      </c>
      <c r="H24" s="57" t="str">
        <f t="array" ref="H24">IF($A24="","",SUMIF('主表 Stock_Transaction_Log'!$T:$T,INDEX('主表 Stock_Transaction_Log'!$T:$T,$A24),'主表 Stock_Transaction_Log'!$S:$S)+SUMIF('主表 Stock_Transaction_Log'!$AB:$AB,INDEX('主表 Stock_Transaction_Log'!$T:$T,$A24),'主表 Stock_Transaction_Log'!$AC:$AC))</f>
        <v/>
      </c>
      <c r="I24" s="57" t="str">
        <f t="shared" si="1"/>
        <v/>
      </c>
      <c r="J24" s="57" t="str">
        <f t="shared" si="2"/>
        <v/>
      </c>
      <c r="K24" s="57" t="str">
        <f t="shared" si="3"/>
        <v/>
      </c>
      <c r="L24" s="57" t="str">
        <f t="array" ref="L24">IF($A24="","",INDEX('主表 Stock_Transaction_Log'!$P:$P,$A24))</f>
        <v/>
      </c>
      <c r="M24" s="57" t="str">
        <f>IF($A24="","",IF($H24&lt;=0,0,SUMIFS('主表 Stock_Transaction_Log'!$K$2:$K1000,'主表 Stock_Transaction_Log'!$C$2:$C1000,"Prepared",'主表 Stock_Transaction_Log'!$L$2:$L1000,$B24,'主表 Stock_Transaction_Log'!$F$2:$F1000,$C24,'主表 Stock_Transaction_Log'!$G$2:$G1000,$D24,'主表 Stock_Transaction_Log'!$P$2:$P1000,$L24)))</f>
        <v/>
      </c>
      <c r="N24" s="57" t="s">
        <v>169</v>
      </c>
      <c r="O24" s="57">
        <f t="shared" si="4"/>
        <v>0</v>
      </c>
      <c r="P24" s="57">
        <f t="shared" si="5"/>
        <v>0</v>
      </c>
      <c r="Q24" s="57">
        <f t="shared" si="6"/>
        <v>0</v>
      </c>
      <c r="R24" s="57" t="str">
        <f t="shared" si="7"/>
        <v/>
      </c>
      <c r="S24" s="57" t="str">
        <f t="shared" si="8"/>
        <v>R1-2-2-M
Empty / 空</v>
      </c>
      <c r="T24" s="57" t="str">
        <f>IFERROR(__xludf.DUMMYFUNCTION("IF($N24="""","""",IF($O24=0,""Empty / 空"",IFERROR(LET(c,UNIQUE(FILTER($L$2:$L$500,$B$2:$B$500=$N24,$H$2:$H$500&gt;0,$L$2:$L$500&lt;&gt;"""")),IF(COUNTA(c)&gt;1,""Mixed / 混放: ""&amp;TEXTJOIN("" + "",TRUE,c),INDEX(c,1))),""Unclassified / 未分类"")))"),"Empty / 空")</f>
        <v>Empty / 空</v>
      </c>
      <c r="U24" s="58"/>
      <c r="V24" s="58"/>
      <c r="W24" s="58"/>
      <c r="X24" s="58"/>
      <c r="Y24" s="58"/>
      <c r="Z24" s="58"/>
      <c r="AA24" s="58"/>
    </row>
    <row r="25">
      <c r="A25" s="57" t="str">
        <f>IF('主表 Stock_Transaction_Log'!$T25="","",IF(COUNTIF('主表 Stock_Transaction_Log'!$T$2:$T25,'主表 Stock_Transaction_Log'!$T25)=1,ROW('主表 Stock_Transaction_Log'!$T25),""))</f>
        <v/>
      </c>
      <c r="B25" s="57" t="str">
        <f t="array" ref="B25">IF($A25="","",INDEX('主表 Stock_Transaction_Log'!$Q:$Q,$A25))</f>
        <v/>
      </c>
      <c r="C25" s="57" t="str">
        <f t="array" ref="C25">IF($A25="","",IF(INDEX('主表 Stock_Transaction_Log'!$F:$F,$A25)=0,"",INDEX('主表 Stock_Transaction_Log'!$F:$F,$A25)))</f>
        <v/>
      </c>
      <c r="D25" s="57" t="str">
        <f t="array" ref="D25">IF($A25="","",INDEX('主表 Stock_Transaction_Log'!$G:$G,$A25))</f>
        <v/>
      </c>
      <c r="E25" s="57" t="str">
        <f t="array" ref="E25">IF($A25="","",INDEX('主表 Stock_Transaction_Log'!$H:$H,$A25))</f>
        <v/>
      </c>
      <c r="F25" s="57" t="str">
        <f t="array" ref="F25">IF($A25="","",INDEX('主表 Stock_Transaction_Log'!$I:$I,$A25))</f>
        <v/>
      </c>
      <c r="G25" s="57" t="str">
        <f t="array" ref="G25">IF($A25="","",IF(INDEX('主表 Stock_Transaction_Log'!$R:$R,$A25)=0,"",INDEX('主表 Stock_Transaction_Log'!$R:$R,$A25)))</f>
        <v/>
      </c>
      <c r="H25" s="57" t="str">
        <f t="array" ref="H25">IF($A25="","",SUMIF('主表 Stock_Transaction_Log'!$T:$T,INDEX('主表 Stock_Transaction_Log'!$T:$T,$A25),'主表 Stock_Transaction_Log'!$S:$S)+SUMIF('主表 Stock_Transaction_Log'!$AB:$AB,INDEX('主表 Stock_Transaction_Log'!$T:$T,$A25),'主表 Stock_Transaction_Log'!$AC:$AC))</f>
        <v/>
      </c>
      <c r="I25" s="57" t="str">
        <f t="shared" si="1"/>
        <v/>
      </c>
      <c r="J25" s="57" t="str">
        <f t="shared" si="2"/>
        <v/>
      </c>
      <c r="K25" s="57" t="str">
        <f t="shared" si="3"/>
        <v/>
      </c>
      <c r="L25" s="57" t="str">
        <f t="array" ref="L25">IF($A25="","",INDEX('主表 Stock_Transaction_Log'!$P:$P,$A25))</f>
        <v/>
      </c>
      <c r="M25" s="57" t="str">
        <f>IF($A25="","",IF($H25&lt;=0,0,SUMIFS('主表 Stock_Transaction_Log'!$K$2:$K1000,'主表 Stock_Transaction_Log'!$C$2:$C1000,"Prepared",'主表 Stock_Transaction_Log'!$L$2:$L1000,$B25,'主表 Stock_Transaction_Log'!$F$2:$F1000,$C25,'主表 Stock_Transaction_Log'!$G$2:$G1000,$D25,'主表 Stock_Transaction_Log'!$P$2:$P1000,$L25)))</f>
        <v/>
      </c>
      <c r="N25" s="57" t="s">
        <v>179</v>
      </c>
      <c r="O25" s="57">
        <f t="shared" si="4"/>
        <v>99</v>
      </c>
      <c r="P25" s="57">
        <f t="shared" si="5"/>
        <v>1</v>
      </c>
      <c r="Q25" s="57">
        <f t="shared" si="6"/>
        <v>1</v>
      </c>
      <c r="R25" s="57" t="str">
        <f t="shared" si="7"/>
        <v/>
      </c>
      <c r="S25" s="57" t="str">
        <f t="shared" si="8"/>
        <v>R1-2-2-R
Qty / 数量: 99</v>
      </c>
      <c r="T25" s="57" t="str">
        <f>IFERROR(__xludf.DUMMYFUNCTION("IF($N25="""","""",IF($O25=0,""Empty / 空"",IFERROR(LET(c,UNIQUE(FILTER($L$2:$L$500,$B$2:$B$500=$N25,$H$2:$H$500&gt;0,$L$2:$L$500&lt;&gt;"""")),IF(COUNTA(c)&gt;1,""Mixed / 混放: ""&amp;TEXTJOIN("" + "",TRUE,c),INDEX(c,1))),""Unclassified / 未分类"")))"),"Material / 物料")</f>
        <v>Material / 物料</v>
      </c>
      <c r="U25" s="58"/>
      <c r="V25" s="58"/>
      <c r="W25" s="58"/>
      <c r="X25" s="58"/>
      <c r="Y25" s="58"/>
      <c r="Z25" s="58"/>
      <c r="AA25" s="58"/>
    </row>
    <row r="26">
      <c r="A26" s="57" t="str">
        <f>IF('主表 Stock_Transaction_Log'!$T26="","",IF(COUNTIF('主表 Stock_Transaction_Log'!$T$2:$T26,'主表 Stock_Transaction_Log'!$T26)=1,ROW('主表 Stock_Transaction_Log'!$T26),""))</f>
        <v/>
      </c>
      <c r="B26" s="57" t="str">
        <f t="array" ref="B26">IF($A26="","",INDEX('主表 Stock_Transaction_Log'!$Q:$Q,$A26))</f>
        <v/>
      </c>
      <c r="C26" s="57" t="str">
        <f t="array" ref="C26">IF($A26="","",IF(INDEX('主表 Stock_Transaction_Log'!$F:$F,$A26)=0,"",INDEX('主表 Stock_Transaction_Log'!$F:$F,$A26)))</f>
        <v/>
      </c>
      <c r="D26" s="57" t="str">
        <f t="array" ref="D26">IF($A26="","",INDEX('主表 Stock_Transaction_Log'!$G:$G,$A26))</f>
        <v/>
      </c>
      <c r="E26" s="57" t="str">
        <f t="array" ref="E26">IF($A26="","",INDEX('主表 Stock_Transaction_Log'!$H:$H,$A26))</f>
        <v/>
      </c>
      <c r="F26" s="57" t="str">
        <f t="array" ref="F26">IF($A26="","",INDEX('主表 Stock_Transaction_Log'!$I:$I,$A26))</f>
        <v/>
      </c>
      <c r="G26" s="57" t="str">
        <f t="array" ref="G26">IF($A26="","",IF(INDEX('主表 Stock_Transaction_Log'!$R:$R,$A26)=0,"",INDEX('主表 Stock_Transaction_Log'!$R:$R,$A26)))</f>
        <v/>
      </c>
      <c r="H26" s="57" t="str">
        <f t="array" ref="H26">IF($A26="","",SUMIF('主表 Stock_Transaction_Log'!$T:$T,INDEX('主表 Stock_Transaction_Log'!$T:$T,$A26),'主表 Stock_Transaction_Log'!$S:$S)+SUMIF('主表 Stock_Transaction_Log'!$AB:$AB,INDEX('主表 Stock_Transaction_Log'!$T:$T,$A26),'主表 Stock_Transaction_Log'!$AC:$AC))</f>
        <v/>
      </c>
      <c r="I26" s="57" t="str">
        <f t="shared" si="1"/>
        <v/>
      </c>
      <c r="J26" s="57" t="str">
        <f t="shared" si="2"/>
        <v/>
      </c>
      <c r="K26" s="57" t="str">
        <f t="shared" si="3"/>
        <v/>
      </c>
      <c r="L26" s="57" t="str">
        <f t="array" ref="L26">IF($A26="","",INDEX('主表 Stock_Transaction_Log'!$P:$P,$A26))</f>
        <v/>
      </c>
      <c r="M26" s="57" t="str">
        <f>IF($A26="","",IF($H26&lt;=0,0,SUMIFS('主表 Stock_Transaction_Log'!$K$2:$K1000,'主表 Stock_Transaction_Log'!$C$2:$C1000,"Prepared",'主表 Stock_Transaction_Log'!$L$2:$L1000,$B26,'主表 Stock_Transaction_Log'!$F$2:$F1000,$C26,'主表 Stock_Transaction_Log'!$G$2:$G1000,$D26,'主表 Stock_Transaction_Log'!$P$2:$P1000,$L26)))</f>
        <v/>
      </c>
      <c r="N26" s="57" t="s">
        <v>217</v>
      </c>
      <c r="O26" s="57">
        <f t="shared" si="4"/>
        <v>99</v>
      </c>
      <c r="P26" s="57">
        <f t="shared" si="5"/>
        <v>1</v>
      </c>
      <c r="Q26" s="57">
        <f t="shared" si="6"/>
        <v>1</v>
      </c>
      <c r="R26" s="57" t="str">
        <f t="shared" si="7"/>
        <v/>
      </c>
      <c r="S26" s="57" t="str">
        <f t="shared" si="8"/>
        <v>R1-2-3-L
Qty / 数量: 99</v>
      </c>
      <c r="T26" s="57" t="str">
        <f>IFERROR(__xludf.DUMMYFUNCTION("IF($N26="""","""",IF($O26=0,""Empty / 空"",IFERROR(LET(c,UNIQUE(FILTER($L$2:$L$500,$B$2:$B$500=$N26,$H$2:$H$500&gt;0,$L$2:$L$500&lt;&gt;"""")),IF(COUNTA(c)&gt;1,""Mixed / 混放: ""&amp;TEXTJOIN("" + "",TRUE,c),INDEX(c,1))),""Unclassified / 未分类"")))"),"Material / 物料")</f>
        <v>Material / 物料</v>
      </c>
      <c r="U26" s="58"/>
      <c r="V26" s="58"/>
      <c r="W26" s="58"/>
      <c r="X26" s="58"/>
      <c r="Y26" s="58"/>
      <c r="Z26" s="58"/>
      <c r="AA26" s="58"/>
    </row>
    <row r="27">
      <c r="A27" s="57" t="str">
        <f>IF('主表 Stock_Transaction_Log'!$T27="","",IF(COUNTIF('主表 Stock_Transaction_Log'!$T$2:$T27,'主表 Stock_Transaction_Log'!$T27)=1,ROW('主表 Stock_Transaction_Log'!$T27),""))</f>
        <v/>
      </c>
      <c r="B27" s="57" t="str">
        <f t="array" ref="B27">IF($A27="","",INDEX('主表 Stock_Transaction_Log'!$Q:$Q,$A27))</f>
        <v/>
      </c>
      <c r="C27" s="57" t="str">
        <f t="array" ref="C27">IF($A27="","",IF(INDEX('主表 Stock_Transaction_Log'!$F:$F,$A27)=0,"",INDEX('主表 Stock_Transaction_Log'!$F:$F,$A27)))</f>
        <v/>
      </c>
      <c r="D27" s="57" t="str">
        <f t="array" ref="D27">IF($A27="","",INDEX('主表 Stock_Transaction_Log'!$G:$G,$A27))</f>
        <v/>
      </c>
      <c r="E27" s="57" t="str">
        <f t="array" ref="E27">IF($A27="","",INDEX('主表 Stock_Transaction_Log'!$H:$H,$A27))</f>
        <v/>
      </c>
      <c r="F27" s="57" t="str">
        <f t="array" ref="F27">IF($A27="","",INDEX('主表 Stock_Transaction_Log'!$I:$I,$A27))</f>
        <v/>
      </c>
      <c r="G27" s="57" t="str">
        <f t="array" ref="G27">IF($A27="","",IF(INDEX('主表 Stock_Transaction_Log'!$R:$R,$A27)=0,"",INDEX('主表 Stock_Transaction_Log'!$R:$R,$A27)))</f>
        <v/>
      </c>
      <c r="H27" s="57" t="str">
        <f t="array" ref="H27">IF($A27="","",SUMIF('主表 Stock_Transaction_Log'!$T:$T,INDEX('主表 Stock_Transaction_Log'!$T:$T,$A27),'主表 Stock_Transaction_Log'!$S:$S)+SUMIF('主表 Stock_Transaction_Log'!$AB:$AB,INDEX('主表 Stock_Transaction_Log'!$T:$T,$A27),'主表 Stock_Transaction_Log'!$AC:$AC))</f>
        <v/>
      </c>
      <c r="I27" s="57" t="str">
        <f t="shared" si="1"/>
        <v/>
      </c>
      <c r="J27" s="57" t="str">
        <f t="shared" si="2"/>
        <v/>
      </c>
      <c r="K27" s="57" t="str">
        <f t="shared" si="3"/>
        <v/>
      </c>
      <c r="L27" s="57" t="str">
        <f t="array" ref="L27">IF($A27="","",INDEX('主表 Stock_Transaction_Log'!$P:$P,$A27))</f>
        <v/>
      </c>
      <c r="M27" s="57" t="str">
        <f>IF($A27="","",IF($H27&lt;=0,0,SUMIFS('主表 Stock_Transaction_Log'!$K$2:$K1000,'主表 Stock_Transaction_Log'!$C$2:$C1000,"Prepared",'主表 Stock_Transaction_Log'!$L$2:$L1000,$B27,'主表 Stock_Transaction_Log'!$F$2:$F1000,$C27,'主表 Stock_Transaction_Log'!$G$2:$G1000,$D27,'主表 Stock_Transaction_Log'!$P$2:$P1000,$L27)))</f>
        <v/>
      </c>
      <c r="N27" s="57" t="s">
        <v>628</v>
      </c>
      <c r="O27" s="57">
        <f t="shared" si="4"/>
        <v>0</v>
      </c>
      <c r="P27" s="57">
        <f t="shared" si="5"/>
        <v>0</v>
      </c>
      <c r="Q27" s="57">
        <f t="shared" si="6"/>
        <v>0</v>
      </c>
      <c r="R27" s="57" t="str">
        <f t="shared" si="7"/>
        <v/>
      </c>
      <c r="S27" s="57" t="str">
        <f t="shared" si="8"/>
        <v>R1-2-3-M
Empty / 空</v>
      </c>
      <c r="T27" s="57" t="str">
        <f>IFERROR(__xludf.DUMMYFUNCTION("IF($N27="""","""",IF($O27=0,""Empty / 空"",IFERROR(LET(c,UNIQUE(FILTER($L$2:$L$500,$B$2:$B$500=$N27,$H$2:$H$500&gt;0,$L$2:$L$500&lt;&gt;"""")),IF(COUNTA(c)&gt;1,""Mixed / 混放: ""&amp;TEXTJOIN("" + "",TRUE,c),INDEX(c,1))),""Unclassified / 未分类"")))"),"Empty / 空")</f>
        <v>Empty / 空</v>
      </c>
      <c r="U27" s="58"/>
      <c r="V27" s="58"/>
      <c r="W27" s="58"/>
      <c r="X27" s="58"/>
      <c r="Y27" s="58"/>
      <c r="Z27" s="58"/>
      <c r="AA27" s="58"/>
    </row>
    <row r="28">
      <c r="A28" s="57" t="str">
        <f>IF('主表 Stock_Transaction_Log'!$T28="","",IF(COUNTIF('主表 Stock_Transaction_Log'!$T$2:$T28,'主表 Stock_Transaction_Log'!$T28)=1,ROW('主表 Stock_Transaction_Log'!$T28),""))</f>
        <v/>
      </c>
      <c r="B28" s="57" t="str">
        <f t="array" ref="B28">IF($A28="","",INDEX('主表 Stock_Transaction_Log'!$Q:$Q,$A28))</f>
        <v/>
      </c>
      <c r="C28" s="57" t="str">
        <f t="array" ref="C28">IF($A28="","",IF(INDEX('主表 Stock_Transaction_Log'!$F:$F,$A28)=0,"",INDEX('主表 Stock_Transaction_Log'!$F:$F,$A28)))</f>
        <v/>
      </c>
      <c r="D28" s="57" t="str">
        <f t="array" ref="D28">IF($A28="","",INDEX('主表 Stock_Transaction_Log'!$G:$G,$A28))</f>
        <v/>
      </c>
      <c r="E28" s="57" t="str">
        <f t="array" ref="E28">IF($A28="","",INDEX('主表 Stock_Transaction_Log'!$H:$H,$A28))</f>
        <v/>
      </c>
      <c r="F28" s="57" t="str">
        <f t="array" ref="F28">IF($A28="","",INDEX('主表 Stock_Transaction_Log'!$I:$I,$A28))</f>
        <v/>
      </c>
      <c r="G28" s="57" t="str">
        <f t="array" ref="G28">IF($A28="","",IF(INDEX('主表 Stock_Transaction_Log'!$R:$R,$A28)=0,"",INDEX('主表 Stock_Transaction_Log'!$R:$R,$A28)))</f>
        <v/>
      </c>
      <c r="H28" s="57" t="str">
        <f t="array" ref="H28">IF($A28="","",SUMIF('主表 Stock_Transaction_Log'!$T:$T,INDEX('主表 Stock_Transaction_Log'!$T:$T,$A28),'主表 Stock_Transaction_Log'!$S:$S)+SUMIF('主表 Stock_Transaction_Log'!$AB:$AB,INDEX('主表 Stock_Transaction_Log'!$T:$T,$A28),'主表 Stock_Transaction_Log'!$AC:$AC))</f>
        <v/>
      </c>
      <c r="I28" s="57" t="str">
        <f t="shared" si="1"/>
        <v/>
      </c>
      <c r="J28" s="57" t="str">
        <f t="shared" si="2"/>
        <v/>
      </c>
      <c r="K28" s="57" t="str">
        <f t="shared" si="3"/>
        <v/>
      </c>
      <c r="L28" s="57" t="str">
        <f t="array" ref="L28">IF($A28="","",INDEX('主表 Stock_Transaction_Log'!$P:$P,$A28))</f>
        <v/>
      </c>
      <c r="M28" s="57" t="str">
        <f>IF($A28="","",IF($H28&lt;=0,0,SUMIFS('主表 Stock_Transaction_Log'!$K$2:$K1000,'主表 Stock_Transaction_Log'!$C$2:$C1000,"Prepared",'主表 Stock_Transaction_Log'!$L$2:$L1000,$B28,'主表 Stock_Transaction_Log'!$F$2:$F1000,$C28,'主表 Stock_Transaction_Log'!$G$2:$G1000,$D28,'主表 Stock_Transaction_Log'!$P$2:$P1000,$L28)))</f>
        <v/>
      </c>
      <c r="N28" s="57" t="s">
        <v>639</v>
      </c>
      <c r="O28" s="57">
        <f t="shared" si="4"/>
        <v>99</v>
      </c>
      <c r="P28" s="57">
        <f t="shared" si="5"/>
        <v>1</v>
      </c>
      <c r="Q28" s="57">
        <f t="shared" si="6"/>
        <v>1</v>
      </c>
      <c r="R28" s="57" t="str">
        <f t="shared" si="7"/>
        <v/>
      </c>
      <c r="S28" s="57" t="str">
        <f t="shared" si="8"/>
        <v>R1-2-3-R
Qty / 数量: 99</v>
      </c>
      <c r="T28" s="57" t="str">
        <f>IFERROR(__xludf.DUMMYFUNCTION("IF($N28="""","""",IF($O28=0,""Empty / 空"",IFERROR(LET(c,UNIQUE(FILTER($L$2:$L$500,$B$2:$B$500=$N28,$H$2:$H$500&gt;0,$L$2:$L$500&lt;&gt;"""")),IF(COUNTA(c)&gt;1,""Mixed / 混放: ""&amp;TEXTJOIN("" + "",TRUE,c),INDEX(c,1))),""Unclassified / 未分类"")))"),"Material / 物料")</f>
        <v>Material / 物料</v>
      </c>
      <c r="U28" s="58"/>
      <c r="V28" s="58"/>
      <c r="W28" s="58"/>
      <c r="X28" s="58"/>
      <c r="Y28" s="58"/>
      <c r="Z28" s="58"/>
      <c r="AA28" s="58"/>
    </row>
    <row r="29">
      <c r="A29" s="57" t="str">
        <f>IF('主表 Stock_Transaction_Log'!$T29="","",IF(COUNTIF('主表 Stock_Transaction_Log'!$T$2:$T29,'主表 Stock_Transaction_Log'!$T29)=1,ROW('主表 Stock_Transaction_Log'!$T29),""))</f>
        <v/>
      </c>
      <c r="B29" s="57" t="str">
        <f t="array" ref="B29">IF($A29="","",INDEX('主表 Stock_Transaction_Log'!$Q:$Q,$A29))</f>
        <v/>
      </c>
      <c r="C29" s="57" t="str">
        <f t="array" ref="C29">IF($A29="","",IF(INDEX('主表 Stock_Transaction_Log'!$F:$F,$A29)=0,"",INDEX('主表 Stock_Transaction_Log'!$F:$F,$A29)))</f>
        <v/>
      </c>
      <c r="D29" s="57" t="str">
        <f t="array" ref="D29">IF($A29="","",INDEX('主表 Stock_Transaction_Log'!$G:$G,$A29))</f>
        <v/>
      </c>
      <c r="E29" s="57" t="str">
        <f t="array" ref="E29">IF($A29="","",INDEX('主表 Stock_Transaction_Log'!$H:$H,$A29))</f>
        <v/>
      </c>
      <c r="F29" s="57" t="str">
        <f t="array" ref="F29">IF($A29="","",INDEX('主表 Stock_Transaction_Log'!$I:$I,$A29))</f>
        <v/>
      </c>
      <c r="G29" s="57" t="str">
        <f t="array" ref="G29">IF($A29="","",IF(INDEX('主表 Stock_Transaction_Log'!$R:$R,$A29)=0,"",INDEX('主表 Stock_Transaction_Log'!$R:$R,$A29)))</f>
        <v/>
      </c>
      <c r="H29" s="57" t="str">
        <f t="array" ref="H29">IF($A29="","",SUMIF('主表 Stock_Transaction_Log'!$T:$T,INDEX('主表 Stock_Transaction_Log'!$T:$T,$A29),'主表 Stock_Transaction_Log'!$S:$S)+SUMIF('主表 Stock_Transaction_Log'!$AB:$AB,INDEX('主表 Stock_Transaction_Log'!$T:$T,$A29),'主表 Stock_Transaction_Log'!$AC:$AC))</f>
        <v/>
      </c>
      <c r="I29" s="57" t="str">
        <f t="shared" si="1"/>
        <v/>
      </c>
      <c r="J29" s="57" t="str">
        <f t="shared" si="2"/>
        <v/>
      </c>
      <c r="K29" s="57" t="str">
        <f t="shared" si="3"/>
        <v/>
      </c>
      <c r="L29" s="57" t="str">
        <f t="array" ref="L29">IF($A29="","",INDEX('主表 Stock_Transaction_Log'!$P:$P,$A29))</f>
        <v/>
      </c>
      <c r="M29" s="57" t="str">
        <f>IF($A29="","",IF($H29&lt;=0,0,SUMIFS('主表 Stock_Transaction_Log'!$K$2:$K1000,'主表 Stock_Transaction_Log'!$C$2:$C1000,"Prepared",'主表 Stock_Transaction_Log'!$L$2:$L1000,$B29,'主表 Stock_Transaction_Log'!$F$2:$F1000,$C29,'主表 Stock_Transaction_Log'!$G$2:$G1000,$D29,'主表 Stock_Transaction_Log'!$P$2:$P1000,$L29)))</f>
        <v/>
      </c>
      <c r="N29" s="57" t="s">
        <v>652</v>
      </c>
      <c r="O29" s="57">
        <f t="shared" si="4"/>
        <v>99</v>
      </c>
      <c r="P29" s="57">
        <f t="shared" si="5"/>
        <v>1</v>
      </c>
      <c r="Q29" s="57">
        <f t="shared" si="6"/>
        <v>1</v>
      </c>
      <c r="R29" s="57" t="str">
        <f t="shared" si="7"/>
        <v/>
      </c>
      <c r="S29" s="57" t="str">
        <f t="shared" si="8"/>
        <v>R1-2-4-L
Qty / 数量: 99</v>
      </c>
      <c r="T29" s="57" t="str">
        <f>IFERROR(__xludf.DUMMYFUNCTION("IF($N29="""","""",IF($O29=0,""Empty / 空"",IFERROR(LET(c,UNIQUE(FILTER($L$2:$L$500,$B$2:$B$500=$N29,$H$2:$H$500&gt;0,$L$2:$L$500&lt;&gt;"""")),IF(COUNTA(c)&gt;1,""Mixed / 混放: ""&amp;TEXTJOIN("" + "",TRUE,c),INDEX(c,1))),""Unclassified / 未分类"")))"),"Material / 物料")</f>
        <v>Material / 物料</v>
      </c>
      <c r="U29" s="58"/>
      <c r="V29" s="58"/>
      <c r="W29" s="58"/>
      <c r="X29" s="58"/>
      <c r="Y29" s="58"/>
      <c r="Z29" s="58"/>
      <c r="AA29" s="58"/>
    </row>
    <row r="30">
      <c r="A30" s="57" t="str">
        <f>IF('主表 Stock_Transaction_Log'!$T30="","",IF(COUNTIF('主表 Stock_Transaction_Log'!$T$2:$T30,'主表 Stock_Transaction_Log'!$T30)=1,ROW('主表 Stock_Transaction_Log'!$T30),""))</f>
        <v/>
      </c>
      <c r="B30" s="57" t="str">
        <f t="array" ref="B30">IF($A30="","",INDEX('主表 Stock_Transaction_Log'!$Q:$Q,$A30))</f>
        <v/>
      </c>
      <c r="C30" s="57" t="str">
        <f t="array" ref="C30">IF($A30="","",IF(INDEX('主表 Stock_Transaction_Log'!$F:$F,$A30)=0,"",INDEX('主表 Stock_Transaction_Log'!$F:$F,$A30)))</f>
        <v/>
      </c>
      <c r="D30" s="57" t="str">
        <f t="array" ref="D30">IF($A30="","",INDEX('主表 Stock_Transaction_Log'!$G:$G,$A30))</f>
        <v/>
      </c>
      <c r="E30" s="57" t="str">
        <f t="array" ref="E30">IF($A30="","",INDEX('主表 Stock_Transaction_Log'!$H:$H,$A30))</f>
        <v/>
      </c>
      <c r="F30" s="57" t="str">
        <f t="array" ref="F30">IF($A30="","",INDEX('主表 Stock_Transaction_Log'!$I:$I,$A30))</f>
        <v/>
      </c>
      <c r="G30" s="57" t="str">
        <f t="array" ref="G30">IF($A30="","",IF(INDEX('主表 Stock_Transaction_Log'!$R:$R,$A30)=0,"",INDEX('主表 Stock_Transaction_Log'!$R:$R,$A30)))</f>
        <v/>
      </c>
      <c r="H30" s="57" t="str">
        <f t="array" ref="H30">IF($A30="","",SUMIF('主表 Stock_Transaction_Log'!$T:$T,INDEX('主表 Stock_Transaction_Log'!$T:$T,$A30),'主表 Stock_Transaction_Log'!$S:$S)+SUMIF('主表 Stock_Transaction_Log'!$AB:$AB,INDEX('主表 Stock_Transaction_Log'!$T:$T,$A30),'主表 Stock_Transaction_Log'!$AC:$AC))</f>
        <v/>
      </c>
      <c r="I30" s="57" t="str">
        <f t="shared" si="1"/>
        <v/>
      </c>
      <c r="J30" s="57" t="str">
        <f t="shared" si="2"/>
        <v/>
      </c>
      <c r="K30" s="57" t="str">
        <f t="shared" si="3"/>
        <v/>
      </c>
      <c r="L30" s="57" t="str">
        <f t="array" ref="L30">IF($A30="","",INDEX('主表 Stock_Transaction_Log'!$P:$P,$A30))</f>
        <v/>
      </c>
      <c r="M30" s="57" t="str">
        <f>IF($A30="","",IF($H30&lt;=0,0,SUMIFS('主表 Stock_Transaction_Log'!$K$2:$K1000,'主表 Stock_Transaction_Log'!$C$2:$C1000,"Prepared",'主表 Stock_Transaction_Log'!$L$2:$L1000,$B30,'主表 Stock_Transaction_Log'!$F$2:$F1000,$C30,'主表 Stock_Transaction_Log'!$G$2:$G1000,$D30,'主表 Stock_Transaction_Log'!$P$2:$P1000,$L30)))</f>
        <v/>
      </c>
      <c r="N30" s="57" t="s">
        <v>661</v>
      </c>
      <c r="O30" s="57">
        <f t="shared" si="4"/>
        <v>0</v>
      </c>
      <c r="P30" s="57">
        <f t="shared" si="5"/>
        <v>0</v>
      </c>
      <c r="Q30" s="57">
        <f t="shared" si="6"/>
        <v>0</v>
      </c>
      <c r="R30" s="57" t="str">
        <f t="shared" si="7"/>
        <v/>
      </c>
      <c r="S30" s="57" t="str">
        <f t="shared" si="8"/>
        <v>R1-2-4-M
Empty / 空</v>
      </c>
      <c r="T30" s="57" t="str">
        <f>IFERROR(__xludf.DUMMYFUNCTION("IF($N30="""","""",IF($O30=0,""Empty / 空"",IFERROR(LET(c,UNIQUE(FILTER($L$2:$L$500,$B$2:$B$500=$N30,$H$2:$H$500&gt;0,$L$2:$L$500&lt;&gt;"""")),IF(COUNTA(c)&gt;1,""Mixed / 混放: ""&amp;TEXTJOIN("" + "",TRUE,c),INDEX(c,1))),""Unclassified / 未分类"")))"),"Empty / 空")</f>
        <v>Empty / 空</v>
      </c>
      <c r="U30" s="58"/>
      <c r="V30" s="58"/>
      <c r="W30" s="58"/>
      <c r="X30" s="58"/>
      <c r="Y30" s="58"/>
      <c r="Z30" s="58"/>
      <c r="AA30" s="58"/>
    </row>
    <row r="31">
      <c r="A31" s="57" t="str">
        <f>IF('主表 Stock_Transaction_Log'!$T31="","",IF(COUNTIF('主表 Stock_Transaction_Log'!$T$2:$T31,'主表 Stock_Transaction_Log'!$T31)=1,ROW('主表 Stock_Transaction_Log'!$T31),""))</f>
        <v/>
      </c>
      <c r="B31" s="57" t="str">
        <f t="array" ref="B31">IF($A31="","",INDEX('主表 Stock_Transaction_Log'!$Q:$Q,$A31))</f>
        <v/>
      </c>
      <c r="C31" s="57" t="str">
        <f t="array" ref="C31">IF($A31="","",IF(INDEX('主表 Stock_Transaction_Log'!$F:$F,$A31)=0,"",INDEX('主表 Stock_Transaction_Log'!$F:$F,$A31)))</f>
        <v/>
      </c>
      <c r="D31" s="57" t="str">
        <f t="array" ref="D31">IF($A31="","",INDEX('主表 Stock_Transaction_Log'!$G:$G,$A31))</f>
        <v/>
      </c>
      <c r="E31" s="57" t="str">
        <f t="array" ref="E31">IF($A31="","",INDEX('主表 Stock_Transaction_Log'!$H:$H,$A31))</f>
        <v/>
      </c>
      <c r="F31" s="57" t="str">
        <f t="array" ref="F31">IF($A31="","",INDEX('主表 Stock_Transaction_Log'!$I:$I,$A31))</f>
        <v/>
      </c>
      <c r="G31" s="57" t="str">
        <f t="array" ref="G31">IF($A31="","",IF(INDEX('主表 Stock_Transaction_Log'!$R:$R,$A31)=0,"",INDEX('主表 Stock_Transaction_Log'!$R:$R,$A31)))</f>
        <v/>
      </c>
      <c r="H31" s="57" t="str">
        <f t="array" ref="H31">IF($A31="","",SUMIF('主表 Stock_Transaction_Log'!$T:$T,INDEX('主表 Stock_Transaction_Log'!$T:$T,$A31),'主表 Stock_Transaction_Log'!$S:$S)+SUMIF('主表 Stock_Transaction_Log'!$AB:$AB,INDEX('主表 Stock_Transaction_Log'!$T:$T,$A31),'主表 Stock_Transaction_Log'!$AC:$AC))</f>
        <v/>
      </c>
      <c r="I31" s="57" t="str">
        <f t="shared" si="1"/>
        <v/>
      </c>
      <c r="J31" s="57" t="str">
        <f t="shared" si="2"/>
        <v/>
      </c>
      <c r="K31" s="57" t="str">
        <f t="shared" si="3"/>
        <v/>
      </c>
      <c r="L31" s="57" t="str">
        <f t="array" ref="L31">IF($A31="","",INDEX('主表 Stock_Transaction_Log'!$P:$P,$A31))</f>
        <v/>
      </c>
      <c r="M31" s="57" t="str">
        <f>IF($A31="","",IF($H31&lt;=0,0,SUMIFS('主表 Stock_Transaction_Log'!$K$2:$K1000,'主表 Stock_Transaction_Log'!$C$2:$C1000,"Prepared",'主表 Stock_Transaction_Log'!$L$2:$L1000,$B31,'主表 Stock_Transaction_Log'!$F$2:$F1000,$C31,'主表 Stock_Transaction_Log'!$G$2:$G1000,$D31,'主表 Stock_Transaction_Log'!$P$2:$P1000,$L31)))</f>
        <v/>
      </c>
      <c r="N31" s="57" t="s">
        <v>666</v>
      </c>
      <c r="O31" s="57">
        <f t="shared" si="4"/>
        <v>99</v>
      </c>
      <c r="P31" s="57">
        <f t="shared" si="5"/>
        <v>1</v>
      </c>
      <c r="Q31" s="57">
        <f t="shared" si="6"/>
        <v>1</v>
      </c>
      <c r="R31" s="57" t="str">
        <f t="shared" si="7"/>
        <v/>
      </c>
      <c r="S31" s="57" t="str">
        <f t="shared" si="8"/>
        <v>R1-2-4-R
Qty / 数量: 99</v>
      </c>
      <c r="T31" s="57" t="str">
        <f>IFERROR(__xludf.DUMMYFUNCTION("IF($N31="""","""",IF($O31=0,""Empty / 空"",IFERROR(LET(c,UNIQUE(FILTER($L$2:$L$500,$B$2:$B$500=$N31,$H$2:$H$500&gt;0,$L$2:$L$500&lt;&gt;"""")),IF(COUNTA(c)&gt;1,""Mixed / 混放: ""&amp;TEXTJOIN("" + "",TRUE,c),INDEX(c,1))),""Unclassified / 未分类"")))"),"Material / 物料")</f>
        <v>Material / 物料</v>
      </c>
      <c r="U31" s="58"/>
      <c r="V31" s="58"/>
      <c r="W31" s="58"/>
      <c r="X31" s="58"/>
      <c r="Y31" s="58"/>
      <c r="Z31" s="58"/>
      <c r="AA31" s="58"/>
    </row>
    <row r="32">
      <c r="A32" s="57" t="str">
        <f>IF('主表 Stock_Transaction_Log'!$T32="","",IF(COUNTIF('主表 Stock_Transaction_Log'!$T$2:$T32,'主表 Stock_Transaction_Log'!$T32)=1,ROW('主表 Stock_Transaction_Log'!$T32),""))</f>
        <v/>
      </c>
      <c r="B32" s="57" t="str">
        <f t="array" ref="B32">IF($A32="","",INDEX('主表 Stock_Transaction_Log'!$Q:$Q,$A32))</f>
        <v/>
      </c>
      <c r="C32" s="57" t="str">
        <f t="array" ref="C32">IF($A32="","",IF(INDEX('主表 Stock_Transaction_Log'!$F:$F,$A32)=0,"",INDEX('主表 Stock_Transaction_Log'!$F:$F,$A32)))</f>
        <v/>
      </c>
      <c r="D32" s="57" t="str">
        <f t="array" ref="D32">IF($A32="","",INDEX('主表 Stock_Transaction_Log'!$G:$G,$A32))</f>
        <v/>
      </c>
      <c r="E32" s="57" t="str">
        <f t="array" ref="E32">IF($A32="","",INDEX('主表 Stock_Transaction_Log'!$H:$H,$A32))</f>
        <v/>
      </c>
      <c r="F32" s="57" t="str">
        <f t="array" ref="F32">IF($A32="","",INDEX('主表 Stock_Transaction_Log'!$I:$I,$A32))</f>
        <v/>
      </c>
      <c r="G32" s="57" t="str">
        <f t="array" ref="G32">IF($A32="","",IF(INDEX('主表 Stock_Transaction_Log'!$R:$R,$A32)=0,"",INDEX('主表 Stock_Transaction_Log'!$R:$R,$A32)))</f>
        <v/>
      </c>
      <c r="H32" s="57" t="str">
        <f t="array" ref="H32">IF($A32="","",SUMIF('主表 Stock_Transaction_Log'!$T:$T,INDEX('主表 Stock_Transaction_Log'!$T:$T,$A32),'主表 Stock_Transaction_Log'!$S:$S)+SUMIF('主表 Stock_Transaction_Log'!$AB:$AB,INDEX('主表 Stock_Transaction_Log'!$T:$T,$A32),'主表 Stock_Transaction_Log'!$AC:$AC))</f>
        <v/>
      </c>
      <c r="I32" s="57" t="str">
        <f t="shared" si="1"/>
        <v/>
      </c>
      <c r="J32" s="57" t="str">
        <f t="shared" si="2"/>
        <v/>
      </c>
      <c r="K32" s="57" t="str">
        <f t="shared" si="3"/>
        <v/>
      </c>
      <c r="L32" s="57" t="str">
        <f t="array" ref="L32">IF($A32="","",INDEX('主表 Stock_Transaction_Log'!$P:$P,$A32))</f>
        <v/>
      </c>
      <c r="M32" s="57" t="str">
        <f>IF($A32="","",IF($H32&lt;=0,0,SUMIFS('主表 Stock_Transaction_Log'!$K$2:$K1000,'主表 Stock_Transaction_Log'!$C$2:$C1000,"Prepared",'主表 Stock_Transaction_Log'!$L$2:$L1000,$B32,'主表 Stock_Transaction_Log'!$F$2:$F1000,$C32,'主表 Stock_Transaction_Log'!$G$2:$G1000,$D32,'主表 Stock_Transaction_Log'!$P$2:$P1000,$L32)))</f>
        <v/>
      </c>
      <c r="N32" s="57" t="s">
        <v>474</v>
      </c>
      <c r="O32" s="57">
        <f t="shared" si="4"/>
        <v>166</v>
      </c>
      <c r="P32" s="57">
        <f t="shared" si="5"/>
        <v>2</v>
      </c>
      <c r="Q32" s="57">
        <f t="shared" si="6"/>
        <v>2</v>
      </c>
      <c r="R32" s="57" t="str">
        <f t="shared" si="7"/>
        <v>Mix06</v>
      </c>
      <c r="S32" s="57" t="str">
        <f t="shared" si="8"/>
        <v>R1-2-5-L
Mixed / 混装: 2 SKUs
Container / 容器: Mix06
Qty / 数量: 166</v>
      </c>
      <c r="T32" s="57" t="str">
        <f>IFERROR(__xludf.DUMMYFUNCTION("IF($N32="""","""",IF($O32=0,""Empty / 空"",IFERROR(LET(c,UNIQUE(FILTER($L$2:$L$500,$B$2:$B$500=$N32,$H$2:$H$500&gt;0,$L$2:$L$500&lt;&gt;"""")),IF(COUNTA(c)&gt;1,""Mixed / 混放: ""&amp;TEXTJOIN("" + "",TRUE,c),INDEX(c,1))),""Unclassified / 未分类"")))"),"Material / 物料")</f>
        <v>Material / 物料</v>
      </c>
      <c r="U32" s="58"/>
      <c r="V32" s="58"/>
      <c r="W32" s="58"/>
      <c r="X32" s="58"/>
      <c r="Y32" s="58"/>
      <c r="Z32" s="58"/>
      <c r="AA32" s="58"/>
    </row>
    <row r="33">
      <c r="A33" s="57" t="str">
        <f>IF('主表 Stock_Transaction_Log'!$T33="","",IF(COUNTIF('主表 Stock_Transaction_Log'!$T$2:$T33,'主表 Stock_Transaction_Log'!$T33)=1,ROW('主表 Stock_Transaction_Log'!$T33),""))</f>
        <v/>
      </c>
      <c r="B33" s="57" t="str">
        <f t="array" ref="B33">IF($A33="","",INDEX('主表 Stock_Transaction_Log'!$Q:$Q,$A33))</f>
        <v/>
      </c>
      <c r="C33" s="57" t="str">
        <f t="array" ref="C33">IF($A33="","",IF(INDEX('主表 Stock_Transaction_Log'!$F:$F,$A33)=0,"",INDEX('主表 Stock_Transaction_Log'!$F:$F,$A33)))</f>
        <v/>
      </c>
      <c r="D33" s="57" t="str">
        <f t="array" ref="D33">IF($A33="","",INDEX('主表 Stock_Transaction_Log'!$G:$G,$A33))</f>
        <v/>
      </c>
      <c r="E33" s="57" t="str">
        <f t="array" ref="E33">IF($A33="","",INDEX('主表 Stock_Transaction_Log'!$H:$H,$A33))</f>
        <v/>
      </c>
      <c r="F33" s="57" t="str">
        <f t="array" ref="F33">IF($A33="","",INDEX('主表 Stock_Transaction_Log'!$I:$I,$A33))</f>
        <v/>
      </c>
      <c r="G33" s="57" t="str">
        <f t="array" ref="G33">IF($A33="","",IF(INDEX('主表 Stock_Transaction_Log'!$R:$R,$A33)=0,"",INDEX('主表 Stock_Transaction_Log'!$R:$R,$A33)))</f>
        <v/>
      </c>
      <c r="H33" s="57" t="str">
        <f t="array" ref="H33">IF($A33="","",SUMIF('主表 Stock_Transaction_Log'!$T:$T,INDEX('主表 Stock_Transaction_Log'!$T:$T,$A33),'主表 Stock_Transaction_Log'!$S:$S)+SUMIF('主表 Stock_Transaction_Log'!$AB:$AB,INDEX('主表 Stock_Transaction_Log'!$T:$T,$A33),'主表 Stock_Transaction_Log'!$AC:$AC))</f>
        <v/>
      </c>
      <c r="I33" s="57" t="str">
        <f t="shared" si="1"/>
        <v/>
      </c>
      <c r="J33" s="57" t="str">
        <f t="shared" si="2"/>
        <v/>
      </c>
      <c r="K33" s="57" t="str">
        <f t="shared" si="3"/>
        <v/>
      </c>
      <c r="L33" s="57" t="str">
        <f t="array" ref="L33">IF($A33="","",INDEX('主表 Stock_Transaction_Log'!$P:$P,$A33))</f>
        <v/>
      </c>
      <c r="M33" s="57" t="str">
        <f>IF($A33="","",IF($H33&lt;=0,0,SUMIFS('主表 Stock_Transaction_Log'!$K$2:$K1000,'主表 Stock_Transaction_Log'!$C$2:$C1000,"Prepared",'主表 Stock_Transaction_Log'!$L$2:$L1000,$B33,'主表 Stock_Transaction_Log'!$F$2:$F1000,$C33,'主表 Stock_Transaction_Log'!$G$2:$G1000,$D33,'主表 Stock_Transaction_Log'!$P$2:$P1000,$L33)))</f>
        <v/>
      </c>
      <c r="N33" s="57" t="s">
        <v>696</v>
      </c>
      <c r="O33" s="57">
        <f t="shared" si="4"/>
        <v>0</v>
      </c>
      <c r="P33" s="57">
        <f t="shared" si="5"/>
        <v>0</v>
      </c>
      <c r="Q33" s="57">
        <f t="shared" si="6"/>
        <v>0</v>
      </c>
      <c r="R33" s="57" t="str">
        <f t="shared" si="7"/>
        <v/>
      </c>
      <c r="S33" s="57" t="str">
        <f t="shared" si="8"/>
        <v>R1-2-5-M
Empty / 空</v>
      </c>
      <c r="T33" s="57" t="str">
        <f>IFERROR(__xludf.DUMMYFUNCTION("IF($N33="""","""",IF($O33=0,""Empty / 空"",IFERROR(LET(c,UNIQUE(FILTER($L$2:$L$500,$B$2:$B$500=$N33,$H$2:$H$500&gt;0,$L$2:$L$500&lt;&gt;"""")),IF(COUNTA(c)&gt;1,""Mixed / 混放: ""&amp;TEXTJOIN("" + "",TRUE,c),INDEX(c,1))),""Unclassified / 未分类"")))"),"Empty / 空")</f>
        <v>Empty / 空</v>
      </c>
      <c r="U33" s="58"/>
      <c r="V33" s="58"/>
      <c r="W33" s="58"/>
      <c r="X33" s="58"/>
      <c r="Y33" s="58"/>
      <c r="Z33" s="58"/>
      <c r="AA33" s="58"/>
    </row>
    <row r="34">
      <c r="A34" s="57" t="str">
        <f>IF('主表 Stock_Transaction_Log'!$T34="","",IF(COUNTIF('主表 Stock_Transaction_Log'!$T$2:$T34,'主表 Stock_Transaction_Log'!$T34)=1,ROW('主表 Stock_Transaction_Log'!$T34),""))</f>
        <v/>
      </c>
      <c r="B34" s="57" t="str">
        <f t="array" ref="B34">IF($A34="","",INDEX('主表 Stock_Transaction_Log'!$Q:$Q,$A34))</f>
        <v/>
      </c>
      <c r="C34" s="57" t="str">
        <f t="array" ref="C34">IF($A34="","",IF(INDEX('主表 Stock_Transaction_Log'!$F:$F,$A34)=0,"",INDEX('主表 Stock_Transaction_Log'!$F:$F,$A34)))</f>
        <v/>
      </c>
      <c r="D34" s="57" t="str">
        <f t="array" ref="D34">IF($A34="","",INDEX('主表 Stock_Transaction_Log'!$G:$G,$A34))</f>
        <v/>
      </c>
      <c r="E34" s="57" t="str">
        <f t="array" ref="E34">IF($A34="","",INDEX('主表 Stock_Transaction_Log'!$H:$H,$A34))</f>
        <v/>
      </c>
      <c r="F34" s="57" t="str">
        <f t="array" ref="F34">IF($A34="","",INDEX('主表 Stock_Transaction_Log'!$I:$I,$A34))</f>
        <v/>
      </c>
      <c r="G34" s="57" t="str">
        <f t="array" ref="G34">IF($A34="","",IF(INDEX('主表 Stock_Transaction_Log'!$R:$R,$A34)=0,"",INDEX('主表 Stock_Transaction_Log'!$R:$R,$A34)))</f>
        <v/>
      </c>
      <c r="H34" s="57" t="str">
        <f t="array" ref="H34">IF($A34="","",SUMIF('主表 Stock_Transaction_Log'!$T:$T,INDEX('主表 Stock_Transaction_Log'!$T:$T,$A34),'主表 Stock_Transaction_Log'!$S:$S)+SUMIF('主表 Stock_Transaction_Log'!$AB:$AB,INDEX('主表 Stock_Transaction_Log'!$T:$T,$A34),'主表 Stock_Transaction_Log'!$AC:$AC))</f>
        <v/>
      </c>
      <c r="I34" s="57" t="str">
        <f t="shared" si="1"/>
        <v/>
      </c>
      <c r="J34" s="57" t="str">
        <f t="shared" si="2"/>
        <v/>
      </c>
      <c r="K34" s="57" t="str">
        <f t="shared" si="3"/>
        <v/>
      </c>
      <c r="L34" s="57" t="str">
        <f t="array" ref="L34">IF($A34="","",INDEX('主表 Stock_Transaction_Log'!$P:$P,$A34))</f>
        <v/>
      </c>
      <c r="M34" s="57" t="str">
        <f>IF($A34="","",IF($H34&lt;=0,0,SUMIFS('主表 Stock_Transaction_Log'!$K$2:$K1000,'主表 Stock_Transaction_Log'!$C$2:$C1000,"Prepared",'主表 Stock_Transaction_Log'!$L$2:$L1000,$B34,'主表 Stock_Transaction_Log'!$F$2:$F1000,$C34,'主表 Stock_Transaction_Log'!$G$2:$G1000,$D34,'主表 Stock_Transaction_Log'!$P$2:$P1000,$L34)))</f>
        <v/>
      </c>
      <c r="N34" s="57" t="s">
        <v>499</v>
      </c>
      <c r="O34" s="57">
        <f t="shared" si="4"/>
        <v>93</v>
      </c>
      <c r="P34" s="57">
        <f t="shared" si="5"/>
        <v>1</v>
      </c>
      <c r="Q34" s="57">
        <f t="shared" si="6"/>
        <v>1</v>
      </c>
      <c r="R34" s="57" t="str">
        <f t="shared" si="7"/>
        <v/>
      </c>
      <c r="S34" s="57" t="str">
        <f t="shared" si="8"/>
        <v>R1-2-5-R
20-051-00080-00
Qty / 数量: 93</v>
      </c>
      <c r="T34" s="57" t="str">
        <f>IFERROR(__xludf.DUMMYFUNCTION("IF($N34="""","""",IF($O34=0,""Empty / 空"",IFERROR(LET(c,UNIQUE(FILTER($L$2:$L$500,$B$2:$B$500=$N34,$H$2:$H$500&gt;0,$L$2:$L$500&lt;&gt;"""")),IF(COUNTA(c)&gt;1,""Mixed / 混放: ""&amp;TEXTJOIN("" + "",TRUE,c),INDEX(c,1))),""Unclassified / 未分类"")))"),"Material / 物料")</f>
        <v>Material / 物料</v>
      </c>
      <c r="U34" s="58"/>
      <c r="V34" s="58"/>
      <c r="W34" s="58"/>
      <c r="X34" s="58"/>
      <c r="Y34" s="58"/>
      <c r="Z34" s="58"/>
      <c r="AA34" s="58"/>
    </row>
    <row r="35">
      <c r="A35" s="57">
        <f>IF('主表 Stock_Transaction_Log'!$T35="","",IF(COUNTIF('主表 Stock_Transaction_Log'!$T$2:$T35,'主表 Stock_Transaction_Log'!$T35)=1,ROW('主表 Stock_Transaction_Log'!$T35),""))</f>
        <v>35</v>
      </c>
      <c r="B35" s="57" t="str">
        <f t="array" ref="B35">IF($A35="","",INDEX('主表 Stock_Transaction_Log'!$Q:$Q,$A35))</f>
        <v>R1-4-2-L</v>
      </c>
      <c r="C35" s="57" t="str">
        <f t="array" ref="C35">IF($A35="","",IF(INDEX('主表 Stock_Transaction_Log'!$F:$F,$A35)=0,"",INDEX('主表 Stock_Transaction_Log'!$F:$F,$A35)))</f>
        <v/>
      </c>
      <c r="D35" s="57" t="str">
        <f t="array" ref="D35">IF($A35="","",INDEX('主表 Stock_Transaction_Log'!$G:$G,$A35))</f>
        <v>10-105-00346-00</v>
      </c>
      <c r="E35" s="57" t="str">
        <f t="array" ref="E35">IF($A35="","",INDEX('主表 Stock_Transaction_Log'!$H:$H,$A35))</f>
        <v>SKU not found</v>
      </c>
      <c r="F35" s="57" t="str">
        <f t="array" ref="F35">IF($A35="","",INDEX('主表 Stock_Transaction_Log'!$I:$I,$A35))</f>
        <v>Item type not found</v>
      </c>
      <c r="G35" s="57" t="str">
        <f t="array" ref="G35">IF($A35="","",IF(INDEX('主表 Stock_Transaction_Log'!$R:$R,$A35)=0,"",INDEX('主表 Stock_Transaction_Log'!$R:$R,$A35)))</f>
        <v/>
      </c>
      <c r="H35" s="57">
        <f t="array" ref="H35">IF($A35="","",SUMIF('主表 Stock_Transaction_Log'!$T:$T,INDEX('主表 Stock_Transaction_Log'!$T:$T,$A35),'主表 Stock_Transaction_Log'!$S:$S)+SUMIF('主表 Stock_Transaction_Log'!$AB:$AB,INDEX('主表 Stock_Transaction_Log'!$T:$T,$A35),'主表 Stock_Transaction_Log'!$AC:$AC))</f>
        <v>200</v>
      </c>
      <c r="I35" s="57" t="str">
        <f t="shared" si="1"/>
        <v>In Stock / 在库</v>
      </c>
      <c r="J35" s="57" t="str">
        <f t="shared" si="2"/>
        <v>Stock line / 库存明细</v>
      </c>
      <c r="K35" s="57" t="b">
        <f t="shared" si="3"/>
        <v>1</v>
      </c>
      <c r="L35" s="57" t="str">
        <f t="array" ref="L35">IF($A35="","",INDEX('主表 Stock_Transaction_Log'!$P:$P,$A35))</f>
        <v>Material / 物料</v>
      </c>
      <c r="M35" s="57">
        <f>IF($A35="","",IF($H35&lt;=0,0,SUMIFS('主表 Stock_Transaction_Log'!$K$2:$K1000,'主表 Stock_Transaction_Log'!$C$2:$C1000,"Prepared",'主表 Stock_Transaction_Log'!$L$2:$L1000,$B35,'主表 Stock_Transaction_Log'!$F$2:$F1000,$C35,'主表 Stock_Transaction_Log'!$G$2:$G1000,$D35,'主表 Stock_Transaction_Log'!$P$2:$P1000,$L35)))</f>
        <v>0</v>
      </c>
      <c r="N35" s="57" t="s">
        <v>534</v>
      </c>
      <c r="O35" s="57">
        <f t="shared" si="4"/>
        <v>99</v>
      </c>
      <c r="P35" s="57">
        <f t="shared" si="5"/>
        <v>1</v>
      </c>
      <c r="Q35" s="57">
        <f t="shared" si="6"/>
        <v>1</v>
      </c>
      <c r="R35" s="57" t="str">
        <f t="shared" si="7"/>
        <v/>
      </c>
      <c r="S35" s="57" t="str">
        <f t="shared" si="8"/>
        <v>R1-2-6-L
物料
Qty / 数量: 99</v>
      </c>
      <c r="T35" s="57" t="str">
        <f>IFERROR(__xludf.DUMMYFUNCTION("IF($N35="""","""",IF($O35=0,""Empty / 空"",IFERROR(LET(c,UNIQUE(FILTER($L$2:$L$500,$B$2:$B$500=$N35,$H$2:$H$500&gt;0,$L$2:$L$500&lt;&gt;"""")),IF(COUNTA(c)&gt;1,""Mixed / 混放: ""&amp;TEXTJOIN("" + "",TRUE,c),INDEX(c,1))),""Unclassified / 未分类"")))"),"Material / 物料")</f>
        <v>Material / 物料</v>
      </c>
      <c r="U35" s="58"/>
      <c r="V35" s="58"/>
      <c r="W35" s="58"/>
      <c r="X35" s="58"/>
      <c r="Y35" s="58"/>
      <c r="Z35" s="58"/>
      <c r="AA35" s="58"/>
    </row>
    <row r="36">
      <c r="A36" s="57">
        <f>IF('主表 Stock_Transaction_Log'!$T36="","",IF(COUNTIF('主表 Stock_Transaction_Log'!$T$2:$T36,'主表 Stock_Transaction_Log'!$T36)=1,ROW('主表 Stock_Transaction_Log'!$T36),""))</f>
        <v>36</v>
      </c>
      <c r="B36" s="57" t="str">
        <f t="array" ref="B36">IF($A36="","",INDEX('主表 Stock_Transaction_Log'!$Q:$Q,$A36))</f>
        <v>R1-4-1-L</v>
      </c>
      <c r="C36" s="57" t="str">
        <f t="array" ref="C36">IF($A36="","",IF(INDEX('主表 Stock_Transaction_Log'!$F:$F,$A36)=0,"",INDEX('主表 Stock_Transaction_Log'!$F:$F,$A36)))</f>
        <v/>
      </c>
      <c r="D36" s="57" t="str">
        <f t="array" ref="D36">IF($A36="","",INDEX('主表 Stock_Transaction_Log'!$G:$G,$A36))</f>
        <v>10-205-00018-02</v>
      </c>
      <c r="E36" s="57" t="str">
        <f t="array" ref="E36">IF($A36="","",INDEX('主表 Stock_Transaction_Log'!$H:$H,$A36))</f>
        <v>纸箱 H1/AC1 562*542*282    YELLOW</v>
      </c>
      <c r="F36" s="57" t="str">
        <f t="array" ref="F36">IF($A36="","",INDEX('主表 Stock_Transaction_Log'!$I:$I,$A36))</f>
        <v>Material</v>
      </c>
      <c r="G36" s="57" t="str">
        <f t="array" ref="G36">IF($A36="","",IF(INDEX('主表 Stock_Transaction_Log'!$R:$R,$A36)=0,"",INDEX('主表 Stock_Transaction_Log'!$R:$R,$A36)))</f>
        <v/>
      </c>
      <c r="H36" s="57">
        <f t="array" ref="H36">IF($A36="","",SUMIF('主表 Stock_Transaction_Log'!$T:$T,INDEX('主表 Stock_Transaction_Log'!$T:$T,$A36),'主表 Stock_Transaction_Log'!$S:$S)+SUMIF('主表 Stock_Transaction_Log'!$AB:$AB,INDEX('主表 Stock_Transaction_Log'!$T:$T,$A36),'主表 Stock_Transaction_Log'!$AC:$AC))</f>
        <v>100</v>
      </c>
      <c r="I36" s="57" t="str">
        <f t="shared" si="1"/>
        <v>In Stock / 在库</v>
      </c>
      <c r="J36" s="57" t="str">
        <f t="shared" si="2"/>
        <v>Stock line / 库存明细</v>
      </c>
      <c r="K36" s="57" t="b">
        <f t="shared" si="3"/>
        <v>1</v>
      </c>
      <c r="L36" s="57" t="str">
        <f t="array" ref="L36">IF($A36="","",INDEX('主表 Stock_Transaction_Log'!$P:$P,$A36))</f>
        <v>Material / 物料</v>
      </c>
      <c r="M36" s="57">
        <f>IF($A36="","",IF($H36&lt;=0,0,SUMIFS('主表 Stock_Transaction_Log'!$K$2:$K1000,'主表 Stock_Transaction_Log'!$C$2:$C1000,"Prepared",'主表 Stock_Transaction_Log'!$L$2:$L1000,$B36,'主表 Stock_Transaction_Log'!$F$2:$F1000,$C36,'主表 Stock_Transaction_Log'!$G$2:$G1000,$D36,'主表 Stock_Transaction_Log'!$P$2:$P1000,$L36)))</f>
        <v>0</v>
      </c>
      <c r="N36" s="57" t="s">
        <v>536</v>
      </c>
      <c r="O36" s="57">
        <f t="shared" si="4"/>
        <v>99</v>
      </c>
      <c r="P36" s="57">
        <f t="shared" si="5"/>
        <v>1</v>
      </c>
      <c r="Q36" s="57">
        <f t="shared" si="6"/>
        <v>1</v>
      </c>
      <c r="R36" s="57" t="str">
        <f t="shared" si="7"/>
        <v/>
      </c>
      <c r="S36" s="57" t="str">
        <f t="shared" si="8"/>
        <v>R1-2-6-M
物料
Qty / 数量: 99</v>
      </c>
      <c r="T36" s="57" t="str">
        <f>IFERROR(__xludf.DUMMYFUNCTION("IF($N36="""","""",IF($O36=0,""Empty / 空"",IFERROR(LET(c,UNIQUE(FILTER($L$2:$L$500,$B$2:$B$500=$N36,$H$2:$H$500&gt;0,$L$2:$L$500&lt;&gt;"""")),IF(COUNTA(c)&gt;1,""Mixed / 混放: ""&amp;TEXTJOIN("" + "",TRUE,c),INDEX(c,1))),""Unclassified / 未分类"")))"),"Material / 物料")</f>
        <v>Material / 物料</v>
      </c>
      <c r="U36" s="58"/>
      <c r="V36" s="58"/>
      <c r="W36" s="58"/>
      <c r="X36" s="58"/>
      <c r="Y36" s="58"/>
      <c r="Z36" s="58"/>
      <c r="AA36" s="58"/>
    </row>
    <row r="37">
      <c r="A37" s="57">
        <f>IF('主表 Stock_Transaction_Log'!$T37="","",IF(COUNTIF('主表 Stock_Transaction_Log'!$T$2:$T37,'主表 Stock_Transaction_Log'!$T37)=1,ROW('主表 Stock_Transaction_Log'!$T37),""))</f>
        <v>37</v>
      </c>
      <c r="B37" s="57" t="str">
        <f t="array" ref="B37">IF($A37="","",INDEX('主表 Stock_Transaction_Log'!$Q:$Q,$A37))</f>
        <v>R2-1-5-L</v>
      </c>
      <c r="C37" s="57" t="str">
        <f t="array" ref="C37">IF($A37="","",IF(INDEX('主表 Stock_Transaction_Log'!$F:$F,$A37)=0,"",INDEX('主表 Stock_Transaction_Log'!$F:$F,$A37)))</f>
        <v/>
      </c>
      <c r="D37" s="57" t="str">
        <f t="array" ref="D37">IF($A37="","",INDEX('主表 Stock_Transaction_Log'!$G:$G,$A37))</f>
        <v>97-229-00018-00</v>
      </c>
      <c r="E37" s="57" t="str">
        <f t="array" ref="E37">IF($A37="","",INDEX('主表 Stock_Transaction_Log'!$H:$H,$A37))</f>
        <v>CQ6-S</v>
      </c>
      <c r="F37" s="57" t="str">
        <f t="array" ref="F37">IF($A37="","",INDEX('主表 Stock_Transaction_Log'!$I:$I,$A37))</f>
        <v>Product</v>
      </c>
      <c r="G37" s="57" t="str">
        <f t="array" ref="G37">IF($A37="","",IF(INDEX('主表 Stock_Transaction_Log'!$R:$R,$A37)=0,"",INDEX('主表 Stock_Transaction_Log'!$R:$R,$A37)))</f>
        <v/>
      </c>
      <c r="H37" s="57">
        <f t="array" ref="H37">IF($A37="","",SUMIF('主表 Stock_Transaction_Log'!$T:$T,INDEX('主表 Stock_Transaction_Log'!$T:$T,$A37),'主表 Stock_Transaction_Log'!$S:$S)+SUMIF('主表 Stock_Transaction_Log'!$AB:$AB,INDEX('主表 Stock_Transaction_Log'!$T:$T,$A37),'主表 Stock_Transaction_Log'!$AC:$AC))</f>
        <v>8</v>
      </c>
      <c r="I37" s="57" t="str">
        <f t="shared" si="1"/>
        <v>In Stock / 在库</v>
      </c>
      <c r="J37" s="57" t="str">
        <f t="shared" si="2"/>
        <v>Stock line / 库存明细</v>
      </c>
      <c r="K37" s="57" t="b">
        <f t="shared" si="3"/>
        <v>1</v>
      </c>
      <c r="L37" s="57" t="str">
        <f t="array" ref="L37">IF($A37="","",INDEX('主表 Stock_Transaction_Log'!$P:$P,$A37))</f>
        <v>Repair_Good / 维修良品</v>
      </c>
      <c r="M37" s="57">
        <f>IF($A37="","",IF($H37&lt;=0,0,SUMIFS('主表 Stock_Transaction_Log'!$K$2:$K1000,'主表 Stock_Transaction_Log'!$C$2:$C1000,"Prepared",'主表 Stock_Transaction_Log'!$L$2:$L1000,$B37,'主表 Stock_Transaction_Log'!$F$2:$F1000,$C37,'主表 Stock_Transaction_Log'!$G$2:$G1000,$D37,'主表 Stock_Transaction_Log'!$P$2:$P1000,$L37)))</f>
        <v>0</v>
      </c>
      <c r="N37" s="57" t="s">
        <v>538</v>
      </c>
      <c r="O37" s="57">
        <f t="shared" si="4"/>
        <v>99</v>
      </c>
      <c r="P37" s="57">
        <f t="shared" si="5"/>
        <v>1</v>
      </c>
      <c r="Q37" s="57">
        <f t="shared" si="6"/>
        <v>1</v>
      </c>
      <c r="R37" s="57" t="str">
        <f t="shared" si="7"/>
        <v/>
      </c>
      <c r="S37" s="57" t="str">
        <f t="shared" si="8"/>
        <v>R1-2-6-R
物料
Qty / 数量: 99</v>
      </c>
      <c r="T37" s="57" t="str">
        <f>IFERROR(__xludf.DUMMYFUNCTION("IF($N37="""","""",IF($O37=0,""Empty / 空"",IFERROR(LET(c,UNIQUE(FILTER($L$2:$L$500,$B$2:$B$500=$N37,$H$2:$H$500&gt;0,$L$2:$L$500&lt;&gt;"""")),IF(COUNTA(c)&gt;1,""Mixed / 混放: ""&amp;TEXTJOIN("" + "",TRUE,c),INDEX(c,1))),""Unclassified / 未分类"")))"),"Material / 物料")</f>
        <v>Material / 物料</v>
      </c>
      <c r="U37" s="58"/>
      <c r="V37" s="58"/>
      <c r="W37" s="58"/>
      <c r="X37" s="58"/>
      <c r="Y37" s="58"/>
      <c r="Z37" s="58"/>
      <c r="AA37" s="58"/>
    </row>
    <row r="38">
      <c r="A38" s="57">
        <f>IF('主表 Stock_Transaction_Log'!$T38="","",IF(COUNTIF('主表 Stock_Transaction_Log'!$T$2:$T38,'主表 Stock_Transaction_Log'!$T38)=1,ROW('主表 Stock_Transaction_Log'!$T38),""))</f>
        <v>38</v>
      </c>
      <c r="B38" s="57" t="str">
        <f t="array" ref="B38">IF($A38="","",INDEX('主表 Stock_Transaction_Log'!$Q:$Q,$A38))</f>
        <v>R2-1-5-R</v>
      </c>
      <c r="C38" s="57" t="str">
        <f t="array" ref="C38">IF($A38="","",IF(INDEX('主表 Stock_Transaction_Log'!$F:$F,$A38)=0,"",INDEX('主表 Stock_Transaction_Log'!$F:$F,$A38)))</f>
        <v>Mix001</v>
      </c>
      <c r="D38" s="57" t="str">
        <f t="array" ref="D38">IF($A38="","",INDEX('主表 Stock_Transaction_Log'!$G:$G,$A38))</f>
        <v>97-229-00015-00</v>
      </c>
      <c r="E38" s="57" t="str">
        <f t="array" ref="E38">IF($A38="","",INDEX('主表 Stock_Transaction_Log'!$H:$H,$A38))</f>
        <v>CQ6-S</v>
      </c>
      <c r="F38" s="57" t="str">
        <f t="array" ref="F38">IF($A38="","",INDEX('主表 Stock_Transaction_Log'!$I:$I,$A38))</f>
        <v>Product</v>
      </c>
      <c r="G38" s="57" t="str">
        <f t="array" ref="G38">IF($A38="","",IF(INDEX('主表 Stock_Transaction_Log'!$R:$R,$A38)=0,"",INDEX('主表 Stock_Transaction_Log'!$R:$R,$A38)))</f>
        <v/>
      </c>
      <c r="H38" s="57">
        <f t="array" ref="H38">IF($A38="","",SUMIF('主表 Stock_Transaction_Log'!$T:$T,INDEX('主表 Stock_Transaction_Log'!$T:$T,$A38),'主表 Stock_Transaction_Log'!$S:$S)+SUMIF('主表 Stock_Transaction_Log'!$AB:$AB,INDEX('主表 Stock_Transaction_Log'!$T:$T,$A38),'主表 Stock_Transaction_Log'!$AC:$AC))</f>
        <v>3</v>
      </c>
      <c r="I38" s="57" t="str">
        <f t="shared" si="1"/>
        <v>In Stock / 在库</v>
      </c>
      <c r="J38" s="57" t="str">
        <f t="shared" si="2"/>
        <v>Container detail / 容器明细</v>
      </c>
      <c r="K38" s="57" t="b">
        <f t="shared" si="3"/>
        <v>1</v>
      </c>
      <c r="L38" s="57" t="str">
        <f t="array" ref="L38">IF($A38="","",INDEX('主表 Stock_Transaction_Log'!$P:$P,$A38))</f>
        <v>Repair_Good / 维修良品</v>
      </c>
      <c r="M38" s="57">
        <f>IF($A38="","",IF($H38&lt;=0,0,SUMIFS('主表 Stock_Transaction_Log'!$K$2:$K1000,'主表 Stock_Transaction_Log'!$C$2:$C1000,"Prepared",'主表 Stock_Transaction_Log'!$L$2:$L1000,$B38,'主表 Stock_Transaction_Log'!$F$2:$F1000,$C38,'主表 Stock_Transaction_Log'!$G$2:$G1000,$D38,'主表 Stock_Transaction_Log'!$P$2:$P1000,$L38)))</f>
        <v>0</v>
      </c>
      <c r="N38" s="57" t="s">
        <v>116</v>
      </c>
      <c r="O38" s="57">
        <f t="shared" si="4"/>
        <v>84</v>
      </c>
      <c r="P38" s="57">
        <f t="shared" si="5"/>
        <v>1</v>
      </c>
      <c r="Q38" s="57">
        <f t="shared" si="6"/>
        <v>1</v>
      </c>
      <c r="R38" s="57" t="str">
        <f t="shared" si="7"/>
        <v/>
      </c>
      <c r="S38" s="57" t="str">
        <f t="shared" si="8"/>
        <v>R1-3-1-L
97-406-00018-00
Qty / 数量: 84</v>
      </c>
      <c r="T38" s="57" t="str">
        <f>IFERROR(__xludf.DUMMYFUNCTION("IF($N38="""","""",IF($O38=0,""Empty / 空"",IFERROR(LET(c,UNIQUE(FILTER($L$2:$L$500,$B$2:$B$500=$N38,$H$2:$H$500&gt;0,$L$2:$L$500&lt;&gt;"""")),IF(COUNTA(c)&gt;1,""Mixed / 混放: ""&amp;TEXTJOIN("" + "",TRUE,c),INDEX(c,1))),""Unclassified / 未分类"")))"),"Material / 物料")</f>
        <v>Material / 物料</v>
      </c>
      <c r="U38" s="58"/>
      <c r="V38" s="58"/>
      <c r="W38" s="58"/>
      <c r="X38" s="58"/>
      <c r="Y38" s="58"/>
      <c r="Z38" s="58"/>
      <c r="AA38" s="58"/>
    </row>
    <row r="39">
      <c r="A39" s="57">
        <f>IF('主表 Stock_Transaction_Log'!$T39="","",IF(COUNTIF('主表 Stock_Transaction_Log'!$T$2:$T39,'主表 Stock_Transaction_Log'!$T39)=1,ROW('主表 Stock_Transaction_Log'!$T39),""))</f>
        <v>39</v>
      </c>
      <c r="B39" s="57" t="str">
        <f t="array" ref="B39">IF($A39="","",INDEX('主表 Stock_Transaction_Log'!$Q:$Q,$A39))</f>
        <v>R2-1-5-R</v>
      </c>
      <c r="C39" s="57" t="str">
        <f t="array" ref="C39">IF($A39="","",IF(INDEX('主表 Stock_Transaction_Log'!$F:$F,$A39)=0,"",INDEX('主表 Stock_Transaction_Log'!$F:$F,$A39)))</f>
        <v>Mix001</v>
      </c>
      <c r="D39" s="57" t="str">
        <f t="array" ref="D39">IF($A39="","",INDEX('主表 Stock_Transaction_Log'!$G:$G,$A39))</f>
        <v>97-229-00018-00</v>
      </c>
      <c r="E39" s="57" t="str">
        <f t="array" ref="E39">IF($A39="","",INDEX('主表 Stock_Transaction_Log'!$H:$H,$A39))</f>
        <v>CQ6-S</v>
      </c>
      <c r="F39" s="57" t="str">
        <f t="array" ref="F39">IF($A39="","",INDEX('主表 Stock_Transaction_Log'!$I:$I,$A39))</f>
        <v>Product</v>
      </c>
      <c r="G39" s="57" t="str">
        <f t="array" ref="G39">IF($A39="","",IF(INDEX('主表 Stock_Transaction_Log'!$R:$R,$A39)=0,"",INDEX('主表 Stock_Transaction_Log'!$R:$R,$A39)))</f>
        <v/>
      </c>
      <c r="H39" s="57">
        <f t="array" ref="H39">IF($A39="","",SUMIF('主表 Stock_Transaction_Log'!$T:$T,INDEX('主表 Stock_Transaction_Log'!$T:$T,$A39),'主表 Stock_Transaction_Log'!$S:$S)+SUMIF('主表 Stock_Transaction_Log'!$AB:$AB,INDEX('主表 Stock_Transaction_Log'!$T:$T,$A39),'主表 Stock_Transaction_Log'!$AC:$AC))</f>
        <v>5</v>
      </c>
      <c r="I39" s="57" t="str">
        <f t="shared" si="1"/>
        <v>In Stock / 在库</v>
      </c>
      <c r="J39" s="57" t="str">
        <f t="shared" si="2"/>
        <v>Container detail / 容器明细</v>
      </c>
      <c r="K39" s="57" t="b">
        <f t="shared" si="3"/>
        <v>1</v>
      </c>
      <c r="L39" s="57" t="str">
        <f t="array" ref="L39">IF($A39="","",INDEX('主表 Stock_Transaction_Log'!$P:$P,$A39))</f>
        <v>Repair_Good / 维修良品</v>
      </c>
      <c r="M39" s="57">
        <f>IF($A39="","",IF($H39&lt;=0,0,SUMIFS('主表 Stock_Transaction_Log'!$K$2:$K1000,'主表 Stock_Transaction_Log'!$C$2:$C1000,"Prepared",'主表 Stock_Transaction_Log'!$L$2:$L1000,$B39,'主表 Stock_Transaction_Log'!$F$2:$F1000,$C39,'主表 Stock_Transaction_Log'!$G$2:$G1000,$D39,'主表 Stock_Transaction_Log'!$P$2:$P1000,$L39)))</f>
        <v>0</v>
      </c>
      <c r="N39" s="57" t="s">
        <v>126</v>
      </c>
      <c r="O39" s="57">
        <f t="shared" si="4"/>
        <v>0</v>
      </c>
      <c r="P39" s="57">
        <f t="shared" si="5"/>
        <v>0</v>
      </c>
      <c r="Q39" s="57">
        <f t="shared" si="6"/>
        <v>0</v>
      </c>
      <c r="R39" s="57" t="str">
        <f t="shared" si="7"/>
        <v/>
      </c>
      <c r="S39" s="57" t="str">
        <f t="shared" si="8"/>
        <v>R1-3-1-M
Empty / 空</v>
      </c>
      <c r="T39" s="57" t="str">
        <f>IFERROR(__xludf.DUMMYFUNCTION("IF($N39="""","""",IF($O39=0,""Empty / 空"",IFERROR(LET(c,UNIQUE(FILTER($L$2:$L$500,$B$2:$B$500=$N39,$H$2:$H$500&gt;0,$L$2:$L$500&lt;&gt;"""")),IF(COUNTA(c)&gt;1,""Mixed / 混放: ""&amp;TEXTJOIN("" + "",TRUE,c),INDEX(c,1))),""Unclassified / 未分类"")))"),"Empty / 空")</f>
        <v>Empty / 空</v>
      </c>
      <c r="U39" s="58"/>
      <c r="V39" s="58"/>
      <c r="W39" s="58"/>
      <c r="X39" s="58"/>
      <c r="Y39" s="58"/>
      <c r="Z39" s="58"/>
      <c r="AA39" s="58"/>
    </row>
    <row r="40">
      <c r="A40" s="57">
        <f>IF('主表 Stock_Transaction_Log'!$T40="","",IF(COUNTIF('主表 Stock_Transaction_Log'!$T$2:$T40,'主表 Stock_Transaction_Log'!$T40)=1,ROW('主表 Stock_Transaction_Log'!$T40),""))</f>
        <v>40</v>
      </c>
      <c r="B40" s="57" t="str">
        <f t="array" ref="B40">IF($A40="","",INDEX('主表 Stock_Transaction_Log'!$Q:$Q,$A40))</f>
        <v>R2-1-4-R</v>
      </c>
      <c r="C40" s="57" t="str">
        <f t="array" ref="C40">IF($A40="","",IF(INDEX('主表 Stock_Transaction_Log'!$F:$F,$A40)=0,"",INDEX('主表 Stock_Transaction_Log'!$F:$F,$A40)))</f>
        <v/>
      </c>
      <c r="D40" s="57" t="str">
        <f t="array" ref="D40">IF($A40="","",INDEX('主表 Stock_Transaction_Log'!$G:$G,$A40))</f>
        <v>97-223-00107-00</v>
      </c>
      <c r="E40" s="57" t="str">
        <f t="array" ref="E40">IF($A40="","",INDEX('主表 Stock_Transaction_Log'!$H:$H,$A40))</f>
        <v>EQ4800-S</v>
      </c>
      <c r="F40" s="57" t="str">
        <f t="array" ref="F40">IF($A40="","",INDEX('主表 Stock_Transaction_Log'!$I:$I,$A40))</f>
        <v>Product</v>
      </c>
      <c r="G40" s="57" t="str">
        <f t="array" ref="G40">IF($A40="","",IF(INDEX('主表 Stock_Transaction_Log'!$R:$R,$A40)=0,"",INDEX('主表 Stock_Transaction_Log'!$R:$R,$A40)))</f>
        <v/>
      </c>
      <c r="H40" s="57">
        <f t="array" ref="H40">IF($A40="","",SUMIF('主表 Stock_Transaction_Log'!$T:$T,INDEX('主表 Stock_Transaction_Log'!$T:$T,$A40),'主表 Stock_Transaction_Log'!$S:$S)+SUMIF('主表 Stock_Transaction_Log'!$AB:$AB,INDEX('主表 Stock_Transaction_Log'!$T:$T,$A40),'主表 Stock_Transaction_Log'!$AC:$AC))</f>
        <v>16</v>
      </c>
      <c r="I40" s="57" t="str">
        <f t="shared" si="1"/>
        <v>In Stock / 在库</v>
      </c>
      <c r="J40" s="57" t="str">
        <f t="shared" si="2"/>
        <v>Stock line / 库存明细</v>
      </c>
      <c r="K40" s="57" t="b">
        <f t="shared" si="3"/>
        <v>1</v>
      </c>
      <c r="L40" s="57" t="str">
        <f t="array" ref="L40">IF($A40="","",INDEX('主表 Stock_Transaction_Log'!$P:$P,$A40))</f>
        <v>New / 新机</v>
      </c>
      <c r="M40" s="57">
        <f>IF($A40="","",IF($H40&lt;=0,0,SUMIFS('主表 Stock_Transaction_Log'!$K$2:$K1000,'主表 Stock_Transaction_Log'!$C$2:$C1000,"Prepared",'主表 Stock_Transaction_Log'!$L$2:$L1000,$B40,'主表 Stock_Transaction_Log'!$F$2:$F1000,$C40,'主表 Stock_Transaction_Log'!$G$2:$G1000,$D40,'主表 Stock_Transaction_Log'!$P$2:$P1000,$L40)))</f>
        <v>0</v>
      </c>
      <c r="N40" s="57" t="s">
        <v>134</v>
      </c>
      <c r="O40" s="57">
        <f t="shared" si="4"/>
        <v>84</v>
      </c>
      <c r="P40" s="57">
        <f t="shared" si="5"/>
        <v>1</v>
      </c>
      <c r="Q40" s="57">
        <f t="shared" si="6"/>
        <v>1</v>
      </c>
      <c r="R40" s="57" t="str">
        <f t="shared" si="7"/>
        <v/>
      </c>
      <c r="S40" s="57" t="str">
        <f t="shared" si="8"/>
        <v>R1-3-1-R
97-406-00018-00
Qty / 数量: 84</v>
      </c>
      <c r="T40" s="57" t="str">
        <f>IFERROR(__xludf.DUMMYFUNCTION("IF($N40="""","""",IF($O40=0,""Empty / 空"",IFERROR(LET(c,UNIQUE(FILTER($L$2:$L$500,$B$2:$B$500=$N40,$H$2:$H$500&gt;0,$L$2:$L$500&lt;&gt;"""")),IF(COUNTA(c)&gt;1,""Mixed / 混放: ""&amp;TEXTJOIN("" + "",TRUE,c),INDEX(c,1))),""Unclassified / 未分类"")))"),"Material / 物料")</f>
        <v>Material / 物料</v>
      </c>
      <c r="U40" s="58"/>
      <c r="V40" s="58"/>
      <c r="W40" s="58"/>
      <c r="X40" s="58"/>
      <c r="Y40" s="58"/>
      <c r="Z40" s="58"/>
      <c r="AA40" s="58"/>
    </row>
    <row r="41">
      <c r="A41" s="57" t="str">
        <f>IF('主表 Stock_Transaction_Log'!$T41="","",IF(COUNTIF('主表 Stock_Transaction_Log'!$T$2:$T41,'主表 Stock_Transaction_Log'!$T41)=1,ROW('主表 Stock_Transaction_Log'!$T41),""))</f>
        <v/>
      </c>
      <c r="B41" s="57" t="str">
        <f t="array" ref="B41">IF($A41="","",INDEX('主表 Stock_Transaction_Log'!$Q:$Q,$A41))</f>
        <v/>
      </c>
      <c r="C41" s="57" t="str">
        <f t="array" ref="C41">IF($A41="","",IF(INDEX('主表 Stock_Transaction_Log'!$F:$F,$A41)=0,"",INDEX('主表 Stock_Transaction_Log'!$F:$F,$A41)))</f>
        <v/>
      </c>
      <c r="D41" s="57" t="str">
        <f t="array" ref="D41">IF($A41="","",INDEX('主表 Stock_Transaction_Log'!$G:$G,$A41))</f>
        <v/>
      </c>
      <c r="E41" s="57" t="str">
        <f t="array" ref="E41">IF($A41="","",INDEX('主表 Stock_Transaction_Log'!$H:$H,$A41))</f>
        <v/>
      </c>
      <c r="F41" s="57" t="str">
        <f t="array" ref="F41">IF($A41="","",INDEX('主表 Stock_Transaction_Log'!$I:$I,$A41))</f>
        <v/>
      </c>
      <c r="G41" s="57" t="str">
        <f t="array" ref="G41">IF($A41="","",IF(INDEX('主表 Stock_Transaction_Log'!$R:$R,$A41)=0,"",INDEX('主表 Stock_Transaction_Log'!$R:$R,$A41)))</f>
        <v/>
      </c>
      <c r="H41" s="57" t="str">
        <f t="array" ref="H41">IF($A41="","",SUMIF('主表 Stock_Transaction_Log'!$T:$T,INDEX('主表 Stock_Transaction_Log'!$T:$T,$A41),'主表 Stock_Transaction_Log'!$S:$S)+SUMIF('主表 Stock_Transaction_Log'!$AB:$AB,INDEX('主表 Stock_Transaction_Log'!$T:$T,$A41),'主表 Stock_Transaction_Log'!$AC:$AC))</f>
        <v/>
      </c>
      <c r="I41" s="57" t="str">
        <f t="shared" si="1"/>
        <v/>
      </c>
      <c r="J41" s="57" t="str">
        <f t="shared" si="2"/>
        <v/>
      </c>
      <c r="K41" s="57" t="str">
        <f t="shared" si="3"/>
        <v/>
      </c>
      <c r="L41" s="57" t="str">
        <f t="array" ref="L41">IF($A41="","",INDEX('主表 Stock_Transaction_Log'!$P:$P,$A41))</f>
        <v/>
      </c>
      <c r="M41" s="57" t="str">
        <f>IF($A41="","",IF($H41&lt;=0,0,SUMIFS('主表 Stock_Transaction_Log'!$K$2:$K1000,'主表 Stock_Transaction_Log'!$C$2:$C1000,"Prepared",'主表 Stock_Transaction_Log'!$L$2:$L1000,$B41,'主表 Stock_Transaction_Log'!$F$2:$F1000,$C41,'主表 Stock_Transaction_Log'!$G$2:$G1000,$D41,'主表 Stock_Transaction_Log'!$P$2:$P1000,$L41)))</f>
        <v/>
      </c>
      <c r="N41" s="57" t="s">
        <v>184</v>
      </c>
      <c r="O41" s="57">
        <f t="shared" si="4"/>
        <v>39</v>
      </c>
      <c r="P41" s="57">
        <f t="shared" si="5"/>
        <v>1</v>
      </c>
      <c r="Q41" s="57">
        <f t="shared" si="6"/>
        <v>1</v>
      </c>
      <c r="R41" s="57" t="str">
        <f t="shared" si="7"/>
        <v/>
      </c>
      <c r="S41" s="57" t="str">
        <f t="shared" si="8"/>
        <v>R1-3-2-L
97-406-00017-00
Qty / 数量: 39</v>
      </c>
      <c r="T41" s="57" t="str">
        <f>IFERROR(__xludf.DUMMYFUNCTION("IF($N41="""","""",IF($O41=0,""Empty / 空"",IFERROR(LET(c,UNIQUE(FILTER($L$2:$L$500,$B$2:$B$500=$N41,$H$2:$H$500&gt;0,$L$2:$L$500&lt;&gt;"""")),IF(COUNTA(c)&gt;1,""Mixed / 混放: ""&amp;TEXTJOIN("" + "",TRUE,c),INDEX(c,1))),""Unclassified / 未分类"")))"),"Material / 物料")</f>
        <v>Material / 物料</v>
      </c>
      <c r="U41" s="58"/>
      <c r="V41" s="58"/>
      <c r="W41" s="58"/>
      <c r="X41" s="58"/>
      <c r="Y41" s="58"/>
      <c r="Z41" s="58"/>
      <c r="AA41" s="58"/>
    </row>
    <row r="42">
      <c r="A42" s="57">
        <f>IF('主表 Stock_Transaction_Log'!$T42="","",IF(COUNTIF('主表 Stock_Transaction_Log'!$T$2:$T42,'主表 Stock_Transaction_Log'!$T42)=1,ROW('主表 Stock_Transaction_Log'!$T42),""))</f>
        <v>42</v>
      </c>
      <c r="B42" s="57" t="str">
        <f t="array" ref="B42">IF($A42="","",INDEX('主表 Stock_Transaction_Log'!$Q:$Q,$A42))</f>
        <v>R1-3-1-L</v>
      </c>
      <c r="C42" s="57" t="str">
        <f t="array" ref="C42">IF($A42="","",IF(INDEX('主表 Stock_Transaction_Log'!$F:$F,$A42)=0,"",INDEX('主表 Stock_Transaction_Log'!$F:$F,$A42)))</f>
        <v/>
      </c>
      <c r="D42" s="57" t="str">
        <f t="array" ref="D42">IF($A42="","",INDEX('主表 Stock_Transaction_Log'!$G:$G,$A42))</f>
        <v>97-406-00018-00</v>
      </c>
      <c r="E42" s="57" t="str">
        <f t="array" ref="E42">IF($A42="","",INDEX('主表 Stock_Transaction_Log'!$H:$H,$A42))</f>
        <v>H1-G2遮线罩</v>
      </c>
      <c r="F42" s="57" t="str">
        <f t="array" ref="F42">IF($A42="","",INDEX('主表 Stock_Transaction_Log'!$I:$I,$A42))</f>
        <v>Material</v>
      </c>
      <c r="G42" s="57" t="str">
        <f t="array" ref="G42">IF($A42="","",IF(INDEX('主表 Stock_Transaction_Log'!$R:$R,$A42)=0,"",INDEX('主表 Stock_Transaction_Log'!$R:$R,$A42)))</f>
        <v/>
      </c>
      <c r="H42" s="57">
        <f t="array" ref="H42">IF($A42="","",SUMIF('主表 Stock_Transaction_Log'!$T:$T,INDEX('主表 Stock_Transaction_Log'!$T:$T,$A42),'主表 Stock_Transaction_Log'!$S:$S)+SUMIF('主表 Stock_Transaction_Log'!$AB:$AB,INDEX('主表 Stock_Transaction_Log'!$T:$T,$A42),'主表 Stock_Transaction_Log'!$AC:$AC))</f>
        <v>84</v>
      </c>
      <c r="I42" s="57" t="str">
        <f t="shared" si="1"/>
        <v>In Stock / 在库</v>
      </c>
      <c r="J42" s="57" t="str">
        <f t="shared" si="2"/>
        <v>Stock line / 库存明细</v>
      </c>
      <c r="K42" s="57" t="b">
        <f t="shared" si="3"/>
        <v>1</v>
      </c>
      <c r="L42" s="57" t="str">
        <f t="array" ref="L42">IF($A42="","",INDEX('主表 Stock_Transaction_Log'!$P:$P,$A42))</f>
        <v>Material / 物料</v>
      </c>
      <c r="M42" s="57">
        <f>IF($A42="","",IF($H42&lt;=0,0,SUMIFS('主表 Stock_Transaction_Log'!$K$2:$K1000,'主表 Stock_Transaction_Log'!$C$2:$C1000,"Prepared",'主表 Stock_Transaction_Log'!$L$2:$L1000,$B42,'主表 Stock_Transaction_Log'!$F$2:$F1000,$C42,'主表 Stock_Transaction_Log'!$G$2:$G1000,$D42,'主表 Stock_Transaction_Log'!$P$2:$P1000,$L42)))</f>
        <v>0</v>
      </c>
      <c r="N42" s="57" t="s">
        <v>192</v>
      </c>
      <c r="O42" s="57">
        <f t="shared" si="4"/>
        <v>0</v>
      </c>
      <c r="P42" s="57">
        <f t="shared" si="5"/>
        <v>0</v>
      </c>
      <c r="Q42" s="57">
        <f t="shared" si="6"/>
        <v>0</v>
      </c>
      <c r="R42" s="57" t="str">
        <f t="shared" si="7"/>
        <v/>
      </c>
      <c r="S42" s="57" t="str">
        <f t="shared" si="8"/>
        <v>R1-3-2-M
Empty / 空</v>
      </c>
      <c r="T42" s="57" t="str">
        <f>IFERROR(__xludf.DUMMYFUNCTION("IF($N42="""","""",IF($O42=0,""Empty / 空"",IFERROR(LET(c,UNIQUE(FILTER($L$2:$L$500,$B$2:$B$500=$N42,$H$2:$H$500&gt;0,$L$2:$L$500&lt;&gt;"""")),IF(COUNTA(c)&gt;1,""Mixed / 混放: ""&amp;TEXTJOIN("" + "",TRUE,c),INDEX(c,1))),""Unclassified / 未分类"")))"),"Empty / 空")</f>
        <v>Empty / 空</v>
      </c>
      <c r="U42" s="58"/>
      <c r="V42" s="58"/>
      <c r="W42" s="58"/>
      <c r="X42" s="58"/>
      <c r="Y42" s="58"/>
      <c r="Z42" s="58"/>
      <c r="AA42" s="58"/>
    </row>
    <row r="43">
      <c r="A43" s="57">
        <f>IF('主表 Stock_Transaction_Log'!$T43="","",IF(COUNTIF('主表 Stock_Transaction_Log'!$T$2:$T43,'主表 Stock_Transaction_Log'!$T43)=1,ROW('主表 Stock_Transaction_Log'!$T43),""))</f>
        <v>43</v>
      </c>
      <c r="B43" s="57" t="str">
        <f t="array" ref="B43">IF($A43="","",INDEX('主表 Stock_Transaction_Log'!$Q:$Q,$A43))</f>
        <v>R1-3-1-R</v>
      </c>
      <c r="C43" s="57" t="str">
        <f t="array" ref="C43">IF($A43="","",IF(INDEX('主表 Stock_Transaction_Log'!$F:$F,$A43)=0,"",INDEX('主表 Stock_Transaction_Log'!$F:$F,$A43)))</f>
        <v/>
      </c>
      <c r="D43" s="57" t="str">
        <f t="array" ref="D43">IF($A43="","",INDEX('主表 Stock_Transaction_Log'!$G:$G,$A43))</f>
        <v>97-406-00018-00</v>
      </c>
      <c r="E43" s="57" t="str">
        <f t="array" ref="E43">IF($A43="","",INDEX('主表 Stock_Transaction_Log'!$H:$H,$A43))</f>
        <v>H1-G2遮线罩</v>
      </c>
      <c r="F43" s="57" t="str">
        <f t="array" ref="F43">IF($A43="","",INDEX('主表 Stock_Transaction_Log'!$I:$I,$A43))</f>
        <v>Material</v>
      </c>
      <c r="G43" s="57" t="str">
        <f t="array" ref="G43">IF($A43="","",IF(INDEX('主表 Stock_Transaction_Log'!$R:$R,$A43)=0,"",INDEX('主表 Stock_Transaction_Log'!$R:$R,$A43)))</f>
        <v/>
      </c>
      <c r="H43" s="57">
        <f t="array" ref="H43">IF($A43="","",SUMIF('主表 Stock_Transaction_Log'!$T:$T,INDEX('主表 Stock_Transaction_Log'!$T:$T,$A43),'主表 Stock_Transaction_Log'!$S:$S)+SUMIF('主表 Stock_Transaction_Log'!$AB:$AB,INDEX('主表 Stock_Transaction_Log'!$T:$T,$A43),'主表 Stock_Transaction_Log'!$AC:$AC))</f>
        <v>84</v>
      </c>
      <c r="I43" s="57" t="str">
        <f t="shared" si="1"/>
        <v>In Stock / 在库</v>
      </c>
      <c r="J43" s="57" t="str">
        <f t="shared" si="2"/>
        <v>Stock line / 库存明细</v>
      </c>
      <c r="K43" s="57" t="b">
        <f t="shared" si="3"/>
        <v>1</v>
      </c>
      <c r="L43" s="57" t="str">
        <f t="array" ref="L43">IF($A43="","",INDEX('主表 Stock_Transaction_Log'!$P:$P,$A43))</f>
        <v>Material / 物料</v>
      </c>
      <c r="M43" s="57">
        <f>IF($A43="","",IF($H43&lt;=0,0,SUMIFS('主表 Stock_Transaction_Log'!$K$2:$K1000,'主表 Stock_Transaction_Log'!$C$2:$C1000,"Prepared",'主表 Stock_Transaction_Log'!$L$2:$L1000,$B43,'主表 Stock_Transaction_Log'!$F$2:$F1000,$C43,'主表 Stock_Transaction_Log'!$G$2:$G1000,$D43,'主表 Stock_Transaction_Log'!$P$2:$P1000,$L43)))</f>
        <v>0</v>
      </c>
      <c r="N43" s="57" t="s">
        <v>200</v>
      </c>
      <c r="O43" s="57">
        <f t="shared" si="4"/>
        <v>38</v>
      </c>
      <c r="P43" s="57">
        <f t="shared" si="5"/>
        <v>1</v>
      </c>
      <c r="Q43" s="57">
        <f t="shared" si="6"/>
        <v>1</v>
      </c>
      <c r="R43" s="57" t="str">
        <f t="shared" si="7"/>
        <v/>
      </c>
      <c r="S43" s="57" t="str">
        <f t="shared" si="8"/>
        <v>R1-3-2-R
97-406-00017-00
Qty / 数量: 38</v>
      </c>
      <c r="T43" s="57" t="str">
        <f>IFERROR(__xludf.DUMMYFUNCTION("IF($N43="""","""",IF($O43=0,""Empty / 空"",IFERROR(LET(c,UNIQUE(FILTER($L$2:$L$500,$B$2:$B$500=$N43,$H$2:$H$500&gt;0,$L$2:$L$500&lt;&gt;"""")),IF(COUNTA(c)&gt;1,""Mixed / 混放: ""&amp;TEXTJOIN("" + "",TRUE,c),INDEX(c,1))),""Unclassified / 未分类"")))"),"Material / 物料")</f>
        <v>Material / 物料</v>
      </c>
      <c r="U43" s="58"/>
      <c r="V43" s="58"/>
      <c r="W43" s="58"/>
      <c r="X43" s="58"/>
      <c r="Y43" s="58"/>
      <c r="Z43" s="58"/>
      <c r="AA43" s="58"/>
    </row>
    <row r="44">
      <c r="A44" s="57" t="str">
        <f>IF('主表 Stock_Transaction_Log'!$T44="","",IF(COUNTIF('主表 Stock_Transaction_Log'!$T$2:$T44,'主表 Stock_Transaction_Log'!$T44)=1,ROW('主表 Stock_Transaction_Log'!$T44),""))</f>
        <v/>
      </c>
      <c r="B44" s="57" t="str">
        <f t="array" ref="B44">IF($A44="","",INDEX('主表 Stock_Transaction_Log'!$Q:$Q,$A44))</f>
        <v/>
      </c>
      <c r="C44" s="57" t="str">
        <f t="array" ref="C44">IF($A44="","",IF(INDEX('主表 Stock_Transaction_Log'!$F:$F,$A44)=0,"",INDEX('主表 Stock_Transaction_Log'!$F:$F,$A44)))</f>
        <v/>
      </c>
      <c r="D44" s="57" t="str">
        <f t="array" ref="D44">IF($A44="","",INDEX('主表 Stock_Transaction_Log'!$G:$G,$A44))</f>
        <v/>
      </c>
      <c r="E44" s="57" t="str">
        <f t="array" ref="E44">IF($A44="","",INDEX('主表 Stock_Transaction_Log'!$H:$H,$A44))</f>
        <v/>
      </c>
      <c r="F44" s="57" t="str">
        <f t="array" ref="F44">IF($A44="","",INDEX('主表 Stock_Transaction_Log'!$I:$I,$A44))</f>
        <v/>
      </c>
      <c r="G44" s="57" t="str">
        <f t="array" ref="G44">IF($A44="","",IF(INDEX('主表 Stock_Transaction_Log'!$R:$R,$A44)=0,"",INDEX('主表 Stock_Transaction_Log'!$R:$R,$A44)))</f>
        <v/>
      </c>
      <c r="H44" s="57" t="str">
        <f t="array" ref="H44">IF($A44="","",SUMIF('主表 Stock_Transaction_Log'!$T:$T,INDEX('主表 Stock_Transaction_Log'!$T:$T,$A44),'主表 Stock_Transaction_Log'!$S:$S)+SUMIF('主表 Stock_Transaction_Log'!$AB:$AB,INDEX('主表 Stock_Transaction_Log'!$T:$T,$A44),'主表 Stock_Transaction_Log'!$AC:$AC))</f>
        <v/>
      </c>
      <c r="I44" s="57" t="str">
        <f t="shared" si="1"/>
        <v/>
      </c>
      <c r="J44" s="57" t="str">
        <f t="shared" si="2"/>
        <v/>
      </c>
      <c r="K44" s="57" t="str">
        <f t="shared" si="3"/>
        <v/>
      </c>
      <c r="L44" s="57" t="str">
        <f t="array" ref="L44">IF($A44="","",INDEX('主表 Stock_Transaction_Log'!$P:$P,$A44))</f>
        <v/>
      </c>
      <c r="M44" s="57" t="str">
        <f>IF($A44="","",IF($H44&lt;=0,0,SUMIFS('主表 Stock_Transaction_Log'!$K$2:$K1000,'主表 Stock_Transaction_Log'!$C$2:$C1000,"Prepared",'主表 Stock_Transaction_Log'!$L$2:$L1000,$B44,'主表 Stock_Transaction_Log'!$F$2:$F1000,$C44,'主表 Stock_Transaction_Log'!$G$2:$G1000,$D44,'主表 Stock_Transaction_Log'!$P$2:$P1000,$L44)))</f>
        <v/>
      </c>
      <c r="N44" s="57" t="s">
        <v>700</v>
      </c>
      <c r="O44" s="57">
        <f t="shared" si="4"/>
        <v>75</v>
      </c>
      <c r="P44" s="57">
        <f t="shared" si="5"/>
        <v>1</v>
      </c>
      <c r="Q44" s="57">
        <f t="shared" si="6"/>
        <v>1</v>
      </c>
      <c r="R44" s="57" t="str">
        <f t="shared" si="7"/>
        <v/>
      </c>
      <c r="S44" s="57" t="str">
        <f t="shared" si="8"/>
        <v>R1-3-3-L
20-012-10342-02
Qty / 数量: 75</v>
      </c>
      <c r="T44" s="57" t="str">
        <f>IFERROR(__xludf.DUMMYFUNCTION("IF($N44="""","""",IF($O44=0,""Empty / 空"",IFERROR(LET(c,UNIQUE(FILTER($L$2:$L$500,$B$2:$B$500=$N44,$H$2:$H$500&gt;0,$L$2:$L$500&lt;&gt;"""")),IF(COUNTA(c)&gt;1,""Mixed / 混放: ""&amp;TEXTJOIN("" + "",TRUE,c),INDEX(c,1))),""Unclassified / 未分类"")))"),"Material / 物料")</f>
        <v>Material / 物料</v>
      </c>
      <c r="U44" s="58"/>
      <c r="V44" s="58"/>
      <c r="W44" s="58"/>
      <c r="X44" s="58"/>
      <c r="Y44" s="58"/>
      <c r="Z44" s="58"/>
      <c r="AA44" s="58"/>
    </row>
    <row r="45">
      <c r="A45" s="57">
        <f>IF('主表 Stock_Transaction_Log'!$T45="","",IF(COUNTIF('主表 Stock_Transaction_Log'!$T$2:$T45,'主表 Stock_Transaction_Log'!$T45)=1,ROW('主表 Stock_Transaction_Log'!$T45),""))</f>
        <v>45</v>
      </c>
      <c r="B45" s="57" t="str">
        <f t="array" ref="B45">IF($A45="","",INDEX('主表 Stock_Transaction_Log'!$Q:$Q,$A45))</f>
        <v>R1-2-1-R</v>
      </c>
      <c r="C45" s="57" t="str">
        <f t="array" ref="C45">IF($A45="","",IF(INDEX('主表 Stock_Transaction_Log'!$F:$F,$A45)=0,"",INDEX('主表 Stock_Transaction_Log'!$F:$F,$A45)))</f>
        <v/>
      </c>
      <c r="D45" s="57" t="str">
        <f t="array" ref="D45">IF($A45="","",INDEX('主表 Stock_Transaction_Log'!$G:$G,$A45))</f>
        <v>97-414-00027-00</v>
      </c>
      <c r="E45" s="57" t="str">
        <f t="array" ref="E45">IF($A45="","",INDEX('主表 Stock_Transaction_Log'!$H:$H,$A45))</f>
        <v>EQ4800-side-cover</v>
      </c>
      <c r="F45" s="57" t="str">
        <f t="array" ref="F45">IF($A45="","",INDEX('主表 Stock_Transaction_Log'!$I:$I,$A45))</f>
        <v>Material</v>
      </c>
      <c r="G45" s="57" t="str">
        <f t="array" ref="G45">IF($A45="","",IF(INDEX('主表 Stock_Transaction_Log'!$R:$R,$A45)=0,"",INDEX('主表 Stock_Transaction_Log'!$R:$R,$A45)))</f>
        <v/>
      </c>
      <c r="H45" s="57">
        <f t="array" ref="H45">IF($A45="","",SUMIF('主表 Stock_Transaction_Log'!$T:$T,INDEX('主表 Stock_Transaction_Log'!$T:$T,$A45),'主表 Stock_Transaction_Log'!$S:$S)+SUMIF('主表 Stock_Transaction_Log'!$AB:$AB,INDEX('主表 Stock_Transaction_Log'!$T:$T,$A45),'主表 Stock_Transaction_Log'!$AC:$AC))</f>
        <v>288</v>
      </c>
      <c r="I45" s="57" t="str">
        <f t="shared" si="1"/>
        <v>In Stock / 在库</v>
      </c>
      <c r="J45" s="57" t="str">
        <f t="shared" si="2"/>
        <v>Stock line / 库存明细</v>
      </c>
      <c r="K45" s="57" t="b">
        <f t="shared" si="3"/>
        <v>1</v>
      </c>
      <c r="L45" s="57" t="str">
        <f t="array" ref="L45">IF($A45="","",INDEX('主表 Stock_Transaction_Log'!$P:$P,$A45))</f>
        <v>Material / 物料</v>
      </c>
      <c r="M45" s="57">
        <f>IF($A45="","",IF($H45&lt;=0,0,SUMIFS('主表 Stock_Transaction_Log'!$K$2:$K1000,'主表 Stock_Transaction_Log'!$C$2:$C1000,"Prepared",'主表 Stock_Transaction_Log'!$L$2:$L1000,$B45,'主表 Stock_Transaction_Log'!$F$2:$F1000,$C45,'主表 Stock_Transaction_Log'!$G$2:$G1000,$D45,'主表 Stock_Transaction_Log'!$P$2:$P1000,$L45)))</f>
        <v>0</v>
      </c>
      <c r="N45" s="57" t="s">
        <v>886</v>
      </c>
      <c r="O45" s="57">
        <f t="shared" si="4"/>
        <v>0</v>
      </c>
      <c r="P45" s="57">
        <f t="shared" si="5"/>
        <v>0</v>
      </c>
      <c r="Q45" s="57">
        <f t="shared" si="6"/>
        <v>0</v>
      </c>
      <c r="R45" s="57" t="str">
        <f t="shared" si="7"/>
        <v/>
      </c>
      <c r="S45" s="57" t="str">
        <f t="shared" si="8"/>
        <v>R1-3-3-M
Empty / 空</v>
      </c>
      <c r="T45" s="57" t="str">
        <f>IFERROR(__xludf.DUMMYFUNCTION("IF($N45="""","""",IF($O45=0,""Empty / 空"",IFERROR(LET(c,UNIQUE(FILTER($L$2:$L$500,$B$2:$B$500=$N45,$H$2:$H$500&gt;0,$L$2:$L$500&lt;&gt;"""")),IF(COUNTA(c)&gt;1,""Mixed / 混放: ""&amp;TEXTJOIN("" + "",TRUE,c),INDEX(c,1))),""Unclassified / 未分类"")))"),"Empty / 空")</f>
        <v>Empty / 空</v>
      </c>
      <c r="U45" s="58"/>
      <c r="V45" s="58"/>
      <c r="W45" s="58"/>
      <c r="X45" s="58"/>
      <c r="Y45" s="58"/>
      <c r="Z45" s="58"/>
      <c r="AA45" s="58"/>
    </row>
    <row r="46">
      <c r="A46" s="57">
        <f>IF('主表 Stock_Transaction_Log'!$T46="","",IF(COUNTIF('主表 Stock_Transaction_Log'!$T$2:$T46,'主表 Stock_Transaction_Log'!$T46)=1,ROW('主表 Stock_Transaction_Log'!$T46),""))</f>
        <v>46</v>
      </c>
      <c r="B46" s="57" t="str">
        <f t="array" ref="B46">IF($A46="","",INDEX('主表 Stock_Transaction_Log'!$Q:$Q,$A46))</f>
        <v>R1-3-2-L</v>
      </c>
      <c r="C46" s="57" t="str">
        <f t="array" ref="C46">IF($A46="","",IF(INDEX('主表 Stock_Transaction_Log'!$F:$F,$A46)=0,"",INDEX('主表 Stock_Transaction_Log'!$F:$F,$A46)))</f>
        <v/>
      </c>
      <c r="D46" s="57" t="str">
        <f t="array" ref="D46">IF($A46="","",INDEX('主表 Stock_Transaction_Log'!$G:$G,$A46))</f>
        <v>97-406-00017-00</v>
      </c>
      <c r="E46" s="57" t="str">
        <f t="array" ref="E46">IF($A46="","",INDEX('主表 Stock_Transaction_Log'!$H:$H,$A46))</f>
        <v>KH遮线罩</v>
      </c>
      <c r="F46" s="57" t="str">
        <f t="array" ref="F46">IF($A46="","",INDEX('主表 Stock_Transaction_Log'!$I:$I,$A46))</f>
        <v>Material</v>
      </c>
      <c r="G46" s="57" t="str">
        <f t="array" ref="G46">IF($A46="","",IF(INDEX('主表 Stock_Transaction_Log'!$R:$R,$A46)=0,"",INDEX('主表 Stock_Transaction_Log'!$R:$R,$A46)))</f>
        <v/>
      </c>
      <c r="H46" s="57">
        <f t="array" ref="H46">IF($A46="","",SUMIF('主表 Stock_Transaction_Log'!$T:$T,INDEX('主表 Stock_Transaction_Log'!$T:$T,$A46),'主表 Stock_Transaction_Log'!$S:$S)+SUMIF('主表 Stock_Transaction_Log'!$AB:$AB,INDEX('主表 Stock_Transaction_Log'!$T:$T,$A46),'主表 Stock_Transaction_Log'!$AC:$AC))</f>
        <v>39</v>
      </c>
      <c r="I46" s="57" t="str">
        <f t="shared" si="1"/>
        <v>In Stock / 在库</v>
      </c>
      <c r="J46" s="57" t="str">
        <f t="shared" si="2"/>
        <v>Stock line / 库存明细</v>
      </c>
      <c r="K46" s="57" t="b">
        <f t="shared" si="3"/>
        <v>1</v>
      </c>
      <c r="L46" s="57" t="str">
        <f t="array" ref="L46">IF($A46="","",INDEX('主表 Stock_Transaction_Log'!$P:$P,$A46))</f>
        <v>Material / 物料</v>
      </c>
      <c r="M46" s="57">
        <f>IF($A46="","",IF($H46&lt;=0,0,SUMIFS('主表 Stock_Transaction_Log'!$K$2:$K1000,'主表 Stock_Transaction_Log'!$C$2:$C1000,"Prepared",'主表 Stock_Transaction_Log'!$L$2:$L1000,$B46,'主表 Stock_Transaction_Log'!$F$2:$F1000,$C46,'主表 Stock_Transaction_Log'!$G$2:$G1000,$D46,'主表 Stock_Transaction_Log'!$P$2:$P1000,$L46)))</f>
        <v>0</v>
      </c>
      <c r="N46" s="57" t="s">
        <v>703</v>
      </c>
      <c r="O46" s="57">
        <f t="shared" si="4"/>
        <v>99</v>
      </c>
      <c r="P46" s="57">
        <f t="shared" si="5"/>
        <v>1</v>
      </c>
      <c r="Q46" s="57">
        <f t="shared" si="6"/>
        <v>1</v>
      </c>
      <c r="R46" s="57" t="str">
        <f t="shared" si="7"/>
        <v/>
      </c>
      <c r="S46" s="57" t="str">
        <f t="shared" si="8"/>
        <v>R1-3-3-R
20-012-20142-00
Qty / 数量: 99</v>
      </c>
      <c r="T46" s="57" t="str">
        <f>IFERROR(__xludf.DUMMYFUNCTION("IF($N46="""","""",IF($O46=0,""Empty / 空"",IFERROR(LET(c,UNIQUE(FILTER($L$2:$L$500,$B$2:$B$500=$N46,$H$2:$H$500&gt;0,$L$2:$L$500&lt;&gt;"""")),IF(COUNTA(c)&gt;1,""Mixed / 混放: ""&amp;TEXTJOIN("" + "",TRUE,c),INDEX(c,1))),""Unclassified / 未分类"")))"),"Material / 物料")</f>
        <v>Material / 物料</v>
      </c>
      <c r="U46" s="58"/>
      <c r="V46" s="58"/>
      <c r="W46" s="58"/>
      <c r="X46" s="58"/>
      <c r="Y46" s="58"/>
      <c r="Z46" s="58"/>
      <c r="AA46" s="58"/>
    </row>
    <row r="47">
      <c r="A47" s="57">
        <f>IF('主表 Stock_Transaction_Log'!$T47="","",IF(COUNTIF('主表 Stock_Transaction_Log'!$T$2:$T47,'主表 Stock_Transaction_Log'!$T47)=1,ROW('主表 Stock_Transaction_Log'!$T47),""))</f>
        <v>47</v>
      </c>
      <c r="B47" s="57" t="str">
        <f t="array" ref="B47">IF($A47="","",INDEX('主表 Stock_Transaction_Log'!$Q:$Q,$A47))</f>
        <v>R1-3-2-R</v>
      </c>
      <c r="C47" s="57" t="str">
        <f t="array" ref="C47">IF($A47="","",IF(INDEX('主表 Stock_Transaction_Log'!$F:$F,$A47)=0,"",INDEX('主表 Stock_Transaction_Log'!$F:$F,$A47)))</f>
        <v/>
      </c>
      <c r="D47" s="57" t="str">
        <f t="array" ref="D47">IF($A47="","",INDEX('主表 Stock_Transaction_Log'!$G:$G,$A47))</f>
        <v>97-406-00017-00</v>
      </c>
      <c r="E47" s="57" t="str">
        <f t="array" ref="E47">IF($A47="","",INDEX('主表 Stock_Transaction_Log'!$H:$H,$A47))</f>
        <v>KH遮线罩</v>
      </c>
      <c r="F47" s="57" t="str">
        <f t="array" ref="F47">IF($A47="","",INDEX('主表 Stock_Transaction_Log'!$I:$I,$A47))</f>
        <v>Material</v>
      </c>
      <c r="G47" s="57" t="str">
        <f t="array" ref="G47">IF($A47="","",IF(INDEX('主表 Stock_Transaction_Log'!$R:$R,$A47)=0,"",INDEX('主表 Stock_Transaction_Log'!$R:$R,$A47)))</f>
        <v/>
      </c>
      <c r="H47" s="57">
        <f t="array" ref="H47">IF($A47="","",SUMIF('主表 Stock_Transaction_Log'!$T:$T,INDEX('主表 Stock_Transaction_Log'!$T:$T,$A47),'主表 Stock_Transaction_Log'!$S:$S)+SUMIF('主表 Stock_Transaction_Log'!$AB:$AB,INDEX('主表 Stock_Transaction_Log'!$T:$T,$A47),'主表 Stock_Transaction_Log'!$AC:$AC))</f>
        <v>38</v>
      </c>
      <c r="I47" s="57" t="str">
        <f t="shared" si="1"/>
        <v>In Stock / 在库</v>
      </c>
      <c r="J47" s="57" t="str">
        <f t="shared" si="2"/>
        <v>Stock line / 库存明细</v>
      </c>
      <c r="K47" s="57" t="b">
        <f t="shared" si="3"/>
        <v>1</v>
      </c>
      <c r="L47" s="57" t="str">
        <f t="array" ref="L47">IF($A47="","",INDEX('主表 Stock_Transaction_Log'!$P:$P,$A47))</f>
        <v>Material / 物料</v>
      </c>
      <c r="M47" s="57">
        <f>IF($A47="","",IF($H47&lt;=0,0,SUMIFS('主表 Stock_Transaction_Log'!$K$2:$K1000,'主表 Stock_Transaction_Log'!$C$2:$C1000,"Prepared",'主表 Stock_Transaction_Log'!$L$2:$L1000,$B47,'主表 Stock_Transaction_Log'!$F$2:$F1000,$C47,'主表 Stock_Transaction_Log'!$G$2:$G1000,$D47,'主表 Stock_Transaction_Log'!$P$2:$P1000,$L47)))</f>
        <v>0</v>
      </c>
      <c r="N47" s="57" t="s">
        <v>708</v>
      </c>
      <c r="O47" s="57">
        <f t="shared" si="4"/>
        <v>99</v>
      </c>
      <c r="P47" s="57">
        <f t="shared" si="5"/>
        <v>1</v>
      </c>
      <c r="Q47" s="57">
        <f t="shared" si="6"/>
        <v>1</v>
      </c>
      <c r="R47" s="57" t="str">
        <f t="shared" si="7"/>
        <v/>
      </c>
      <c r="S47" s="57" t="str">
        <f t="shared" si="8"/>
        <v>R1-3-4-L
Qty / 数量: 99</v>
      </c>
      <c r="T47" s="57" t="str">
        <f>IFERROR(__xludf.DUMMYFUNCTION("IF($N47="""","""",IF($O47=0,""Empty / 空"",IFERROR(LET(c,UNIQUE(FILTER($L$2:$L$500,$B$2:$B$500=$N47,$H$2:$H$500&gt;0,$L$2:$L$500&lt;&gt;"""")),IF(COUNTA(c)&gt;1,""Mixed / 混放: ""&amp;TEXTJOIN("" + "",TRUE,c),INDEX(c,1))),""Unclassified / 未分类"")))"),"Material / 物料")</f>
        <v>Material / 物料</v>
      </c>
      <c r="U47" s="58"/>
      <c r="V47" s="58"/>
      <c r="W47" s="58"/>
      <c r="X47" s="58"/>
      <c r="Y47" s="58"/>
      <c r="Z47" s="58"/>
      <c r="AA47" s="58"/>
    </row>
    <row r="48">
      <c r="A48" s="57">
        <f>IF('主表 Stock_Transaction_Log'!$T48="","",IF(COUNTIF('主表 Stock_Transaction_Log'!$T$2:$T48,'主表 Stock_Transaction_Log'!$T48)=1,ROW('主表 Stock_Transaction_Log'!$T48),""))</f>
        <v>48</v>
      </c>
      <c r="B48" s="57" t="str">
        <f t="array" ref="B48">IF($A48="","",INDEX('主表 Stock_Transaction_Log'!$Q:$Q,$A48))</f>
        <v>R2-2-5-L</v>
      </c>
      <c r="C48" s="57" t="str">
        <f t="array" ref="C48">IF($A48="","",IF(INDEX('主表 Stock_Transaction_Log'!$F:$F,$A48)=0,"",INDEX('主表 Stock_Transaction_Log'!$F:$F,$A48)))</f>
        <v>Mix002</v>
      </c>
      <c r="D48" s="57" t="str">
        <f t="array" ref="D48">IF($A48="","",INDEX('主表 Stock_Transaction_Log'!$G:$G,$A48))</f>
        <v>97-223-00108-00</v>
      </c>
      <c r="E48" s="57" t="str">
        <f t="array" ref="E48">IF($A48="","",INDEX('主表 Stock_Transaction_Log'!$H:$H,$A48))</f>
        <v>EQ4800-M</v>
      </c>
      <c r="F48" s="57" t="str">
        <f t="array" ref="F48">IF($A48="","",INDEX('主表 Stock_Transaction_Log'!$I:$I,$A48))</f>
        <v>Product</v>
      </c>
      <c r="G48" s="57" t="str">
        <f t="array" ref="G48">IF($A48="","",IF(INDEX('主表 Stock_Transaction_Log'!$R:$R,$A48)=0,"",INDEX('主表 Stock_Transaction_Log'!$R:$R,$A48)))</f>
        <v/>
      </c>
      <c r="H48" s="57">
        <f t="array" ref="H48">IF($A48="","",SUMIF('主表 Stock_Transaction_Log'!$T:$T,INDEX('主表 Stock_Transaction_Log'!$T:$T,$A48),'主表 Stock_Transaction_Log'!$S:$S)+SUMIF('主表 Stock_Transaction_Log'!$AB:$AB,INDEX('主表 Stock_Transaction_Log'!$T:$T,$A48),'主表 Stock_Transaction_Log'!$AC:$AC))</f>
        <v>2</v>
      </c>
      <c r="I48" s="57" t="str">
        <f t="shared" si="1"/>
        <v>In Stock / 在库</v>
      </c>
      <c r="J48" s="57" t="str">
        <f t="shared" si="2"/>
        <v>Container detail / 容器明细</v>
      </c>
      <c r="K48" s="57" t="b">
        <f t="shared" si="3"/>
        <v>1</v>
      </c>
      <c r="L48" s="57" t="str">
        <f t="array" ref="L48">IF($A48="","",INDEX('主表 Stock_Transaction_Log'!$P:$P,$A48))</f>
        <v>Repair_Good / 维修良品</v>
      </c>
      <c r="M48" s="57">
        <f>IF($A48="","",IF($H48&lt;=0,0,SUMIFS('主表 Stock_Transaction_Log'!$K$2:$K1000,'主表 Stock_Transaction_Log'!$C$2:$C1000,"Prepared",'主表 Stock_Transaction_Log'!$L$2:$L1000,$B48,'主表 Stock_Transaction_Log'!$F$2:$F1000,$C48,'主表 Stock_Transaction_Log'!$G$2:$G1000,$D48,'主表 Stock_Transaction_Log'!$P$2:$P1000,$L48)))</f>
        <v>0</v>
      </c>
      <c r="N48" s="57" t="s">
        <v>891</v>
      </c>
      <c r="O48" s="57">
        <f t="shared" si="4"/>
        <v>0</v>
      </c>
      <c r="P48" s="57">
        <f t="shared" si="5"/>
        <v>0</v>
      </c>
      <c r="Q48" s="57">
        <f t="shared" si="6"/>
        <v>0</v>
      </c>
      <c r="R48" s="57" t="str">
        <f t="shared" si="7"/>
        <v/>
      </c>
      <c r="S48" s="57" t="str">
        <f t="shared" si="8"/>
        <v>R1-3-4-M
Empty / 空</v>
      </c>
      <c r="T48" s="57" t="str">
        <f>IFERROR(__xludf.DUMMYFUNCTION("IF($N48="""","""",IF($O48=0,""Empty / 空"",IFERROR(LET(c,UNIQUE(FILTER($L$2:$L$500,$B$2:$B$500=$N48,$H$2:$H$500&gt;0,$L$2:$L$500&lt;&gt;"""")),IF(COUNTA(c)&gt;1,""Mixed / 混放: ""&amp;TEXTJOIN("" + "",TRUE,c),INDEX(c,1))),""Unclassified / 未分类"")))"),"Empty / 空")</f>
        <v>Empty / 空</v>
      </c>
      <c r="U48" s="58"/>
      <c r="V48" s="58"/>
      <c r="W48" s="58"/>
      <c r="X48" s="58"/>
      <c r="Y48" s="58"/>
      <c r="Z48" s="58"/>
      <c r="AA48" s="58"/>
    </row>
    <row r="49">
      <c r="A49" s="57">
        <f>IF('主表 Stock_Transaction_Log'!$T49="","",IF(COUNTIF('主表 Stock_Transaction_Log'!$T$2:$T49,'主表 Stock_Transaction_Log'!$T49)=1,ROW('主表 Stock_Transaction_Log'!$T49),""))</f>
        <v>49</v>
      </c>
      <c r="B49" s="57" t="str">
        <f t="array" ref="B49">IF($A49="","",INDEX('主表 Stock_Transaction_Log'!$Q:$Q,$A49))</f>
        <v>R2-2-5-L</v>
      </c>
      <c r="C49" s="57" t="str">
        <f t="array" ref="C49">IF($A49="","",IF(INDEX('主表 Stock_Transaction_Log'!$F:$F,$A49)=0,"",INDEX('主表 Stock_Transaction_Log'!$F:$F,$A49)))</f>
        <v>Mix002</v>
      </c>
      <c r="D49" s="57" t="str">
        <f t="array" ref="D49">IF($A49="","",INDEX('主表 Stock_Transaction_Log'!$G:$G,$A49))</f>
        <v>97-223-00090-00</v>
      </c>
      <c r="E49" s="57" t="str">
        <f t="array" ref="E49">IF($A49="","",INDEX('主表 Stock_Transaction_Log'!$H:$H,$A49))</f>
        <v>EQ4800-M</v>
      </c>
      <c r="F49" s="57" t="str">
        <f t="array" ref="F49">IF($A49="","",INDEX('主表 Stock_Transaction_Log'!$I:$I,$A49))</f>
        <v>Product</v>
      </c>
      <c r="G49" s="57" t="str">
        <f t="array" ref="G49">IF($A49="","",IF(INDEX('主表 Stock_Transaction_Log'!$R:$R,$A49)=0,"",INDEX('主表 Stock_Transaction_Log'!$R:$R,$A49)))</f>
        <v/>
      </c>
      <c r="H49" s="57">
        <f t="array" ref="H49">IF($A49="","",SUMIF('主表 Stock_Transaction_Log'!$T:$T,INDEX('主表 Stock_Transaction_Log'!$T:$T,$A49),'主表 Stock_Transaction_Log'!$S:$S)+SUMIF('主表 Stock_Transaction_Log'!$AB:$AB,INDEX('主表 Stock_Transaction_Log'!$T:$T,$A49),'主表 Stock_Transaction_Log'!$AC:$AC))</f>
        <v>7</v>
      </c>
      <c r="I49" s="57" t="str">
        <f t="shared" si="1"/>
        <v>In Stock / 在库</v>
      </c>
      <c r="J49" s="57" t="str">
        <f t="shared" si="2"/>
        <v>Container detail / 容器明细</v>
      </c>
      <c r="K49" s="57" t="b">
        <f t="shared" si="3"/>
        <v>1</v>
      </c>
      <c r="L49" s="57" t="str">
        <f t="array" ref="L49">IF($A49="","",INDEX('主表 Stock_Transaction_Log'!$P:$P,$A49))</f>
        <v>Repair_Good / 维修良品</v>
      </c>
      <c r="M49" s="57">
        <f>IF($A49="","",IF($H49&lt;=0,0,SUMIFS('主表 Stock_Transaction_Log'!$K$2:$K1000,'主表 Stock_Transaction_Log'!$C$2:$C1000,"Prepared",'主表 Stock_Transaction_Log'!$L$2:$L1000,$B49,'主表 Stock_Transaction_Log'!$F$2:$F1000,$C49,'主表 Stock_Transaction_Log'!$G$2:$G1000,$D49,'主表 Stock_Transaction_Log'!$P$2:$P1000,$L49)))</f>
        <v>1</v>
      </c>
      <c r="N49" s="57" t="s">
        <v>710</v>
      </c>
      <c r="O49" s="57">
        <f t="shared" si="4"/>
        <v>99</v>
      </c>
      <c r="P49" s="57">
        <f t="shared" si="5"/>
        <v>1</v>
      </c>
      <c r="Q49" s="57">
        <f t="shared" si="6"/>
        <v>1</v>
      </c>
      <c r="R49" s="57" t="str">
        <f t="shared" si="7"/>
        <v/>
      </c>
      <c r="S49" s="57" t="str">
        <f t="shared" si="8"/>
        <v>R1-3-4-R
Qty / 数量: 99</v>
      </c>
      <c r="T49" s="57" t="str">
        <f>IFERROR(__xludf.DUMMYFUNCTION("IF($N49="""","""",IF($O49=0,""Empty / 空"",IFERROR(LET(c,UNIQUE(FILTER($L$2:$L$500,$B$2:$B$500=$N49,$H$2:$H$500&gt;0,$L$2:$L$500&lt;&gt;"""")),IF(COUNTA(c)&gt;1,""Mixed / 混放: ""&amp;TEXTJOIN("" + "",TRUE,c),INDEX(c,1))),""Unclassified / 未分类"")))"),"Material / 物料")</f>
        <v>Material / 物料</v>
      </c>
      <c r="U49" s="58"/>
      <c r="V49" s="58"/>
      <c r="W49" s="58"/>
      <c r="X49" s="58"/>
      <c r="Y49" s="58"/>
      <c r="Z49" s="58"/>
      <c r="AA49" s="58"/>
    </row>
    <row r="50">
      <c r="A50" s="57">
        <f>IF('主表 Stock_Transaction_Log'!$T50="","",IF(COUNTIF('主表 Stock_Transaction_Log'!$T$2:$T50,'主表 Stock_Transaction_Log'!$T50)=1,ROW('主表 Stock_Transaction_Log'!$T50),""))</f>
        <v>50</v>
      </c>
      <c r="B50" s="57" t="str">
        <f t="array" ref="B50">IF($A50="","",INDEX('主表 Stock_Transaction_Log'!$Q:$Q,$A50))</f>
        <v>R2-2-5-L</v>
      </c>
      <c r="C50" s="57" t="str">
        <f t="array" ref="C50">IF($A50="","",IF(INDEX('主表 Stock_Transaction_Log'!$F:$F,$A50)=0,"",INDEX('主表 Stock_Transaction_Log'!$F:$F,$A50)))</f>
        <v>Mix002</v>
      </c>
      <c r="D50" s="57" t="str">
        <f t="array" ref="D50">IF($A50="","",INDEX('主表 Stock_Transaction_Log'!$G:$G,$A50))</f>
        <v>97-223-00064-00</v>
      </c>
      <c r="E50" s="57" t="str">
        <f t="array" ref="E50">IF($A50="","",INDEX('主表 Stock_Transaction_Log'!$H:$H,$A50))</f>
        <v>EQ4800-M</v>
      </c>
      <c r="F50" s="57" t="str">
        <f t="array" ref="F50">IF($A50="","",INDEX('主表 Stock_Transaction_Log'!$I:$I,$A50))</f>
        <v>Product</v>
      </c>
      <c r="G50" s="57" t="str">
        <f t="array" ref="G50">IF($A50="","",IF(INDEX('主表 Stock_Transaction_Log'!$R:$R,$A50)=0,"",INDEX('主表 Stock_Transaction_Log'!$R:$R,$A50)))</f>
        <v/>
      </c>
      <c r="H50" s="57">
        <f t="array" ref="H50">IF($A50="","",SUMIF('主表 Stock_Transaction_Log'!$T:$T,INDEX('主表 Stock_Transaction_Log'!$T:$T,$A50),'主表 Stock_Transaction_Log'!$S:$S)+SUMIF('主表 Stock_Transaction_Log'!$AB:$AB,INDEX('主表 Stock_Transaction_Log'!$T:$T,$A50),'主表 Stock_Transaction_Log'!$AC:$AC))</f>
        <v>3</v>
      </c>
      <c r="I50" s="57" t="str">
        <f t="shared" si="1"/>
        <v>In Stock / 在库</v>
      </c>
      <c r="J50" s="57" t="str">
        <f t="shared" si="2"/>
        <v>Container detail / 容器明细</v>
      </c>
      <c r="K50" s="57" t="b">
        <f t="shared" si="3"/>
        <v>1</v>
      </c>
      <c r="L50" s="57" t="str">
        <f t="array" ref="L50">IF($A50="","",INDEX('主表 Stock_Transaction_Log'!$P:$P,$A50))</f>
        <v>Repair_Good / 维修良品</v>
      </c>
      <c r="M50" s="57">
        <f>IF($A50="","",IF($H50&lt;=0,0,SUMIFS('主表 Stock_Transaction_Log'!$K$2:$K1000,'主表 Stock_Transaction_Log'!$C$2:$C1000,"Prepared",'主表 Stock_Transaction_Log'!$L$2:$L1000,$B50,'主表 Stock_Transaction_Log'!$F$2:$F1000,$C50,'主表 Stock_Transaction_Log'!$G$2:$G1000,$D50,'主表 Stock_Transaction_Log'!$P$2:$P1000,$L50)))</f>
        <v>1</v>
      </c>
      <c r="N50" s="57" t="s">
        <v>734</v>
      </c>
      <c r="O50" s="57">
        <f t="shared" si="4"/>
        <v>99</v>
      </c>
      <c r="P50" s="57">
        <f t="shared" si="5"/>
        <v>1</v>
      </c>
      <c r="Q50" s="57">
        <f t="shared" si="6"/>
        <v>1</v>
      </c>
      <c r="R50" s="57" t="str">
        <f t="shared" si="7"/>
        <v/>
      </c>
      <c r="S50" s="57" t="str">
        <f t="shared" si="8"/>
        <v>R1-3-5-L
Qty / 数量: 99</v>
      </c>
      <c r="T50" s="57" t="str">
        <f>IFERROR(__xludf.DUMMYFUNCTION("IF($N50="""","""",IF($O50=0,""Empty / 空"",IFERROR(LET(c,UNIQUE(FILTER($L$2:$L$500,$B$2:$B$500=$N50,$H$2:$H$500&gt;0,$L$2:$L$500&lt;&gt;"""")),IF(COUNTA(c)&gt;1,""Mixed / 混放: ""&amp;TEXTJOIN("" + "",TRUE,c),INDEX(c,1))),""Unclassified / 未分类"")))"),"Material / 物料")</f>
        <v>Material / 物料</v>
      </c>
      <c r="U50" s="58"/>
      <c r="V50" s="58"/>
      <c r="W50" s="58"/>
      <c r="X50" s="58"/>
      <c r="Y50" s="58"/>
      <c r="Z50" s="58"/>
      <c r="AA50" s="58"/>
    </row>
    <row r="51">
      <c r="A51" s="57" t="str">
        <f>IF('主表 Stock_Transaction_Log'!$T51="","",IF(COUNTIF('主表 Stock_Transaction_Log'!$T$2:$T51,'主表 Stock_Transaction_Log'!$T51)=1,ROW('主表 Stock_Transaction_Log'!$T51),""))</f>
        <v/>
      </c>
      <c r="B51" s="57" t="str">
        <f t="array" ref="B51">IF($A51="","",INDEX('主表 Stock_Transaction_Log'!$Q:$Q,$A51))</f>
        <v/>
      </c>
      <c r="C51" s="57" t="str">
        <f t="array" ref="C51">IF($A51="","",IF(INDEX('主表 Stock_Transaction_Log'!$F:$F,$A51)=0,"",INDEX('主表 Stock_Transaction_Log'!$F:$F,$A51)))</f>
        <v/>
      </c>
      <c r="D51" s="57" t="str">
        <f t="array" ref="D51">IF($A51="","",INDEX('主表 Stock_Transaction_Log'!$G:$G,$A51))</f>
        <v/>
      </c>
      <c r="E51" s="57" t="str">
        <f t="array" ref="E51">IF($A51="","",INDEX('主表 Stock_Transaction_Log'!$H:$H,$A51))</f>
        <v/>
      </c>
      <c r="F51" s="57" t="str">
        <f t="array" ref="F51">IF($A51="","",INDEX('主表 Stock_Transaction_Log'!$I:$I,$A51))</f>
        <v/>
      </c>
      <c r="G51" s="57" t="str">
        <f t="array" ref="G51">IF($A51="","",IF(INDEX('主表 Stock_Transaction_Log'!$R:$R,$A51)=0,"",INDEX('主表 Stock_Transaction_Log'!$R:$R,$A51)))</f>
        <v/>
      </c>
      <c r="H51" s="57" t="str">
        <f t="array" ref="H51">IF($A51="","",SUMIF('主表 Stock_Transaction_Log'!$T:$T,INDEX('主表 Stock_Transaction_Log'!$T:$T,$A51),'主表 Stock_Transaction_Log'!$S:$S)+SUMIF('主表 Stock_Transaction_Log'!$AB:$AB,INDEX('主表 Stock_Transaction_Log'!$T:$T,$A51),'主表 Stock_Transaction_Log'!$AC:$AC))</f>
        <v/>
      </c>
      <c r="I51" s="57" t="str">
        <f t="shared" si="1"/>
        <v/>
      </c>
      <c r="J51" s="57" t="str">
        <f t="shared" si="2"/>
        <v/>
      </c>
      <c r="K51" s="57" t="str">
        <f t="shared" si="3"/>
        <v/>
      </c>
      <c r="L51" s="57" t="str">
        <f t="array" ref="L51">IF($A51="","",INDEX('主表 Stock_Transaction_Log'!$P:$P,$A51))</f>
        <v/>
      </c>
      <c r="M51" s="57" t="str">
        <f>IF($A51="","",IF($H51&lt;=0,0,SUMIFS('主表 Stock_Transaction_Log'!$K$2:$K1000,'主表 Stock_Transaction_Log'!$C$2:$C1000,"Prepared",'主表 Stock_Transaction_Log'!$L$2:$L1000,$B51,'主表 Stock_Transaction_Log'!$F$2:$F1000,$C51,'主表 Stock_Transaction_Log'!$G$2:$G1000,$D51,'主表 Stock_Transaction_Log'!$P$2:$P1000,$L51)))</f>
        <v/>
      </c>
      <c r="N51" s="57" t="s">
        <v>894</v>
      </c>
      <c r="O51" s="57">
        <f t="shared" si="4"/>
        <v>0</v>
      </c>
      <c r="P51" s="57">
        <f t="shared" si="5"/>
        <v>0</v>
      </c>
      <c r="Q51" s="57">
        <f t="shared" si="6"/>
        <v>0</v>
      </c>
      <c r="R51" s="57" t="str">
        <f t="shared" si="7"/>
        <v/>
      </c>
      <c r="S51" s="57" t="str">
        <f t="shared" si="8"/>
        <v>R1-3-5-M
Empty / 空</v>
      </c>
      <c r="T51" s="57" t="str">
        <f>IFERROR(__xludf.DUMMYFUNCTION("IF($N51="""","""",IF($O51=0,""Empty / 空"",IFERROR(LET(c,UNIQUE(FILTER($L$2:$L$500,$B$2:$B$500=$N51,$H$2:$H$500&gt;0,$L$2:$L$500&lt;&gt;"""")),IF(COUNTA(c)&gt;1,""Mixed / 混放: ""&amp;TEXTJOIN("" + "",TRUE,c),INDEX(c,1))),""Unclassified / 未分类"")))"),"Empty / 空")</f>
        <v>Empty / 空</v>
      </c>
      <c r="U51" s="58"/>
      <c r="V51" s="58"/>
      <c r="W51" s="58"/>
      <c r="X51" s="58"/>
      <c r="Y51" s="58"/>
      <c r="Z51" s="58"/>
      <c r="AA51" s="58"/>
    </row>
    <row r="52">
      <c r="A52" s="57" t="str">
        <f>IF('主表 Stock_Transaction_Log'!$T52="","",IF(COUNTIF('主表 Stock_Transaction_Log'!$T$2:$T52,'主表 Stock_Transaction_Log'!$T52)=1,ROW('主表 Stock_Transaction_Log'!$T52),""))</f>
        <v/>
      </c>
      <c r="B52" s="57" t="str">
        <f t="array" ref="B52">IF($A52="","",INDEX('主表 Stock_Transaction_Log'!$Q:$Q,$A52))</f>
        <v/>
      </c>
      <c r="C52" s="57" t="str">
        <f t="array" ref="C52">IF($A52="","",IF(INDEX('主表 Stock_Transaction_Log'!$F:$F,$A52)=0,"",INDEX('主表 Stock_Transaction_Log'!$F:$F,$A52)))</f>
        <v/>
      </c>
      <c r="D52" s="57" t="str">
        <f t="array" ref="D52">IF($A52="","",INDEX('主表 Stock_Transaction_Log'!$G:$G,$A52))</f>
        <v/>
      </c>
      <c r="E52" s="57" t="str">
        <f t="array" ref="E52">IF($A52="","",INDEX('主表 Stock_Transaction_Log'!$H:$H,$A52))</f>
        <v/>
      </c>
      <c r="F52" s="57" t="str">
        <f t="array" ref="F52">IF($A52="","",INDEX('主表 Stock_Transaction_Log'!$I:$I,$A52))</f>
        <v/>
      </c>
      <c r="G52" s="57" t="str">
        <f t="array" ref="G52">IF($A52="","",IF(INDEX('主表 Stock_Transaction_Log'!$R:$R,$A52)=0,"",INDEX('主表 Stock_Transaction_Log'!$R:$R,$A52)))</f>
        <v/>
      </c>
      <c r="H52" s="57" t="str">
        <f t="array" ref="H52">IF($A52="","",SUMIF('主表 Stock_Transaction_Log'!$T:$T,INDEX('主表 Stock_Transaction_Log'!$T:$T,$A52),'主表 Stock_Transaction_Log'!$S:$S)+SUMIF('主表 Stock_Transaction_Log'!$AB:$AB,INDEX('主表 Stock_Transaction_Log'!$T:$T,$A52),'主表 Stock_Transaction_Log'!$AC:$AC))</f>
        <v/>
      </c>
      <c r="I52" s="57" t="str">
        <f t="shared" si="1"/>
        <v/>
      </c>
      <c r="J52" s="57" t="str">
        <f t="shared" si="2"/>
        <v/>
      </c>
      <c r="K52" s="57" t="str">
        <f t="shared" si="3"/>
        <v/>
      </c>
      <c r="L52" s="57" t="str">
        <f t="array" ref="L52">IF($A52="","",INDEX('主表 Stock_Transaction_Log'!$P:$P,$A52))</f>
        <v/>
      </c>
      <c r="M52" s="57" t="str">
        <f>IF($A52="","",IF($H52&lt;=0,0,SUMIFS('主表 Stock_Transaction_Log'!$K$2:$K1000,'主表 Stock_Transaction_Log'!$C$2:$C1000,"Prepared",'主表 Stock_Transaction_Log'!$L$2:$L1000,$B52,'主表 Stock_Transaction_Log'!$F$2:$F1000,$C52,'主表 Stock_Transaction_Log'!$G$2:$G1000,$D52,'主表 Stock_Transaction_Log'!$P$2:$P1000,$L52)))</f>
        <v/>
      </c>
      <c r="N52" s="57" t="s">
        <v>742</v>
      </c>
      <c r="O52" s="57">
        <f t="shared" si="4"/>
        <v>99</v>
      </c>
      <c r="P52" s="57">
        <f t="shared" si="5"/>
        <v>1</v>
      </c>
      <c r="Q52" s="57">
        <f t="shared" si="6"/>
        <v>1</v>
      </c>
      <c r="R52" s="57" t="str">
        <f t="shared" si="7"/>
        <v/>
      </c>
      <c r="S52" s="57" t="str">
        <f t="shared" si="8"/>
        <v>R1-3-5-R
Qty / 数量: 99</v>
      </c>
      <c r="T52" s="57" t="str">
        <f>IFERROR(__xludf.DUMMYFUNCTION("IF($N52="""","""",IF($O52=0,""Empty / 空"",IFERROR(LET(c,UNIQUE(FILTER($L$2:$L$500,$B$2:$B$500=$N52,$H$2:$H$500&gt;0,$L$2:$L$500&lt;&gt;"""")),IF(COUNTA(c)&gt;1,""Mixed / 混放: ""&amp;TEXTJOIN("" + "",TRUE,c),INDEX(c,1))),""Unclassified / 未分类"")))"),"Material / 物料")</f>
        <v>Material / 物料</v>
      </c>
      <c r="U52" s="58"/>
      <c r="V52" s="58"/>
      <c r="W52" s="58"/>
      <c r="X52" s="58"/>
      <c r="Y52" s="58"/>
      <c r="Z52" s="58"/>
      <c r="AA52" s="58"/>
    </row>
    <row r="53">
      <c r="A53" s="57">
        <f>IF('主表 Stock_Transaction_Log'!$T53="","",IF(COUNTIF('主表 Stock_Transaction_Log'!$T$2:$T53,'主表 Stock_Transaction_Log'!$T53)=1,ROW('主表 Stock_Transaction_Log'!$T53),""))</f>
        <v>53</v>
      </c>
      <c r="B53" s="57" t="str">
        <f t="array" ref="B53">IF($A53="","",INDEX('主表 Stock_Transaction_Log'!$Q:$Q,$A53))</f>
        <v>R2-3-5-L</v>
      </c>
      <c r="C53" s="57" t="str">
        <f t="array" ref="C53">IF($A53="","",IF(INDEX('主表 Stock_Transaction_Log'!$F:$F,$A53)=0,"",INDEX('主表 Stock_Transaction_Log'!$F:$F,$A53)))</f>
        <v>Mix003</v>
      </c>
      <c r="D53" s="57" t="str">
        <f t="array" ref="D53">IF($A53="","",INDEX('主表 Stock_Transaction_Log'!$G:$G,$A53))</f>
        <v>97-229-00012-00</v>
      </c>
      <c r="E53" s="57" t="str">
        <f t="array" ref="E53">IF($A53="","",INDEX('主表 Stock_Transaction_Log'!$H:$H,$A53))</f>
        <v>CQ6-M</v>
      </c>
      <c r="F53" s="57" t="str">
        <f t="array" ref="F53">IF($A53="","",INDEX('主表 Stock_Transaction_Log'!$I:$I,$A53))</f>
        <v>Product</v>
      </c>
      <c r="G53" s="57" t="str">
        <f t="array" ref="G53">IF($A53="","",IF(INDEX('主表 Stock_Transaction_Log'!$R:$R,$A53)=0,"",INDEX('主表 Stock_Transaction_Log'!$R:$R,$A53)))</f>
        <v/>
      </c>
      <c r="H53" s="57">
        <f t="array" ref="H53">IF($A53="","",SUMIF('主表 Stock_Transaction_Log'!$T:$T,INDEX('主表 Stock_Transaction_Log'!$T:$T,$A53),'主表 Stock_Transaction_Log'!$S:$S)+SUMIF('主表 Stock_Transaction_Log'!$AB:$AB,INDEX('主表 Stock_Transaction_Log'!$T:$T,$A53),'主表 Stock_Transaction_Log'!$AC:$AC))</f>
        <v>5</v>
      </c>
      <c r="I53" s="57" t="str">
        <f t="shared" si="1"/>
        <v>In Stock / 在库</v>
      </c>
      <c r="J53" s="57" t="str">
        <f t="shared" si="2"/>
        <v>Container detail / 容器明细</v>
      </c>
      <c r="K53" s="57" t="b">
        <f t="shared" si="3"/>
        <v>1</v>
      </c>
      <c r="L53" s="57" t="str">
        <f t="array" ref="L53">IF($A53="","",INDEX('主表 Stock_Transaction_Log'!$P:$P,$A53))</f>
        <v>Repair_Good / 维修良品</v>
      </c>
      <c r="M53" s="57">
        <f>IF($A53="","",IF($H53&lt;=0,0,SUMIFS('主表 Stock_Transaction_Log'!$K$2:$K1000,'主表 Stock_Transaction_Log'!$C$2:$C1000,"Prepared",'主表 Stock_Transaction_Log'!$L$2:$L1000,$B53,'主表 Stock_Transaction_Log'!$F$2:$F1000,$C53,'主表 Stock_Transaction_Log'!$G$2:$G1000,$D53,'主表 Stock_Transaction_Log'!$P$2:$P1000,$L53)))</f>
        <v>1</v>
      </c>
      <c r="N53" s="57" t="s">
        <v>540</v>
      </c>
      <c r="O53" s="57">
        <f t="shared" si="4"/>
        <v>99</v>
      </c>
      <c r="P53" s="57">
        <f t="shared" si="5"/>
        <v>1</v>
      </c>
      <c r="Q53" s="57">
        <f t="shared" si="6"/>
        <v>1</v>
      </c>
      <c r="R53" s="57" t="str">
        <f t="shared" si="7"/>
        <v/>
      </c>
      <c r="S53" s="57" t="str">
        <f t="shared" si="8"/>
        <v>R1-3-6-L
物料
Qty / 数量: 99</v>
      </c>
      <c r="T53" s="57" t="str">
        <f>IFERROR(__xludf.DUMMYFUNCTION("IF($N53="""","""",IF($O53=0,""Empty / 空"",IFERROR(LET(c,UNIQUE(FILTER($L$2:$L$500,$B$2:$B$500=$N53,$H$2:$H$500&gt;0,$L$2:$L$500&lt;&gt;"""")),IF(COUNTA(c)&gt;1,""Mixed / 混放: ""&amp;TEXTJOIN("" + "",TRUE,c),INDEX(c,1))),""Unclassified / 未分类"")))"),"Material / 物料")</f>
        <v>Material / 物料</v>
      </c>
      <c r="U53" s="58"/>
      <c r="V53" s="58"/>
      <c r="W53" s="58"/>
      <c r="X53" s="58"/>
      <c r="Y53" s="58"/>
      <c r="Z53" s="58"/>
      <c r="AA53" s="58"/>
    </row>
    <row r="54">
      <c r="A54" s="57">
        <f>IF('主表 Stock_Transaction_Log'!$T54="","",IF(COUNTIF('主表 Stock_Transaction_Log'!$T$2:$T54,'主表 Stock_Transaction_Log'!$T54)=1,ROW('主表 Stock_Transaction_Log'!$T54),""))</f>
        <v>54</v>
      </c>
      <c r="B54" s="57" t="str">
        <f t="array" ref="B54">IF($A54="","",INDEX('主表 Stock_Transaction_Log'!$Q:$Q,$A54))</f>
        <v>R2-3-5-L</v>
      </c>
      <c r="C54" s="57" t="str">
        <f t="array" ref="C54">IF($A54="","",IF(INDEX('主表 Stock_Transaction_Log'!$F:$F,$A54)=0,"",INDEX('主表 Stock_Transaction_Log'!$F:$F,$A54)))</f>
        <v>Mix003</v>
      </c>
      <c r="D54" s="57" t="str">
        <f t="array" ref="D54">IF($A54="","",INDEX('主表 Stock_Transaction_Log'!$G:$G,$A54))</f>
        <v>97-223-00085-00</v>
      </c>
      <c r="E54" s="57" t="str">
        <f t="array" ref="E54">IF($A54="","",INDEX('主表 Stock_Transaction_Log'!$H:$H,$A54))</f>
        <v>EQ4800-S</v>
      </c>
      <c r="F54" s="57" t="str">
        <f t="array" ref="F54">IF($A54="","",INDEX('主表 Stock_Transaction_Log'!$I:$I,$A54))</f>
        <v>Product</v>
      </c>
      <c r="G54" s="57" t="str">
        <f t="array" ref="G54">IF($A54="","",IF(INDEX('主表 Stock_Transaction_Log'!$R:$R,$A54)=0,"",INDEX('主表 Stock_Transaction_Log'!$R:$R,$A54)))</f>
        <v/>
      </c>
      <c r="H54" s="57">
        <f t="array" ref="H54">IF($A54="","",SUMIF('主表 Stock_Transaction_Log'!$T:$T,INDEX('主表 Stock_Transaction_Log'!$T:$T,$A54),'主表 Stock_Transaction_Log'!$S:$S)+SUMIF('主表 Stock_Transaction_Log'!$AB:$AB,INDEX('主表 Stock_Transaction_Log'!$T:$T,$A54),'主表 Stock_Transaction_Log'!$AC:$AC))</f>
        <v>1</v>
      </c>
      <c r="I54" s="57" t="str">
        <f t="shared" si="1"/>
        <v>In Stock / 在库</v>
      </c>
      <c r="J54" s="57" t="str">
        <f t="shared" si="2"/>
        <v>Container detail / 容器明细</v>
      </c>
      <c r="K54" s="57" t="b">
        <f t="shared" si="3"/>
        <v>1</v>
      </c>
      <c r="L54" s="57" t="str">
        <f t="array" ref="L54">IF($A54="","",INDEX('主表 Stock_Transaction_Log'!$P:$P,$A54))</f>
        <v>Repair_Good / 维修良品</v>
      </c>
      <c r="M54" s="57">
        <f>IF($A54="","",IF($H54&lt;=0,0,SUMIFS('主表 Stock_Transaction_Log'!$K$2:$K1000,'主表 Stock_Transaction_Log'!$C$2:$C1000,"Prepared",'主表 Stock_Transaction_Log'!$L$2:$L1000,$B54,'主表 Stock_Transaction_Log'!$F$2:$F1000,$C54,'主表 Stock_Transaction_Log'!$G$2:$G1000,$D54,'主表 Stock_Transaction_Log'!$P$2:$P1000,$L54)))</f>
        <v>0</v>
      </c>
      <c r="N54" s="57" t="s">
        <v>542</v>
      </c>
      <c r="O54" s="57">
        <f t="shared" si="4"/>
        <v>99</v>
      </c>
      <c r="P54" s="57">
        <f t="shared" si="5"/>
        <v>1</v>
      </c>
      <c r="Q54" s="57">
        <f t="shared" si="6"/>
        <v>1</v>
      </c>
      <c r="R54" s="57" t="str">
        <f t="shared" si="7"/>
        <v/>
      </c>
      <c r="S54" s="57" t="str">
        <f t="shared" si="8"/>
        <v>R1-3-6-M
物料
Qty / 数量: 99</v>
      </c>
      <c r="T54" s="57" t="str">
        <f>IFERROR(__xludf.DUMMYFUNCTION("IF($N54="""","""",IF($O54=0,""Empty / 空"",IFERROR(LET(c,UNIQUE(FILTER($L$2:$L$500,$B$2:$B$500=$N54,$H$2:$H$500&gt;0,$L$2:$L$500&lt;&gt;"""")),IF(COUNTA(c)&gt;1,""Mixed / 混放: ""&amp;TEXTJOIN("" + "",TRUE,c),INDEX(c,1))),""Unclassified / 未分类"")))"),"Material / 物料")</f>
        <v>Material / 物料</v>
      </c>
      <c r="U54" s="58"/>
      <c r="V54" s="58"/>
      <c r="W54" s="58"/>
      <c r="X54" s="58"/>
      <c r="Y54" s="58"/>
      <c r="Z54" s="58"/>
      <c r="AA54" s="58"/>
    </row>
    <row r="55">
      <c r="A55" s="57">
        <f>IF('主表 Stock_Transaction_Log'!$T55="","",IF(COUNTIF('主表 Stock_Transaction_Log'!$T$2:$T55,'主表 Stock_Transaction_Log'!$T55)=1,ROW('主表 Stock_Transaction_Log'!$T55),""))</f>
        <v>55</v>
      </c>
      <c r="B55" s="57" t="str">
        <f t="array" ref="B55">IF($A55="","",INDEX('主表 Stock_Transaction_Log'!$Q:$Q,$A55))</f>
        <v>R2-3-5-R</v>
      </c>
      <c r="C55" s="57" t="str">
        <f t="array" ref="C55">IF($A55="","",IF(INDEX('主表 Stock_Transaction_Log'!$F:$F,$A55)=0,"",INDEX('主表 Stock_Transaction_Log'!$F:$F,$A55)))</f>
        <v>Mix004</v>
      </c>
      <c r="D55" s="57" t="str">
        <f t="array" ref="D55">IF($A55="","",INDEX('主表 Stock_Transaction_Log'!$G:$G,$A55))</f>
        <v>97-229-00018-00</v>
      </c>
      <c r="E55" s="57" t="str">
        <f t="array" ref="E55">IF($A55="","",INDEX('主表 Stock_Transaction_Log'!$H:$H,$A55))</f>
        <v>CQ6-S</v>
      </c>
      <c r="F55" s="57" t="str">
        <f t="array" ref="F55">IF($A55="","",INDEX('主表 Stock_Transaction_Log'!$I:$I,$A55))</f>
        <v>Product</v>
      </c>
      <c r="G55" s="57" t="str">
        <f t="array" ref="G55">IF($A55="","",IF(INDEX('主表 Stock_Transaction_Log'!$R:$R,$A55)=0,"",INDEX('主表 Stock_Transaction_Log'!$R:$R,$A55)))</f>
        <v/>
      </c>
      <c r="H55" s="57">
        <f t="array" ref="H55">IF($A55="","",SUMIF('主表 Stock_Transaction_Log'!$T:$T,INDEX('主表 Stock_Transaction_Log'!$T:$T,$A55),'主表 Stock_Transaction_Log'!$S:$S)+SUMIF('主表 Stock_Transaction_Log'!$AB:$AB,INDEX('主表 Stock_Transaction_Log'!$T:$T,$A55),'主表 Stock_Transaction_Log'!$AC:$AC))</f>
        <v>4</v>
      </c>
      <c r="I55" s="57" t="str">
        <f t="shared" si="1"/>
        <v>In Stock / 在库</v>
      </c>
      <c r="J55" s="57" t="str">
        <f t="shared" si="2"/>
        <v>Container detail / 容器明细</v>
      </c>
      <c r="K55" s="57" t="b">
        <f t="shared" si="3"/>
        <v>1</v>
      </c>
      <c r="L55" s="57" t="str">
        <f t="array" ref="L55">IF($A55="","",INDEX('主表 Stock_Transaction_Log'!$P:$P,$A55))</f>
        <v>Repair_Good / 维修良品</v>
      </c>
      <c r="M55" s="57">
        <f>IF($A55="","",IF($H55&lt;=0,0,SUMIFS('主表 Stock_Transaction_Log'!$K$2:$K1000,'主表 Stock_Transaction_Log'!$C$2:$C1000,"Prepared",'主表 Stock_Transaction_Log'!$L$2:$L1000,$B55,'主表 Stock_Transaction_Log'!$F$2:$F1000,$C55,'主表 Stock_Transaction_Log'!$G$2:$G1000,$D55,'主表 Stock_Transaction_Log'!$P$2:$P1000,$L55)))</f>
        <v>0</v>
      </c>
      <c r="N55" s="57" t="s">
        <v>544</v>
      </c>
      <c r="O55" s="57">
        <f t="shared" si="4"/>
        <v>99</v>
      </c>
      <c r="P55" s="57">
        <f t="shared" si="5"/>
        <v>1</v>
      </c>
      <c r="Q55" s="57">
        <f t="shared" si="6"/>
        <v>1</v>
      </c>
      <c r="R55" s="57" t="str">
        <f t="shared" si="7"/>
        <v/>
      </c>
      <c r="S55" s="57" t="str">
        <f t="shared" si="8"/>
        <v>R1-3-6-R
物料
Qty / 数量: 99</v>
      </c>
      <c r="T55" s="57" t="str">
        <f>IFERROR(__xludf.DUMMYFUNCTION("IF($N55="""","""",IF($O55=0,""Empty / 空"",IFERROR(LET(c,UNIQUE(FILTER($L$2:$L$500,$B$2:$B$500=$N55,$H$2:$H$500&gt;0,$L$2:$L$500&lt;&gt;"""")),IF(COUNTA(c)&gt;1,""Mixed / 混放: ""&amp;TEXTJOIN("" + "",TRUE,c),INDEX(c,1))),""Unclassified / 未分类"")))"),"Material / 物料")</f>
        <v>Material / 物料</v>
      </c>
      <c r="U55" s="58"/>
      <c r="V55" s="58"/>
      <c r="W55" s="58"/>
      <c r="X55" s="58"/>
      <c r="Y55" s="58"/>
      <c r="Z55" s="58"/>
      <c r="AA55" s="58"/>
    </row>
    <row r="56">
      <c r="A56" s="57">
        <f>IF('主表 Stock_Transaction_Log'!$T56="","",IF(COUNTIF('主表 Stock_Transaction_Log'!$T$2:$T56,'主表 Stock_Transaction_Log'!$T56)=1,ROW('主表 Stock_Transaction_Log'!$T56),""))</f>
        <v>56</v>
      </c>
      <c r="B56" s="57" t="str">
        <f t="array" ref="B56">IF($A56="","",INDEX('主表 Stock_Transaction_Log'!$Q:$Q,$A56))</f>
        <v>R2-3-5-R</v>
      </c>
      <c r="C56" s="57" t="str">
        <f t="array" ref="C56">IF($A56="","",IF(INDEX('主表 Stock_Transaction_Log'!$F:$F,$A56)=0,"",INDEX('主表 Stock_Transaction_Log'!$F:$F,$A56)))</f>
        <v>Mix004</v>
      </c>
      <c r="D56" s="57" t="str">
        <f t="array" ref="D56">IF($A56="","",INDEX('主表 Stock_Transaction_Log'!$G:$G,$A56))</f>
        <v>97-229-00015-00</v>
      </c>
      <c r="E56" s="57" t="str">
        <f t="array" ref="E56">IF($A56="","",INDEX('主表 Stock_Transaction_Log'!$H:$H,$A56))</f>
        <v>CQ6-S</v>
      </c>
      <c r="F56" s="57" t="str">
        <f t="array" ref="F56">IF($A56="","",INDEX('主表 Stock_Transaction_Log'!$I:$I,$A56))</f>
        <v>Product</v>
      </c>
      <c r="G56" s="57" t="str">
        <f t="array" ref="G56">IF($A56="","",IF(INDEX('主表 Stock_Transaction_Log'!$R:$R,$A56)=0,"",INDEX('主表 Stock_Transaction_Log'!$R:$R,$A56)))</f>
        <v/>
      </c>
      <c r="H56" s="57">
        <f t="array" ref="H56">IF($A56="","",SUMIF('主表 Stock_Transaction_Log'!$T:$T,INDEX('主表 Stock_Transaction_Log'!$T:$T,$A56),'主表 Stock_Transaction_Log'!$S:$S)+SUMIF('主表 Stock_Transaction_Log'!$AB:$AB,INDEX('主表 Stock_Transaction_Log'!$T:$T,$A56),'主表 Stock_Transaction_Log'!$AC:$AC))</f>
        <v>1</v>
      </c>
      <c r="I56" s="57" t="str">
        <f t="shared" si="1"/>
        <v>In Stock / 在库</v>
      </c>
      <c r="J56" s="57" t="str">
        <f t="shared" si="2"/>
        <v>Container detail / 容器明细</v>
      </c>
      <c r="K56" s="57" t="b">
        <f t="shared" si="3"/>
        <v>1</v>
      </c>
      <c r="L56" s="57" t="str">
        <f t="array" ref="L56">IF($A56="","",INDEX('主表 Stock_Transaction_Log'!$P:$P,$A56))</f>
        <v>Repair_Good / 维修良品</v>
      </c>
      <c r="M56" s="57">
        <f>IF($A56="","",IF($H56&lt;=0,0,SUMIFS('主表 Stock_Transaction_Log'!$K$2:$K1000,'主表 Stock_Transaction_Log'!$C$2:$C1000,"Prepared",'主表 Stock_Transaction_Log'!$L$2:$L1000,$B56,'主表 Stock_Transaction_Log'!$F$2:$F1000,$C56,'主表 Stock_Transaction_Log'!$G$2:$G1000,$D56,'主表 Stock_Transaction_Log'!$P$2:$P1000,$L56)))</f>
        <v>0</v>
      </c>
      <c r="N56" s="57" t="s">
        <v>143</v>
      </c>
      <c r="O56" s="57">
        <f t="shared" si="4"/>
        <v>100</v>
      </c>
      <c r="P56" s="57">
        <f t="shared" si="5"/>
        <v>1</v>
      </c>
      <c r="Q56" s="57">
        <f t="shared" si="6"/>
        <v>1</v>
      </c>
      <c r="R56" s="57" t="str">
        <f t="shared" si="7"/>
        <v/>
      </c>
      <c r="S56" s="57" t="str">
        <f t="shared" si="8"/>
        <v>R1-4-1-L
10-205-00018-02
Qty / 数量: 100</v>
      </c>
      <c r="T56" s="57" t="str">
        <f>IFERROR(__xludf.DUMMYFUNCTION("IF($N56="""","""",IF($O56=0,""Empty / 空"",IFERROR(LET(c,UNIQUE(FILTER($L$2:$L$500,$B$2:$B$500=$N56,$H$2:$H$500&gt;0,$L$2:$L$500&lt;&gt;"""")),IF(COUNTA(c)&gt;1,""Mixed / 混放: ""&amp;TEXTJOIN("" + "",TRUE,c),INDEX(c,1))),""Unclassified / 未分类"")))"),"Material / 物料")</f>
        <v>Material / 物料</v>
      </c>
      <c r="U56" s="58"/>
      <c r="V56" s="58"/>
      <c r="W56" s="58"/>
      <c r="X56" s="58"/>
      <c r="Y56" s="58"/>
      <c r="Z56" s="58"/>
      <c r="AA56" s="58"/>
    </row>
    <row r="57">
      <c r="A57" s="57">
        <f>IF('主表 Stock_Transaction_Log'!$T57="","",IF(COUNTIF('主表 Stock_Transaction_Log'!$T$2:$T57,'主表 Stock_Transaction_Log'!$T57)=1,ROW('主表 Stock_Transaction_Log'!$T57),""))</f>
        <v>57</v>
      </c>
      <c r="B57" s="57" t="str">
        <f t="array" ref="B57">IF($A57="","",INDEX('主表 Stock_Transaction_Log'!$Q:$Q,$A57))</f>
        <v>R2-3-5-R</v>
      </c>
      <c r="C57" s="57" t="str">
        <f t="array" ref="C57">IF($A57="","",IF(INDEX('主表 Stock_Transaction_Log'!$F:$F,$A57)=0,"",INDEX('主表 Stock_Transaction_Log'!$F:$F,$A57)))</f>
        <v>Mix004</v>
      </c>
      <c r="D57" s="57" t="str">
        <f t="array" ref="D57">IF($A57="","",INDEX('主表 Stock_Transaction_Log'!$G:$G,$A57))</f>
        <v>97-229-00003-00</v>
      </c>
      <c r="E57" s="57" t="str">
        <f t="array" ref="E57">IF($A57="","",INDEX('主表 Stock_Transaction_Log'!$H:$H,$A57))</f>
        <v>CQ6-S</v>
      </c>
      <c r="F57" s="57" t="str">
        <f t="array" ref="F57">IF($A57="","",INDEX('主表 Stock_Transaction_Log'!$I:$I,$A57))</f>
        <v>Product</v>
      </c>
      <c r="G57" s="57" t="str">
        <f t="array" ref="G57">IF($A57="","",IF(INDEX('主表 Stock_Transaction_Log'!$R:$R,$A57)=0,"",INDEX('主表 Stock_Transaction_Log'!$R:$R,$A57)))</f>
        <v/>
      </c>
      <c r="H57" s="57">
        <f t="array" ref="H57">IF($A57="","",SUMIF('主表 Stock_Transaction_Log'!$T:$T,INDEX('主表 Stock_Transaction_Log'!$T:$T,$A57),'主表 Stock_Transaction_Log'!$S:$S)+SUMIF('主表 Stock_Transaction_Log'!$AB:$AB,INDEX('主表 Stock_Transaction_Log'!$T:$T,$A57),'主表 Stock_Transaction_Log'!$AC:$AC))</f>
        <v>1</v>
      </c>
      <c r="I57" s="57" t="str">
        <f t="shared" si="1"/>
        <v>In Stock / 在库</v>
      </c>
      <c r="J57" s="57" t="str">
        <f t="shared" si="2"/>
        <v>Container detail / 容器明细</v>
      </c>
      <c r="K57" s="57" t="b">
        <f t="shared" si="3"/>
        <v>1</v>
      </c>
      <c r="L57" s="57" t="str">
        <f t="array" ref="L57">IF($A57="","",INDEX('主表 Stock_Transaction_Log'!$P:$P,$A57))</f>
        <v>Repair_Good / 维修良品</v>
      </c>
      <c r="M57" s="57">
        <f>IF($A57="","",IF($H57&lt;=0,0,SUMIFS('主表 Stock_Transaction_Log'!$K$2:$K1000,'主表 Stock_Transaction_Log'!$C$2:$C1000,"Prepared",'主表 Stock_Transaction_Log'!$L$2:$L1000,$B57,'主表 Stock_Transaction_Log'!$F$2:$F1000,$C57,'主表 Stock_Transaction_Log'!$G$2:$G1000,$D57,'主表 Stock_Transaction_Log'!$P$2:$P1000,$L57)))</f>
        <v>0</v>
      </c>
      <c r="N57" s="57" t="s">
        <v>902</v>
      </c>
      <c r="O57" s="57">
        <f t="shared" si="4"/>
        <v>0</v>
      </c>
      <c r="P57" s="57">
        <f t="shared" si="5"/>
        <v>0</v>
      </c>
      <c r="Q57" s="57">
        <f t="shared" si="6"/>
        <v>0</v>
      </c>
      <c r="R57" s="57" t="str">
        <f t="shared" si="7"/>
        <v/>
      </c>
      <c r="S57" s="57" t="str">
        <f t="shared" si="8"/>
        <v>R1-4-1-M
Empty / 空</v>
      </c>
      <c r="T57" s="57" t="str">
        <f>IFERROR(__xludf.DUMMYFUNCTION("IF($N57="""","""",IF($O57=0,""Empty / 空"",IFERROR(LET(c,UNIQUE(FILTER($L$2:$L$500,$B$2:$B$500=$N57,$H$2:$H$500&gt;0,$L$2:$L$500&lt;&gt;"""")),IF(COUNTA(c)&gt;1,""Mixed / 混放: ""&amp;TEXTJOIN("" + "",TRUE,c),INDEX(c,1))),""Unclassified / 未分类"")))"),"Empty / 空")</f>
        <v>Empty / 空</v>
      </c>
      <c r="U57" s="58"/>
      <c r="V57" s="58"/>
      <c r="W57" s="58"/>
      <c r="X57" s="58"/>
      <c r="Y57" s="58"/>
      <c r="Z57" s="58"/>
      <c r="AA57" s="58"/>
    </row>
    <row r="58">
      <c r="A58" s="57">
        <f>IF('主表 Stock_Transaction_Log'!$T58="","",IF(COUNTIF('主表 Stock_Transaction_Log'!$T$2:$T58,'主表 Stock_Transaction_Log'!$T58)=1,ROW('主表 Stock_Transaction_Log'!$T58),""))</f>
        <v>58</v>
      </c>
      <c r="B58" s="57" t="str">
        <f t="array" ref="B58">IF($A58="","",INDEX('主表 Stock_Transaction_Log'!$Q:$Q,$A58))</f>
        <v>R2-1-4-L</v>
      </c>
      <c r="C58" s="57" t="str">
        <f t="array" ref="C58">IF($A58="","",IF(INDEX('主表 Stock_Transaction_Log'!$F:$F,$A58)=0,"",INDEX('主表 Stock_Transaction_Log'!$F:$F,$A58)))</f>
        <v>Mix005</v>
      </c>
      <c r="D58" s="57" t="str">
        <f t="array" ref="D58">IF($A58="","",INDEX('主表 Stock_Transaction_Log'!$G:$G,$A58))</f>
        <v>97-223-00105-00</v>
      </c>
      <c r="E58" s="57" t="str">
        <f t="array" ref="E58">IF($A58="","",INDEX('主表 Stock_Transaction_Log'!$H:$H,$A58))</f>
        <v>EQ4800-S</v>
      </c>
      <c r="F58" s="57" t="str">
        <f t="array" ref="F58">IF($A58="","",INDEX('主表 Stock_Transaction_Log'!$I:$I,$A58))</f>
        <v>Product</v>
      </c>
      <c r="G58" s="57" t="str">
        <f t="array" ref="G58">IF($A58="","",IF(INDEX('主表 Stock_Transaction_Log'!$R:$R,$A58)=0,"",INDEX('主表 Stock_Transaction_Log'!$R:$R,$A58)))</f>
        <v/>
      </c>
      <c r="H58" s="57">
        <f t="array" ref="H58">IF($A58="","",SUMIF('主表 Stock_Transaction_Log'!$T:$T,INDEX('主表 Stock_Transaction_Log'!$T:$T,$A58),'主表 Stock_Transaction_Log'!$S:$S)+SUMIF('主表 Stock_Transaction_Log'!$AB:$AB,INDEX('主表 Stock_Transaction_Log'!$T:$T,$A58),'主表 Stock_Transaction_Log'!$AC:$AC))</f>
        <v>15</v>
      </c>
      <c r="I58" s="57" t="str">
        <f t="shared" si="1"/>
        <v>In Stock / 在库</v>
      </c>
      <c r="J58" s="57" t="str">
        <f t="shared" si="2"/>
        <v>Container detail / 容器明细</v>
      </c>
      <c r="K58" s="57" t="b">
        <f t="shared" si="3"/>
        <v>1</v>
      </c>
      <c r="L58" s="57" t="str">
        <f t="array" ref="L58">IF($A58="","",INDEX('主表 Stock_Transaction_Log'!$P:$P,$A58))</f>
        <v>Repair_Good / 维修良品</v>
      </c>
      <c r="M58" s="57">
        <f>IF($A58="","",IF($H58&lt;=0,0,SUMIFS('主表 Stock_Transaction_Log'!$K$2:$K1000,'主表 Stock_Transaction_Log'!$C$2:$C1000,"Prepared",'主表 Stock_Transaction_Log'!$L$2:$L1000,$B58,'主表 Stock_Transaction_Log'!$F$2:$F1000,$C58,'主表 Stock_Transaction_Log'!$G$2:$G1000,$D58,'主表 Stock_Transaction_Log'!$P$2:$P1000,$L58)))</f>
        <v>0</v>
      </c>
      <c r="N58" s="57" t="s">
        <v>151</v>
      </c>
      <c r="O58" s="57">
        <f t="shared" si="4"/>
        <v>19</v>
      </c>
      <c r="P58" s="57">
        <f t="shared" si="5"/>
        <v>1</v>
      </c>
      <c r="Q58" s="57">
        <f t="shared" si="6"/>
        <v>1</v>
      </c>
      <c r="R58" s="57" t="str">
        <f t="shared" si="7"/>
        <v/>
      </c>
      <c r="S58" s="57" t="str">
        <f t="shared" si="8"/>
        <v>R1-4-1-R
10-120-00471-00
Qty / 数量: 19</v>
      </c>
      <c r="T58" s="57" t="str">
        <f>IFERROR(__xludf.DUMMYFUNCTION("IF($N58="""","""",IF($O58=0,""Empty / 空"",IFERROR(LET(c,UNIQUE(FILTER($L$2:$L$500,$B$2:$B$500=$N58,$H$2:$H$500&gt;0,$L$2:$L$500&lt;&gt;"""")),IF(COUNTA(c)&gt;1,""Mixed / 混放: ""&amp;TEXTJOIN("" + "",TRUE,c),INDEX(c,1))),""Unclassified / 未分类"")))"),"Material / 物料")</f>
        <v>Material / 物料</v>
      </c>
      <c r="U58" s="58"/>
      <c r="V58" s="58"/>
      <c r="W58" s="58"/>
      <c r="X58" s="58"/>
      <c r="Y58" s="58"/>
      <c r="Z58" s="58"/>
      <c r="AA58" s="58"/>
    </row>
    <row r="59">
      <c r="A59" s="57">
        <f>IF('主表 Stock_Transaction_Log'!$T59="","",IF(COUNTIF('主表 Stock_Transaction_Log'!$T$2:$T59,'主表 Stock_Transaction_Log'!$T59)=1,ROW('主表 Stock_Transaction_Log'!$T59),""))</f>
        <v>59</v>
      </c>
      <c r="B59" s="57" t="str">
        <f t="array" ref="B59">IF($A59="","",INDEX('主表 Stock_Transaction_Log'!$Q:$Q,$A59))</f>
        <v>R2-1-4-L</v>
      </c>
      <c r="C59" s="57" t="str">
        <f t="array" ref="C59">IF($A59="","",IF(INDEX('主表 Stock_Transaction_Log'!$F:$F,$A59)=0,"",INDEX('主表 Stock_Transaction_Log'!$F:$F,$A59)))</f>
        <v>Mix005</v>
      </c>
      <c r="D59" s="57" t="str">
        <f t="array" ref="D59">IF($A59="","",INDEX('主表 Stock_Transaction_Log'!$G:$G,$A59))</f>
        <v>97-223-00085-00</v>
      </c>
      <c r="E59" s="57" t="str">
        <f t="array" ref="E59">IF($A59="","",INDEX('主表 Stock_Transaction_Log'!$H:$H,$A59))</f>
        <v>EQ4800-S</v>
      </c>
      <c r="F59" s="57" t="str">
        <f t="array" ref="F59">IF($A59="","",INDEX('主表 Stock_Transaction_Log'!$I:$I,$A59))</f>
        <v>Product</v>
      </c>
      <c r="G59" s="57" t="str">
        <f t="array" ref="G59">IF($A59="","",IF(INDEX('主表 Stock_Transaction_Log'!$R:$R,$A59)=0,"",INDEX('主表 Stock_Transaction_Log'!$R:$R,$A59)))</f>
        <v/>
      </c>
      <c r="H59" s="57">
        <f t="array" ref="H59">IF($A59="","",SUMIF('主表 Stock_Transaction_Log'!$T:$T,INDEX('主表 Stock_Transaction_Log'!$T:$T,$A59),'主表 Stock_Transaction_Log'!$S:$S)+SUMIF('主表 Stock_Transaction_Log'!$AB:$AB,INDEX('主表 Stock_Transaction_Log'!$T:$T,$A59),'主表 Stock_Transaction_Log'!$AC:$AC))</f>
        <v>1</v>
      </c>
      <c r="I59" s="57" t="str">
        <f t="shared" si="1"/>
        <v>In Stock / 在库</v>
      </c>
      <c r="J59" s="57" t="str">
        <f t="shared" si="2"/>
        <v>Container detail / 容器明细</v>
      </c>
      <c r="K59" s="57" t="b">
        <f t="shared" si="3"/>
        <v>1</v>
      </c>
      <c r="L59" s="57" t="str">
        <f t="array" ref="L59">IF($A59="","",INDEX('主表 Stock_Transaction_Log'!$P:$P,$A59))</f>
        <v>Repair_Good / 维修良品</v>
      </c>
      <c r="M59" s="57">
        <f>IF($A59="","",IF($H59&lt;=0,0,SUMIFS('主表 Stock_Transaction_Log'!$K$2:$K1000,'主表 Stock_Transaction_Log'!$C$2:$C1000,"Prepared",'主表 Stock_Transaction_Log'!$L$2:$L1000,$B59,'主表 Stock_Transaction_Log'!$F$2:$F1000,$C59,'主表 Stock_Transaction_Log'!$G$2:$G1000,$D59,'主表 Stock_Transaction_Log'!$P$2:$P1000,$L59)))</f>
        <v>0</v>
      </c>
      <c r="N59" s="57" t="s">
        <v>204</v>
      </c>
      <c r="O59" s="57">
        <f t="shared" si="4"/>
        <v>200</v>
      </c>
      <c r="P59" s="57">
        <f t="shared" si="5"/>
        <v>1</v>
      </c>
      <c r="Q59" s="57">
        <f t="shared" si="6"/>
        <v>1</v>
      </c>
      <c r="R59" s="57" t="str">
        <f t="shared" si="7"/>
        <v/>
      </c>
      <c r="S59" s="57" t="str">
        <f t="shared" si="8"/>
        <v>R1-4-2-L
10-105-00346-00
Qty / 数量: 200</v>
      </c>
      <c r="T59" s="57" t="str">
        <f>IFERROR(__xludf.DUMMYFUNCTION("IF($N59="""","""",IF($O59=0,""Empty / 空"",IFERROR(LET(c,UNIQUE(FILTER($L$2:$L$500,$B$2:$B$500=$N59,$H$2:$H$500&gt;0,$L$2:$L$500&lt;&gt;"""")),IF(COUNTA(c)&gt;1,""Mixed / 混放: ""&amp;TEXTJOIN("" + "",TRUE,c),INDEX(c,1))),""Unclassified / 未分类"")))"),"Material / 物料")</f>
        <v>Material / 物料</v>
      </c>
      <c r="U59" s="58"/>
      <c r="V59" s="58"/>
      <c r="W59" s="58"/>
      <c r="X59" s="58"/>
      <c r="Y59" s="58"/>
      <c r="Z59" s="58"/>
      <c r="AA59" s="58"/>
    </row>
    <row r="60">
      <c r="A60" s="57">
        <f>IF('主表 Stock_Transaction_Log'!$T60="","",IF(COUNTIF('主表 Stock_Transaction_Log'!$T$2:$T60,'主表 Stock_Transaction_Log'!$T60)=1,ROW('主表 Stock_Transaction_Log'!$T60),""))</f>
        <v>60</v>
      </c>
      <c r="B60" s="57" t="str">
        <f t="array" ref="B60">IF($A60="","",INDEX('主表 Stock_Transaction_Log'!$Q:$Q,$A60))</f>
        <v>R2-2-5-R</v>
      </c>
      <c r="C60" s="57" t="str">
        <f t="array" ref="C60">IF($A60="","",IF(INDEX('主表 Stock_Transaction_Log'!$F:$F,$A60)=0,"",INDEX('主表 Stock_Transaction_Log'!$F:$F,$A60)))</f>
        <v/>
      </c>
      <c r="D60" s="57" t="str">
        <f t="array" ref="D60">IF($A60="","",INDEX('主表 Stock_Transaction_Log'!$G:$G,$A60))</f>
        <v>97-223-00107-00</v>
      </c>
      <c r="E60" s="57" t="str">
        <f t="array" ref="E60">IF($A60="","",INDEX('主表 Stock_Transaction_Log'!$H:$H,$A60))</f>
        <v>EQ4800-S</v>
      </c>
      <c r="F60" s="57" t="str">
        <f t="array" ref="F60">IF($A60="","",INDEX('主表 Stock_Transaction_Log'!$I:$I,$A60))</f>
        <v>Product</v>
      </c>
      <c r="G60" s="57" t="str">
        <f t="array" ref="G60">IF($A60="","",IF(INDEX('主表 Stock_Transaction_Log'!$R:$R,$A60)=0,"",INDEX('主表 Stock_Transaction_Log'!$R:$R,$A60)))</f>
        <v/>
      </c>
      <c r="H60" s="57">
        <f t="array" ref="H60">IF($A60="","",SUMIF('主表 Stock_Transaction_Log'!$T:$T,INDEX('主表 Stock_Transaction_Log'!$T:$T,$A60),'主表 Stock_Transaction_Log'!$S:$S)+SUMIF('主表 Stock_Transaction_Log'!$AB:$AB,INDEX('主表 Stock_Transaction_Log'!$T:$T,$A60),'主表 Stock_Transaction_Log'!$AC:$AC))</f>
        <v>12</v>
      </c>
      <c r="I60" s="57" t="str">
        <f t="shared" si="1"/>
        <v>In Stock / 在库</v>
      </c>
      <c r="J60" s="57" t="str">
        <f t="shared" si="2"/>
        <v>Stock line / 库存明细</v>
      </c>
      <c r="K60" s="57" t="b">
        <f t="shared" si="3"/>
        <v>1</v>
      </c>
      <c r="L60" s="57" t="str">
        <f t="array" ref="L60">IF($A60="","",INDEX('主表 Stock_Transaction_Log'!$P:$P,$A60))</f>
        <v>New / 新机</v>
      </c>
      <c r="M60" s="57">
        <f>IF($A60="","",IF($H60&lt;=0,0,SUMIFS('主表 Stock_Transaction_Log'!$K$2:$K1000,'主表 Stock_Transaction_Log'!$C$2:$C1000,"Prepared",'主表 Stock_Transaction_Log'!$L$2:$L1000,$B60,'主表 Stock_Transaction_Log'!$F$2:$F1000,$C60,'主表 Stock_Transaction_Log'!$G$2:$G1000,$D60,'主表 Stock_Transaction_Log'!$P$2:$P1000,$L60)))</f>
        <v>0</v>
      </c>
      <c r="N60" s="57" t="s">
        <v>904</v>
      </c>
      <c r="O60" s="57">
        <f t="shared" si="4"/>
        <v>0</v>
      </c>
      <c r="P60" s="57">
        <f t="shared" si="5"/>
        <v>0</v>
      </c>
      <c r="Q60" s="57">
        <f t="shared" si="6"/>
        <v>0</v>
      </c>
      <c r="R60" s="57" t="str">
        <f t="shared" si="7"/>
        <v/>
      </c>
      <c r="S60" s="57" t="str">
        <f t="shared" si="8"/>
        <v>R1-4-2-M
Empty / 空</v>
      </c>
      <c r="T60" s="57" t="str">
        <f>IFERROR(__xludf.DUMMYFUNCTION("IF($N60="""","""",IF($O60=0,""Empty / 空"",IFERROR(LET(c,UNIQUE(FILTER($L$2:$L$500,$B$2:$B$500=$N60,$H$2:$H$500&gt;0,$L$2:$L$500&lt;&gt;"""")),IF(COUNTA(c)&gt;1,""Mixed / 混放: ""&amp;TEXTJOIN("" + "",TRUE,c),INDEX(c,1))),""Unclassified / 未分类"")))"),"Empty / 空")</f>
        <v>Empty / 空</v>
      </c>
      <c r="U60" s="58"/>
      <c r="V60" s="58"/>
      <c r="W60" s="58"/>
      <c r="X60" s="58"/>
      <c r="Y60" s="58"/>
      <c r="Z60" s="58"/>
      <c r="AA60" s="58"/>
    </row>
    <row r="61">
      <c r="A61" s="57">
        <f>IF('主表 Stock_Transaction_Log'!$T61="","",IF(COUNTIF('主表 Stock_Transaction_Log'!$T$2:$T61,'主表 Stock_Transaction_Log'!$T61)=1,ROW('主表 Stock_Transaction_Log'!$T61),""))</f>
        <v>61</v>
      </c>
      <c r="B61" s="57" t="str">
        <f t="array" ref="B61">IF($A61="","",INDEX('主表 Stock_Transaction_Log'!$Q:$Q,$A61))</f>
        <v>R2-4-5-L</v>
      </c>
      <c r="C61" s="57" t="str">
        <f t="array" ref="C61">IF($A61="","",IF(INDEX('主表 Stock_Transaction_Log'!$F:$F,$A61)=0,"",INDEX('主表 Stock_Transaction_Log'!$F:$F,$A61)))</f>
        <v/>
      </c>
      <c r="D61" s="57" t="str">
        <f t="array" ref="D61">IF($A61="","",INDEX('主表 Stock_Transaction_Log'!$G:$G,$A61))</f>
        <v>97-406-00017-00</v>
      </c>
      <c r="E61" s="57" t="str">
        <f t="array" ref="E61">IF($A61="","",INDEX('主表 Stock_Transaction_Log'!$H:$H,$A61))</f>
        <v>KH遮线罩</v>
      </c>
      <c r="F61" s="57" t="str">
        <f t="array" ref="F61">IF($A61="","",INDEX('主表 Stock_Transaction_Log'!$I:$I,$A61))</f>
        <v>Material</v>
      </c>
      <c r="G61" s="57" t="str">
        <f t="array" ref="G61">IF($A61="","",IF(INDEX('主表 Stock_Transaction_Log'!$R:$R,$A61)=0,"",INDEX('主表 Stock_Transaction_Log'!$R:$R,$A61)))</f>
        <v/>
      </c>
      <c r="H61" s="57">
        <f t="array" ref="H61">IF($A61="","",SUMIF('主表 Stock_Transaction_Log'!$T:$T,INDEX('主表 Stock_Transaction_Log'!$T:$T,$A61),'主表 Stock_Transaction_Log'!$S:$S)+SUMIF('主表 Stock_Transaction_Log'!$AB:$AB,INDEX('主表 Stock_Transaction_Log'!$T:$T,$A61),'主表 Stock_Transaction_Log'!$AC:$AC))</f>
        <v>34</v>
      </c>
      <c r="I61" s="57" t="str">
        <f t="shared" si="1"/>
        <v>In Stock / 在库</v>
      </c>
      <c r="J61" s="57" t="str">
        <f t="shared" si="2"/>
        <v>Stock line / 库存明细</v>
      </c>
      <c r="K61" s="57" t="b">
        <f t="shared" si="3"/>
        <v>1</v>
      </c>
      <c r="L61" s="57" t="str">
        <f t="array" ref="L61">IF($A61="","",INDEX('主表 Stock_Transaction_Log'!$P:$P,$A61))</f>
        <v>Material / 物料</v>
      </c>
      <c r="M61" s="57">
        <f>IF($A61="","",IF($H61&lt;=0,0,SUMIFS('主表 Stock_Transaction_Log'!$K$2:$K1000,'主表 Stock_Transaction_Log'!$C$2:$C1000,"Prepared",'主表 Stock_Transaction_Log'!$L$2:$L1000,$B61,'主表 Stock_Transaction_Log'!$F$2:$F1000,$C61,'主表 Stock_Transaction_Log'!$G$2:$G1000,$D61,'主表 Stock_Transaction_Log'!$P$2:$P1000,$L61)))</f>
        <v>0</v>
      </c>
      <c r="N61" s="57" t="s">
        <v>208</v>
      </c>
      <c r="O61" s="57">
        <f t="shared" si="4"/>
        <v>20</v>
      </c>
      <c r="P61" s="57">
        <f t="shared" si="5"/>
        <v>1</v>
      </c>
      <c r="Q61" s="57">
        <f t="shared" si="6"/>
        <v>1</v>
      </c>
      <c r="R61" s="57" t="str">
        <f t="shared" si="7"/>
        <v/>
      </c>
      <c r="S61" s="57" t="str">
        <f t="shared" si="8"/>
        <v>R1-4-2-R
10-120-00471-00
Qty / 数量: 20</v>
      </c>
      <c r="T61" s="57" t="str">
        <f>IFERROR(__xludf.DUMMYFUNCTION("IF($N61="""","""",IF($O61=0,""Empty / 空"",IFERROR(LET(c,UNIQUE(FILTER($L$2:$L$500,$B$2:$B$500=$N61,$H$2:$H$500&gt;0,$L$2:$L$500&lt;&gt;"""")),IF(COUNTA(c)&gt;1,""Mixed / 混放: ""&amp;TEXTJOIN("" + "",TRUE,c),INDEX(c,1))),""Unclassified / 未分类"")))"),"Material / 物料")</f>
        <v>Material / 物料</v>
      </c>
      <c r="U61" s="58"/>
      <c r="V61" s="58"/>
      <c r="W61" s="58"/>
      <c r="X61" s="58"/>
      <c r="Y61" s="58"/>
      <c r="Z61" s="58"/>
      <c r="AA61" s="58"/>
    </row>
    <row r="62">
      <c r="A62" s="57">
        <f>IF('主表 Stock_Transaction_Log'!$T62="","",IF(COUNTIF('主表 Stock_Transaction_Log'!$T$2:$T62,'主表 Stock_Transaction_Log'!$T62)=1,ROW('主表 Stock_Transaction_Log'!$T62),""))</f>
        <v>62</v>
      </c>
      <c r="B62" s="57" t="str">
        <f t="array" ref="B62">IF($A62="","",INDEX('主表 Stock_Transaction_Log'!$Q:$Q,$A62))</f>
        <v>R2-4-5-R</v>
      </c>
      <c r="C62" s="57" t="str">
        <f t="array" ref="C62">IF($A62="","",IF(INDEX('主表 Stock_Transaction_Log'!$F:$F,$A62)=0,"",INDEX('主表 Stock_Transaction_Log'!$F:$F,$A62)))</f>
        <v/>
      </c>
      <c r="D62" s="57" t="str">
        <f t="array" ref="D62">IF($A62="","",INDEX('主表 Stock_Transaction_Log'!$G:$G,$A62))</f>
        <v>97-406-00017-00</v>
      </c>
      <c r="E62" s="57" t="str">
        <f t="array" ref="E62">IF($A62="","",INDEX('主表 Stock_Transaction_Log'!$H:$H,$A62))</f>
        <v>KH遮线罩</v>
      </c>
      <c r="F62" s="57" t="str">
        <f t="array" ref="F62">IF($A62="","",INDEX('主表 Stock_Transaction_Log'!$I:$I,$A62))</f>
        <v>Material</v>
      </c>
      <c r="G62" s="57" t="str">
        <f t="array" ref="G62">IF($A62="","",IF(INDEX('主表 Stock_Transaction_Log'!$R:$R,$A62)=0,"",INDEX('主表 Stock_Transaction_Log'!$R:$R,$A62)))</f>
        <v/>
      </c>
      <c r="H62" s="57">
        <f t="array" ref="H62">IF($A62="","",SUMIF('主表 Stock_Transaction_Log'!$T:$T,INDEX('主表 Stock_Transaction_Log'!$T:$T,$A62),'主表 Stock_Transaction_Log'!$S:$S)+SUMIF('主表 Stock_Transaction_Log'!$AB:$AB,INDEX('主表 Stock_Transaction_Log'!$T:$T,$A62),'主表 Stock_Transaction_Log'!$AC:$AC))</f>
        <v>35</v>
      </c>
      <c r="I62" s="57" t="str">
        <f t="shared" si="1"/>
        <v>In Stock / 在库</v>
      </c>
      <c r="J62" s="57" t="str">
        <f t="shared" si="2"/>
        <v>Stock line / 库存明细</v>
      </c>
      <c r="K62" s="57" t="b">
        <f t="shared" si="3"/>
        <v>1</v>
      </c>
      <c r="L62" s="57" t="str">
        <f t="array" ref="L62">IF($A62="","",INDEX('主表 Stock_Transaction_Log'!$P:$P,$A62))</f>
        <v>Material / 物料</v>
      </c>
      <c r="M62" s="57">
        <f>IF($A62="","",IF($H62&lt;=0,0,SUMIFS('主表 Stock_Transaction_Log'!$K$2:$K1000,'主表 Stock_Transaction_Log'!$C$2:$C1000,"Prepared",'主表 Stock_Transaction_Log'!$L$2:$L1000,$B62,'主表 Stock_Transaction_Log'!$F$2:$F1000,$C62,'主表 Stock_Transaction_Log'!$G$2:$G1000,$D62,'主表 Stock_Transaction_Log'!$P$2:$P1000,$L62)))</f>
        <v>0</v>
      </c>
      <c r="N62" s="57" t="s">
        <v>693</v>
      </c>
      <c r="O62" s="57">
        <f t="shared" si="4"/>
        <v>75</v>
      </c>
      <c r="P62" s="57">
        <f t="shared" si="5"/>
        <v>1</v>
      </c>
      <c r="Q62" s="57">
        <f t="shared" si="6"/>
        <v>1</v>
      </c>
      <c r="R62" s="57" t="str">
        <f t="shared" si="7"/>
        <v/>
      </c>
      <c r="S62" s="57" t="str">
        <f t="shared" si="8"/>
        <v>R1-4-3-L
20-012-10219-08
Qty / 数量: 75</v>
      </c>
      <c r="T62" s="57" t="str">
        <f>IFERROR(__xludf.DUMMYFUNCTION("IF($N62="""","""",IF($O62=0,""Empty / 空"",IFERROR(LET(c,UNIQUE(FILTER($L$2:$L$500,$B$2:$B$500=$N62,$H$2:$H$500&gt;0,$L$2:$L$500&lt;&gt;"""")),IF(COUNTA(c)&gt;1,""Mixed / 混放: ""&amp;TEXTJOIN("" + "",TRUE,c),INDEX(c,1))),""Unclassified / 未分类"")))"),"Material / 物料")</f>
        <v>Material / 物料</v>
      </c>
      <c r="U62" s="58"/>
      <c r="V62" s="58"/>
      <c r="W62" s="58"/>
      <c r="X62" s="58"/>
      <c r="Y62" s="58"/>
      <c r="Z62" s="58"/>
      <c r="AA62" s="58"/>
    </row>
    <row r="63">
      <c r="A63" s="57">
        <f>IF('主表 Stock_Transaction_Log'!$T63="","",IF(COUNTIF('主表 Stock_Transaction_Log'!$T$2:$T63,'主表 Stock_Transaction_Log'!$T63)=1,ROW('主表 Stock_Transaction_Log'!$T63),""))</f>
        <v>63</v>
      </c>
      <c r="B63" s="57" t="str">
        <f t="array" ref="B63">IF($A63="","",INDEX('主表 Stock_Transaction_Log'!$Q:$Q,$A63))</f>
        <v>R2-4-4-R</v>
      </c>
      <c r="C63" s="57" t="str">
        <f t="array" ref="C63">IF($A63="","",IF(INDEX('主表 Stock_Transaction_Log'!$F:$F,$A63)=0,"",INDEX('主表 Stock_Transaction_Log'!$F:$F,$A63)))</f>
        <v/>
      </c>
      <c r="D63" s="57" t="str">
        <f t="array" ref="D63">IF($A63="","",INDEX('主表 Stock_Transaction_Log'!$G:$G,$A63))</f>
        <v>97-223-00107-00</v>
      </c>
      <c r="E63" s="57" t="str">
        <f t="array" ref="E63">IF($A63="","",INDEX('主表 Stock_Transaction_Log'!$H:$H,$A63))</f>
        <v>EQ4800-S</v>
      </c>
      <c r="F63" s="57" t="str">
        <f t="array" ref="F63">IF($A63="","",INDEX('主表 Stock_Transaction_Log'!$I:$I,$A63))</f>
        <v>Product</v>
      </c>
      <c r="G63" s="57" t="str">
        <f t="array" ref="G63">IF($A63="","",IF(INDEX('主表 Stock_Transaction_Log'!$R:$R,$A63)=0,"",INDEX('主表 Stock_Transaction_Log'!$R:$R,$A63)))</f>
        <v/>
      </c>
      <c r="H63" s="57">
        <f t="array" ref="H63">IF($A63="","",SUMIF('主表 Stock_Transaction_Log'!$T:$T,INDEX('主表 Stock_Transaction_Log'!$T:$T,$A63),'主表 Stock_Transaction_Log'!$S:$S)+SUMIF('主表 Stock_Transaction_Log'!$AB:$AB,INDEX('主表 Stock_Transaction_Log'!$T:$T,$A63),'主表 Stock_Transaction_Log'!$AC:$AC))</f>
        <v>16</v>
      </c>
      <c r="I63" s="57" t="str">
        <f t="shared" si="1"/>
        <v>In Stock / 在库</v>
      </c>
      <c r="J63" s="57" t="str">
        <f t="shared" si="2"/>
        <v>Stock line / 库存明细</v>
      </c>
      <c r="K63" s="57" t="b">
        <f t="shared" si="3"/>
        <v>1</v>
      </c>
      <c r="L63" s="57" t="str">
        <f t="array" ref="L63">IF($A63="","",INDEX('主表 Stock_Transaction_Log'!$P:$P,$A63))</f>
        <v>New / 新机</v>
      </c>
      <c r="M63" s="57">
        <f>IF($A63="","",IF($H63&lt;=0,0,SUMIFS('主表 Stock_Transaction_Log'!$K$2:$K1000,'主表 Stock_Transaction_Log'!$C$2:$C1000,"Prepared",'主表 Stock_Transaction_Log'!$L$2:$L1000,$B63,'主表 Stock_Transaction_Log'!$F$2:$F1000,$C63,'主表 Stock_Transaction_Log'!$G$2:$G1000,$D63,'主表 Stock_Transaction_Log'!$P$2:$P1000,$L63)))</f>
        <v>0</v>
      </c>
      <c r="N63" s="57" t="s">
        <v>907</v>
      </c>
      <c r="O63" s="57">
        <f t="shared" si="4"/>
        <v>0</v>
      </c>
      <c r="P63" s="57">
        <f t="shared" si="5"/>
        <v>0</v>
      </c>
      <c r="Q63" s="57">
        <f t="shared" si="6"/>
        <v>0</v>
      </c>
      <c r="R63" s="57" t="str">
        <f t="shared" si="7"/>
        <v/>
      </c>
      <c r="S63" s="57" t="str">
        <f t="shared" si="8"/>
        <v>R1-4-3-M
Empty / 空</v>
      </c>
      <c r="T63" s="57" t="str">
        <f>IFERROR(__xludf.DUMMYFUNCTION("IF($N63="""","""",IF($O63=0,""Empty / 空"",IFERROR(LET(c,UNIQUE(FILTER($L$2:$L$500,$B$2:$B$500=$N63,$H$2:$H$500&gt;0,$L$2:$L$500&lt;&gt;"""")),IF(COUNTA(c)&gt;1,""Mixed / 混放: ""&amp;TEXTJOIN("" + "",TRUE,c),INDEX(c,1))),""Unclassified / 未分类"")))"),"Empty / 空")</f>
        <v>Empty / 空</v>
      </c>
      <c r="U63" s="58"/>
      <c r="V63" s="58"/>
      <c r="W63" s="58"/>
      <c r="X63" s="58"/>
      <c r="Y63" s="58"/>
      <c r="Z63" s="58"/>
      <c r="AA63" s="58"/>
    </row>
    <row r="64">
      <c r="A64" s="57">
        <f>IF('主表 Stock_Transaction_Log'!$T64="","",IF(COUNTIF('主表 Stock_Transaction_Log'!$T$2:$T64,'主表 Stock_Transaction_Log'!$T64)=1,ROW('主表 Stock_Transaction_Log'!$T64),""))</f>
        <v>64</v>
      </c>
      <c r="B64" s="57" t="str">
        <f t="array" ref="B64">IF($A64="","",INDEX('主表 Stock_Transaction_Log'!$Q:$Q,$A64))</f>
        <v>R2-4-4-L</v>
      </c>
      <c r="C64" s="57" t="str">
        <f t="array" ref="C64">IF($A64="","",IF(INDEX('主表 Stock_Transaction_Log'!$F:$F,$A64)=0,"",INDEX('主表 Stock_Transaction_Log'!$F:$F,$A64)))</f>
        <v/>
      </c>
      <c r="D64" s="57" t="str">
        <f t="array" ref="D64">IF($A64="","",INDEX('主表 Stock_Transaction_Log'!$G:$G,$A64))</f>
        <v>97-223-00107-00</v>
      </c>
      <c r="E64" s="57" t="str">
        <f t="array" ref="E64">IF($A64="","",INDEX('主表 Stock_Transaction_Log'!$H:$H,$A64))</f>
        <v>EQ4800-S</v>
      </c>
      <c r="F64" s="57" t="str">
        <f t="array" ref="F64">IF($A64="","",INDEX('主表 Stock_Transaction_Log'!$I:$I,$A64))</f>
        <v>Product</v>
      </c>
      <c r="G64" s="57" t="str">
        <f t="array" ref="G64">IF($A64="","",IF(INDEX('主表 Stock_Transaction_Log'!$R:$R,$A64)=0,"",INDEX('主表 Stock_Transaction_Log'!$R:$R,$A64)))</f>
        <v/>
      </c>
      <c r="H64" s="57">
        <f t="array" ref="H64">IF($A64="","",SUMIF('主表 Stock_Transaction_Log'!$T:$T,INDEX('主表 Stock_Transaction_Log'!$T:$T,$A64),'主表 Stock_Transaction_Log'!$S:$S)+SUMIF('主表 Stock_Transaction_Log'!$AB:$AB,INDEX('主表 Stock_Transaction_Log'!$T:$T,$A64),'主表 Stock_Transaction_Log'!$AC:$AC))</f>
        <v>16</v>
      </c>
      <c r="I64" s="57" t="str">
        <f t="shared" si="1"/>
        <v>In Stock / 在库</v>
      </c>
      <c r="J64" s="57" t="str">
        <f t="shared" si="2"/>
        <v>Stock line / 库存明细</v>
      </c>
      <c r="K64" s="57" t="b">
        <f t="shared" si="3"/>
        <v>1</v>
      </c>
      <c r="L64" s="57" t="str">
        <f t="array" ref="L64">IF($A64="","",INDEX('主表 Stock_Transaction_Log'!$P:$P,$A64))</f>
        <v>New / 新机</v>
      </c>
      <c r="M64" s="57">
        <f>IF($A64="","",IF($H64&lt;=0,0,SUMIFS('主表 Stock_Transaction_Log'!$K$2:$K1000,'主表 Stock_Transaction_Log'!$C$2:$C1000,"Prepared",'主表 Stock_Transaction_Log'!$L$2:$L1000,$B64,'主表 Stock_Transaction_Log'!$F$2:$F1000,$C64,'主表 Stock_Transaction_Log'!$G$2:$G1000,$D64,'主表 Stock_Transaction_Log'!$P$2:$P1000,$L64)))</f>
        <v>0</v>
      </c>
      <c r="N64" s="57" t="s">
        <v>698</v>
      </c>
      <c r="O64" s="57">
        <f t="shared" si="4"/>
        <v>99</v>
      </c>
      <c r="P64" s="57">
        <f t="shared" si="5"/>
        <v>1</v>
      </c>
      <c r="Q64" s="57">
        <f t="shared" si="6"/>
        <v>1</v>
      </c>
      <c r="R64" s="57" t="str">
        <f t="shared" si="7"/>
        <v/>
      </c>
      <c r="S64" s="57" t="str">
        <f t="shared" si="8"/>
        <v>R1-4-3-R
20-012-10330-11
Qty / 数量: 99</v>
      </c>
      <c r="T64" s="57" t="str">
        <f>IFERROR(__xludf.DUMMYFUNCTION("IF($N64="""","""",IF($O64=0,""Empty / 空"",IFERROR(LET(c,UNIQUE(FILTER($L$2:$L$500,$B$2:$B$500=$N64,$H$2:$H$500&gt;0,$L$2:$L$500&lt;&gt;"""")),IF(COUNTA(c)&gt;1,""Mixed / 混放: ""&amp;TEXTJOIN("" + "",TRUE,c),INDEX(c,1))),""Unclassified / 未分类"")))"),"Material / 物料")</f>
        <v>Material / 物料</v>
      </c>
      <c r="U64" s="58"/>
      <c r="V64" s="58"/>
      <c r="W64" s="58"/>
      <c r="X64" s="58"/>
      <c r="Y64" s="58"/>
      <c r="Z64" s="58"/>
      <c r="AA64" s="58"/>
    </row>
    <row r="65">
      <c r="A65" s="57">
        <f>IF('主表 Stock_Transaction_Log'!$T65="","",IF(COUNTIF('主表 Stock_Transaction_Log'!$T$2:$T65,'主表 Stock_Transaction_Log'!$T65)=1,ROW('主表 Stock_Transaction_Log'!$T65),""))</f>
        <v>65</v>
      </c>
      <c r="B65" s="57" t="str">
        <f t="array" ref="B65">IF($A65="","",INDEX('主表 Stock_Transaction_Log'!$Q:$Q,$A65))</f>
        <v>R2-2-4-R</v>
      </c>
      <c r="C65" s="57" t="str">
        <f t="array" ref="C65">IF($A65="","",IF(INDEX('主表 Stock_Transaction_Log'!$F:$F,$A65)=0,"",INDEX('主表 Stock_Transaction_Log'!$F:$F,$A65)))</f>
        <v/>
      </c>
      <c r="D65" s="57" t="str">
        <f t="array" ref="D65">IF($A65="","",INDEX('主表 Stock_Transaction_Log'!$G:$G,$A65))</f>
        <v>97-229-00021-00</v>
      </c>
      <c r="E65" s="57" t="str">
        <f t="array" ref="E65">IF($A65="","",INDEX('主表 Stock_Transaction_Log'!$H:$H,$A65))</f>
        <v>CQ6-S</v>
      </c>
      <c r="F65" s="57" t="str">
        <f t="array" ref="F65">IF($A65="","",INDEX('主表 Stock_Transaction_Log'!$I:$I,$A65))</f>
        <v>Product</v>
      </c>
      <c r="G65" s="57" t="str">
        <f t="array" ref="G65">IF($A65="","",IF(INDEX('主表 Stock_Transaction_Log'!$R:$R,$A65)=0,"",INDEX('主表 Stock_Transaction_Log'!$R:$R,$A65)))</f>
        <v/>
      </c>
      <c r="H65" s="57">
        <f t="array" ref="H65">IF($A65="","",SUMIF('主表 Stock_Transaction_Log'!$T:$T,INDEX('主表 Stock_Transaction_Log'!$T:$T,$A65),'主表 Stock_Transaction_Log'!$S:$S)+SUMIF('主表 Stock_Transaction_Log'!$AB:$AB,INDEX('主表 Stock_Transaction_Log'!$T:$T,$A65),'主表 Stock_Transaction_Log'!$AC:$AC))</f>
        <v>6</v>
      </c>
      <c r="I65" s="57" t="str">
        <f t="shared" si="1"/>
        <v>In Stock / 在库</v>
      </c>
      <c r="J65" s="57" t="str">
        <f t="shared" si="2"/>
        <v>Stock line / 库存明细</v>
      </c>
      <c r="K65" s="57" t="b">
        <f t="shared" si="3"/>
        <v>1</v>
      </c>
      <c r="L65" s="57" t="str">
        <f t="array" ref="L65">IF($A65="","",INDEX('主表 Stock_Transaction_Log'!$P:$P,$A65))</f>
        <v>New / 新机</v>
      </c>
      <c r="M65" s="57">
        <f>IF($A65="","",IF($H65&lt;=0,0,SUMIFS('主表 Stock_Transaction_Log'!$K$2:$K1000,'主表 Stock_Transaction_Log'!$C$2:$C1000,"Prepared",'主表 Stock_Transaction_Log'!$L$2:$L1000,$B65,'主表 Stock_Transaction_Log'!$F$2:$F1000,$C65,'主表 Stock_Transaction_Log'!$G$2:$G1000,$D65,'主表 Stock_Transaction_Log'!$P$2:$P1000,$L65)))</f>
        <v>0</v>
      </c>
      <c r="N65" s="57" t="s">
        <v>705</v>
      </c>
      <c r="O65" s="57">
        <f t="shared" si="4"/>
        <v>99</v>
      </c>
      <c r="P65" s="57">
        <f t="shared" si="5"/>
        <v>1</v>
      </c>
      <c r="Q65" s="57">
        <f t="shared" si="6"/>
        <v>1</v>
      </c>
      <c r="R65" s="57" t="str">
        <f t="shared" si="7"/>
        <v/>
      </c>
      <c r="S65" s="57" t="str">
        <f t="shared" si="8"/>
        <v>R1-4-4-L
Qty / 数量: 99</v>
      </c>
      <c r="T65" s="57" t="str">
        <f>IFERROR(__xludf.DUMMYFUNCTION("IF($N65="""","""",IF($O65=0,""Empty / 空"",IFERROR(LET(c,UNIQUE(FILTER($L$2:$L$500,$B$2:$B$500=$N65,$H$2:$H$500&gt;0,$L$2:$L$500&lt;&gt;"""")),IF(COUNTA(c)&gt;1,""Mixed / 混放: ""&amp;TEXTJOIN("" + "",TRUE,c),INDEX(c,1))),""Unclassified / 未分类"")))"),"Material / 物料")</f>
        <v>Material / 物料</v>
      </c>
      <c r="U65" s="58"/>
      <c r="V65" s="58"/>
      <c r="W65" s="58"/>
      <c r="X65" s="58"/>
      <c r="Y65" s="58"/>
      <c r="Z65" s="58"/>
      <c r="AA65" s="58"/>
    </row>
    <row r="66">
      <c r="A66" s="57">
        <f>IF('主表 Stock_Transaction_Log'!$T66="","",IF(COUNTIF('主表 Stock_Transaction_Log'!$T$2:$T66,'主表 Stock_Transaction_Log'!$T66)=1,ROW('主表 Stock_Transaction_Log'!$T66),""))</f>
        <v>66</v>
      </c>
      <c r="B66" s="57" t="str">
        <f t="array" ref="B66">IF($A66="","",INDEX('主表 Stock_Transaction_Log'!$Q:$Q,$A66))</f>
        <v>R2-2-4-L</v>
      </c>
      <c r="C66" s="57" t="str">
        <f t="array" ref="C66">IF($A66="","",IF(INDEX('主表 Stock_Transaction_Log'!$F:$F,$A66)=0,"",INDEX('主表 Stock_Transaction_Log'!$F:$F,$A66)))</f>
        <v/>
      </c>
      <c r="D66" s="57" t="str">
        <f t="array" ref="D66">IF($A66="","",INDEX('主表 Stock_Transaction_Log'!$G:$G,$A66))</f>
        <v>97-229-00021-00</v>
      </c>
      <c r="E66" s="57" t="str">
        <f t="array" ref="E66">IF($A66="","",INDEX('主表 Stock_Transaction_Log'!$H:$H,$A66))</f>
        <v>CQ6-S</v>
      </c>
      <c r="F66" s="57" t="str">
        <f t="array" ref="F66">IF($A66="","",INDEX('主表 Stock_Transaction_Log'!$I:$I,$A66))</f>
        <v>Product</v>
      </c>
      <c r="G66" s="57" t="str">
        <f t="array" ref="G66">IF($A66="","",IF(INDEX('主表 Stock_Transaction_Log'!$R:$R,$A66)=0,"",INDEX('主表 Stock_Transaction_Log'!$R:$R,$A66)))</f>
        <v/>
      </c>
      <c r="H66" s="57">
        <f t="array" ref="H66">IF($A66="","",SUMIF('主表 Stock_Transaction_Log'!$T:$T,INDEX('主表 Stock_Transaction_Log'!$T:$T,$A66),'主表 Stock_Transaction_Log'!$S:$S)+SUMIF('主表 Stock_Transaction_Log'!$AB:$AB,INDEX('主表 Stock_Transaction_Log'!$T:$T,$A66),'主表 Stock_Transaction_Log'!$AC:$AC))</f>
        <v>6</v>
      </c>
      <c r="I66" s="57" t="str">
        <f t="shared" si="1"/>
        <v>In Stock / 在库</v>
      </c>
      <c r="J66" s="57" t="str">
        <f t="shared" si="2"/>
        <v>Stock line / 库存明细</v>
      </c>
      <c r="K66" s="57" t="b">
        <f t="shared" si="3"/>
        <v>1</v>
      </c>
      <c r="L66" s="57" t="str">
        <f t="array" ref="L66">IF($A66="","",INDEX('主表 Stock_Transaction_Log'!$P:$P,$A66))</f>
        <v>New / 新机</v>
      </c>
      <c r="M66" s="57">
        <f>IF($A66="","",IF($H66&lt;=0,0,SUMIFS('主表 Stock_Transaction_Log'!$K$2:$K1000,'主表 Stock_Transaction_Log'!$C$2:$C1000,"Prepared",'主表 Stock_Transaction_Log'!$L$2:$L1000,$B66,'主表 Stock_Transaction_Log'!$F$2:$F1000,$C66,'主表 Stock_Transaction_Log'!$G$2:$G1000,$D66,'主表 Stock_Transaction_Log'!$P$2:$P1000,$L66)))</f>
        <v>0</v>
      </c>
      <c r="N66" s="57" t="s">
        <v>911</v>
      </c>
      <c r="O66" s="57">
        <f t="shared" si="4"/>
        <v>0</v>
      </c>
      <c r="P66" s="57">
        <f t="shared" si="5"/>
        <v>0</v>
      </c>
      <c r="Q66" s="57">
        <f t="shared" si="6"/>
        <v>0</v>
      </c>
      <c r="R66" s="57" t="str">
        <f t="shared" si="7"/>
        <v/>
      </c>
      <c r="S66" s="57" t="str">
        <f t="shared" si="8"/>
        <v>R1-4-4-M
Empty / 空</v>
      </c>
      <c r="T66" s="57" t="str">
        <f>IFERROR(__xludf.DUMMYFUNCTION("IF($N66="""","""",IF($O66=0,""Empty / 空"",IFERROR(LET(c,UNIQUE(FILTER($L$2:$L$500,$B$2:$B$500=$N66,$H$2:$H$500&gt;0,$L$2:$L$500&lt;&gt;"""")),IF(COUNTA(c)&gt;1,""Mixed / 混放: ""&amp;TEXTJOIN("" + "",TRUE,c),INDEX(c,1))),""Unclassified / 未分类"")))"),"Empty / 空")</f>
        <v>Empty / 空</v>
      </c>
      <c r="U66" s="58"/>
      <c r="V66" s="58"/>
      <c r="W66" s="58"/>
      <c r="X66" s="58"/>
      <c r="Y66" s="58"/>
      <c r="Z66" s="58"/>
      <c r="AA66" s="58"/>
    </row>
    <row r="67">
      <c r="A67" s="57">
        <f>IF('主表 Stock_Transaction_Log'!$T67="","",IF(COUNTIF('主表 Stock_Transaction_Log'!$T$2:$T67,'主表 Stock_Transaction_Log'!$T67)=1,ROW('主表 Stock_Transaction_Log'!$T67),""))</f>
        <v>67</v>
      </c>
      <c r="B67" s="57" t="str">
        <f t="array" ref="B67">IF($A67="","",INDEX('主表 Stock_Transaction_Log'!$Q:$Q,$A67))</f>
        <v>R2-3-4-L</v>
      </c>
      <c r="C67" s="57" t="str">
        <f t="array" ref="C67">IF($A67="","",IF(INDEX('主表 Stock_Transaction_Log'!$F:$F,$A67)=0,"",INDEX('主表 Stock_Transaction_Log'!$F:$F,$A67)))</f>
        <v/>
      </c>
      <c r="D67" s="57" t="str">
        <f t="array" ref="D67">IF($A67="","",INDEX('主表 Stock_Transaction_Log'!$G:$G,$A67))</f>
        <v>97-229-00021-00</v>
      </c>
      <c r="E67" s="57" t="str">
        <f t="array" ref="E67">IF($A67="","",INDEX('主表 Stock_Transaction_Log'!$H:$H,$A67))</f>
        <v>CQ6-S</v>
      </c>
      <c r="F67" s="57" t="str">
        <f t="array" ref="F67">IF($A67="","",INDEX('主表 Stock_Transaction_Log'!$I:$I,$A67))</f>
        <v>Product</v>
      </c>
      <c r="G67" s="57" t="str">
        <f t="array" ref="G67">IF($A67="","",IF(INDEX('主表 Stock_Transaction_Log'!$R:$R,$A67)=0,"",INDEX('主表 Stock_Transaction_Log'!$R:$R,$A67)))</f>
        <v/>
      </c>
      <c r="H67" s="57">
        <f t="array" ref="H67">IF($A67="","",SUMIF('主表 Stock_Transaction_Log'!$T:$T,INDEX('主表 Stock_Transaction_Log'!$T:$T,$A67),'主表 Stock_Transaction_Log'!$S:$S)+SUMIF('主表 Stock_Transaction_Log'!$AB:$AB,INDEX('主表 Stock_Transaction_Log'!$T:$T,$A67),'主表 Stock_Transaction_Log'!$AC:$AC))</f>
        <v>6</v>
      </c>
      <c r="I67" s="57" t="str">
        <f t="shared" si="1"/>
        <v>In Stock / 在库</v>
      </c>
      <c r="J67" s="57" t="str">
        <f t="shared" si="2"/>
        <v>Stock line / 库存明细</v>
      </c>
      <c r="K67" s="57" t="b">
        <f t="shared" si="3"/>
        <v>1</v>
      </c>
      <c r="L67" s="57" t="str">
        <f t="array" ref="L67">IF($A67="","",INDEX('主表 Stock_Transaction_Log'!$P:$P,$A67))</f>
        <v>New / 新机</v>
      </c>
      <c r="M67" s="57">
        <f>IF($A67="","",IF($H67&lt;=0,0,SUMIFS('主表 Stock_Transaction_Log'!$K$2:$K1000,'主表 Stock_Transaction_Log'!$C$2:$C1000,"Prepared",'主表 Stock_Transaction_Log'!$L$2:$L1000,$B67,'主表 Stock_Transaction_Log'!$F$2:$F1000,$C67,'主表 Stock_Transaction_Log'!$G$2:$G1000,$D67,'主表 Stock_Transaction_Log'!$P$2:$P1000,$L67)))</f>
        <v>0</v>
      </c>
      <c r="N67" s="57" t="s">
        <v>522</v>
      </c>
      <c r="O67" s="57">
        <f t="shared" si="4"/>
        <v>26</v>
      </c>
      <c r="P67" s="57">
        <f t="shared" si="5"/>
        <v>2</v>
      </c>
      <c r="Q67" s="57">
        <f t="shared" si="6"/>
        <v>2</v>
      </c>
      <c r="R67" s="57" t="str">
        <f t="shared" si="7"/>
        <v>Mix07</v>
      </c>
      <c r="S67" s="57" t="str">
        <f t="shared" si="8"/>
        <v>R1-4-4-R
Mixed / 混装: 2 SKUs
Container / 容器: Mix07
Qty / 数量: 26</v>
      </c>
      <c r="T67" s="57" t="str">
        <f>IFERROR(__xludf.DUMMYFUNCTION("IF($N67="""","""",IF($O67=0,""Empty / 空"",IFERROR(LET(c,UNIQUE(FILTER($L$2:$L$500,$B$2:$B$500=$N67,$H$2:$H$500&gt;0,$L$2:$L$500&lt;&gt;"""")),IF(COUNTA(c)&gt;1,""Mixed / 混放: ""&amp;TEXTJOIN("" + "",TRUE,c),INDEX(c,1))),""Unclassified / 未分类"")))"),"Material / 物料")</f>
        <v>Material / 物料</v>
      </c>
      <c r="U67" s="58"/>
      <c r="V67" s="58"/>
      <c r="W67" s="58"/>
      <c r="X67" s="58"/>
      <c r="Y67" s="58"/>
      <c r="Z67" s="58"/>
      <c r="AA67" s="58"/>
    </row>
    <row r="68">
      <c r="A68" s="57">
        <f>IF('主表 Stock_Transaction_Log'!$T68="","",IF(COUNTIF('主表 Stock_Transaction_Log'!$T$2:$T68,'主表 Stock_Transaction_Log'!$T68)=1,ROW('主表 Stock_Transaction_Log'!$T68),""))</f>
        <v>68</v>
      </c>
      <c r="B68" s="57" t="str">
        <f t="array" ref="B68">IF($A68="","",INDEX('主表 Stock_Transaction_Log'!$Q:$Q,$A68))</f>
        <v>R2-3-4-R</v>
      </c>
      <c r="C68" s="57" t="str">
        <f t="array" ref="C68">IF($A68="","",IF(INDEX('主表 Stock_Transaction_Log'!$F:$F,$A68)=0,"",INDEX('主表 Stock_Transaction_Log'!$F:$F,$A68)))</f>
        <v/>
      </c>
      <c r="D68" s="57" t="str">
        <f t="array" ref="D68">IF($A68="","",INDEX('主表 Stock_Transaction_Log'!$G:$G,$A68))</f>
        <v>97-229-00021-00</v>
      </c>
      <c r="E68" s="57" t="str">
        <f t="array" ref="E68">IF($A68="","",INDEX('主表 Stock_Transaction_Log'!$H:$H,$A68))</f>
        <v>CQ6-S</v>
      </c>
      <c r="F68" s="57" t="str">
        <f t="array" ref="F68">IF($A68="","",INDEX('主表 Stock_Transaction_Log'!$I:$I,$A68))</f>
        <v>Product</v>
      </c>
      <c r="G68" s="57" t="str">
        <f t="array" ref="G68">IF($A68="","",IF(INDEX('主表 Stock_Transaction_Log'!$R:$R,$A68)=0,"",INDEX('主表 Stock_Transaction_Log'!$R:$R,$A68)))</f>
        <v/>
      </c>
      <c r="H68" s="57">
        <f t="array" ref="H68">IF($A68="","",SUMIF('主表 Stock_Transaction_Log'!$T:$T,INDEX('主表 Stock_Transaction_Log'!$T:$T,$A68),'主表 Stock_Transaction_Log'!$S:$S)+SUMIF('主表 Stock_Transaction_Log'!$AB:$AB,INDEX('主表 Stock_Transaction_Log'!$T:$T,$A68),'主表 Stock_Transaction_Log'!$AC:$AC))</f>
        <v>6</v>
      </c>
      <c r="I68" s="57" t="str">
        <f t="shared" si="1"/>
        <v>In Stock / 在库</v>
      </c>
      <c r="J68" s="57" t="str">
        <f t="shared" si="2"/>
        <v>Stock line / 库存明细</v>
      </c>
      <c r="K68" s="57" t="b">
        <f t="shared" si="3"/>
        <v>1</v>
      </c>
      <c r="L68" s="57" t="str">
        <f t="array" ref="L68">IF($A68="","",INDEX('主表 Stock_Transaction_Log'!$P:$P,$A68))</f>
        <v>New / 新机</v>
      </c>
      <c r="M68" s="57">
        <f>IF($A68="","",IF($H68&lt;=0,0,SUMIFS('主表 Stock_Transaction_Log'!$K$2:$K1000,'主表 Stock_Transaction_Log'!$C$2:$C1000,"Prepared",'主表 Stock_Transaction_Log'!$L$2:$L1000,$B68,'主表 Stock_Transaction_Log'!$F$2:$F1000,$C68,'主表 Stock_Transaction_Log'!$G$2:$G1000,$D68,'主表 Stock_Transaction_Log'!$P$2:$P1000,$L68)))</f>
        <v>0</v>
      </c>
      <c r="N68" s="57" t="s">
        <v>748</v>
      </c>
      <c r="O68" s="57">
        <f t="shared" si="4"/>
        <v>99</v>
      </c>
      <c r="P68" s="57">
        <f t="shared" si="5"/>
        <v>1</v>
      </c>
      <c r="Q68" s="57">
        <f t="shared" si="6"/>
        <v>1</v>
      </c>
      <c r="R68" s="57" t="str">
        <f t="shared" si="7"/>
        <v/>
      </c>
      <c r="S68" s="57" t="str">
        <f t="shared" si="8"/>
        <v>R1-4-5-L
Qty / 数量: 99</v>
      </c>
      <c r="T68" s="57" t="str">
        <f>IFERROR(__xludf.DUMMYFUNCTION("IF($N68="""","""",IF($O68=0,""Empty / 空"",IFERROR(LET(c,UNIQUE(FILTER($L$2:$L$500,$B$2:$B$500=$N68,$H$2:$H$500&gt;0,$L$2:$L$500&lt;&gt;"""")),IF(COUNTA(c)&gt;1,""Mixed / 混放: ""&amp;TEXTJOIN("" + "",TRUE,c),INDEX(c,1))),""Unclassified / 未分类"")))"),"Material / 物料")</f>
        <v>Material / 物料</v>
      </c>
      <c r="U68" s="58"/>
      <c r="V68" s="58"/>
      <c r="W68" s="58"/>
      <c r="X68" s="58"/>
      <c r="Y68" s="58"/>
      <c r="Z68" s="58"/>
      <c r="AA68" s="58"/>
    </row>
    <row r="69">
      <c r="A69" s="57">
        <f>IF('主表 Stock_Transaction_Log'!$T69="","",IF(COUNTIF('主表 Stock_Transaction_Log'!$T$2:$T69,'主表 Stock_Transaction_Log'!$T69)=1,ROW('主表 Stock_Transaction_Log'!$T69),""))</f>
        <v>69</v>
      </c>
      <c r="B69" s="57" t="str">
        <f t="array" ref="B69">IF($A69="","",INDEX('主表 Stock_Transaction_Log'!$Q:$Q,$A69))</f>
        <v>R2-1-3-R</v>
      </c>
      <c r="C69" s="57" t="str">
        <f t="array" ref="C69">IF($A69="","",IF(INDEX('主表 Stock_Transaction_Log'!$F:$F,$A69)=0,"",INDEX('主表 Stock_Transaction_Log'!$F:$F,$A69)))</f>
        <v/>
      </c>
      <c r="D69" s="57" t="str">
        <f t="array" ref="D69">IF($A69="","",INDEX('主表 Stock_Transaction_Log'!$G:$G,$A69))</f>
        <v>坏机</v>
      </c>
      <c r="E69" s="57" t="str">
        <f t="array" ref="E69">IF($A69="","",INDEX('主表 Stock_Transaction_Log'!$H:$H,$A69))</f>
        <v>SKU not found</v>
      </c>
      <c r="F69" s="57" t="str">
        <f t="array" ref="F69">IF($A69="","",INDEX('主表 Stock_Transaction_Log'!$I:$I,$A69))</f>
        <v>Item type not found</v>
      </c>
      <c r="G69" s="57" t="str">
        <f t="array" ref="G69">IF($A69="","",IF(INDEX('主表 Stock_Transaction_Log'!$R:$R,$A69)=0,"",INDEX('主表 Stock_Transaction_Log'!$R:$R,$A69)))</f>
        <v/>
      </c>
      <c r="H69" s="57">
        <f t="array" ref="H69">IF($A69="","",SUMIF('主表 Stock_Transaction_Log'!$T:$T,INDEX('主表 Stock_Transaction_Log'!$T:$T,$A69),'主表 Stock_Transaction_Log'!$S:$S)+SUMIF('主表 Stock_Transaction_Log'!$AB:$AB,INDEX('主表 Stock_Transaction_Log'!$T:$T,$A69),'主表 Stock_Transaction_Log'!$AC:$AC))</f>
        <v>10</v>
      </c>
      <c r="I69" s="57" t="str">
        <f t="shared" si="1"/>
        <v>In Stock / 在库</v>
      </c>
      <c r="J69" s="57" t="str">
        <f t="shared" si="2"/>
        <v>Stock line / 库存明细</v>
      </c>
      <c r="K69" s="57" t="b">
        <f t="shared" si="3"/>
        <v>1</v>
      </c>
      <c r="L69" s="57" t="str">
        <f t="array" ref="L69">IF($A69="","",INDEX('主表 Stock_Transaction_Log'!$P:$P,$A69))</f>
        <v>Repair / 待修</v>
      </c>
      <c r="M69" s="57">
        <f>IF($A69="","",IF($H69&lt;=0,0,SUMIFS('主表 Stock_Transaction_Log'!$K$2:$K1000,'主表 Stock_Transaction_Log'!$C$2:$C1000,"Prepared",'主表 Stock_Transaction_Log'!$L$2:$L1000,$B69,'主表 Stock_Transaction_Log'!$F$2:$F1000,$C69,'主表 Stock_Transaction_Log'!$G$2:$G1000,$D69,'主表 Stock_Transaction_Log'!$P$2:$P1000,$L69)))</f>
        <v>0</v>
      </c>
      <c r="N69" s="57" t="s">
        <v>914</v>
      </c>
      <c r="O69" s="57">
        <f t="shared" si="4"/>
        <v>0</v>
      </c>
      <c r="P69" s="57">
        <f t="shared" si="5"/>
        <v>0</v>
      </c>
      <c r="Q69" s="57">
        <f t="shared" si="6"/>
        <v>0</v>
      </c>
      <c r="R69" s="57" t="str">
        <f t="shared" si="7"/>
        <v/>
      </c>
      <c r="S69" s="57" t="str">
        <f t="shared" si="8"/>
        <v>R1-4-5-M
Empty / 空</v>
      </c>
      <c r="T69" s="57" t="str">
        <f>IFERROR(__xludf.DUMMYFUNCTION("IF($N69="""","""",IF($O69=0,""Empty / 空"",IFERROR(LET(c,UNIQUE(FILTER($L$2:$L$500,$B$2:$B$500=$N69,$H$2:$H$500&gt;0,$L$2:$L$500&lt;&gt;"""")),IF(COUNTA(c)&gt;1,""Mixed / 混放: ""&amp;TEXTJOIN("" + "",TRUE,c),INDEX(c,1))),""Unclassified / 未分类"")))"),"Empty / 空")</f>
        <v>Empty / 空</v>
      </c>
      <c r="U69" s="58"/>
      <c r="V69" s="58"/>
      <c r="W69" s="58"/>
      <c r="X69" s="58"/>
      <c r="Y69" s="58"/>
      <c r="Z69" s="58"/>
      <c r="AA69" s="58"/>
    </row>
    <row r="70">
      <c r="A70" s="57">
        <f>IF('主表 Stock_Transaction_Log'!$T70="","",IF(COUNTIF('主表 Stock_Transaction_Log'!$T$2:$T70,'主表 Stock_Transaction_Log'!$T70)=1,ROW('主表 Stock_Transaction_Log'!$T70),""))</f>
        <v>70</v>
      </c>
      <c r="B70" s="57" t="str">
        <f t="array" ref="B70">IF($A70="","",INDEX('主表 Stock_Transaction_Log'!$Q:$Q,$A70))</f>
        <v>R2-4-3-R</v>
      </c>
      <c r="C70" s="57" t="str">
        <f t="array" ref="C70">IF($A70="","",IF(INDEX('主表 Stock_Transaction_Log'!$F:$F,$A70)=0,"",INDEX('主表 Stock_Transaction_Log'!$F:$F,$A70)))</f>
        <v/>
      </c>
      <c r="D70" s="57" t="str">
        <f t="array" ref="D70">IF($A70="","",INDEX('主表 Stock_Transaction_Log'!$G:$G,$A70))</f>
        <v>坏机</v>
      </c>
      <c r="E70" s="57" t="str">
        <f t="array" ref="E70">IF($A70="","",INDEX('主表 Stock_Transaction_Log'!$H:$H,$A70))</f>
        <v>SKU not found</v>
      </c>
      <c r="F70" s="57" t="str">
        <f t="array" ref="F70">IF($A70="","",INDEX('主表 Stock_Transaction_Log'!$I:$I,$A70))</f>
        <v>Item type not found</v>
      </c>
      <c r="G70" s="57" t="str">
        <f t="array" ref="G70">IF($A70="","",IF(INDEX('主表 Stock_Transaction_Log'!$R:$R,$A70)=0,"",INDEX('主表 Stock_Transaction_Log'!$R:$R,$A70)))</f>
        <v/>
      </c>
      <c r="H70" s="57">
        <f t="array" ref="H70">IF($A70="","",SUMIF('主表 Stock_Transaction_Log'!$T:$T,INDEX('主表 Stock_Transaction_Log'!$T:$T,$A70),'主表 Stock_Transaction_Log'!$S:$S)+SUMIF('主表 Stock_Transaction_Log'!$AB:$AB,INDEX('主表 Stock_Transaction_Log'!$T:$T,$A70),'主表 Stock_Transaction_Log'!$AC:$AC))</f>
        <v>7</v>
      </c>
      <c r="I70" s="57" t="str">
        <f t="shared" si="1"/>
        <v>In Stock / 在库</v>
      </c>
      <c r="J70" s="57" t="str">
        <f t="shared" si="2"/>
        <v>Stock line / 库存明细</v>
      </c>
      <c r="K70" s="57" t="b">
        <f t="shared" si="3"/>
        <v>1</v>
      </c>
      <c r="L70" s="57" t="str">
        <f t="array" ref="L70">IF($A70="","",INDEX('主表 Stock_Transaction_Log'!$P:$P,$A70))</f>
        <v>Repair / 待修</v>
      </c>
      <c r="M70" s="57">
        <f>IF($A70="","",IF($H70&lt;=0,0,SUMIFS('主表 Stock_Transaction_Log'!$K$2:$K1000,'主表 Stock_Transaction_Log'!$C$2:$C1000,"Prepared",'主表 Stock_Transaction_Log'!$L$2:$L1000,$B70,'主表 Stock_Transaction_Log'!$F$2:$F1000,$C70,'主表 Stock_Transaction_Log'!$G$2:$G1000,$D70,'主表 Stock_Transaction_Log'!$P$2:$P1000,$L70)))</f>
        <v>0</v>
      </c>
      <c r="N70" s="57" t="s">
        <v>527</v>
      </c>
      <c r="O70" s="57">
        <f t="shared" si="4"/>
        <v>99</v>
      </c>
      <c r="P70" s="57">
        <f t="shared" si="5"/>
        <v>1</v>
      </c>
      <c r="Q70" s="57">
        <f t="shared" si="6"/>
        <v>1</v>
      </c>
      <c r="R70" s="57" t="str">
        <f t="shared" si="7"/>
        <v/>
      </c>
      <c r="S70" s="57" t="str">
        <f t="shared" si="8"/>
        <v>R1-4-5-R
物料
Qty / 数量: 99</v>
      </c>
      <c r="T70" s="57" t="str">
        <f>IFERROR(__xludf.DUMMYFUNCTION("IF($N70="""","""",IF($O70=0,""Empty / 空"",IFERROR(LET(c,UNIQUE(FILTER($L$2:$L$500,$B$2:$B$500=$N70,$H$2:$H$500&gt;0,$L$2:$L$500&lt;&gt;"""")),IF(COUNTA(c)&gt;1,""Mixed / 混放: ""&amp;TEXTJOIN("" + "",TRUE,c),INDEX(c,1))),""Unclassified / 未分类"")))"),"Material / 物料")</f>
        <v>Material / 物料</v>
      </c>
      <c r="U70" s="58"/>
      <c r="V70" s="58"/>
      <c r="W70" s="58"/>
      <c r="X70" s="58"/>
      <c r="Y70" s="58"/>
      <c r="Z70" s="58"/>
      <c r="AA70" s="58"/>
    </row>
    <row r="71">
      <c r="A71" s="57">
        <f>IF('主表 Stock_Transaction_Log'!$T71="","",IF(COUNTIF('主表 Stock_Transaction_Log'!$T$2:$T71,'主表 Stock_Transaction_Log'!$T71)=1,ROW('主表 Stock_Transaction_Log'!$T71),""))</f>
        <v>71</v>
      </c>
      <c r="B71" s="57" t="str">
        <f t="array" ref="B71">IF($A71="","",INDEX('主表 Stock_Transaction_Log'!$Q:$Q,$A71))</f>
        <v>R2-4-3-L</v>
      </c>
      <c r="C71" s="57" t="str">
        <f t="array" ref="C71">IF($A71="","",IF(INDEX('主表 Stock_Transaction_Log'!$F:$F,$A71)=0,"",INDEX('主表 Stock_Transaction_Log'!$F:$F,$A71)))</f>
        <v/>
      </c>
      <c r="D71" s="57" t="str">
        <f t="array" ref="D71">IF($A71="","",INDEX('主表 Stock_Transaction_Log'!$G:$G,$A71))</f>
        <v>坏机</v>
      </c>
      <c r="E71" s="57" t="str">
        <f t="array" ref="E71">IF($A71="","",INDEX('主表 Stock_Transaction_Log'!$H:$H,$A71))</f>
        <v>SKU not found</v>
      </c>
      <c r="F71" s="57" t="str">
        <f t="array" ref="F71">IF($A71="","",INDEX('主表 Stock_Transaction_Log'!$I:$I,$A71))</f>
        <v>Item type not found</v>
      </c>
      <c r="G71" s="57" t="str">
        <f t="array" ref="G71">IF($A71="","",IF(INDEX('主表 Stock_Transaction_Log'!$R:$R,$A71)=0,"",INDEX('主表 Stock_Transaction_Log'!$R:$R,$A71)))</f>
        <v/>
      </c>
      <c r="H71" s="57">
        <f t="array" ref="H71">IF($A71="","",SUMIF('主表 Stock_Transaction_Log'!$T:$T,INDEX('主表 Stock_Transaction_Log'!$T:$T,$A71),'主表 Stock_Transaction_Log'!$S:$S)+SUMIF('主表 Stock_Transaction_Log'!$AB:$AB,INDEX('主表 Stock_Transaction_Log'!$T:$T,$A71),'主表 Stock_Transaction_Log'!$AC:$AC))</f>
        <v>8</v>
      </c>
      <c r="I71" s="57" t="str">
        <f t="shared" si="1"/>
        <v>In Stock / 在库</v>
      </c>
      <c r="J71" s="57" t="str">
        <f t="shared" si="2"/>
        <v>Stock line / 库存明细</v>
      </c>
      <c r="K71" s="57" t="b">
        <f t="shared" si="3"/>
        <v>1</v>
      </c>
      <c r="L71" s="57" t="str">
        <f t="array" ref="L71">IF($A71="","",INDEX('主表 Stock_Transaction_Log'!$P:$P,$A71))</f>
        <v>Repair / 待修</v>
      </c>
      <c r="M71" s="57">
        <f>IF($A71="","",IF($H71&lt;=0,0,SUMIFS('主表 Stock_Transaction_Log'!$K$2:$K1000,'主表 Stock_Transaction_Log'!$C$2:$C1000,"Prepared",'主表 Stock_Transaction_Log'!$L$2:$L1000,$B71,'主表 Stock_Transaction_Log'!$F$2:$F1000,$C71,'主表 Stock_Transaction_Log'!$G$2:$G1000,$D71,'主表 Stock_Transaction_Log'!$P$2:$P1000,$L71)))</f>
        <v>0</v>
      </c>
      <c r="N71" s="57" t="s">
        <v>546</v>
      </c>
      <c r="O71" s="57">
        <f t="shared" si="4"/>
        <v>99</v>
      </c>
      <c r="P71" s="57">
        <f t="shared" si="5"/>
        <v>1</v>
      </c>
      <c r="Q71" s="57">
        <f t="shared" si="6"/>
        <v>1</v>
      </c>
      <c r="R71" s="57" t="str">
        <f t="shared" si="7"/>
        <v/>
      </c>
      <c r="S71" s="57" t="str">
        <f t="shared" si="8"/>
        <v>R1-4-6-L
物料
Qty / 数量: 99</v>
      </c>
      <c r="T71" s="57" t="str">
        <f>IFERROR(__xludf.DUMMYFUNCTION("IF($N71="""","""",IF($O71=0,""Empty / 空"",IFERROR(LET(c,UNIQUE(FILTER($L$2:$L$500,$B$2:$B$500=$N71,$H$2:$H$500&gt;0,$L$2:$L$500&lt;&gt;"""")),IF(COUNTA(c)&gt;1,""Mixed / 混放: ""&amp;TEXTJOIN("" + "",TRUE,c),INDEX(c,1))),""Unclassified / 未分类"")))"),"Material / 物料")</f>
        <v>Material / 物料</v>
      </c>
      <c r="U71" s="58"/>
      <c r="V71" s="58"/>
      <c r="W71" s="58"/>
      <c r="X71" s="58"/>
      <c r="Y71" s="58"/>
      <c r="Z71" s="58"/>
      <c r="AA71" s="58"/>
    </row>
    <row r="72">
      <c r="A72" s="57">
        <f>IF('主表 Stock_Transaction_Log'!$T72="","",IF(COUNTIF('主表 Stock_Transaction_Log'!$T$2:$T72,'主表 Stock_Transaction_Log'!$T72)=1,ROW('主表 Stock_Transaction_Log'!$T72),""))</f>
        <v>72</v>
      </c>
      <c r="B72" s="57" t="str">
        <f t="array" ref="B72">IF($A72="","",INDEX('主表 Stock_Transaction_Log'!$Q:$Q,$A72))</f>
        <v>R2-3-3-R</v>
      </c>
      <c r="C72" s="57" t="str">
        <f t="array" ref="C72">IF($A72="","",IF(INDEX('主表 Stock_Transaction_Log'!$F:$F,$A72)=0,"",INDEX('主表 Stock_Transaction_Log'!$F:$F,$A72)))</f>
        <v/>
      </c>
      <c r="D72" s="57" t="str">
        <f t="array" ref="D72">IF($A72="","",INDEX('主表 Stock_Transaction_Log'!$G:$G,$A72))</f>
        <v>坏机</v>
      </c>
      <c r="E72" s="57" t="str">
        <f t="array" ref="E72">IF($A72="","",INDEX('主表 Stock_Transaction_Log'!$H:$H,$A72))</f>
        <v>SKU not found</v>
      </c>
      <c r="F72" s="57" t="str">
        <f t="array" ref="F72">IF($A72="","",INDEX('主表 Stock_Transaction_Log'!$I:$I,$A72))</f>
        <v>Item type not found</v>
      </c>
      <c r="G72" s="57" t="str">
        <f t="array" ref="G72">IF($A72="","",IF(INDEX('主表 Stock_Transaction_Log'!$R:$R,$A72)=0,"",INDEX('主表 Stock_Transaction_Log'!$R:$R,$A72)))</f>
        <v/>
      </c>
      <c r="H72" s="57">
        <f t="array" ref="H72">IF($A72="","",SUMIF('主表 Stock_Transaction_Log'!$T:$T,INDEX('主表 Stock_Transaction_Log'!$T:$T,$A72),'主表 Stock_Transaction_Log'!$S:$S)+SUMIF('主表 Stock_Transaction_Log'!$AB:$AB,INDEX('主表 Stock_Transaction_Log'!$T:$T,$A72),'主表 Stock_Transaction_Log'!$AC:$AC))</f>
        <v>6</v>
      </c>
      <c r="I72" s="57" t="str">
        <f t="shared" si="1"/>
        <v>In Stock / 在库</v>
      </c>
      <c r="J72" s="57" t="str">
        <f t="shared" si="2"/>
        <v>Stock line / 库存明细</v>
      </c>
      <c r="K72" s="57" t="b">
        <f t="shared" si="3"/>
        <v>1</v>
      </c>
      <c r="L72" s="57" t="str">
        <f t="array" ref="L72">IF($A72="","",INDEX('主表 Stock_Transaction_Log'!$P:$P,$A72))</f>
        <v>Repair / 待修</v>
      </c>
      <c r="M72" s="57">
        <f>IF($A72="","",IF($H72&lt;=0,0,SUMIFS('主表 Stock_Transaction_Log'!$K$2:$K1000,'主表 Stock_Transaction_Log'!$C$2:$C1000,"Prepared",'主表 Stock_Transaction_Log'!$L$2:$L1000,$B72,'主表 Stock_Transaction_Log'!$F$2:$F1000,$C72,'主表 Stock_Transaction_Log'!$G$2:$G1000,$D72,'主表 Stock_Transaction_Log'!$P$2:$P1000,$L72)))</f>
        <v>0</v>
      </c>
      <c r="N72" s="57" t="s">
        <v>548</v>
      </c>
      <c r="O72" s="57">
        <f t="shared" si="4"/>
        <v>99</v>
      </c>
      <c r="P72" s="57">
        <f t="shared" si="5"/>
        <v>1</v>
      </c>
      <c r="Q72" s="57">
        <f t="shared" si="6"/>
        <v>1</v>
      </c>
      <c r="R72" s="57" t="str">
        <f t="shared" si="7"/>
        <v/>
      </c>
      <c r="S72" s="57" t="str">
        <f t="shared" si="8"/>
        <v>R1-4-6-M
物料
Qty / 数量: 99</v>
      </c>
      <c r="T72" s="57" t="str">
        <f>IFERROR(__xludf.DUMMYFUNCTION("IF($N72="""","""",IF($O72=0,""Empty / 空"",IFERROR(LET(c,UNIQUE(FILTER($L$2:$L$500,$B$2:$B$500=$N72,$H$2:$H$500&gt;0,$L$2:$L$500&lt;&gt;"""")),IF(COUNTA(c)&gt;1,""Mixed / 混放: ""&amp;TEXTJOIN("" + "",TRUE,c),INDEX(c,1))),""Unclassified / 未分类"")))"),"Material / 物料")</f>
        <v>Material / 物料</v>
      </c>
      <c r="U72" s="58"/>
      <c r="V72" s="58"/>
      <c r="W72" s="58"/>
      <c r="X72" s="58"/>
      <c r="Y72" s="58"/>
      <c r="Z72" s="58"/>
      <c r="AA72" s="58"/>
    </row>
    <row r="73">
      <c r="A73" s="57">
        <f>IF('主表 Stock_Transaction_Log'!$T73="","",IF(COUNTIF('主表 Stock_Transaction_Log'!$T$2:$T73,'主表 Stock_Transaction_Log'!$T73)=1,ROW('主表 Stock_Transaction_Log'!$T73),""))</f>
        <v>73</v>
      </c>
      <c r="B73" s="57" t="str">
        <f t="array" ref="B73">IF($A73="","",INDEX('主表 Stock_Transaction_Log'!$Q:$Q,$A73))</f>
        <v>R2-1-3-L</v>
      </c>
      <c r="C73" s="57" t="str">
        <f t="array" ref="C73">IF($A73="","",IF(INDEX('主表 Stock_Transaction_Log'!$F:$F,$A73)=0,"",INDEX('主表 Stock_Transaction_Log'!$F:$F,$A73)))</f>
        <v/>
      </c>
      <c r="D73" s="57" t="str">
        <f t="array" ref="D73">IF($A73="","",INDEX('主表 Stock_Transaction_Log'!$G:$G,$A73))</f>
        <v>坏机</v>
      </c>
      <c r="E73" s="57" t="str">
        <f t="array" ref="E73">IF($A73="","",INDEX('主表 Stock_Transaction_Log'!$H:$H,$A73))</f>
        <v>SKU not found</v>
      </c>
      <c r="F73" s="57" t="str">
        <f t="array" ref="F73">IF($A73="","",INDEX('主表 Stock_Transaction_Log'!$I:$I,$A73))</f>
        <v>Item type not found</v>
      </c>
      <c r="G73" s="57" t="str">
        <f t="array" ref="G73">IF($A73="","",IF(INDEX('主表 Stock_Transaction_Log'!$R:$R,$A73)=0,"",INDEX('主表 Stock_Transaction_Log'!$R:$R,$A73)))</f>
        <v/>
      </c>
      <c r="H73" s="57">
        <f t="array" ref="H73">IF($A73="","",SUMIF('主表 Stock_Transaction_Log'!$T:$T,INDEX('主表 Stock_Transaction_Log'!$T:$T,$A73),'主表 Stock_Transaction_Log'!$S:$S)+SUMIF('主表 Stock_Transaction_Log'!$AB:$AB,INDEX('主表 Stock_Transaction_Log'!$T:$T,$A73),'主表 Stock_Transaction_Log'!$AC:$AC))</f>
        <v>3</v>
      </c>
      <c r="I73" s="57" t="str">
        <f t="shared" si="1"/>
        <v>In Stock / 在库</v>
      </c>
      <c r="J73" s="57" t="str">
        <f t="shared" si="2"/>
        <v>Stock line / 库存明细</v>
      </c>
      <c r="K73" s="57" t="b">
        <f t="shared" si="3"/>
        <v>1</v>
      </c>
      <c r="L73" s="57" t="str">
        <f t="array" ref="L73">IF($A73="","",INDEX('主表 Stock_Transaction_Log'!$P:$P,$A73))</f>
        <v>Repair / 待修</v>
      </c>
      <c r="M73" s="57">
        <f>IF($A73="","",IF($H73&lt;=0,0,SUMIFS('主表 Stock_Transaction_Log'!$K$2:$K1000,'主表 Stock_Transaction_Log'!$C$2:$C1000,"Prepared",'主表 Stock_Transaction_Log'!$L$2:$L1000,$B73,'主表 Stock_Transaction_Log'!$F$2:$F1000,$C73,'主表 Stock_Transaction_Log'!$G$2:$G1000,$D73,'主表 Stock_Transaction_Log'!$P$2:$P1000,$L73)))</f>
        <v>0</v>
      </c>
      <c r="N73" s="57" t="s">
        <v>550</v>
      </c>
      <c r="O73" s="57">
        <f t="shared" si="4"/>
        <v>99</v>
      </c>
      <c r="P73" s="57">
        <f t="shared" si="5"/>
        <v>1</v>
      </c>
      <c r="Q73" s="57">
        <f t="shared" si="6"/>
        <v>1</v>
      </c>
      <c r="R73" s="57" t="str">
        <f t="shared" si="7"/>
        <v/>
      </c>
      <c r="S73" s="57" t="str">
        <f t="shared" si="8"/>
        <v>R1-4-6-R
物料
Qty / 数量: 99</v>
      </c>
      <c r="T73" s="57" t="str">
        <f>IFERROR(__xludf.DUMMYFUNCTION("IF($N73="""","""",IF($O73=0,""Empty / 空"",IFERROR(LET(c,UNIQUE(FILTER($L$2:$L$500,$B$2:$B$500=$N73,$H$2:$H$500&gt;0,$L$2:$L$500&lt;&gt;"""")),IF(COUNTA(c)&gt;1,""Mixed / 混放: ""&amp;TEXTJOIN("" + "",TRUE,c),INDEX(c,1))),""Unclassified / 未分类"")))"),"Material / 物料")</f>
        <v>Material / 物料</v>
      </c>
      <c r="U73" s="58"/>
      <c r="V73" s="58"/>
      <c r="W73" s="58"/>
      <c r="X73" s="58"/>
      <c r="Y73" s="58"/>
      <c r="Z73" s="58"/>
      <c r="AA73" s="58"/>
    </row>
    <row r="74">
      <c r="A74" s="57">
        <f>IF('主表 Stock_Transaction_Log'!$T74="","",IF(COUNTIF('主表 Stock_Transaction_Log'!$T$2:$T74,'主表 Stock_Transaction_Log'!$T74)=1,ROW('主表 Stock_Transaction_Log'!$T74),""))</f>
        <v>74</v>
      </c>
      <c r="B74" s="57" t="str">
        <f t="array" ref="B74">IF($A74="","",INDEX('主表 Stock_Transaction_Log'!$Q:$Q,$A74))</f>
        <v>R2-2-3-R</v>
      </c>
      <c r="C74" s="57" t="str">
        <f t="array" ref="C74">IF($A74="","",IF(INDEX('主表 Stock_Transaction_Log'!$F:$F,$A74)=0,"",INDEX('主表 Stock_Transaction_Log'!$F:$F,$A74)))</f>
        <v/>
      </c>
      <c r="D74" s="57" t="str">
        <f t="array" ref="D74">IF($A74="","",INDEX('主表 Stock_Transaction_Log'!$G:$G,$A74))</f>
        <v>坏机</v>
      </c>
      <c r="E74" s="57" t="str">
        <f t="array" ref="E74">IF($A74="","",INDEX('主表 Stock_Transaction_Log'!$H:$H,$A74))</f>
        <v>SKU not found</v>
      </c>
      <c r="F74" s="57" t="str">
        <f t="array" ref="F74">IF($A74="","",INDEX('主表 Stock_Transaction_Log'!$I:$I,$A74))</f>
        <v>Item type not found</v>
      </c>
      <c r="G74" s="57" t="str">
        <f t="array" ref="G74">IF($A74="","",IF(INDEX('主表 Stock_Transaction_Log'!$R:$R,$A74)=0,"",INDEX('主表 Stock_Transaction_Log'!$R:$R,$A74)))</f>
        <v/>
      </c>
      <c r="H74" s="57">
        <f t="array" ref="H74">IF($A74="","",SUMIF('主表 Stock_Transaction_Log'!$T:$T,INDEX('主表 Stock_Transaction_Log'!$T:$T,$A74),'主表 Stock_Transaction_Log'!$S:$S)+SUMIF('主表 Stock_Transaction_Log'!$AB:$AB,INDEX('主表 Stock_Transaction_Log'!$T:$T,$A74),'主表 Stock_Transaction_Log'!$AC:$AC))</f>
        <v>5</v>
      </c>
      <c r="I74" s="57" t="str">
        <f t="shared" si="1"/>
        <v>In Stock / 在库</v>
      </c>
      <c r="J74" s="57" t="str">
        <f t="shared" si="2"/>
        <v>Stock line / 库存明细</v>
      </c>
      <c r="K74" s="57" t="b">
        <f t="shared" si="3"/>
        <v>1</v>
      </c>
      <c r="L74" s="57" t="str">
        <f t="array" ref="L74">IF($A74="","",INDEX('主表 Stock_Transaction_Log'!$P:$P,$A74))</f>
        <v>Repair / 待修</v>
      </c>
      <c r="M74" s="57">
        <f>IF($A74="","",IF($H74&lt;=0,0,SUMIFS('主表 Stock_Transaction_Log'!$K$2:$K1000,'主表 Stock_Transaction_Log'!$C$2:$C1000,"Prepared",'主表 Stock_Transaction_Log'!$L$2:$L1000,$B74,'主表 Stock_Transaction_Log'!$F$2:$F1000,$C74,'主表 Stock_Transaction_Log'!$G$2:$G1000,$D74,'主表 Stock_Transaction_Log'!$P$2:$P1000,$L74)))</f>
        <v>0</v>
      </c>
      <c r="N74" s="57" t="s">
        <v>805</v>
      </c>
      <c r="O74" s="57">
        <f t="shared" si="4"/>
        <v>99</v>
      </c>
      <c r="P74" s="57">
        <f t="shared" si="5"/>
        <v>1</v>
      </c>
      <c r="Q74" s="57">
        <f t="shared" si="6"/>
        <v>1</v>
      </c>
      <c r="R74" s="57" t="str">
        <f t="shared" si="7"/>
        <v/>
      </c>
      <c r="S74" s="57" t="str">
        <f t="shared" si="8"/>
        <v>R2-1-1-L
坏机
Qty / 数量: 99</v>
      </c>
      <c r="T74" s="57" t="str">
        <f>IFERROR(__xludf.DUMMYFUNCTION("IF($N74="""","""",IF($O74=0,""Empty / 空"",IFERROR(LET(c,UNIQUE(FILTER($L$2:$L$500,$B$2:$B$500=$N74,$H$2:$H$500&gt;0,$L$2:$L$500&lt;&gt;"""")),IF(COUNTA(c)&gt;1,""Mixed / 混放: ""&amp;TEXTJOIN("" + "",TRUE,c),INDEX(c,1))),""Unclassified / 未分类"")))"),"Repair / 待修")</f>
        <v>Repair / 待修</v>
      </c>
      <c r="U74" s="58"/>
      <c r="V74" s="58"/>
      <c r="W74" s="58"/>
      <c r="X74" s="58"/>
      <c r="Y74" s="58"/>
      <c r="Z74" s="58"/>
      <c r="AA74" s="58"/>
    </row>
    <row r="75">
      <c r="A75" s="57">
        <f>IF('主表 Stock_Transaction_Log'!$T75="","",IF(COUNTIF('主表 Stock_Transaction_Log'!$T$2:$T75,'主表 Stock_Transaction_Log'!$T75)=1,ROW('主表 Stock_Transaction_Log'!$T75),""))</f>
        <v>75</v>
      </c>
      <c r="B75" s="57" t="str">
        <f t="array" ref="B75">IF($A75="","",INDEX('主表 Stock_Transaction_Log'!$Q:$Q,$A75))</f>
        <v>R1-2-5-L</v>
      </c>
      <c r="C75" s="57" t="str">
        <f t="array" ref="C75">IF($A75="","",IF(INDEX('主表 Stock_Transaction_Log'!$F:$F,$A75)=0,"",INDEX('主表 Stock_Transaction_Log'!$F:$F,$A75)))</f>
        <v>Mix06</v>
      </c>
      <c r="D75" s="57" t="str">
        <f t="array" ref="D75">IF($A75="","",INDEX('主表 Stock_Transaction_Log'!$G:$G,$A75))</f>
        <v>98-051-00105-00</v>
      </c>
      <c r="E75" s="57" t="str">
        <f t="array" ref="E75">IF($A75="","",INDEX('主表 Stock_Transaction_Log'!$H:$H,$A75))</f>
        <v>线束半成品 功率线 62930 IEC 131 1×25.0 mm² 红色 DC1500V 90℃ VW-1 CQ6-安费诺-正极外部动力线-光伏线5米甩空</v>
      </c>
      <c r="F75" s="57" t="str">
        <f t="array" ref="F75">IF($A75="","",INDEX('主表 Stock_Transaction_Log'!$I:$I,$A75))</f>
        <v>Material</v>
      </c>
      <c r="G75" s="57" t="str">
        <f t="array" ref="G75">IF($A75="","",IF(INDEX('主表 Stock_Transaction_Log'!$R:$R,$A75)=0,"",INDEX('主表 Stock_Transaction_Log'!$R:$R,$A75)))</f>
        <v/>
      </c>
      <c r="H75" s="57">
        <f t="array" ref="H75">IF($A75="","",SUMIF('主表 Stock_Transaction_Log'!$T:$T,INDEX('主表 Stock_Transaction_Log'!$T:$T,$A75),'主表 Stock_Transaction_Log'!$S:$S)+SUMIF('主表 Stock_Transaction_Log'!$AB:$AB,INDEX('主表 Stock_Transaction_Log'!$T:$T,$A75),'主表 Stock_Transaction_Log'!$AC:$AC))</f>
        <v>72</v>
      </c>
      <c r="I75" s="57" t="str">
        <f t="shared" si="1"/>
        <v>In Stock / 在库</v>
      </c>
      <c r="J75" s="57" t="str">
        <f t="shared" si="2"/>
        <v>Container detail / 容器明细</v>
      </c>
      <c r="K75" s="57" t="b">
        <f t="shared" si="3"/>
        <v>1</v>
      </c>
      <c r="L75" s="57" t="str">
        <f t="array" ref="L75">IF($A75="","",INDEX('主表 Stock_Transaction_Log'!$P:$P,$A75))</f>
        <v>Material / 物料</v>
      </c>
      <c r="M75" s="57">
        <f>IF($A75="","",IF($H75&lt;=0,0,SUMIFS('主表 Stock_Transaction_Log'!$K$2:$K1000,'主表 Stock_Transaction_Log'!$C$2:$C1000,"Prepared",'主表 Stock_Transaction_Log'!$L$2:$L1000,$B75,'主表 Stock_Transaction_Log'!$F$2:$F1000,$C75,'主表 Stock_Transaction_Log'!$G$2:$G1000,$D75,'主表 Stock_Transaction_Log'!$P$2:$P1000,$L75)))</f>
        <v>0</v>
      </c>
      <c r="N75" s="57" t="s">
        <v>922</v>
      </c>
      <c r="O75" s="57">
        <f t="shared" si="4"/>
        <v>0</v>
      </c>
      <c r="P75" s="57">
        <f t="shared" si="5"/>
        <v>0</v>
      </c>
      <c r="Q75" s="57">
        <f t="shared" si="6"/>
        <v>0</v>
      </c>
      <c r="R75" s="57" t="str">
        <f t="shared" si="7"/>
        <v/>
      </c>
      <c r="S75" s="57" t="str">
        <f t="shared" si="8"/>
        <v>R2-1-1-M
Empty / 空</v>
      </c>
      <c r="T75" s="57" t="str">
        <f>IFERROR(__xludf.DUMMYFUNCTION("IF($N75="""","""",IF($O75=0,""Empty / 空"",IFERROR(LET(c,UNIQUE(FILTER($L$2:$L$500,$B$2:$B$500=$N75,$H$2:$H$500&gt;0,$L$2:$L$500&lt;&gt;"""")),IF(COUNTA(c)&gt;1,""Mixed / 混放: ""&amp;TEXTJOIN("" + "",TRUE,c),INDEX(c,1))),""Unclassified / 未分类"")))"),"Empty / 空")</f>
        <v>Empty / 空</v>
      </c>
      <c r="U75" s="58"/>
      <c r="V75" s="58"/>
      <c r="W75" s="58"/>
      <c r="X75" s="58"/>
      <c r="Y75" s="58"/>
      <c r="Z75" s="58"/>
      <c r="AA75" s="58"/>
    </row>
    <row r="76">
      <c r="A76" s="57">
        <f>IF('主表 Stock_Transaction_Log'!$T76="","",IF(COUNTIF('主表 Stock_Transaction_Log'!$T$2:$T76,'主表 Stock_Transaction_Log'!$T76)=1,ROW('主表 Stock_Transaction_Log'!$T76),""))</f>
        <v>76</v>
      </c>
      <c r="B76" s="57" t="str">
        <f t="array" ref="B76">IF($A76="","",INDEX('主表 Stock_Transaction_Log'!$Q:$Q,$A76))</f>
        <v>R1-2-5-L</v>
      </c>
      <c r="C76" s="57" t="str">
        <f t="array" ref="C76">IF($A76="","",IF(INDEX('主表 Stock_Transaction_Log'!$F:$F,$A76)=0,"",INDEX('主表 Stock_Transaction_Log'!$F:$F,$A76)))</f>
        <v>Mix06</v>
      </c>
      <c r="D76" s="57" t="str">
        <f t="array" ref="D76">IF($A76="","",INDEX('主表 Stock_Transaction_Log'!$G:$G,$A76))</f>
        <v>98-051-00106-00</v>
      </c>
      <c r="E76" s="57" t="str">
        <f t="array" ref="E76">IF($A76="","",INDEX('主表 Stock_Transaction_Log'!$H:$H,$A76))</f>
        <v>线束半成品 功率线 62930 IEC 131 1×25.0 mm² 黑色 DC1500V 90℃ VW-1 CQ6-安费诺-负极外部动力线-光伏线5米甩空</v>
      </c>
      <c r="F76" s="57" t="str">
        <f t="array" ref="F76">IF($A76="","",INDEX('主表 Stock_Transaction_Log'!$I:$I,$A76))</f>
        <v>Material</v>
      </c>
      <c r="G76" s="57" t="str">
        <f t="array" ref="G76">IF($A76="","",IF(INDEX('主表 Stock_Transaction_Log'!$R:$R,$A76)=0,"",INDEX('主表 Stock_Transaction_Log'!$R:$R,$A76)))</f>
        <v/>
      </c>
      <c r="H76" s="57">
        <f t="array" ref="H76">IF($A76="","",SUMIF('主表 Stock_Transaction_Log'!$T:$T,INDEX('主表 Stock_Transaction_Log'!$T:$T,$A76),'主表 Stock_Transaction_Log'!$S:$S)+SUMIF('主表 Stock_Transaction_Log'!$AB:$AB,INDEX('主表 Stock_Transaction_Log'!$T:$T,$A76),'主表 Stock_Transaction_Log'!$AC:$AC))</f>
        <v>94</v>
      </c>
      <c r="I76" s="57" t="str">
        <f t="shared" si="1"/>
        <v>In Stock / 在库</v>
      </c>
      <c r="J76" s="57" t="str">
        <f t="shared" si="2"/>
        <v>Container detail / 容器明细</v>
      </c>
      <c r="K76" s="57" t="b">
        <f t="shared" si="3"/>
        <v>1</v>
      </c>
      <c r="L76" s="57" t="str">
        <f t="array" ref="L76">IF($A76="","",INDEX('主表 Stock_Transaction_Log'!$P:$P,$A76))</f>
        <v>Material / 物料</v>
      </c>
      <c r="M76" s="57">
        <f>IF($A76="","",IF($H76&lt;=0,0,SUMIFS('主表 Stock_Transaction_Log'!$K$2:$K1000,'主表 Stock_Transaction_Log'!$C$2:$C1000,"Prepared",'主表 Stock_Transaction_Log'!$L$2:$L1000,$B76,'主表 Stock_Transaction_Log'!$F$2:$F1000,$C76,'主表 Stock_Transaction_Log'!$G$2:$G1000,$D76,'主表 Stock_Transaction_Log'!$P$2:$P1000,$L76)))</f>
        <v>0</v>
      </c>
      <c r="N76" s="57" t="s">
        <v>810</v>
      </c>
      <c r="O76" s="57">
        <f t="shared" si="4"/>
        <v>99</v>
      </c>
      <c r="P76" s="57">
        <f t="shared" si="5"/>
        <v>1</v>
      </c>
      <c r="Q76" s="57">
        <f t="shared" si="6"/>
        <v>1</v>
      </c>
      <c r="R76" s="57" t="str">
        <f t="shared" si="7"/>
        <v/>
      </c>
      <c r="S76" s="57" t="str">
        <f t="shared" si="8"/>
        <v>R2-1-1-R
坏机
Qty / 数量: 99</v>
      </c>
      <c r="T76" s="57" t="str">
        <f>IFERROR(__xludf.DUMMYFUNCTION("IF($N76="""","""",IF($O76=0,""Empty / 空"",IFERROR(LET(c,UNIQUE(FILTER($L$2:$L$500,$B$2:$B$500=$N76,$H$2:$H$500&gt;0,$L$2:$L$500&lt;&gt;"""")),IF(COUNTA(c)&gt;1,""Mixed / 混放: ""&amp;TEXTJOIN("" + "",TRUE,c),INDEX(c,1))),""Unclassified / 未分类"")))"),"Repair / 待修")</f>
        <v>Repair / 待修</v>
      </c>
      <c r="U76" s="58"/>
      <c r="V76" s="58"/>
      <c r="W76" s="58"/>
      <c r="X76" s="58"/>
      <c r="Y76" s="58"/>
      <c r="Z76" s="58"/>
      <c r="AA76" s="58"/>
    </row>
    <row r="77">
      <c r="A77" s="57">
        <f>IF('主表 Stock_Transaction_Log'!$T77="","",IF(COUNTIF('主表 Stock_Transaction_Log'!$T$2:$T77,'主表 Stock_Transaction_Log'!$T77)=1,ROW('主表 Stock_Transaction_Log'!$T77),""))</f>
        <v>77</v>
      </c>
      <c r="B77" s="57" t="str">
        <f t="array" ref="B77">IF($A77="","",INDEX('主表 Stock_Transaction_Log'!$Q:$Q,$A77))</f>
        <v>R1-2-5-R</v>
      </c>
      <c r="C77" s="57" t="str">
        <f t="array" ref="C77">IF($A77="","",IF(INDEX('主表 Stock_Transaction_Log'!$F:$F,$A77)=0,"",INDEX('主表 Stock_Transaction_Log'!$F:$F,$A77)))</f>
        <v/>
      </c>
      <c r="D77" s="57" t="str">
        <f t="array" ref="D77">IF($A77="","",INDEX('主表 Stock_Transaction_Log'!$G:$G,$A77))</f>
        <v>20-051-00080-00</v>
      </c>
      <c r="E77" s="57" t="str">
        <f t="array" ref="E77">IF($A77="","",INDEX('主表 Stock_Transaction_Log'!$H:$H,$A77))</f>
        <v>线束半成品 功率线 62930 IEC 131 1x16.0 mm² 红/黑 DC1500V 90℃ VW-1 CQ6-安费诺-正负极外部动力线-光伏线5米PV</v>
      </c>
      <c r="F77" s="57" t="str">
        <f t="array" ref="F77">IF($A77="","",INDEX('主表 Stock_Transaction_Log'!$I:$I,$A77))</f>
        <v>Material</v>
      </c>
      <c r="G77" s="57" t="str">
        <f t="array" ref="G77">IF($A77="","",IF(INDEX('主表 Stock_Transaction_Log'!$R:$R,$A77)=0,"",INDEX('主表 Stock_Transaction_Log'!$R:$R,$A77)))</f>
        <v/>
      </c>
      <c r="H77" s="57">
        <f t="array" ref="H77">IF($A77="","",SUMIF('主表 Stock_Transaction_Log'!$T:$T,INDEX('主表 Stock_Transaction_Log'!$T:$T,$A77),'主表 Stock_Transaction_Log'!$S:$S)+SUMIF('主表 Stock_Transaction_Log'!$AB:$AB,INDEX('主表 Stock_Transaction_Log'!$T:$T,$A77),'主表 Stock_Transaction_Log'!$AC:$AC))</f>
        <v>93</v>
      </c>
      <c r="I77" s="57" t="str">
        <f t="shared" si="1"/>
        <v>In Stock / 在库</v>
      </c>
      <c r="J77" s="57" t="str">
        <f t="shared" si="2"/>
        <v>Stock line / 库存明细</v>
      </c>
      <c r="K77" s="57" t="b">
        <f t="shared" si="3"/>
        <v>1</v>
      </c>
      <c r="L77" s="57" t="str">
        <f t="array" ref="L77">IF($A77="","",INDEX('主表 Stock_Transaction_Log'!$P:$P,$A77))</f>
        <v>Material / 物料</v>
      </c>
      <c r="M77" s="57">
        <f>IF($A77="","",IF($H77&lt;=0,0,SUMIFS('主表 Stock_Transaction_Log'!$K$2:$K1000,'主表 Stock_Transaction_Log'!$C$2:$C1000,"Prepared",'主表 Stock_Transaction_Log'!$L$2:$L1000,$B77,'主表 Stock_Transaction_Log'!$F$2:$F1000,$C77,'主表 Stock_Transaction_Log'!$G$2:$G1000,$D77,'主表 Stock_Transaction_Log'!$P$2:$P1000,$L77)))</f>
        <v>0</v>
      </c>
      <c r="N77" s="57" t="s">
        <v>850</v>
      </c>
      <c r="O77" s="57">
        <f t="shared" si="4"/>
        <v>99</v>
      </c>
      <c r="P77" s="57">
        <f t="shared" si="5"/>
        <v>1</v>
      </c>
      <c r="Q77" s="57">
        <f t="shared" si="6"/>
        <v>1</v>
      </c>
      <c r="R77" s="57" t="str">
        <f t="shared" si="7"/>
        <v/>
      </c>
      <c r="S77" s="57" t="str">
        <f t="shared" si="8"/>
        <v>R2-1-2-L
坏机
Qty / 数量: 99</v>
      </c>
      <c r="T77" s="57" t="str">
        <f>IFERROR(__xludf.DUMMYFUNCTION("IF($N77="""","""",IF($O77=0,""Empty / 空"",IFERROR(LET(c,UNIQUE(FILTER($L$2:$L$500,$B$2:$B$500=$N77,$H$2:$H$500&gt;0,$L$2:$L$500&lt;&gt;"""")),IF(COUNTA(c)&gt;1,""Mixed / 混放: ""&amp;TEXTJOIN("" + "",TRUE,c),INDEX(c,1))),""Unclassified / 未分类"")))"),"Repair / 待修")</f>
        <v>Repair / 待修</v>
      </c>
      <c r="U77" s="58"/>
      <c r="V77" s="58"/>
      <c r="W77" s="58"/>
      <c r="X77" s="58"/>
      <c r="Y77" s="58"/>
      <c r="Z77" s="58"/>
      <c r="AA77" s="58"/>
    </row>
    <row r="78">
      <c r="A78" s="57">
        <f>IF('主表 Stock_Transaction_Log'!$T78="","",IF(COUNTIF('主表 Stock_Transaction_Log'!$T$2:$T78,'主表 Stock_Transaction_Log'!$T78)=1,ROW('主表 Stock_Transaction_Log'!$T78),""))</f>
        <v>78</v>
      </c>
      <c r="B78" s="57" t="str">
        <f t="array" ref="B78">IF($A78="","",INDEX('主表 Stock_Transaction_Log'!$Q:$Q,$A78))</f>
        <v>R2-4-2-L</v>
      </c>
      <c r="C78" s="57" t="str">
        <f t="array" ref="C78">IF($A78="","",IF(INDEX('主表 Stock_Transaction_Log'!$F:$F,$A78)=0,"",INDEX('主表 Stock_Transaction_Log'!$F:$F,$A78)))</f>
        <v/>
      </c>
      <c r="D78" s="57" t="str">
        <f t="array" ref="D78">IF($A78="","",INDEX('主表 Stock_Transaction_Log'!$G:$G,$A78))</f>
        <v>物料</v>
      </c>
      <c r="E78" s="57" t="str">
        <f t="array" ref="E78">IF($A78="","",INDEX('主表 Stock_Transaction_Log'!$H:$H,$A78))</f>
        <v>SKU not found</v>
      </c>
      <c r="F78" s="57" t="str">
        <f t="array" ref="F78">IF($A78="","",INDEX('主表 Stock_Transaction_Log'!$I:$I,$A78))</f>
        <v>Item type not found</v>
      </c>
      <c r="G78" s="57" t="str">
        <f t="array" ref="G78">IF($A78="","",IF(INDEX('主表 Stock_Transaction_Log'!$R:$R,$A78)=0,"",INDEX('主表 Stock_Transaction_Log'!$R:$R,$A78)))</f>
        <v/>
      </c>
      <c r="H78" s="57">
        <f t="array" ref="H78">IF($A78="","",SUMIF('主表 Stock_Transaction_Log'!$T:$T,INDEX('主表 Stock_Transaction_Log'!$T:$T,$A78),'主表 Stock_Transaction_Log'!$S:$S)+SUMIF('主表 Stock_Transaction_Log'!$AB:$AB,INDEX('主表 Stock_Transaction_Log'!$T:$T,$A78),'主表 Stock_Transaction_Log'!$AC:$AC))</f>
        <v>99</v>
      </c>
      <c r="I78" s="57" t="str">
        <f t="shared" si="1"/>
        <v>In Stock / 在库</v>
      </c>
      <c r="J78" s="57" t="str">
        <f t="shared" si="2"/>
        <v>Stock line / 库存明细</v>
      </c>
      <c r="K78" s="57" t="b">
        <f t="shared" si="3"/>
        <v>1</v>
      </c>
      <c r="L78" s="57" t="str">
        <f t="array" ref="L78">IF($A78="","",INDEX('主表 Stock_Transaction_Log'!$P:$P,$A78))</f>
        <v>Material / 物料</v>
      </c>
      <c r="M78" s="57">
        <f>IF($A78="","",IF($H78&lt;=0,0,SUMIFS('主表 Stock_Transaction_Log'!$K$2:$K1000,'主表 Stock_Transaction_Log'!$C$2:$C1000,"Prepared",'主表 Stock_Transaction_Log'!$L$2:$L1000,$B78,'主表 Stock_Transaction_Log'!$F$2:$F1000,$C78,'主表 Stock_Transaction_Log'!$G$2:$G1000,$D78,'主表 Stock_Transaction_Log'!$P$2:$P1000,$L78)))</f>
        <v>0</v>
      </c>
      <c r="N78" s="57" t="s">
        <v>926</v>
      </c>
      <c r="O78" s="57">
        <f t="shared" si="4"/>
        <v>0</v>
      </c>
      <c r="P78" s="57">
        <f t="shared" si="5"/>
        <v>0</v>
      </c>
      <c r="Q78" s="57">
        <f t="shared" si="6"/>
        <v>0</v>
      </c>
      <c r="R78" s="57" t="str">
        <f t="shared" si="7"/>
        <v/>
      </c>
      <c r="S78" s="57" t="str">
        <f t="shared" si="8"/>
        <v>R2-1-2-M
Empty / 空</v>
      </c>
      <c r="T78" s="57" t="str">
        <f>IFERROR(__xludf.DUMMYFUNCTION("IF($N78="""","""",IF($O78=0,""Empty / 空"",IFERROR(LET(c,UNIQUE(FILTER($L$2:$L$500,$B$2:$B$500=$N78,$H$2:$H$500&gt;0,$L$2:$L$500&lt;&gt;"""")),IF(COUNTA(c)&gt;1,""Mixed / 混放: ""&amp;TEXTJOIN("" + "",TRUE,c),INDEX(c,1))),""Unclassified / 未分类"")))"),"Empty / 空")</f>
        <v>Empty / 空</v>
      </c>
      <c r="U78" s="58"/>
      <c r="V78" s="58"/>
      <c r="W78" s="58"/>
      <c r="X78" s="58"/>
      <c r="Y78" s="58"/>
      <c r="Z78" s="58"/>
      <c r="AA78" s="58"/>
    </row>
    <row r="79">
      <c r="A79" s="57">
        <f>IF('主表 Stock_Transaction_Log'!$T79="","",IF(COUNTIF('主表 Stock_Transaction_Log'!$T$2:$T79,'主表 Stock_Transaction_Log'!$T79)=1,ROW('主表 Stock_Transaction_Log'!$T79),""))</f>
        <v>79</v>
      </c>
      <c r="B79" s="57" t="str">
        <f t="array" ref="B79">IF($A79="","",INDEX('主表 Stock_Transaction_Log'!$Q:$Q,$A79))</f>
        <v>R2-4-2-R</v>
      </c>
      <c r="C79" s="57" t="str">
        <f t="array" ref="C79">IF($A79="","",IF(INDEX('主表 Stock_Transaction_Log'!$F:$F,$A79)=0,"",INDEX('主表 Stock_Transaction_Log'!$F:$F,$A79)))</f>
        <v/>
      </c>
      <c r="D79" s="57" t="str">
        <f t="array" ref="D79">IF($A79="","",INDEX('主表 Stock_Transaction_Log'!$G:$G,$A79))</f>
        <v>物料</v>
      </c>
      <c r="E79" s="57" t="str">
        <f t="array" ref="E79">IF($A79="","",INDEX('主表 Stock_Transaction_Log'!$H:$H,$A79))</f>
        <v>SKU not found</v>
      </c>
      <c r="F79" s="57" t="str">
        <f t="array" ref="F79">IF($A79="","",INDEX('主表 Stock_Transaction_Log'!$I:$I,$A79))</f>
        <v>Item type not found</v>
      </c>
      <c r="G79" s="57" t="str">
        <f t="array" ref="G79">IF($A79="","",IF(INDEX('主表 Stock_Transaction_Log'!$R:$R,$A79)=0,"",INDEX('主表 Stock_Transaction_Log'!$R:$R,$A79)))</f>
        <v/>
      </c>
      <c r="H79" s="57">
        <f t="array" ref="H79">IF($A79="","",SUMIF('主表 Stock_Transaction_Log'!$T:$T,INDEX('主表 Stock_Transaction_Log'!$T:$T,$A79),'主表 Stock_Transaction_Log'!$S:$S)+SUMIF('主表 Stock_Transaction_Log'!$AB:$AB,INDEX('主表 Stock_Transaction_Log'!$T:$T,$A79),'主表 Stock_Transaction_Log'!$AC:$AC))</f>
        <v>99</v>
      </c>
      <c r="I79" s="57" t="str">
        <f t="shared" si="1"/>
        <v>In Stock / 在库</v>
      </c>
      <c r="J79" s="57" t="str">
        <f t="shared" si="2"/>
        <v>Stock line / 库存明细</v>
      </c>
      <c r="K79" s="57" t="b">
        <f t="shared" si="3"/>
        <v>1</v>
      </c>
      <c r="L79" s="57" t="str">
        <f t="array" ref="L79">IF($A79="","",INDEX('主表 Stock_Transaction_Log'!$P:$P,$A79))</f>
        <v>Material / 物料</v>
      </c>
      <c r="M79" s="57">
        <f>IF($A79="","",IF($H79&lt;=0,0,SUMIFS('主表 Stock_Transaction_Log'!$K$2:$K1000,'主表 Stock_Transaction_Log'!$C$2:$C1000,"Prepared",'主表 Stock_Transaction_Log'!$L$2:$L1000,$B79,'主表 Stock_Transaction_Log'!$F$2:$F1000,$C79,'主表 Stock_Transaction_Log'!$G$2:$G1000,$D79,'主表 Stock_Transaction_Log'!$P$2:$P1000,$L79)))</f>
        <v>0</v>
      </c>
      <c r="N79" s="57" t="s">
        <v>509</v>
      </c>
      <c r="O79" s="57">
        <f t="shared" si="4"/>
        <v>6</v>
      </c>
      <c r="P79" s="57">
        <f t="shared" si="5"/>
        <v>1</v>
      </c>
      <c r="Q79" s="57">
        <f t="shared" si="6"/>
        <v>1</v>
      </c>
      <c r="R79" s="57" t="str">
        <f t="shared" si="7"/>
        <v/>
      </c>
      <c r="S79" s="57" t="str">
        <f t="shared" si="8"/>
        <v>R2-1-2-R
坏机
Qty / 数量: 6</v>
      </c>
      <c r="T79" s="57" t="str">
        <f>IFERROR(__xludf.DUMMYFUNCTION("IF($N79="""","""",IF($O79=0,""Empty / 空"",IFERROR(LET(c,UNIQUE(FILTER($L$2:$L$500,$B$2:$B$500=$N79,$H$2:$H$500&gt;0,$L$2:$L$500&lt;&gt;"""")),IF(COUNTA(c)&gt;1,""Mixed / 混放: ""&amp;TEXTJOIN("" + "",TRUE,c),INDEX(c,1))),""Unclassified / 未分类"")))"),"Material / 物料")</f>
        <v>Material / 物料</v>
      </c>
      <c r="U79" s="58"/>
      <c r="V79" s="58"/>
      <c r="W79" s="58"/>
      <c r="X79" s="58"/>
      <c r="Y79" s="58"/>
      <c r="Z79" s="58"/>
      <c r="AA79" s="58"/>
    </row>
    <row r="80">
      <c r="A80" s="57">
        <f>IF('主表 Stock_Transaction_Log'!$T80="","",IF(COUNTIF('主表 Stock_Transaction_Log'!$T$2:$T80,'主表 Stock_Transaction_Log'!$T80)=1,ROW('主表 Stock_Transaction_Log'!$T80),""))</f>
        <v>80</v>
      </c>
      <c r="B80" s="57" t="str">
        <f t="array" ref="B80">IF($A80="","",INDEX('主表 Stock_Transaction_Log'!$Q:$Q,$A80))</f>
        <v>R2-1-3-R</v>
      </c>
      <c r="C80" s="57" t="str">
        <f t="array" ref="C80">IF($A80="","",IF(INDEX('主表 Stock_Transaction_Log'!$F:$F,$A80)=0,"",INDEX('主表 Stock_Transaction_Log'!$F:$F,$A80)))</f>
        <v/>
      </c>
      <c r="D80" s="57" t="str">
        <f t="array" ref="D80">IF($A80="","",INDEX('主表 Stock_Transaction_Log'!$G:$G,$A80))</f>
        <v>坏机</v>
      </c>
      <c r="E80" s="57" t="str">
        <f t="array" ref="E80">IF($A80="","",INDEX('主表 Stock_Transaction_Log'!$H:$H,$A80))</f>
        <v>SKU not found</v>
      </c>
      <c r="F80" s="57" t="str">
        <f t="array" ref="F80">IF($A80="","",INDEX('主表 Stock_Transaction_Log'!$I:$I,$A80))</f>
        <v>Item type not found</v>
      </c>
      <c r="G80" s="57" t="str">
        <f t="array" ref="G80">IF($A80="","",IF(INDEX('主表 Stock_Transaction_Log'!$R:$R,$A80)=0,"",INDEX('主表 Stock_Transaction_Log'!$R:$R,$A80)))</f>
        <v/>
      </c>
      <c r="H80" s="57">
        <f t="array" ref="H80">IF($A80="","",SUMIF('主表 Stock_Transaction_Log'!$T:$T,INDEX('主表 Stock_Transaction_Log'!$T:$T,$A80),'主表 Stock_Transaction_Log'!$S:$S)+SUMIF('主表 Stock_Transaction_Log'!$AB:$AB,INDEX('主表 Stock_Transaction_Log'!$T:$T,$A80),'主表 Stock_Transaction_Log'!$AC:$AC))</f>
        <v>6</v>
      </c>
      <c r="I80" s="57" t="str">
        <f t="shared" si="1"/>
        <v>In Stock / 在库</v>
      </c>
      <c r="J80" s="57" t="str">
        <f t="shared" si="2"/>
        <v>Stock line / 库存明细</v>
      </c>
      <c r="K80" s="57" t="b">
        <f t="shared" si="3"/>
        <v>1</v>
      </c>
      <c r="L80" s="57" t="str">
        <f t="array" ref="L80">IF($A80="","",INDEX('主表 Stock_Transaction_Log'!$P:$P,$A80))</f>
        <v>Material / 物料</v>
      </c>
      <c r="M80" s="57">
        <f>IF($A80="","",IF($H80&lt;=0,0,SUMIFS('主表 Stock_Transaction_Log'!$K$2:$K1000,'主表 Stock_Transaction_Log'!$C$2:$C1000,"Prepared",'主表 Stock_Transaction_Log'!$L$2:$L1000,$B80,'主表 Stock_Transaction_Log'!$F$2:$F1000,$C80,'主表 Stock_Transaction_Log'!$G$2:$G1000,$D80,'主表 Stock_Transaction_Log'!$P$2:$P1000,$L80)))</f>
        <v>0</v>
      </c>
      <c r="N80" s="57" t="s">
        <v>459</v>
      </c>
      <c r="O80" s="57">
        <f t="shared" si="4"/>
        <v>3</v>
      </c>
      <c r="P80" s="57">
        <f t="shared" si="5"/>
        <v>1</v>
      </c>
      <c r="Q80" s="57">
        <f t="shared" si="6"/>
        <v>1</v>
      </c>
      <c r="R80" s="57" t="str">
        <f t="shared" si="7"/>
        <v/>
      </c>
      <c r="S80" s="57" t="str">
        <f t="shared" si="8"/>
        <v>R2-1-3-L
坏机
Qty / 数量: 3</v>
      </c>
      <c r="T80" s="57" t="str">
        <f>IFERROR(__xludf.DUMMYFUNCTION("IF($N80="""","""",IF($O80=0,""Empty / 空"",IFERROR(LET(c,UNIQUE(FILTER($L$2:$L$500,$B$2:$B$500=$N80,$H$2:$H$500&gt;0,$L$2:$L$500&lt;&gt;"""")),IF(COUNTA(c)&gt;1,""Mixed / 混放: ""&amp;TEXTJOIN("" + "",TRUE,c),INDEX(c,1))),""Unclassified / 未分类"")))"),"Repair / 待修")</f>
        <v>Repair / 待修</v>
      </c>
      <c r="U80" s="58"/>
      <c r="V80" s="58"/>
      <c r="W80" s="58"/>
      <c r="X80" s="58"/>
      <c r="Y80" s="58"/>
      <c r="Z80" s="58"/>
      <c r="AA80" s="58"/>
    </row>
    <row r="81">
      <c r="A81" s="57">
        <f>IF('主表 Stock_Transaction_Log'!$T81="","",IF(COUNTIF('主表 Stock_Transaction_Log'!$T$2:$T81,'主表 Stock_Transaction_Log'!$T81)=1,ROW('主表 Stock_Transaction_Log'!$T81),""))</f>
        <v>81</v>
      </c>
      <c r="B81" s="57" t="str">
        <f t="array" ref="B81">IF($A81="","",INDEX('主表 Stock_Transaction_Log'!$Q:$Q,$A81))</f>
        <v>R2-1-2-R</v>
      </c>
      <c r="C81" s="57" t="str">
        <f t="array" ref="C81">IF($A81="","",IF(INDEX('主表 Stock_Transaction_Log'!$F:$F,$A81)=0,"",INDEX('主表 Stock_Transaction_Log'!$F:$F,$A81)))</f>
        <v/>
      </c>
      <c r="D81" s="57" t="str">
        <f t="array" ref="D81">IF($A81="","",INDEX('主表 Stock_Transaction_Log'!$G:$G,$A81))</f>
        <v>坏机</v>
      </c>
      <c r="E81" s="57" t="str">
        <f t="array" ref="E81">IF($A81="","",INDEX('主表 Stock_Transaction_Log'!$H:$H,$A81))</f>
        <v>SKU not found</v>
      </c>
      <c r="F81" s="57" t="str">
        <f t="array" ref="F81">IF($A81="","",INDEX('主表 Stock_Transaction_Log'!$I:$I,$A81))</f>
        <v>Item type not found</v>
      </c>
      <c r="G81" s="57" t="str">
        <f t="array" ref="G81">IF($A81="","",IF(INDEX('主表 Stock_Transaction_Log'!$R:$R,$A81)=0,"",INDEX('主表 Stock_Transaction_Log'!$R:$R,$A81)))</f>
        <v/>
      </c>
      <c r="H81" s="57">
        <f t="array" ref="H81">IF($A81="","",SUMIF('主表 Stock_Transaction_Log'!$T:$T,INDEX('主表 Stock_Transaction_Log'!$T:$T,$A81),'主表 Stock_Transaction_Log'!$S:$S)+SUMIF('主表 Stock_Transaction_Log'!$AB:$AB,INDEX('主表 Stock_Transaction_Log'!$T:$T,$A81),'主表 Stock_Transaction_Log'!$AC:$AC))</f>
        <v>6</v>
      </c>
      <c r="I81" s="57" t="str">
        <f t="shared" si="1"/>
        <v>In Stock / 在库</v>
      </c>
      <c r="J81" s="57" t="str">
        <f t="shared" si="2"/>
        <v>Stock line / 库存明细</v>
      </c>
      <c r="K81" s="57" t="b">
        <f t="shared" si="3"/>
        <v>1</v>
      </c>
      <c r="L81" s="57" t="str">
        <f t="array" ref="L81">IF($A81="","",INDEX('主表 Stock_Transaction_Log'!$P:$P,$A81))</f>
        <v>Material / 物料</v>
      </c>
      <c r="M81" s="57">
        <f>IF($A81="","",IF($H81&lt;=0,0,SUMIFS('主表 Stock_Transaction_Log'!$K$2:$K1000,'主表 Stock_Transaction_Log'!$C$2:$C1000,"Prepared",'主表 Stock_Transaction_Log'!$L$2:$L1000,$B81,'主表 Stock_Transaction_Log'!$F$2:$F1000,$C81,'主表 Stock_Transaction_Log'!$G$2:$G1000,$D81,'主表 Stock_Transaction_Log'!$P$2:$P1000,$L81)))</f>
        <v>0</v>
      </c>
      <c r="N81" s="57" t="s">
        <v>928</v>
      </c>
      <c r="O81" s="57">
        <f t="shared" si="4"/>
        <v>0</v>
      </c>
      <c r="P81" s="57">
        <f t="shared" si="5"/>
        <v>0</v>
      </c>
      <c r="Q81" s="57">
        <f t="shared" si="6"/>
        <v>0</v>
      </c>
      <c r="R81" s="57" t="str">
        <f t="shared" si="7"/>
        <v/>
      </c>
      <c r="S81" s="57" t="str">
        <f t="shared" si="8"/>
        <v>R2-1-3-M
Empty / 空</v>
      </c>
      <c r="T81" s="57" t="str">
        <f>IFERROR(__xludf.DUMMYFUNCTION("IF($N81="""","""",IF($O81=0,""Empty / 空"",IFERROR(LET(c,UNIQUE(FILTER($L$2:$L$500,$B$2:$B$500=$N81,$H$2:$H$500&gt;0,$L$2:$L$500&lt;&gt;"""")),IF(COUNTA(c)&gt;1,""Mixed / 混放: ""&amp;TEXTJOIN("" + "",TRUE,c),INDEX(c,1))),""Unclassified / 未分类"")))"),"Empty / 空")</f>
        <v>Empty / 空</v>
      </c>
      <c r="U81" s="58"/>
      <c r="V81" s="58"/>
      <c r="W81" s="58"/>
      <c r="X81" s="58"/>
      <c r="Y81" s="58"/>
      <c r="Z81" s="58"/>
      <c r="AA81" s="58"/>
    </row>
    <row r="82">
      <c r="A82" s="57">
        <f>IF('主表 Stock_Transaction_Log'!$T82="","",IF(COUNTIF('主表 Stock_Transaction_Log'!$T$2:$T82,'主表 Stock_Transaction_Log'!$T82)=1,ROW('主表 Stock_Transaction_Log'!$T82),""))</f>
        <v>82</v>
      </c>
      <c r="B82" s="57" t="str">
        <f t="array" ref="B82">IF($A82="","",INDEX('主表 Stock_Transaction_Log'!$Q:$Q,$A82))</f>
        <v>R2-4-1-L</v>
      </c>
      <c r="C82" s="57" t="str">
        <f t="array" ref="C82">IF($A82="","",IF(INDEX('主表 Stock_Transaction_Log'!$F:$F,$A82)=0,"",INDEX('主表 Stock_Transaction_Log'!$F:$F,$A82)))</f>
        <v/>
      </c>
      <c r="D82" s="57" t="str">
        <f t="array" ref="D82">IF($A82="","",INDEX('主表 Stock_Transaction_Log'!$G:$G,$A82))</f>
        <v>20-012-10270-04</v>
      </c>
      <c r="E82" s="57" t="str">
        <f t="array" ref="E82">IF($A82="","",INDEX('主表 Stock_Transaction_Log'!$H:$H,$A82))</f>
        <v>PCBA-逆变器 H3-PRO 30kW 功率板</v>
      </c>
      <c r="F82" s="57" t="str">
        <f t="array" ref="F82">IF($A82="","",INDEX('主表 Stock_Transaction_Log'!$I:$I,$A82))</f>
        <v>Material</v>
      </c>
      <c r="G82" s="57" t="str">
        <f t="array" ref="G82">IF($A82="","",IF(INDEX('主表 Stock_Transaction_Log'!$R:$R,$A82)=0,"",INDEX('主表 Stock_Transaction_Log'!$R:$R,$A82)))</f>
        <v/>
      </c>
      <c r="H82" s="57">
        <f t="array" ref="H82">IF($A82="","",SUMIF('主表 Stock_Transaction_Log'!$T:$T,INDEX('主表 Stock_Transaction_Log'!$T:$T,$A82),'主表 Stock_Transaction_Log'!$S:$S)+SUMIF('主表 Stock_Transaction_Log'!$AB:$AB,INDEX('主表 Stock_Transaction_Log'!$T:$T,$A82),'主表 Stock_Transaction_Log'!$AC:$AC))</f>
        <v>40</v>
      </c>
      <c r="I82" s="57" t="str">
        <f t="shared" si="1"/>
        <v>In Stock / 在库</v>
      </c>
      <c r="J82" s="57" t="str">
        <f t="shared" si="2"/>
        <v>Stock line / 库存明细</v>
      </c>
      <c r="K82" s="57" t="b">
        <f t="shared" si="3"/>
        <v>1</v>
      </c>
      <c r="L82" s="57" t="str">
        <f t="array" ref="L82">IF($A82="","",INDEX('主表 Stock_Transaction_Log'!$P:$P,$A82))</f>
        <v>Material / 物料</v>
      </c>
      <c r="M82" s="57">
        <f>IF($A82="","",IF($H82&lt;=0,0,SUMIFS('主表 Stock_Transaction_Log'!$K$2:$K1000,'主表 Stock_Transaction_Log'!$C$2:$C1000,"Prepared",'主表 Stock_Transaction_Log'!$L$2:$L1000,$B82,'主表 Stock_Transaction_Log'!$F$2:$F1000,$C82,'主表 Stock_Transaction_Log'!$G$2:$G1000,$D82,'主表 Stock_Transaction_Log'!$P$2:$P1000,$L82)))</f>
        <v>0</v>
      </c>
      <c r="N82" s="57" t="s">
        <v>448</v>
      </c>
      <c r="O82" s="57">
        <f t="shared" si="4"/>
        <v>16</v>
      </c>
      <c r="P82" s="57">
        <f t="shared" si="5"/>
        <v>2</v>
      </c>
      <c r="Q82" s="57">
        <f t="shared" si="6"/>
        <v>2</v>
      </c>
      <c r="R82" s="57" t="str">
        <f t="shared" si="7"/>
        <v/>
      </c>
      <c r="S82" s="57" t="str">
        <f t="shared" si="8"/>
        <v>R2-1-3-R
Mixed / 混装: 2 SKUs
Container / 容器: 
Qty / 数量: 16</v>
      </c>
      <c r="T82" s="57" t="str">
        <f>IFERROR(__xludf.DUMMYFUNCTION("IF($N82="""","""",IF($O82=0,""Empty / 空"",IFERROR(LET(c,UNIQUE(FILTER($L$2:$L$500,$B$2:$B$500=$N82,$H$2:$H$500&gt;0,$L$2:$L$500&lt;&gt;"""")),IF(COUNTA(c)&gt;1,""Mixed / 混放: ""&amp;TEXTJOIN("" + "",TRUE,c),INDEX(c,1))),""Unclassified / 未分类"")))"),"Mixed / 混放: Repair / 待修 + Material / 物料")</f>
        <v>Mixed / 混放: Repair / 待修 + Material / 物料</v>
      </c>
      <c r="U82" s="58"/>
      <c r="V82" s="58"/>
      <c r="W82" s="58"/>
      <c r="X82" s="58"/>
      <c r="Y82" s="58"/>
      <c r="Z82" s="58"/>
      <c r="AA82" s="58"/>
    </row>
    <row r="83">
      <c r="A83" s="57">
        <f>IF('主表 Stock_Transaction_Log'!$T83="","",IF(COUNTIF('主表 Stock_Transaction_Log'!$T$2:$T83,'主表 Stock_Transaction_Log'!$T83)=1,ROW('主表 Stock_Transaction_Log'!$T83),""))</f>
        <v>83</v>
      </c>
      <c r="B83" s="57" t="str">
        <f t="array" ref="B83">IF($A83="","",INDEX('主表 Stock_Transaction_Log'!$Q:$Q,$A83))</f>
        <v>R2-4-1-R</v>
      </c>
      <c r="C83" s="57" t="str">
        <f t="array" ref="C83">IF($A83="","",IF(INDEX('主表 Stock_Transaction_Log'!$F:$F,$A83)=0,"",INDEX('主表 Stock_Transaction_Log'!$F:$F,$A83)))</f>
        <v/>
      </c>
      <c r="D83" s="57" t="str">
        <f t="array" ref="D83">IF($A83="","",INDEX('主表 Stock_Transaction_Log'!$G:$G,$A83))</f>
        <v>20-012-10270-04</v>
      </c>
      <c r="E83" s="57" t="str">
        <f t="array" ref="E83">IF($A83="","",INDEX('主表 Stock_Transaction_Log'!$H:$H,$A83))</f>
        <v>PCBA-逆变器 H3-PRO 30kW 功率板</v>
      </c>
      <c r="F83" s="57" t="str">
        <f t="array" ref="F83">IF($A83="","",INDEX('主表 Stock_Transaction_Log'!$I:$I,$A83))</f>
        <v>Material</v>
      </c>
      <c r="G83" s="57" t="str">
        <f t="array" ref="G83">IF($A83="","",IF(INDEX('主表 Stock_Transaction_Log'!$R:$R,$A83)=0,"",INDEX('主表 Stock_Transaction_Log'!$R:$R,$A83)))</f>
        <v/>
      </c>
      <c r="H83" s="57">
        <f t="array" ref="H83">IF($A83="","",SUMIF('主表 Stock_Transaction_Log'!$T:$T,INDEX('主表 Stock_Transaction_Log'!$T:$T,$A83),'主表 Stock_Transaction_Log'!$S:$S)+SUMIF('主表 Stock_Transaction_Log'!$AB:$AB,INDEX('主表 Stock_Transaction_Log'!$T:$T,$A83),'主表 Stock_Transaction_Log'!$AC:$AC))</f>
        <v>40</v>
      </c>
      <c r="I83" s="57" t="str">
        <f t="shared" si="1"/>
        <v>In Stock / 在库</v>
      </c>
      <c r="J83" s="57" t="str">
        <f t="shared" si="2"/>
        <v>Stock line / 库存明细</v>
      </c>
      <c r="K83" s="57" t="b">
        <f t="shared" si="3"/>
        <v>1</v>
      </c>
      <c r="L83" s="57" t="str">
        <f t="array" ref="L83">IF($A83="","",INDEX('主表 Stock_Transaction_Log'!$P:$P,$A83))</f>
        <v>Material / 物料</v>
      </c>
      <c r="M83" s="57">
        <f>IF($A83="","",IF($H83&lt;=0,0,SUMIFS('主表 Stock_Transaction_Log'!$K$2:$K1000,'主表 Stock_Transaction_Log'!$C$2:$C1000,"Prepared",'主表 Stock_Transaction_Log'!$L$2:$L1000,$B83,'主表 Stock_Transaction_Log'!$F$2:$F1000,$C83,'主表 Stock_Transaction_Log'!$G$2:$G1000,$D83,'主表 Stock_Transaction_Log'!$P$2:$P1000,$L83)))</f>
        <v>0</v>
      </c>
      <c r="N83" s="57" t="s">
        <v>422</v>
      </c>
      <c r="O83" s="57">
        <f t="shared" si="4"/>
        <v>16</v>
      </c>
      <c r="P83" s="57">
        <f t="shared" si="5"/>
        <v>2</v>
      </c>
      <c r="Q83" s="57">
        <f t="shared" si="6"/>
        <v>2</v>
      </c>
      <c r="R83" s="57" t="str">
        <f t="shared" si="7"/>
        <v>Mix005</v>
      </c>
      <c r="S83" s="57" t="str">
        <f t="shared" si="8"/>
        <v>R2-1-4-L
Mixed / 混装: 2 SKUs
Container / 容器: Mix005
Qty / 数量: 16</v>
      </c>
      <c r="T83" s="57" t="str">
        <f>IFERROR(__xludf.DUMMYFUNCTION("IF($N83="""","""",IF($O83=0,""Empty / 空"",IFERROR(LET(c,UNIQUE(FILTER($L$2:$L$500,$B$2:$B$500=$N83,$H$2:$H$500&gt;0,$L$2:$L$500&lt;&gt;"""")),IF(COUNTA(c)&gt;1,""Mixed / 混放: ""&amp;TEXTJOIN("" + "",TRUE,c),INDEX(c,1))),""Unclassified / 未分类"")))"),"Repair_Good / 维修良品")</f>
        <v>Repair_Good / 维修良品</v>
      </c>
      <c r="U83" s="58"/>
      <c r="V83" s="58"/>
      <c r="W83" s="58"/>
      <c r="X83" s="58"/>
      <c r="Y83" s="58"/>
      <c r="Z83" s="58"/>
      <c r="AA83" s="58"/>
    </row>
    <row r="84">
      <c r="A84" s="57">
        <f>IF('主表 Stock_Transaction_Log'!$T84="","",IF(COUNTIF('主表 Stock_Transaction_Log'!$T$2:$T84,'主表 Stock_Transaction_Log'!$T84)=1,ROW('主表 Stock_Transaction_Log'!$T84),""))</f>
        <v>84</v>
      </c>
      <c r="B84" s="57" t="str">
        <f t="array" ref="B84">IF($A84="","",INDEX('主表 Stock_Transaction_Log'!$Q:$Q,$A84))</f>
        <v>R1-1-6-L</v>
      </c>
      <c r="C84" s="57" t="str">
        <f t="array" ref="C84">IF($A84="","",IF(INDEX('主表 Stock_Transaction_Log'!$F:$F,$A84)=0,"",INDEX('主表 Stock_Transaction_Log'!$F:$F,$A84)))</f>
        <v/>
      </c>
      <c r="D84" s="57" t="str">
        <f t="array" ref="D84">IF($A84="","",INDEX('主表 Stock_Transaction_Log'!$G:$G,$A84))</f>
        <v>物料</v>
      </c>
      <c r="E84" s="57" t="str">
        <f t="array" ref="E84">IF($A84="","",INDEX('主表 Stock_Transaction_Log'!$H:$H,$A84))</f>
        <v>SKU not found</v>
      </c>
      <c r="F84" s="57" t="str">
        <f t="array" ref="F84">IF($A84="","",INDEX('主表 Stock_Transaction_Log'!$I:$I,$A84))</f>
        <v>Item type not found</v>
      </c>
      <c r="G84" s="57" t="str">
        <f t="array" ref="G84">IF($A84="","",IF(INDEX('主表 Stock_Transaction_Log'!$R:$R,$A84)=0,"",INDEX('主表 Stock_Transaction_Log'!$R:$R,$A84)))</f>
        <v/>
      </c>
      <c r="H84" s="57">
        <f t="array" ref="H84">IF($A84="","",SUMIF('主表 Stock_Transaction_Log'!$T:$T,INDEX('主表 Stock_Transaction_Log'!$T:$T,$A84),'主表 Stock_Transaction_Log'!$S:$S)+SUMIF('主表 Stock_Transaction_Log'!$AB:$AB,INDEX('主表 Stock_Transaction_Log'!$T:$T,$A84),'主表 Stock_Transaction_Log'!$AC:$AC))</f>
        <v>99</v>
      </c>
      <c r="I84" s="57" t="str">
        <f t="shared" si="1"/>
        <v>In Stock / 在库</v>
      </c>
      <c r="J84" s="57" t="str">
        <f t="shared" si="2"/>
        <v>Stock line / 库存明细</v>
      </c>
      <c r="K84" s="57" t="b">
        <f t="shared" si="3"/>
        <v>1</v>
      </c>
      <c r="L84" s="57" t="str">
        <f t="array" ref="L84">IF($A84="","",INDEX('主表 Stock_Transaction_Log'!$P:$P,$A84))</f>
        <v>Material / 物料</v>
      </c>
      <c r="M84" s="57">
        <f>IF($A84="","",IF($H84&lt;=0,0,SUMIFS('主表 Stock_Transaction_Log'!$K$2:$K1000,'主表 Stock_Transaction_Log'!$C$2:$C1000,"Prepared",'主表 Stock_Transaction_Log'!$L$2:$L1000,$B84,'主表 Stock_Transaction_Log'!$F$2:$F1000,$C84,'主表 Stock_Transaction_Log'!$G$2:$G1000,$D84,'主表 Stock_Transaction_Log'!$P$2:$P1000,$L84)))</f>
        <v>0</v>
      </c>
      <c r="N84" s="57" t="s">
        <v>933</v>
      </c>
      <c r="O84" s="57">
        <f t="shared" si="4"/>
        <v>0</v>
      </c>
      <c r="P84" s="57">
        <f t="shared" si="5"/>
        <v>0</v>
      </c>
      <c r="Q84" s="57">
        <f t="shared" si="6"/>
        <v>0</v>
      </c>
      <c r="R84" s="57" t="str">
        <f t="shared" si="7"/>
        <v/>
      </c>
      <c r="S84" s="57" t="str">
        <f t="shared" si="8"/>
        <v>R2-1-4-M
Empty / 空</v>
      </c>
      <c r="T84" s="57" t="str">
        <f>IFERROR(__xludf.DUMMYFUNCTION("IF($N84="""","""",IF($O84=0,""Empty / 空"",IFERROR(LET(c,UNIQUE(FILTER($L$2:$L$500,$B$2:$B$500=$N84,$H$2:$H$500&gt;0,$L$2:$L$500&lt;&gt;"""")),IF(COUNTA(c)&gt;1,""Mixed / 混放: ""&amp;TEXTJOIN("" + "",TRUE,c),INDEX(c,1))),""Unclassified / 未分类"")))"),"Empty / 空")</f>
        <v>Empty / 空</v>
      </c>
      <c r="U84" s="58"/>
      <c r="V84" s="58"/>
      <c r="W84" s="58"/>
      <c r="X84" s="58"/>
      <c r="Y84" s="58"/>
      <c r="Z84" s="58"/>
      <c r="AA84" s="58"/>
    </row>
    <row r="85">
      <c r="A85" s="57">
        <f>IF('主表 Stock_Transaction_Log'!$T85="","",IF(COUNTIF('主表 Stock_Transaction_Log'!$T$2:$T85,'主表 Stock_Transaction_Log'!$T85)=1,ROW('主表 Stock_Transaction_Log'!$T85),""))</f>
        <v>85</v>
      </c>
      <c r="B85" s="57" t="str">
        <f t="array" ref="B85">IF($A85="","",INDEX('主表 Stock_Transaction_Log'!$Q:$Q,$A85))</f>
        <v>R1-4-4-R</v>
      </c>
      <c r="C85" s="57" t="str">
        <f t="array" ref="C85">IF($A85="","",IF(INDEX('主表 Stock_Transaction_Log'!$F:$F,$A85)=0,"",INDEX('主表 Stock_Transaction_Log'!$F:$F,$A85)))</f>
        <v>Mix07</v>
      </c>
      <c r="D85" s="57" t="str">
        <f t="array" ref="D85">IF($A85="","",INDEX('主表 Stock_Transaction_Log'!$G:$G,$A85))</f>
        <v>98-012-10639-03</v>
      </c>
      <c r="E85" s="57" t="str">
        <f t="array" ref="E85">IF($A85="","",INDEX('主表 Stock_Transaction_Log'!$H:$H,$A85))</f>
        <v>SKU not found</v>
      </c>
      <c r="F85" s="57" t="str">
        <f t="array" ref="F85">IF($A85="","",INDEX('主表 Stock_Transaction_Log'!$I:$I,$A85))</f>
        <v>Item type not found</v>
      </c>
      <c r="G85" s="57" t="str">
        <f t="array" ref="G85">IF($A85="","",IF(INDEX('主表 Stock_Transaction_Log'!$R:$R,$A85)=0,"",INDEX('主表 Stock_Transaction_Log'!$R:$R,$A85)))</f>
        <v/>
      </c>
      <c r="H85" s="57">
        <f t="array" ref="H85">IF($A85="","",SUMIF('主表 Stock_Transaction_Log'!$T:$T,INDEX('主表 Stock_Transaction_Log'!$T:$T,$A85),'主表 Stock_Transaction_Log'!$S:$S)+SUMIF('主表 Stock_Transaction_Log'!$AB:$AB,INDEX('主表 Stock_Transaction_Log'!$T:$T,$A85),'主表 Stock_Transaction_Log'!$AC:$AC))</f>
        <v>16</v>
      </c>
      <c r="I85" s="57" t="str">
        <f t="shared" si="1"/>
        <v>In Stock / 在库</v>
      </c>
      <c r="J85" s="57" t="str">
        <f t="shared" si="2"/>
        <v>Container detail / 容器明细</v>
      </c>
      <c r="K85" s="57" t="b">
        <f t="shared" si="3"/>
        <v>1</v>
      </c>
      <c r="L85" s="57" t="str">
        <f t="array" ref="L85">IF($A85="","",INDEX('主表 Stock_Transaction_Log'!$P:$P,$A85))</f>
        <v>Material / 物料</v>
      </c>
      <c r="M85" s="57">
        <f>IF($A85="","",IF($H85&lt;=0,0,SUMIFS('主表 Stock_Transaction_Log'!$K$2:$K1000,'主表 Stock_Transaction_Log'!$C$2:$C1000,"Prepared",'主表 Stock_Transaction_Log'!$L$2:$L1000,$B85,'主表 Stock_Transaction_Log'!$F$2:$F1000,$C85,'主表 Stock_Transaction_Log'!$G$2:$G1000,$D85,'主表 Stock_Transaction_Log'!$P$2:$P1000,$L85)))</f>
        <v>0</v>
      </c>
      <c r="N85" s="57" t="s">
        <v>382</v>
      </c>
      <c r="O85" s="57">
        <f t="shared" si="4"/>
        <v>16</v>
      </c>
      <c r="P85" s="57">
        <f t="shared" si="5"/>
        <v>1</v>
      </c>
      <c r="Q85" s="57">
        <f t="shared" si="6"/>
        <v>1</v>
      </c>
      <c r="R85" s="57" t="str">
        <f t="shared" si="7"/>
        <v/>
      </c>
      <c r="S85" s="57" t="str">
        <f t="shared" si="8"/>
        <v>R2-1-4-R
97-223-00107-00
Qty / 数量: 16</v>
      </c>
      <c r="T85" s="57" t="str">
        <f>IFERROR(__xludf.DUMMYFUNCTION("IF($N85="""","""",IF($O85=0,""Empty / 空"",IFERROR(LET(c,UNIQUE(FILTER($L$2:$L$500,$B$2:$B$500=$N85,$H$2:$H$500&gt;0,$L$2:$L$500&lt;&gt;"""")),IF(COUNTA(c)&gt;1,""Mixed / 混放: ""&amp;TEXTJOIN("" + "",TRUE,c),INDEX(c,1))),""Unclassified / 未分类"")))"),"New / 新机")</f>
        <v>New / 新机</v>
      </c>
      <c r="U85" s="58"/>
      <c r="V85" s="58"/>
      <c r="W85" s="58"/>
      <c r="X85" s="58"/>
      <c r="Y85" s="58"/>
      <c r="Z85" s="58"/>
      <c r="AA85" s="58"/>
    </row>
    <row r="86">
      <c r="A86" s="57">
        <f>IF('主表 Stock_Transaction_Log'!$T86="","",IF(COUNTIF('主表 Stock_Transaction_Log'!$T$2:$T86,'主表 Stock_Transaction_Log'!$T86)=1,ROW('主表 Stock_Transaction_Log'!$T86),""))</f>
        <v>86</v>
      </c>
      <c r="B86" s="57" t="str">
        <f t="array" ref="B86">IF($A86="","",INDEX('主表 Stock_Transaction_Log'!$Q:$Q,$A86))</f>
        <v>R1-4-4-R</v>
      </c>
      <c r="C86" s="57" t="str">
        <f t="array" ref="C86">IF($A86="","",IF(INDEX('主表 Stock_Transaction_Log'!$F:$F,$A86)=0,"",INDEX('主表 Stock_Transaction_Log'!$F:$F,$A86)))</f>
        <v>Mix07</v>
      </c>
      <c r="D86" s="57" t="str">
        <f t="array" ref="D86">IF($A86="","",INDEX('主表 Stock_Transaction_Log'!$G:$G,$A86))</f>
        <v>20-012-10342-02</v>
      </c>
      <c r="E86" s="57" t="str">
        <f t="array" ref="E86">IF($A86="","",INDEX('主表 Stock_Transaction_Log'!$H:$H,$A86))</f>
        <v>PCBA-逆变器 KH 9-10.5kW 功率板</v>
      </c>
      <c r="F86" s="57" t="str">
        <f t="array" ref="F86">IF($A86="","",INDEX('主表 Stock_Transaction_Log'!$I:$I,$A86))</f>
        <v>Material</v>
      </c>
      <c r="G86" s="57" t="str">
        <f t="array" ref="G86">IF($A86="","",IF(INDEX('主表 Stock_Transaction_Log'!$R:$R,$A86)=0,"",INDEX('主表 Stock_Transaction_Log'!$R:$R,$A86)))</f>
        <v/>
      </c>
      <c r="H86" s="57">
        <f t="array" ref="H86">IF($A86="","",SUMIF('主表 Stock_Transaction_Log'!$T:$T,INDEX('主表 Stock_Transaction_Log'!$T:$T,$A86),'主表 Stock_Transaction_Log'!$S:$S)+SUMIF('主表 Stock_Transaction_Log'!$AB:$AB,INDEX('主表 Stock_Transaction_Log'!$T:$T,$A86),'主表 Stock_Transaction_Log'!$AC:$AC))</f>
        <v>10</v>
      </c>
      <c r="I86" s="57" t="str">
        <f t="shared" si="1"/>
        <v>In Stock / 在库</v>
      </c>
      <c r="J86" s="57" t="str">
        <f t="shared" si="2"/>
        <v>Container detail / 容器明细</v>
      </c>
      <c r="K86" s="57" t="b">
        <f t="shared" si="3"/>
        <v>1</v>
      </c>
      <c r="L86" s="57" t="str">
        <f t="array" ref="L86">IF($A86="","",INDEX('主表 Stock_Transaction_Log'!$P:$P,$A86))</f>
        <v>Material / 物料</v>
      </c>
      <c r="M86" s="57">
        <f>IF($A86="","",IF($H86&lt;=0,0,SUMIFS('主表 Stock_Transaction_Log'!$K$2:$K1000,'主表 Stock_Transaction_Log'!$C$2:$C1000,"Prepared",'主表 Stock_Transaction_Log'!$L$2:$L1000,$B86,'主表 Stock_Transaction_Log'!$F$2:$F1000,$C86,'主表 Stock_Transaction_Log'!$G$2:$G1000,$D86,'主表 Stock_Transaction_Log'!$P$2:$P1000,$L86)))</f>
        <v>0</v>
      </c>
      <c r="N86" s="57" t="s">
        <v>365</v>
      </c>
      <c r="O86" s="57">
        <f t="shared" si="4"/>
        <v>8</v>
      </c>
      <c r="P86" s="57">
        <f t="shared" si="5"/>
        <v>1</v>
      </c>
      <c r="Q86" s="57">
        <f t="shared" si="6"/>
        <v>1</v>
      </c>
      <c r="R86" s="57" t="str">
        <f t="shared" si="7"/>
        <v/>
      </c>
      <c r="S86" s="57" t="str">
        <f t="shared" si="8"/>
        <v>R2-1-5-L
97-229-00018-00
Qty / 数量: 8</v>
      </c>
      <c r="T86" s="57" t="str">
        <f>IFERROR(__xludf.DUMMYFUNCTION("IF($N86="""","""",IF($O86=0,""Empty / 空"",IFERROR(LET(c,UNIQUE(FILTER($L$2:$L$500,$B$2:$B$500=$N86,$H$2:$H$500&gt;0,$L$2:$L$500&lt;&gt;"""")),IF(COUNTA(c)&gt;1,""Mixed / 混放: ""&amp;TEXTJOIN("" + "",TRUE,c),INDEX(c,1))),""Unclassified / 未分类"")))"),"Repair_Good / 维修良品")</f>
        <v>Repair_Good / 维修良品</v>
      </c>
      <c r="U86" s="58"/>
      <c r="V86" s="58"/>
      <c r="W86" s="58"/>
      <c r="X86" s="58"/>
      <c r="Y86" s="58"/>
      <c r="Z86" s="58"/>
      <c r="AA86" s="58"/>
    </row>
    <row r="87">
      <c r="A87" s="57">
        <f>IF('主表 Stock_Transaction_Log'!$T87="","",IF(COUNTIF('主表 Stock_Transaction_Log'!$T$2:$T87,'主表 Stock_Transaction_Log'!$T87)=1,ROW('主表 Stock_Transaction_Log'!$T87),""))</f>
        <v>87</v>
      </c>
      <c r="B87" s="57" t="str">
        <f t="array" ref="B87">IF($A87="","",INDEX('主表 Stock_Transaction_Log'!$Q:$Q,$A87))</f>
        <v>R1-4-5-R</v>
      </c>
      <c r="C87" s="57" t="str">
        <f t="array" ref="C87">IF($A87="","",IF(INDEX('主表 Stock_Transaction_Log'!$F:$F,$A87)=0,"",INDEX('主表 Stock_Transaction_Log'!$F:$F,$A87)))</f>
        <v/>
      </c>
      <c r="D87" s="57" t="str">
        <f t="array" ref="D87">IF($A87="","",INDEX('主表 Stock_Transaction_Log'!$G:$G,$A87))</f>
        <v>物料</v>
      </c>
      <c r="E87" s="57" t="str">
        <f t="array" ref="E87">IF($A87="","",INDEX('主表 Stock_Transaction_Log'!$H:$H,$A87))</f>
        <v>SKU not found</v>
      </c>
      <c r="F87" s="57" t="str">
        <f t="array" ref="F87">IF($A87="","",INDEX('主表 Stock_Transaction_Log'!$I:$I,$A87))</f>
        <v>Item type not found</v>
      </c>
      <c r="G87" s="57" t="str">
        <f t="array" ref="G87">IF($A87="","",IF(INDEX('主表 Stock_Transaction_Log'!$R:$R,$A87)=0,"",INDEX('主表 Stock_Transaction_Log'!$R:$R,$A87)))</f>
        <v/>
      </c>
      <c r="H87" s="57">
        <f t="array" ref="H87">IF($A87="","",SUMIF('主表 Stock_Transaction_Log'!$T:$T,INDEX('主表 Stock_Transaction_Log'!$T:$T,$A87),'主表 Stock_Transaction_Log'!$S:$S)+SUMIF('主表 Stock_Transaction_Log'!$AB:$AB,INDEX('主表 Stock_Transaction_Log'!$T:$T,$A87),'主表 Stock_Transaction_Log'!$AC:$AC))</f>
        <v>99</v>
      </c>
      <c r="I87" s="57" t="str">
        <f t="shared" si="1"/>
        <v>In Stock / 在库</v>
      </c>
      <c r="J87" s="57" t="str">
        <f t="shared" si="2"/>
        <v>Stock line / 库存明细</v>
      </c>
      <c r="K87" s="57" t="b">
        <f t="shared" si="3"/>
        <v>1</v>
      </c>
      <c r="L87" s="57" t="str">
        <f t="array" ref="L87">IF($A87="","",INDEX('主表 Stock_Transaction_Log'!$P:$P,$A87))</f>
        <v>Material / 物料</v>
      </c>
      <c r="M87" s="57">
        <f>IF($A87="","",IF($H87&lt;=0,0,SUMIFS('主表 Stock_Transaction_Log'!$K$2:$K1000,'主表 Stock_Transaction_Log'!$C$2:$C1000,"Prepared",'主表 Stock_Transaction_Log'!$L$2:$L1000,$B87,'主表 Stock_Transaction_Log'!$F$2:$F1000,$C87,'主表 Stock_Transaction_Log'!$G$2:$G1000,$D87,'主表 Stock_Transaction_Log'!$P$2:$P1000,$L87)))</f>
        <v>0</v>
      </c>
      <c r="N87" s="57" t="s">
        <v>934</v>
      </c>
      <c r="O87" s="57">
        <f t="shared" si="4"/>
        <v>0</v>
      </c>
      <c r="P87" s="57">
        <f t="shared" si="5"/>
        <v>0</v>
      </c>
      <c r="Q87" s="57">
        <f t="shared" si="6"/>
        <v>0</v>
      </c>
      <c r="R87" s="57" t="str">
        <f t="shared" si="7"/>
        <v/>
      </c>
      <c r="S87" s="57" t="str">
        <f t="shared" si="8"/>
        <v>R2-1-5-M
Empty / 空</v>
      </c>
      <c r="T87" s="57" t="str">
        <f>IFERROR(__xludf.DUMMYFUNCTION("IF($N87="""","""",IF($O87=0,""Empty / 空"",IFERROR(LET(c,UNIQUE(FILTER($L$2:$L$500,$B$2:$B$500=$N87,$H$2:$H$500&gt;0,$L$2:$L$500&lt;&gt;"""")),IF(COUNTA(c)&gt;1,""Mixed / 混放: ""&amp;TEXTJOIN("" + "",TRUE,c),INDEX(c,1))),""Unclassified / 未分类"")))"),"Empty / 空")</f>
        <v>Empty / 空</v>
      </c>
      <c r="U87" s="58"/>
      <c r="V87" s="58"/>
      <c r="W87" s="58"/>
      <c r="X87" s="58"/>
      <c r="Y87" s="58"/>
      <c r="Z87" s="58"/>
      <c r="AA87" s="58"/>
    </row>
    <row r="88">
      <c r="A88" s="57">
        <f>IF('主表 Stock_Transaction_Log'!$T88="","",IF(COUNTIF('主表 Stock_Transaction_Log'!$T$2:$T88,'主表 Stock_Transaction_Log'!$T88)=1,ROW('主表 Stock_Transaction_Log'!$T88),""))</f>
        <v>88</v>
      </c>
      <c r="B88" s="57" t="str">
        <f t="array" ref="B88">IF($A88="","",INDEX('主表 Stock_Transaction_Log'!$Q:$Q,$A88))</f>
        <v>R1-1-6-M</v>
      </c>
      <c r="C88" s="57" t="str">
        <f t="array" ref="C88">IF($A88="","",IF(INDEX('主表 Stock_Transaction_Log'!$F:$F,$A88)=0,"",INDEX('主表 Stock_Transaction_Log'!$F:$F,$A88)))</f>
        <v/>
      </c>
      <c r="D88" s="57" t="str">
        <f t="array" ref="D88">IF($A88="","",INDEX('主表 Stock_Transaction_Log'!$G:$G,$A88))</f>
        <v>物料</v>
      </c>
      <c r="E88" s="57" t="str">
        <f t="array" ref="E88">IF($A88="","",INDEX('主表 Stock_Transaction_Log'!$H:$H,$A88))</f>
        <v>SKU not found</v>
      </c>
      <c r="F88" s="57" t="str">
        <f t="array" ref="F88">IF($A88="","",INDEX('主表 Stock_Transaction_Log'!$I:$I,$A88))</f>
        <v>Item type not found</v>
      </c>
      <c r="G88" s="57" t="str">
        <f t="array" ref="G88">IF($A88="","",IF(INDEX('主表 Stock_Transaction_Log'!$R:$R,$A88)=0,"",INDEX('主表 Stock_Transaction_Log'!$R:$R,$A88)))</f>
        <v/>
      </c>
      <c r="H88" s="57">
        <f t="array" ref="H88">IF($A88="","",SUMIF('主表 Stock_Transaction_Log'!$T:$T,INDEX('主表 Stock_Transaction_Log'!$T:$T,$A88),'主表 Stock_Transaction_Log'!$S:$S)+SUMIF('主表 Stock_Transaction_Log'!$AB:$AB,INDEX('主表 Stock_Transaction_Log'!$T:$T,$A88),'主表 Stock_Transaction_Log'!$AC:$AC))</f>
        <v>99</v>
      </c>
      <c r="I88" s="57" t="str">
        <f t="shared" si="1"/>
        <v>In Stock / 在库</v>
      </c>
      <c r="J88" s="57" t="str">
        <f t="shared" si="2"/>
        <v>Stock line / 库存明细</v>
      </c>
      <c r="K88" s="57" t="b">
        <f t="shared" si="3"/>
        <v>1</v>
      </c>
      <c r="L88" s="57" t="str">
        <f t="array" ref="L88">IF($A88="","",INDEX('主表 Stock_Transaction_Log'!$P:$P,$A88))</f>
        <v>Material / 物料</v>
      </c>
      <c r="M88" s="57">
        <f>IF($A88="","",IF($H88&lt;=0,0,SUMIFS('主表 Stock_Transaction_Log'!$K$2:$K1000,'主表 Stock_Transaction_Log'!$C$2:$C1000,"Prepared",'主表 Stock_Transaction_Log'!$L$2:$L1000,$B88,'主表 Stock_Transaction_Log'!$F$2:$F1000,$C88,'主表 Stock_Transaction_Log'!$G$2:$G1000,$D88,'主表 Stock_Transaction_Log'!$P$2:$P1000,$L88)))</f>
        <v>0</v>
      </c>
      <c r="N88" s="57" t="s">
        <v>374</v>
      </c>
      <c r="O88" s="57">
        <f t="shared" si="4"/>
        <v>8</v>
      </c>
      <c r="P88" s="57">
        <f t="shared" si="5"/>
        <v>2</v>
      </c>
      <c r="Q88" s="57">
        <f t="shared" si="6"/>
        <v>2</v>
      </c>
      <c r="R88" s="57" t="str">
        <f t="shared" si="7"/>
        <v>Mix001</v>
      </c>
      <c r="S88" s="57" t="str">
        <f t="shared" si="8"/>
        <v>R2-1-5-R
Mixed / 混装: 2 SKUs
Container / 容器: Mix001
Qty / 数量: 8</v>
      </c>
      <c r="T88" s="57" t="str">
        <f>IFERROR(__xludf.DUMMYFUNCTION("IF($N88="""","""",IF($O88=0,""Empty / 空"",IFERROR(LET(c,UNIQUE(FILTER($L$2:$L$500,$B$2:$B$500=$N88,$H$2:$H$500&gt;0,$L$2:$L$500&lt;&gt;"""")),IF(COUNTA(c)&gt;1,""Mixed / 混放: ""&amp;TEXTJOIN("" + "",TRUE,c),INDEX(c,1))),""Unclassified / 未分类"")))"),"Repair_Good / 维修良品")</f>
        <v>Repair_Good / 维修良品</v>
      </c>
      <c r="U88" s="58"/>
      <c r="V88" s="58"/>
      <c r="W88" s="58"/>
      <c r="X88" s="58"/>
      <c r="Y88" s="58"/>
      <c r="Z88" s="58"/>
      <c r="AA88" s="58"/>
    </row>
    <row r="89">
      <c r="A89" s="57">
        <f>IF('主表 Stock_Transaction_Log'!$T89="","",IF(COUNTIF('主表 Stock_Transaction_Log'!$T$2:$T89,'主表 Stock_Transaction_Log'!$T89)=1,ROW('主表 Stock_Transaction_Log'!$T89),""))</f>
        <v>89</v>
      </c>
      <c r="B89" s="57" t="str">
        <f t="array" ref="B89">IF($A89="","",INDEX('主表 Stock_Transaction_Log'!$Q:$Q,$A89))</f>
        <v>R1-1-6-R</v>
      </c>
      <c r="C89" s="57" t="str">
        <f t="array" ref="C89">IF($A89="","",IF(INDEX('主表 Stock_Transaction_Log'!$F:$F,$A89)=0,"",INDEX('主表 Stock_Transaction_Log'!$F:$F,$A89)))</f>
        <v/>
      </c>
      <c r="D89" s="57" t="str">
        <f t="array" ref="D89">IF($A89="","",INDEX('主表 Stock_Transaction_Log'!$G:$G,$A89))</f>
        <v>物料</v>
      </c>
      <c r="E89" s="57" t="str">
        <f t="array" ref="E89">IF($A89="","",INDEX('主表 Stock_Transaction_Log'!$H:$H,$A89))</f>
        <v>SKU not found</v>
      </c>
      <c r="F89" s="57" t="str">
        <f t="array" ref="F89">IF($A89="","",INDEX('主表 Stock_Transaction_Log'!$I:$I,$A89))</f>
        <v>Item type not found</v>
      </c>
      <c r="G89" s="57" t="str">
        <f t="array" ref="G89">IF($A89="","",IF(INDEX('主表 Stock_Transaction_Log'!$R:$R,$A89)=0,"",INDEX('主表 Stock_Transaction_Log'!$R:$R,$A89)))</f>
        <v/>
      </c>
      <c r="H89" s="57">
        <f t="array" ref="H89">IF($A89="","",SUMIF('主表 Stock_Transaction_Log'!$T:$T,INDEX('主表 Stock_Transaction_Log'!$T:$T,$A89),'主表 Stock_Transaction_Log'!$S:$S)+SUMIF('主表 Stock_Transaction_Log'!$AB:$AB,INDEX('主表 Stock_Transaction_Log'!$T:$T,$A89),'主表 Stock_Transaction_Log'!$AC:$AC))</f>
        <v>99</v>
      </c>
      <c r="I89" s="57" t="str">
        <f t="shared" si="1"/>
        <v>In Stock / 在库</v>
      </c>
      <c r="J89" s="57" t="str">
        <f t="shared" si="2"/>
        <v>Stock line / 库存明细</v>
      </c>
      <c r="K89" s="57" t="b">
        <f t="shared" si="3"/>
        <v>1</v>
      </c>
      <c r="L89" s="57" t="str">
        <f t="array" ref="L89">IF($A89="","",INDEX('主表 Stock_Transaction_Log'!$P:$P,$A89))</f>
        <v>Material / 物料</v>
      </c>
      <c r="M89" s="57">
        <f>IF($A89="","",IF($H89&lt;=0,0,SUMIFS('主表 Stock_Transaction_Log'!$K$2:$K1000,'主表 Stock_Transaction_Log'!$C$2:$C1000,"Prepared",'主表 Stock_Transaction_Log'!$L$2:$L1000,$B89,'主表 Stock_Transaction_Log'!$F$2:$F1000,$C89,'主表 Stock_Transaction_Log'!$G$2:$G1000,$D89,'主表 Stock_Transaction_Log'!$P$2:$P1000,$L89)))</f>
        <v>0</v>
      </c>
      <c r="N89" s="57" t="s">
        <v>791</v>
      </c>
      <c r="O89" s="57">
        <f t="shared" si="4"/>
        <v>99</v>
      </c>
      <c r="P89" s="57">
        <f t="shared" si="5"/>
        <v>1</v>
      </c>
      <c r="Q89" s="57">
        <f t="shared" si="6"/>
        <v>1</v>
      </c>
      <c r="R89" s="57" t="str">
        <f t="shared" si="7"/>
        <v/>
      </c>
      <c r="S89" s="57" t="str">
        <f t="shared" si="8"/>
        <v>R2-2-1-L
坏机
Qty / 数量: 99</v>
      </c>
      <c r="T89" s="57" t="str">
        <f>IFERROR(__xludf.DUMMYFUNCTION("IF($N89="""","""",IF($O89=0,""Empty / 空"",IFERROR(LET(c,UNIQUE(FILTER($L$2:$L$500,$B$2:$B$500=$N89,$H$2:$H$500&gt;0,$L$2:$L$500&lt;&gt;"""")),IF(COUNTA(c)&gt;1,""Mixed / 混放: ""&amp;TEXTJOIN("" + "",TRUE,c),INDEX(c,1))),""Unclassified / 未分类"")))"),"Repair / 待修")</f>
        <v>Repair / 待修</v>
      </c>
      <c r="U89" s="58"/>
      <c r="V89" s="58"/>
      <c r="W89" s="58"/>
      <c r="X89" s="58"/>
      <c r="Y89" s="58"/>
      <c r="Z89" s="58"/>
      <c r="AA89" s="58"/>
    </row>
    <row r="90">
      <c r="A90" s="57">
        <f>IF('主表 Stock_Transaction_Log'!$T90="","",IF(COUNTIF('主表 Stock_Transaction_Log'!$T$2:$T90,'主表 Stock_Transaction_Log'!$T90)=1,ROW('主表 Stock_Transaction_Log'!$T90),""))</f>
        <v>90</v>
      </c>
      <c r="B90" s="57" t="str">
        <f t="array" ref="B90">IF($A90="","",INDEX('主表 Stock_Transaction_Log'!$Q:$Q,$A90))</f>
        <v>R1-2-6-L</v>
      </c>
      <c r="C90" s="57" t="str">
        <f t="array" ref="C90">IF($A90="","",IF(INDEX('主表 Stock_Transaction_Log'!$F:$F,$A90)=0,"",INDEX('主表 Stock_Transaction_Log'!$F:$F,$A90)))</f>
        <v/>
      </c>
      <c r="D90" s="57" t="str">
        <f t="array" ref="D90">IF($A90="","",INDEX('主表 Stock_Transaction_Log'!$G:$G,$A90))</f>
        <v>物料</v>
      </c>
      <c r="E90" s="57" t="str">
        <f t="array" ref="E90">IF($A90="","",INDEX('主表 Stock_Transaction_Log'!$H:$H,$A90))</f>
        <v>SKU not found</v>
      </c>
      <c r="F90" s="57" t="str">
        <f t="array" ref="F90">IF($A90="","",INDEX('主表 Stock_Transaction_Log'!$I:$I,$A90))</f>
        <v>Item type not found</v>
      </c>
      <c r="G90" s="57" t="str">
        <f t="array" ref="G90">IF($A90="","",IF(INDEX('主表 Stock_Transaction_Log'!$R:$R,$A90)=0,"",INDEX('主表 Stock_Transaction_Log'!$R:$R,$A90)))</f>
        <v/>
      </c>
      <c r="H90" s="57">
        <f t="array" ref="H90">IF($A90="","",SUMIF('主表 Stock_Transaction_Log'!$T:$T,INDEX('主表 Stock_Transaction_Log'!$T:$T,$A90),'主表 Stock_Transaction_Log'!$S:$S)+SUMIF('主表 Stock_Transaction_Log'!$AB:$AB,INDEX('主表 Stock_Transaction_Log'!$T:$T,$A90),'主表 Stock_Transaction_Log'!$AC:$AC))</f>
        <v>99</v>
      </c>
      <c r="I90" s="57" t="str">
        <f t="shared" si="1"/>
        <v>In Stock / 在库</v>
      </c>
      <c r="J90" s="57" t="str">
        <f t="shared" si="2"/>
        <v>Stock line / 库存明细</v>
      </c>
      <c r="K90" s="57" t="b">
        <f t="shared" si="3"/>
        <v>1</v>
      </c>
      <c r="L90" s="57" t="str">
        <f t="array" ref="L90">IF($A90="","",INDEX('主表 Stock_Transaction_Log'!$P:$P,$A90))</f>
        <v>Material / 物料</v>
      </c>
      <c r="M90" s="57">
        <f>IF($A90="","",IF($H90&lt;=0,0,SUMIFS('主表 Stock_Transaction_Log'!$K$2:$K1000,'主表 Stock_Transaction_Log'!$C$2:$C1000,"Prepared",'主表 Stock_Transaction_Log'!$L$2:$L1000,$B90,'主表 Stock_Transaction_Log'!$F$2:$F1000,$C90,'主表 Stock_Transaction_Log'!$G$2:$G1000,$D90,'主表 Stock_Transaction_Log'!$P$2:$P1000,$L90)))</f>
        <v>0</v>
      </c>
      <c r="N90" s="57" t="s">
        <v>939</v>
      </c>
      <c r="O90" s="57">
        <f t="shared" si="4"/>
        <v>0</v>
      </c>
      <c r="P90" s="57">
        <f t="shared" si="5"/>
        <v>0</v>
      </c>
      <c r="Q90" s="57">
        <f t="shared" si="6"/>
        <v>0</v>
      </c>
      <c r="R90" s="57" t="str">
        <f t="shared" si="7"/>
        <v/>
      </c>
      <c r="S90" s="57" t="str">
        <f t="shared" si="8"/>
        <v>R2-2-1-M
Empty / 空</v>
      </c>
      <c r="T90" s="57" t="str">
        <f>IFERROR(__xludf.DUMMYFUNCTION("IF($N90="""","""",IF($O90=0,""Empty / 空"",IFERROR(LET(c,UNIQUE(FILTER($L$2:$L$500,$B$2:$B$500=$N90,$H$2:$H$500&gt;0,$L$2:$L$500&lt;&gt;"""")),IF(COUNTA(c)&gt;1,""Mixed / 混放: ""&amp;TEXTJOIN("" + "",TRUE,c),INDEX(c,1))),""Unclassified / 未分类"")))"),"Empty / 空")</f>
        <v>Empty / 空</v>
      </c>
      <c r="U90" s="58"/>
      <c r="V90" s="58"/>
      <c r="W90" s="58"/>
      <c r="X90" s="58"/>
      <c r="Y90" s="58"/>
      <c r="Z90" s="58"/>
      <c r="AA90" s="58"/>
    </row>
    <row r="91">
      <c r="A91" s="57">
        <f>IF('主表 Stock_Transaction_Log'!$T91="","",IF(COUNTIF('主表 Stock_Transaction_Log'!$T$2:$T91,'主表 Stock_Transaction_Log'!$T91)=1,ROW('主表 Stock_Transaction_Log'!$T91),""))</f>
        <v>91</v>
      </c>
      <c r="B91" s="57" t="str">
        <f t="array" ref="B91">IF($A91="","",INDEX('主表 Stock_Transaction_Log'!$Q:$Q,$A91))</f>
        <v>R1-2-6-M</v>
      </c>
      <c r="C91" s="57" t="str">
        <f t="array" ref="C91">IF($A91="","",IF(INDEX('主表 Stock_Transaction_Log'!$F:$F,$A91)=0,"",INDEX('主表 Stock_Transaction_Log'!$F:$F,$A91)))</f>
        <v/>
      </c>
      <c r="D91" s="57" t="str">
        <f t="array" ref="D91">IF($A91="","",INDEX('主表 Stock_Transaction_Log'!$G:$G,$A91))</f>
        <v>物料</v>
      </c>
      <c r="E91" s="57" t="str">
        <f t="array" ref="E91">IF($A91="","",INDEX('主表 Stock_Transaction_Log'!$H:$H,$A91))</f>
        <v>SKU not found</v>
      </c>
      <c r="F91" s="57" t="str">
        <f t="array" ref="F91">IF($A91="","",INDEX('主表 Stock_Transaction_Log'!$I:$I,$A91))</f>
        <v>Item type not found</v>
      </c>
      <c r="G91" s="57" t="str">
        <f t="array" ref="G91">IF($A91="","",IF(INDEX('主表 Stock_Transaction_Log'!$R:$R,$A91)=0,"",INDEX('主表 Stock_Transaction_Log'!$R:$R,$A91)))</f>
        <v/>
      </c>
      <c r="H91" s="57">
        <f t="array" ref="H91">IF($A91="","",SUMIF('主表 Stock_Transaction_Log'!$T:$T,INDEX('主表 Stock_Transaction_Log'!$T:$T,$A91),'主表 Stock_Transaction_Log'!$S:$S)+SUMIF('主表 Stock_Transaction_Log'!$AB:$AB,INDEX('主表 Stock_Transaction_Log'!$T:$T,$A91),'主表 Stock_Transaction_Log'!$AC:$AC))</f>
        <v>99</v>
      </c>
      <c r="I91" s="57" t="str">
        <f t="shared" si="1"/>
        <v>In Stock / 在库</v>
      </c>
      <c r="J91" s="57" t="str">
        <f t="shared" si="2"/>
        <v>Stock line / 库存明细</v>
      </c>
      <c r="K91" s="57" t="b">
        <f t="shared" si="3"/>
        <v>1</v>
      </c>
      <c r="L91" s="57" t="str">
        <f t="array" ref="L91">IF($A91="","",INDEX('主表 Stock_Transaction_Log'!$P:$P,$A91))</f>
        <v>Material / 物料</v>
      </c>
      <c r="M91" s="57">
        <f>IF($A91="","",IF($H91&lt;=0,0,SUMIFS('主表 Stock_Transaction_Log'!$K$2:$K1000,'主表 Stock_Transaction_Log'!$C$2:$C1000,"Prepared",'主表 Stock_Transaction_Log'!$L$2:$L1000,$B91,'主表 Stock_Transaction_Log'!$F$2:$F1000,$C91,'主表 Stock_Transaction_Log'!$G$2:$G1000,$D91,'主表 Stock_Transaction_Log'!$P$2:$P1000,$L91)))</f>
        <v>0</v>
      </c>
      <c r="N91" s="57" t="s">
        <v>798</v>
      </c>
      <c r="O91" s="57">
        <f t="shared" si="4"/>
        <v>99</v>
      </c>
      <c r="P91" s="57">
        <f t="shared" si="5"/>
        <v>1</v>
      </c>
      <c r="Q91" s="57">
        <f t="shared" si="6"/>
        <v>1</v>
      </c>
      <c r="R91" s="57" t="str">
        <f t="shared" si="7"/>
        <v/>
      </c>
      <c r="S91" s="57" t="str">
        <f t="shared" si="8"/>
        <v>R2-2-1-R
坏机
Qty / 数量: 99</v>
      </c>
      <c r="T91" s="57" t="str">
        <f>IFERROR(__xludf.DUMMYFUNCTION("IF($N91="""","""",IF($O91=0,""Empty / 空"",IFERROR(LET(c,UNIQUE(FILTER($L$2:$L$500,$B$2:$B$500=$N91,$H$2:$H$500&gt;0,$L$2:$L$500&lt;&gt;"""")),IF(COUNTA(c)&gt;1,""Mixed / 混放: ""&amp;TEXTJOIN("" + "",TRUE,c),INDEX(c,1))),""Unclassified / 未分类"")))"),"Repair / 待修")</f>
        <v>Repair / 待修</v>
      </c>
      <c r="U91" s="58"/>
      <c r="V91" s="58"/>
      <c r="W91" s="58"/>
      <c r="X91" s="58"/>
      <c r="Y91" s="58"/>
      <c r="Z91" s="58"/>
      <c r="AA91" s="58"/>
    </row>
    <row r="92">
      <c r="A92" s="57">
        <f>IF('主表 Stock_Transaction_Log'!$T92="","",IF(COUNTIF('主表 Stock_Transaction_Log'!$T$2:$T92,'主表 Stock_Transaction_Log'!$T92)=1,ROW('主表 Stock_Transaction_Log'!$T92),""))</f>
        <v>92</v>
      </c>
      <c r="B92" s="57" t="str">
        <f t="array" ref="B92">IF($A92="","",INDEX('主表 Stock_Transaction_Log'!$Q:$Q,$A92))</f>
        <v>R1-2-6-R</v>
      </c>
      <c r="C92" s="57" t="str">
        <f t="array" ref="C92">IF($A92="","",IF(INDEX('主表 Stock_Transaction_Log'!$F:$F,$A92)=0,"",INDEX('主表 Stock_Transaction_Log'!$F:$F,$A92)))</f>
        <v/>
      </c>
      <c r="D92" s="57" t="str">
        <f t="array" ref="D92">IF($A92="","",INDEX('主表 Stock_Transaction_Log'!$G:$G,$A92))</f>
        <v>物料</v>
      </c>
      <c r="E92" s="57" t="str">
        <f t="array" ref="E92">IF($A92="","",INDEX('主表 Stock_Transaction_Log'!$H:$H,$A92))</f>
        <v>SKU not found</v>
      </c>
      <c r="F92" s="57" t="str">
        <f t="array" ref="F92">IF($A92="","",INDEX('主表 Stock_Transaction_Log'!$I:$I,$A92))</f>
        <v>Item type not found</v>
      </c>
      <c r="G92" s="57" t="str">
        <f t="array" ref="G92">IF($A92="","",IF(INDEX('主表 Stock_Transaction_Log'!$R:$R,$A92)=0,"",INDEX('主表 Stock_Transaction_Log'!$R:$R,$A92)))</f>
        <v/>
      </c>
      <c r="H92" s="57">
        <f t="array" ref="H92">IF($A92="","",SUMIF('主表 Stock_Transaction_Log'!$T:$T,INDEX('主表 Stock_Transaction_Log'!$T:$T,$A92),'主表 Stock_Transaction_Log'!$S:$S)+SUMIF('主表 Stock_Transaction_Log'!$AB:$AB,INDEX('主表 Stock_Transaction_Log'!$T:$T,$A92),'主表 Stock_Transaction_Log'!$AC:$AC))</f>
        <v>99</v>
      </c>
      <c r="I92" s="57" t="str">
        <f t="shared" si="1"/>
        <v>In Stock / 在库</v>
      </c>
      <c r="J92" s="57" t="str">
        <f t="shared" si="2"/>
        <v>Stock line / 库存明细</v>
      </c>
      <c r="K92" s="57" t="b">
        <f t="shared" si="3"/>
        <v>1</v>
      </c>
      <c r="L92" s="57" t="str">
        <f t="array" ref="L92">IF($A92="","",INDEX('主表 Stock_Transaction_Log'!$P:$P,$A92))</f>
        <v>Material / 物料</v>
      </c>
      <c r="M92" s="57">
        <f>IF($A92="","",IF($H92&lt;=0,0,SUMIFS('主表 Stock_Transaction_Log'!$K$2:$K1000,'主表 Stock_Transaction_Log'!$C$2:$C1000,"Prepared",'主表 Stock_Transaction_Log'!$L$2:$L1000,$B92,'主表 Stock_Transaction_Log'!$F$2:$F1000,$C92,'主表 Stock_Transaction_Log'!$G$2:$G1000,$D92,'主表 Stock_Transaction_Log'!$P$2:$P1000,$L92)))</f>
        <v>0</v>
      </c>
      <c r="N92" s="57" t="s">
        <v>827</v>
      </c>
      <c r="O92" s="57">
        <f t="shared" si="4"/>
        <v>99</v>
      </c>
      <c r="P92" s="57">
        <f t="shared" si="5"/>
        <v>1</v>
      </c>
      <c r="Q92" s="57">
        <f t="shared" si="6"/>
        <v>1</v>
      </c>
      <c r="R92" s="57" t="str">
        <f t="shared" si="7"/>
        <v/>
      </c>
      <c r="S92" s="57" t="str">
        <f t="shared" si="8"/>
        <v>R2-2-2-L
坏机
Qty / 数量: 99</v>
      </c>
      <c r="T92" s="57" t="str">
        <f>IFERROR(__xludf.DUMMYFUNCTION("IF($N92="""","""",IF($O92=0,""Empty / 空"",IFERROR(LET(c,UNIQUE(FILTER($L$2:$L$500,$B$2:$B$500=$N92,$H$2:$H$500&gt;0,$L$2:$L$500&lt;&gt;"""")),IF(COUNTA(c)&gt;1,""Mixed / 混放: ""&amp;TEXTJOIN("" + "",TRUE,c),INDEX(c,1))),""Unclassified / 未分类"")))"),"Repair / 待修")</f>
        <v>Repair / 待修</v>
      </c>
      <c r="U92" s="58"/>
      <c r="V92" s="58"/>
      <c r="W92" s="58"/>
      <c r="X92" s="58"/>
      <c r="Y92" s="58"/>
      <c r="Z92" s="58"/>
      <c r="AA92" s="58"/>
    </row>
    <row r="93">
      <c r="A93" s="57">
        <f>IF('主表 Stock_Transaction_Log'!$T93="","",IF(COUNTIF('主表 Stock_Transaction_Log'!$T$2:$T93,'主表 Stock_Transaction_Log'!$T93)=1,ROW('主表 Stock_Transaction_Log'!$T93),""))</f>
        <v>93</v>
      </c>
      <c r="B93" s="57" t="str">
        <f t="array" ref="B93">IF($A93="","",INDEX('主表 Stock_Transaction_Log'!$Q:$Q,$A93))</f>
        <v>R1-3-6-L</v>
      </c>
      <c r="C93" s="57" t="str">
        <f t="array" ref="C93">IF($A93="","",IF(INDEX('主表 Stock_Transaction_Log'!$F:$F,$A93)=0,"",INDEX('主表 Stock_Transaction_Log'!$F:$F,$A93)))</f>
        <v/>
      </c>
      <c r="D93" s="57" t="str">
        <f t="array" ref="D93">IF($A93="","",INDEX('主表 Stock_Transaction_Log'!$G:$G,$A93))</f>
        <v>物料</v>
      </c>
      <c r="E93" s="57" t="str">
        <f t="array" ref="E93">IF($A93="","",INDEX('主表 Stock_Transaction_Log'!$H:$H,$A93))</f>
        <v>SKU not found</v>
      </c>
      <c r="F93" s="57" t="str">
        <f t="array" ref="F93">IF($A93="","",INDEX('主表 Stock_Transaction_Log'!$I:$I,$A93))</f>
        <v>Item type not found</v>
      </c>
      <c r="G93" s="57" t="str">
        <f t="array" ref="G93">IF($A93="","",IF(INDEX('主表 Stock_Transaction_Log'!$R:$R,$A93)=0,"",INDEX('主表 Stock_Transaction_Log'!$R:$R,$A93)))</f>
        <v/>
      </c>
      <c r="H93" s="57">
        <f t="array" ref="H93">IF($A93="","",SUMIF('主表 Stock_Transaction_Log'!$T:$T,INDEX('主表 Stock_Transaction_Log'!$T:$T,$A93),'主表 Stock_Transaction_Log'!$S:$S)+SUMIF('主表 Stock_Transaction_Log'!$AB:$AB,INDEX('主表 Stock_Transaction_Log'!$T:$T,$A93),'主表 Stock_Transaction_Log'!$AC:$AC))</f>
        <v>99</v>
      </c>
      <c r="I93" s="57" t="str">
        <f t="shared" si="1"/>
        <v>In Stock / 在库</v>
      </c>
      <c r="J93" s="57" t="str">
        <f t="shared" si="2"/>
        <v>Stock line / 库存明细</v>
      </c>
      <c r="K93" s="57" t="b">
        <f t="shared" si="3"/>
        <v>1</v>
      </c>
      <c r="L93" s="57" t="str">
        <f t="array" ref="L93">IF($A93="","",INDEX('主表 Stock_Transaction_Log'!$P:$P,$A93))</f>
        <v>Material / 物料</v>
      </c>
      <c r="M93" s="57">
        <f>IF($A93="","",IF($H93&lt;=0,0,SUMIFS('主表 Stock_Transaction_Log'!$K$2:$K1000,'主表 Stock_Transaction_Log'!$C$2:$C1000,"Prepared",'主表 Stock_Transaction_Log'!$L$2:$L1000,$B93,'主表 Stock_Transaction_Log'!$F$2:$F1000,$C93,'主表 Stock_Transaction_Log'!$G$2:$G1000,$D93,'主表 Stock_Transaction_Log'!$P$2:$P1000,$L93)))</f>
        <v>0</v>
      </c>
      <c r="N93" s="57" t="s">
        <v>945</v>
      </c>
      <c r="O93" s="57">
        <f t="shared" si="4"/>
        <v>0</v>
      </c>
      <c r="P93" s="57">
        <f t="shared" si="5"/>
        <v>0</v>
      </c>
      <c r="Q93" s="57">
        <f t="shared" si="6"/>
        <v>0</v>
      </c>
      <c r="R93" s="57" t="str">
        <f t="shared" si="7"/>
        <v/>
      </c>
      <c r="S93" s="57" t="str">
        <f t="shared" si="8"/>
        <v>R2-2-2-M
Empty / 空</v>
      </c>
      <c r="T93" s="57" t="str">
        <f>IFERROR(__xludf.DUMMYFUNCTION("IF($N93="""","""",IF($O93=0,""Empty / 空"",IFERROR(LET(c,UNIQUE(FILTER($L$2:$L$500,$B$2:$B$500=$N93,$H$2:$H$500&gt;0,$L$2:$L$500&lt;&gt;"""")),IF(COUNTA(c)&gt;1,""Mixed / 混放: ""&amp;TEXTJOIN("" + "",TRUE,c),INDEX(c,1))),""Unclassified / 未分类"")))"),"Empty / 空")</f>
        <v>Empty / 空</v>
      </c>
      <c r="U93" s="58"/>
      <c r="V93" s="58"/>
      <c r="W93" s="58"/>
      <c r="X93" s="58"/>
      <c r="Y93" s="58"/>
      <c r="Z93" s="58"/>
      <c r="AA93" s="58"/>
    </row>
    <row r="94">
      <c r="A94" s="57">
        <f>IF('主表 Stock_Transaction_Log'!$T94="","",IF(COUNTIF('主表 Stock_Transaction_Log'!$T$2:$T94,'主表 Stock_Transaction_Log'!$T94)=1,ROW('主表 Stock_Transaction_Log'!$T94),""))</f>
        <v>94</v>
      </c>
      <c r="B94" s="57" t="str">
        <f t="array" ref="B94">IF($A94="","",INDEX('主表 Stock_Transaction_Log'!$Q:$Q,$A94))</f>
        <v>R1-3-6-M</v>
      </c>
      <c r="C94" s="57" t="str">
        <f t="array" ref="C94">IF($A94="","",IF(INDEX('主表 Stock_Transaction_Log'!$F:$F,$A94)=0,"",INDEX('主表 Stock_Transaction_Log'!$F:$F,$A94)))</f>
        <v/>
      </c>
      <c r="D94" s="57" t="str">
        <f t="array" ref="D94">IF($A94="","",INDEX('主表 Stock_Transaction_Log'!$G:$G,$A94))</f>
        <v>物料</v>
      </c>
      <c r="E94" s="57" t="str">
        <f t="array" ref="E94">IF($A94="","",INDEX('主表 Stock_Transaction_Log'!$H:$H,$A94))</f>
        <v>SKU not found</v>
      </c>
      <c r="F94" s="57" t="str">
        <f t="array" ref="F94">IF($A94="","",INDEX('主表 Stock_Transaction_Log'!$I:$I,$A94))</f>
        <v>Item type not found</v>
      </c>
      <c r="G94" s="57" t="str">
        <f t="array" ref="G94">IF($A94="","",IF(INDEX('主表 Stock_Transaction_Log'!$R:$R,$A94)=0,"",INDEX('主表 Stock_Transaction_Log'!$R:$R,$A94)))</f>
        <v/>
      </c>
      <c r="H94" s="57">
        <f t="array" ref="H94">IF($A94="","",SUMIF('主表 Stock_Transaction_Log'!$T:$T,INDEX('主表 Stock_Transaction_Log'!$T:$T,$A94),'主表 Stock_Transaction_Log'!$S:$S)+SUMIF('主表 Stock_Transaction_Log'!$AB:$AB,INDEX('主表 Stock_Transaction_Log'!$T:$T,$A94),'主表 Stock_Transaction_Log'!$AC:$AC))</f>
        <v>99</v>
      </c>
      <c r="I94" s="57" t="str">
        <f t="shared" si="1"/>
        <v>In Stock / 在库</v>
      </c>
      <c r="J94" s="57" t="str">
        <f t="shared" si="2"/>
        <v>Stock line / 库存明细</v>
      </c>
      <c r="K94" s="57" t="b">
        <f t="shared" si="3"/>
        <v>1</v>
      </c>
      <c r="L94" s="57" t="str">
        <f t="array" ref="L94">IF($A94="","",INDEX('主表 Stock_Transaction_Log'!$P:$P,$A94))</f>
        <v>Material / 物料</v>
      </c>
      <c r="M94" s="57">
        <f>IF($A94="","",IF($H94&lt;=0,0,SUMIFS('主表 Stock_Transaction_Log'!$K$2:$K1000,'主表 Stock_Transaction_Log'!$C$2:$C1000,"Prepared",'主表 Stock_Transaction_Log'!$L$2:$L1000,$B94,'主表 Stock_Transaction_Log'!$F$2:$F1000,$C94,'主表 Stock_Transaction_Log'!$G$2:$G1000,$D94,'主表 Stock_Transaction_Log'!$P$2:$P1000,$L94)))</f>
        <v>0</v>
      </c>
      <c r="N94" s="57" t="s">
        <v>832</v>
      </c>
      <c r="O94" s="57">
        <f t="shared" si="4"/>
        <v>99</v>
      </c>
      <c r="P94" s="57">
        <f t="shared" si="5"/>
        <v>1</v>
      </c>
      <c r="Q94" s="57">
        <f t="shared" si="6"/>
        <v>1</v>
      </c>
      <c r="R94" s="57" t="str">
        <f t="shared" si="7"/>
        <v/>
      </c>
      <c r="S94" s="57" t="str">
        <f t="shared" si="8"/>
        <v>R2-2-2-R
坏机
Qty / 数量: 99</v>
      </c>
      <c r="T94" s="57" t="str">
        <f>IFERROR(__xludf.DUMMYFUNCTION("IF($N94="""","""",IF($O94=0,""Empty / 空"",IFERROR(LET(c,UNIQUE(FILTER($L$2:$L$500,$B$2:$B$500=$N94,$H$2:$H$500&gt;0,$L$2:$L$500&lt;&gt;"""")),IF(COUNTA(c)&gt;1,""Mixed / 混放: ""&amp;TEXTJOIN("" + "",TRUE,c),INDEX(c,1))),""Unclassified / 未分类"")))"),"Repair / 待修")</f>
        <v>Repair / 待修</v>
      </c>
      <c r="U94" s="58"/>
      <c r="V94" s="58"/>
      <c r="W94" s="58"/>
      <c r="X94" s="58"/>
      <c r="Y94" s="58"/>
      <c r="Z94" s="58"/>
      <c r="AA94" s="58"/>
    </row>
    <row r="95">
      <c r="A95" s="57">
        <f>IF('主表 Stock_Transaction_Log'!$T95="","",IF(COUNTIF('主表 Stock_Transaction_Log'!$T$2:$T95,'主表 Stock_Transaction_Log'!$T95)=1,ROW('主表 Stock_Transaction_Log'!$T95),""))</f>
        <v>95</v>
      </c>
      <c r="B95" s="57" t="str">
        <f t="array" ref="B95">IF($A95="","",INDEX('主表 Stock_Transaction_Log'!$Q:$Q,$A95))</f>
        <v>R1-3-6-R</v>
      </c>
      <c r="C95" s="57" t="str">
        <f t="array" ref="C95">IF($A95="","",IF(INDEX('主表 Stock_Transaction_Log'!$F:$F,$A95)=0,"",INDEX('主表 Stock_Transaction_Log'!$F:$F,$A95)))</f>
        <v/>
      </c>
      <c r="D95" s="57" t="str">
        <f t="array" ref="D95">IF($A95="","",INDEX('主表 Stock_Transaction_Log'!$G:$G,$A95))</f>
        <v>物料</v>
      </c>
      <c r="E95" s="57" t="str">
        <f t="array" ref="E95">IF($A95="","",INDEX('主表 Stock_Transaction_Log'!$H:$H,$A95))</f>
        <v>SKU not found</v>
      </c>
      <c r="F95" s="57" t="str">
        <f t="array" ref="F95">IF($A95="","",INDEX('主表 Stock_Transaction_Log'!$I:$I,$A95))</f>
        <v>Item type not found</v>
      </c>
      <c r="G95" s="57" t="str">
        <f t="array" ref="G95">IF($A95="","",IF(INDEX('主表 Stock_Transaction_Log'!$R:$R,$A95)=0,"",INDEX('主表 Stock_Transaction_Log'!$R:$R,$A95)))</f>
        <v/>
      </c>
      <c r="H95" s="57">
        <f t="array" ref="H95">IF($A95="","",SUMIF('主表 Stock_Transaction_Log'!$T:$T,INDEX('主表 Stock_Transaction_Log'!$T:$T,$A95),'主表 Stock_Transaction_Log'!$S:$S)+SUMIF('主表 Stock_Transaction_Log'!$AB:$AB,INDEX('主表 Stock_Transaction_Log'!$T:$T,$A95),'主表 Stock_Transaction_Log'!$AC:$AC))</f>
        <v>99</v>
      </c>
      <c r="I95" s="57" t="str">
        <f t="shared" si="1"/>
        <v>In Stock / 在库</v>
      </c>
      <c r="J95" s="57" t="str">
        <f t="shared" si="2"/>
        <v>Stock line / 库存明细</v>
      </c>
      <c r="K95" s="57" t="b">
        <f t="shared" si="3"/>
        <v>1</v>
      </c>
      <c r="L95" s="57" t="str">
        <f t="array" ref="L95">IF($A95="","",INDEX('主表 Stock_Transaction_Log'!$P:$P,$A95))</f>
        <v>Material / 物料</v>
      </c>
      <c r="M95" s="57">
        <f>IF($A95="","",IF($H95&lt;=0,0,SUMIFS('主表 Stock_Transaction_Log'!$K$2:$K1000,'主表 Stock_Transaction_Log'!$C$2:$C1000,"Prepared",'主表 Stock_Transaction_Log'!$L$2:$L1000,$B95,'主表 Stock_Transaction_Log'!$F$2:$F1000,$C95,'主表 Stock_Transaction_Log'!$G$2:$G1000,$D95,'主表 Stock_Transaction_Log'!$P$2:$P1000,$L95)))</f>
        <v>0</v>
      </c>
      <c r="N95" s="57" t="s">
        <v>947</v>
      </c>
      <c r="O95" s="57">
        <f t="shared" si="4"/>
        <v>0</v>
      </c>
      <c r="P95" s="57">
        <f t="shared" si="5"/>
        <v>0</v>
      </c>
      <c r="Q95" s="57">
        <f t="shared" si="6"/>
        <v>0</v>
      </c>
      <c r="R95" s="57" t="str">
        <f t="shared" si="7"/>
        <v/>
      </c>
      <c r="S95" s="57" t="str">
        <f t="shared" si="8"/>
        <v>R2-2-3-L
Empty / 空</v>
      </c>
      <c r="T95" s="57" t="str">
        <f>IFERROR(__xludf.DUMMYFUNCTION("IF($N95="""","""",IF($O95=0,""Empty / 空"",IFERROR(LET(c,UNIQUE(FILTER($L$2:$L$500,$B$2:$B$500=$N95,$H$2:$H$500&gt;0,$L$2:$L$500&lt;&gt;"""")),IF(COUNTA(c)&gt;1,""Mixed / 混放: ""&amp;TEXTJOIN("" + "",TRUE,c),INDEX(c,1))),""Unclassified / 未分类"")))"),"Empty / 空")</f>
        <v>Empty / 空</v>
      </c>
      <c r="U95" s="58"/>
      <c r="V95" s="58"/>
      <c r="W95" s="58"/>
      <c r="X95" s="58"/>
      <c r="Y95" s="58"/>
      <c r="Z95" s="58"/>
      <c r="AA95" s="58"/>
    </row>
    <row r="96">
      <c r="A96" s="57">
        <f>IF('主表 Stock_Transaction_Log'!$T96="","",IF(COUNTIF('主表 Stock_Transaction_Log'!$T$2:$T96,'主表 Stock_Transaction_Log'!$T96)=1,ROW('主表 Stock_Transaction_Log'!$T96),""))</f>
        <v>96</v>
      </c>
      <c r="B96" s="57" t="str">
        <f t="array" ref="B96">IF($A96="","",INDEX('主表 Stock_Transaction_Log'!$Q:$Q,$A96))</f>
        <v>R1-4-6-L</v>
      </c>
      <c r="C96" s="57" t="str">
        <f t="array" ref="C96">IF($A96="","",IF(INDEX('主表 Stock_Transaction_Log'!$F:$F,$A96)=0,"",INDEX('主表 Stock_Transaction_Log'!$F:$F,$A96)))</f>
        <v/>
      </c>
      <c r="D96" s="57" t="str">
        <f t="array" ref="D96">IF($A96="","",INDEX('主表 Stock_Transaction_Log'!$G:$G,$A96))</f>
        <v>物料</v>
      </c>
      <c r="E96" s="57" t="str">
        <f t="array" ref="E96">IF($A96="","",INDEX('主表 Stock_Transaction_Log'!$H:$H,$A96))</f>
        <v>SKU not found</v>
      </c>
      <c r="F96" s="57" t="str">
        <f t="array" ref="F96">IF($A96="","",INDEX('主表 Stock_Transaction_Log'!$I:$I,$A96))</f>
        <v>Item type not found</v>
      </c>
      <c r="G96" s="57" t="str">
        <f t="array" ref="G96">IF($A96="","",IF(INDEX('主表 Stock_Transaction_Log'!$R:$R,$A96)=0,"",INDEX('主表 Stock_Transaction_Log'!$R:$R,$A96)))</f>
        <v/>
      </c>
      <c r="H96" s="57">
        <f t="array" ref="H96">IF($A96="","",SUMIF('主表 Stock_Transaction_Log'!$T:$T,INDEX('主表 Stock_Transaction_Log'!$T:$T,$A96),'主表 Stock_Transaction_Log'!$S:$S)+SUMIF('主表 Stock_Transaction_Log'!$AB:$AB,INDEX('主表 Stock_Transaction_Log'!$T:$T,$A96),'主表 Stock_Transaction_Log'!$AC:$AC))</f>
        <v>99</v>
      </c>
      <c r="I96" s="57" t="str">
        <f t="shared" si="1"/>
        <v>In Stock / 在库</v>
      </c>
      <c r="J96" s="57" t="str">
        <f t="shared" si="2"/>
        <v>Stock line / 库存明细</v>
      </c>
      <c r="K96" s="57" t="b">
        <f t="shared" si="3"/>
        <v>1</v>
      </c>
      <c r="L96" s="57" t="str">
        <f t="array" ref="L96">IF($A96="","",INDEX('主表 Stock_Transaction_Log'!$P:$P,$A96))</f>
        <v>Material / 物料</v>
      </c>
      <c r="M96" s="57">
        <f>IF($A96="","",IF($H96&lt;=0,0,SUMIFS('主表 Stock_Transaction_Log'!$K$2:$K1000,'主表 Stock_Transaction_Log'!$C$2:$C1000,"Prepared",'主表 Stock_Transaction_Log'!$L$2:$L1000,$B96,'主表 Stock_Transaction_Log'!$F$2:$F1000,$C96,'主表 Stock_Transaction_Log'!$G$2:$G1000,$D96,'主表 Stock_Transaction_Log'!$P$2:$P1000,$L96)))</f>
        <v>0</v>
      </c>
      <c r="N96" s="57" t="s">
        <v>951</v>
      </c>
      <c r="O96" s="57">
        <f t="shared" si="4"/>
        <v>0</v>
      </c>
      <c r="P96" s="57">
        <f t="shared" si="5"/>
        <v>0</v>
      </c>
      <c r="Q96" s="57">
        <f t="shared" si="6"/>
        <v>0</v>
      </c>
      <c r="R96" s="57" t="str">
        <f t="shared" si="7"/>
        <v/>
      </c>
      <c r="S96" s="57" t="str">
        <f t="shared" si="8"/>
        <v>R2-2-3-M
Empty / 空</v>
      </c>
      <c r="T96" s="57" t="str">
        <f>IFERROR(__xludf.DUMMYFUNCTION("IF($N96="""","""",IF($O96=0,""Empty / 空"",IFERROR(LET(c,UNIQUE(FILTER($L$2:$L$500,$B$2:$B$500=$N96,$H$2:$H$500&gt;0,$L$2:$L$500&lt;&gt;"""")),IF(COUNTA(c)&gt;1,""Mixed / 混放: ""&amp;TEXTJOIN("" + "",TRUE,c),INDEX(c,1))),""Unclassified / 未分类"")))"),"Empty / 空")</f>
        <v>Empty / 空</v>
      </c>
      <c r="U96" s="58"/>
      <c r="V96" s="58"/>
      <c r="W96" s="58"/>
      <c r="X96" s="58"/>
      <c r="Y96" s="58"/>
      <c r="Z96" s="58"/>
      <c r="AA96" s="58"/>
    </row>
    <row r="97">
      <c r="A97" s="57">
        <f>IF('主表 Stock_Transaction_Log'!$T97="","",IF(COUNTIF('主表 Stock_Transaction_Log'!$T$2:$T97,'主表 Stock_Transaction_Log'!$T97)=1,ROW('主表 Stock_Transaction_Log'!$T97),""))</f>
        <v>97</v>
      </c>
      <c r="B97" s="57" t="str">
        <f t="array" ref="B97">IF($A97="","",INDEX('主表 Stock_Transaction_Log'!$Q:$Q,$A97))</f>
        <v>R1-4-6-M</v>
      </c>
      <c r="C97" s="57" t="str">
        <f t="array" ref="C97">IF($A97="","",IF(INDEX('主表 Stock_Transaction_Log'!$F:$F,$A97)=0,"",INDEX('主表 Stock_Transaction_Log'!$F:$F,$A97)))</f>
        <v/>
      </c>
      <c r="D97" s="57" t="str">
        <f t="array" ref="D97">IF($A97="","",INDEX('主表 Stock_Transaction_Log'!$G:$G,$A97))</f>
        <v>物料</v>
      </c>
      <c r="E97" s="57" t="str">
        <f t="array" ref="E97">IF($A97="","",INDEX('主表 Stock_Transaction_Log'!$H:$H,$A97))</f>
        <v>SKU not found</v>
      </c>
      <c r="F97" s="57" t="str">
        <f t="array" ref="F97">IF($A97="","",INDEX('主表 Stock_Transaction_Log'!$I:$I,$A97))</f>
        <v>Item type not found</v>
      </c>
      <c r="G97" s="57" t="str">
        <f t="array" ref="G97">IF($A97="","",IF(INDEX('主表 Stock_Transaction_Log'!$R:$R,$A97)=0,"",INDEX('主表 Stock_Transaction_Log'!$R:$R,$A97)))</f>
        <v/>
      </c>
      <c r="H97" s="57">
        <f t="array" ref="H97">IF($A97="","",SUMIF('主表 Stock_Transaction_Log'!$T:$T,INDEX('主表 Stock_Transaction_Log'!$T:$T,$A97),'主表 Stock_Transaction_Log'!$S:$S)+SUMIF('主表 Stock_Transaction_Log'!$AB:$AB,INDEX('主表 Stock_Transaction_Log'!$T:$T,$A97),'主表 Stock_Transaction_Log'!$AC:$AC))</f>
        <v>99</v>
      </c>
      <c r="I97" s="57" t="str">
        <f t="shared" si="1"/>
        <v>In Stock / 在库</v>
      </c>
      <c r="J97" s="57" t="str">
        <f t="shared" si="2"/>
        <v>Stock line / 库存明细</v>
      </c>
      <c r="K97" s="57" t="b">
        <f t="shared" si="3"/>
        <v>1</v>
      </c>
      <c r="L97" s="57" t="str">
        <f t="array" ref="L97">IF($A97="","",INDEX('主表 Stock_Transaction_Log'!$P:$P,$A97))</f>
        <v>Material / 物料</v>
      </c>
      <c r="M97" s="57">
        <f>IF($A97="","",IF($H97&lt;=0,0,SUMIFS('主表 Stock_Transaction_Log'!$K$2:$K1000,'主表 Stock_Transaction_Log'!$C$2:$C1000,"Prepared",'主表 Stock_Transaction_Log'!$L$2:$L1000,$B97,'主表 Stock_Transaction_Log'!$F$2:$F1000,$C97,'主表 Stock_Transaction_Log'!$G$2:$G1000,$D97,'主表 Stock_Transaction_Log'!$P$2:$P1000,$L97)))</f>
        <v>0</v>
      </c>
      <c r="N97" s="57" t="s">
        <v>464</v>
      </c>
      <c r="O97" s="57">
        <f t="shared" si="4"/>
        <v>5</v>
      </c>
      <c r="P97" s="57">
        <f t="shared" si="5"/>
        <v>1</v>
      </c>
      <c r="Q97" s="57">
        <f t="shared" si="6"/>
        <v>1</v>
      </c>
      <c r="R97" s="57" t="str">
        <f t="shared" si="7"/>
        <v/>
      </c>
      <c r="S97" s="57" t="str">
        <f t="shared" si="8"/>
        <v>R2-2-3-R
坏机
Qty / 数量: 5</v>
      </c>
      <c r="T97" s="57" t="str">
        <f>IFERROR(__xludf.DUMMYFUNCTION("IF($N97="""","""",IF($O97=0,""Empty / 空"",IFERROR(LET(c,UNIQUE(FILTER($L$2:$L$500,$B$2:$B$500=$N97,$H$2:$H$500&gt;0,$L$2:$L$500&lt;&gt;"""")),IF(COUNTA(c)&gt;1,""Mixed / 混放: ""&amp;TEXTJOIN("" + "",TRUE,c),INDEX(c,1))),""Unclassified / 未分类"")))"),"Repair / 待修")</f>
        <v>Repair / 待修</v>
      </c>
      <c r="U97" s="58"/>
      <c r="V97" s="58"/>
      <c r="W97" s="58"/>
      <c r="X97" s="58"/>
      <c r="Y97" s="58"/>
      <c r="Z97" s="58"/>
      <c r="AA97" s="58"/>
    </row>
    <row r="98">
      <c r="A98" s="57">
        <f>IF('主表 Stock_Transaction_Log'!$T98="","",IF(COUNTIF('主表 Stock_Transaction_Log'!$T$2:$T98,'主表 Stock_Transaction_Log'!$T98)=1,ROW('主表 Stock_Transaction_Log'!$T98),""))</f>
        <v>98</v>
      </c>
      <c r="B98" s="57" t="str">
        <f t="array" ref="B98">IF($A98="","",INDEX('主表 Stock_Transaction_Log'!$Q:$Q,$A98))</f>
        <v>R1-4-6-R</v>
      </c>
      <c r="C98" s="57" t="str">
        <f t="array" ref="C98">IF($A98="","",IF(INDEX('主表 Stock_Transaction_Log'!$F:$F,$A98)=0,"",INDEX('主表 Stock_Transaction_Log'!$F:$F,$A98)))</f>
        <v/>
      </c>
      <c r="D98" s="57" t="str">
        <f t="array" ref="D98">IF($A98="","",INDEX('主表 Stock_Transaction_Log'!$G:$G,$A98))</f>
        <v>物料</v>
      </c>
      <c r="E98" s="57" t="str">
        <f t="array" ref="E98">IF($A98="","",INDEX('主表 Stock_Transaction_Log'!$H:$H,$A98))</f>
        <v>SKU not found</v>
      </c>
      <c r="F98" s="57" t="str">
        <f t="array" ref="F98">IF($A98="","",INDEX('主表 Stock_Transaction_Log'!$I:$I,$A98))</f>
        <v>Item type not found</v>
      </c>
      <c r="G98" s="57" t="str">
        <f t="array" ref="G98">IF($A98="","",IF(INDEX('主表 Stock_Transaction_Log'!$R:$R,$A98)=0,"",INDEX('主表 Stock_Transaction_Log'!$R:$R,$A98)))</f>
        <v/>
      </c>
      <c r="H98" s="57">
        <f t="array" ref="H98">IF($A98="","",SUMIF('主表 Stock_Transaction_Log'!$T:$T,INDEX('主表 Stock_Transaction_Log'!$T:$T,$A98),'主表 Stock_Transaction_Log'!$S:$S)+SUMIF('主表 Stock_Transaction_Log'!$AB:$AB,INDEX('主表 Stock_Transaction_Log'!$T:$T,$A98),'主表 Stock_Transaction_Log'!$AC:$AC))</f>
        <v>99</v>
      </c>
      <c r="I98" s="57" t="str">
        <f t="shared" si="1"/>
        <v>In Stock / 在库</v>
      </c>
      <c r="J98" s="57" t="str">
        <f t="shared" si="2"/>
        <v>Stock line / 库存明细</v>
      </c>
      <c r="K98" s="57" t="b">
        <f t="shared" si="3"/>
        <v>1</v>
      </c>
      <c r="L98" s="57" t="str">
        <f t="array" ref="L98">IF($A98="","",INDEX('主表 Stock_Transaction_Log'!$P:$P,$A98))</f>
        <v>Material / 物料</v>
      </c>
      <c r="M98" s="57">
        <f>IF($A98="","",IF($H98&lt;=0,0,SUMIFS('主表 Stock_Transaction_Log'!$K$2:$K1000,'主表 Stock_Transaction_Log'!$C$2:$C1000,"Prepared",'主表 Stock_Transaction_Log'!$L$2:$L1000,$B98,'主表 Stock_Transaction_Log'!$F$2:$F1000,$C98,'主表 Stock_Transaction_Log'!$G$2:$G1000,$D98,'主表 Stock_Transaction_Log'!$P$2:$P1000,$L98)))</f>
        <v>0</v>
      </c>
      <c r="N98" s="57" t="s">
        <v>440</v>
      </c>
      <c r="O98" s="57">
        <f t="shared" si="4"/>
        <v>6</v>
      </c>
      <c r="P98" s="57">
        <f t="shared" si="5"/>
        <v>1</v>
      </c>
      <c r="Q98" s="57">
        <f t="shared" si="6"/>
        <v>1</v>
      </c>
      <c r="R98" s="57" t="str">
        <f t="shared" si="7"/>
        <v/>
      </c>
      <c r="S98" s="57" t="str">
        <f t="shared" si="8"/>
        <v>R2-2-4-L
97-229-00021-00
Qty / 数量: 6</v>
      </c>
      <c r="T98" s="57" t="str">
        <f>IFERROR(__xludf.DUMMYFUNCTION("IF($N98="""","""",IF($O98=0,""Empty / 空"",IFERROR(LET(c,UNIQUE(FILTER($L$2:$L$500,$B$2:$B$500=$N98,$H$2:$H$500&gt;0,$L$2:$L$500&lt;&gt;"""")),IF(COUNTA(c)&gt;1,""Mixed / 混放: ""&amp;TEXTJOIN("" + "",TRUE,c),INDEX(c,1))),""Unclassified / 未分类"")))"),"New / 新机")</f>
        <v>New / 新机</v>
      </c>
      <c r="U98" s="58"/>
      <c r="V98" s="58"/>
      <c r="W98" s="58"/>
      <c r="X98" s="58"/>
      <c r="Y98" s="58"/>
      <c r="Z98" s="58"/>
      <c r="AA98" s="58"/>
    </row>
    <row r="99">
      <c r="A99" s="57">
        <f>IF('主表 Stock_Transaction_Log'!$T99="","",IF(COUNTIF('主表 Stock_Transaction_Log'!$T$2:$T99,'主表 Stock_Transaction_Log'!$T99)=1,ROW('主表 Stock_Transaction_Log'!$T99),""))</f>
        <v>99</v>
      </c>
      <c r="B99" s="57" t="str">
        <f t="array" ref="B99">IF($A99="","",INDEX('主表 Stock_Transaction_Log'!$Q:$Q,$A99))</f>
        <v>R1-1-5-L</v>
      </c>
      <c r="C99" s="57" t="str">
        <f t="array" ref="C99">IF($A99="","",IF(INDEX('主表 Stock_Transaction_Log'!$F:$F,$A99)=0,"",INDEX('主表 Stock_Transaction_Log'!$F:$F,$A99)))</f>
        <v/>
      </c>
      <c r="D99" s="57" t="str">
        <f t="array" ref="D99">IF($A99="","",INDEX('主表 Stock_Transaction_Log'!$G:$G,$A99))</f>
        <v>物料</v>
      </c>
      <c r="E99" s="57" t="str">
        <f t="array" ref="E99">IF($A99="","",INDEX('主表 Stock_Transaction_Log'!$H:$H,$A99))</f>
        <v>SKU not found</v>
      </c>
      <c r="F99" s="57" t="str">
        <f t="array" ref="F99">IF($A99="","",INDEX('主表 Stock_Transaction_Log'!$I:$I,$A99))</f>
        <v>Item type not found</v>
      </c>
      <c r="G99" s="57" t="str">
        <f t="array" ref="G99">IF($A99="","",IF(INDEX('主表 Stock_Transaction_Log'!$R:$R,$A99)=0,"",INDEX('主表 Stock_Transaction_Log'!$R:$R,$A99)))</f>
        <v/>
      </c>
      <c r="H99" s="57">
        <f t="array" ref="H99">IF($A99="","",SUMIF('主表 Stock_Transaction_Log'!$T:$T,INDEX('主表 Stock_Transaction_Log'!$T:$T,$A99),'主表 Stock_Transaction_Log'!$S:$S)+SUMIF('主表 Stock_Transaction_Log'!$AB:$AB,INDEX('主表 Stock_Transaction_Log'!$T:$T,$A99),'主表 Stock_Transaction_Log'!$AC:$AC))</f>
        <v>99</v>
      </c>
      <c r="I99" s="57" t="str">
        <f t="shared" si="1"/>
        <v>In Stock / 在库</v>
      </c>
      <c r="J99" s="57" t="str">
        <f t="shared" si="2"/>
        <v>Stock line / 库存明细</v>
      </c>
      <c r="K99" s="57" t="b">
        <f t="shared" si="3"/>
        <v>1</v>
      </c>
      <c r="L99" s="57" t="str">
        <f t="array" ref="L99">IF($A99="","",INDEX('主表 Stock_Transaction_Log'!$P:$P,$A99))</f>
        <v>Material / 物料</v>
      </c>
      <c r="M99" s="57">
        <f>IF($A99="","",IF($H99&lt;=0,0,SUMIFS('主表 Stock_Transaction_Log'!$K$2:$K1000,'主表 Stock_Transaction_Log'!$C$2:$C1000,"Prepared",'主表 Stock_Transaction_Log'!$L$2:$L1000,$B99,'主表 Stock_Transaction_Log'!$F$2:$F1000,$C99,'主表 Stock_Transaction_Log'!$G$2:$G1000,$D99,'主表 Stock_Transaction_Log'!$P$2:$P1000,$L99)))</f>
        <v>0</v>
      </c>
      <c r="N99" s="57" t="s">
        <v>953</v>
      </c>
      <c r="O99" s="57">
        <f t="shared" si="4"/>
        <v>0</v>
      </c>
      <c r="P99" s="57">
        <f t="shared" si="5"/>
        <v>0</v>
      </c>
      <c r="Q99" s="57">
        <f t="shared" si="6"/>
        <v>0</v>
      </c>
      <c r="R99" s="57" t="str">
        <f t="shared" si="7"/>
        <v/>
      </c>
      <c r="S99" s="57" t="str">
        <f t="shared" si="8"/>
        <v>R2-2-4-M
Empty / 空</v>
      </c>
      <c r="T99" s="57" t="str">
        <f>IFERROR(__xludf.DUMMYFUNCTION("IF($N99="""","""",IF($O99=0,""Empty / 空"",IFERROR(LET(c,UNIQUE(FILTER($L$2:$L$500,$B$2:$B$500=$N99,$H$2:$H$500&gt;0,$L$2:$L$500&lt;&gt;"""")),IF(COUNTA(c)&gt;1,""Mixed / 混放: ""&amp;TEXTJOIN("" + "",TRUE,c),INDEX(c,1))),""Unclassified / 未分类"")))"),"Empty / 空")</f>
        <v>Empty / 空</v>
      </c>
      <c r="U99" s="58"/>
      <c r="V99" s="58"/>
      <c r="W99" s="58"/>
      <c r="X99" s="58"/>
      <c r="Y99" s="58"/>
      <c r="Z99" s="58"/>
      <c r="AA99" s="58"/>
    </row>
    <row r="100">
      <c r="A100" s="57">
        <f>IF('主表 Stock_Transaction_Log'!$T100="","",IF(COUNTIF('主表 Stock_Transaction_Log'!$T$2:$T100,'主表 Stock_Transaction_Log'!$T100)=1,ROW('主表 Stock_Transaction_Log'!$T100),""))</f>
        <v>100</v>
      </c>
      <c r="B100" s="57" t="str">
        <f t="array" ref="B100">IF($A100="","",INDEX('主表 Stock_Transaction_Log'!$Q:$Q,$A100))</f>
        <v>R1-1-5-R</v>
      </c>
      <c r="C100" s="57" t="str">
        <f t="array" ref="C100">IF($A100="","",IF(INDEX('主表 Stock_Transaction_Log'!$F:$F,$A100)=0,"",INDEX('主表 Stock_Transaction_Log'!$F:$F,$A100)))</f>
        <v/>
      </c>
      <c r="D100" s="57" t="str">
        <f t="array" ref="D100">IF($A100="","",INDEX('主表 Stock_Transaction_Log'!$G:$G,$A100))</f>
        <v>物料</v>
      </c>
      <c r="E100" s="57" t="str">
        <f t="array" ref="E100">IF($A100="","",INDEX('主表 Stock_Transaction_Log'!$H:$H,$A100))</f>
        <v>SKU not found</v>
      </c>
      <c r="F100" s="57" t="str">
        <f t="array" ref="F100">IF($A100="","",INDEX('主表 Stock_Transaction_Log'!$I:$I,$A100))</f>
        <v>Item type not found</v>
      </c>
      <c r="G100" s="57" t="str">
        <f t="array" ref="G100">IF($A100="","",IF(INDEX('主表 Stock_Transaction_Log'!$R:$R,$A100)=0,"",INDEX('主表 Stock_Transaction_Log'!$R:$R,$A100)))</f>
        <v/>
      </c>
      <c r="H100" s="57">
        <f t="array" ref="H100">IF($A100="","",SUMIF('主表 Stock_Transaction_Log'!$T:$T,INDEX('主表 Stock_Transaction_Log'!$T:$T,$A100),'主表 Stock_Transaction_Log'!$S:$S)+SUMIF('主表 Stock_Transaction_Log'!$AB:$AB,INDEX('主表 Stock_Transaction_Log'!$T:$T,$A100),'主表 Stock_Transaction_Log'!$AC:$AC))</f>
        <v>99</v>
      </c>
      <c r="I100" s="57" t="str">
        <f t="shared" si="1"/>
        <v>In Stock / 在库</v>
      </c>
      <c r="J100" s="57" t="str">
        <f t="shared" si="2"/>
        <v>Stock line / 库存明细</v>
      </c>
      <c r="K100" s="57" t="b">
        <f t="shared" si="3"/>
        <v>1</v>
      </c>
      <c r="L100" s="57" t="str">
        <f t="array" ref="L100">IF($A100="","",INDEX('主表 Stock_Transaction_Log'!$P:$P,$A100))</f>
        <v>Material / 物料</v>
      </c>
      <c r="M100" s="57">
        <f>IF($A100="","",IF($H100&lt;=0,0,SUMIFS('主表 Stock_Transaction_Log'!$K$2:$K1000,'主表 Stock_Transaction_Log'!$C$2:$C1000,"Prepared",'主表 Stock_Transaction_Log'!$L$2:$L1000,$B100,'主表 Stock_Transaction_Log'!$F$2:$F1000,$C100,'主表 Stock_Transaction_Log'!$G$2:$G1000,$D100,'主表 Stock_Transaction_Log'!$P$2:$P1000,$L100)))</f>
        <v>0</v>
      </c>
      <c r="N100" s="57" t="s">
        <v>438</v>
      </c>
      <c r="O100" s="57">
        <f t="shared" si="4"/>
        <v>6</v>
      </c>
      <c r="P100" s="57">
        <f t="shared" si="5"/>
        <v>1</v>
      </c>
      <c r="Q100" s="57">
        <f t="shared" si="6"/>
        <v>1</v>
      </c>
      <c r="R100" s="57" t="str">
        <f t="shared" si="7"/>
        <v/>
      </c>
      <c r="S100" s="57" t="str">
        <f t="shared" si="8"/>
        <v>R2-2-4-R
97-229-00021-00
Qty / 数量: 6</v>
      </c>
      <c r="T100" s="57" t="str">
        <f>IFERROR(__xludf.DUMMYFUNCTION("IF($N100="""","""",IF($O100=0,""Empty / 空"",IFERROR(LET(c,UNIQUE(FILTER($L$2:$L$500,$B$2:$B$500=$N100,$H$2:$H$500&gt;0,$L$2:$L$500&lt;&gt;"""")),IF(COUNTA(c)&gt;1,""Mixed / 混放: ""&amp;TEXTJOIN("" + "",TRUE,c),INDEX(c,1))),""Unclassified / 未分类"")))"),"New / 新机")</f>
        <v>New / 新机</v>
      </c>
      <c r="U100" s="58"/>
      <c r="V100" s="58"/>
      <c r="W100" s="58"/>
      <c r="X100" s="58"/>
      <c r="Y100" s="58"/>
      <c r="Z100" s="58"/>
      <c r="AA100" s="58"/>
    </row>
    <row r="101">
      <c r="A101" s="57">
        <f>IF('主表 Stock_Transaction_Log'!$T101="","",IF(COUNTIF('主表 Stock_Transaction_Log'!$T$2:$T101,'主表 Stock_Transaction_Log'!$T101)=1,ROW('主表 Stock_Transaction_Log'!$T101),""))</f>
        <v>101</v>
      </c>
      <c r="B101" s="57" t="str">
        <f t="array" ref="B101">IF($A101="","",INDEX('主表 Stock_Transaction_Log'!$Q:$Q,$A101))</f>
        <v>FLEX-01</v>
      </c>
      <c r="C101" s="57" t="str">
        <f t="array" ref="C101">IF($A101="","",IF(INDEX('主表 Stock_Transaction_Log'!$F:$F,$A101)=0,"",INDEX('主表 Stock_Transaction_Log'!$F:$F,$A101)))</f>
        <v>mix08</v>
      </c>
      <c r="D101" s="57" t="str">
        <f t="array" ref="D101">IF($A101="","",INDEX('主表 Stock_Transaction_Log'!$G:$G,$A101))</f>
        <v>97-229-00020-00</v>
      </c>
      <c r="E101" s="57" t="str">
        <f t="array" ref="E101">IF($A101="","",INDEX('主表 Stock_Transaction_Log'!$H:$H,$A101))</f>
        <v>CQ6-M</v>
      </c>
      <c r="F101" s="57" t="str">
        <f t="array" ref="F101">IF($A101="","",INDEX('主表 Stock_Transaction_Log'!$I:$I,$A101))</f>
        <v>Product</v>
      </c>
      <c r="G101" s="57" t="str">
        <f t="array" ref="G101">IF($A101="","",IF(INDEX('主表 Stock_Transaction_Log'!$R:$R,$A101)=0,"",INDEX('主表 Stock_Transaction_Log'!$R:$R,$A101)))</f>
        <v/>
      </c>
      <c r="H101" s="57">
        <f t="array" ref="H101">IF($A101="","",SUMIF('主表 Stock_Transaction_Log'!$T:$T,INDEX('主表 Stock_Transaction_Log'!$T:$T,$A101),'主表 Stock_Transaction_Log'!$S:$S)+SUMIF('主表 Stock_Transaction_Log'!$AB:$AB,INDEX('主表 Stock_Transaction_Log'!$T:$T,$A101),'主表 Stock_Transaction_Log'!$AC:$AC))</f>
        <v>1</v>
      </c>
      <c r="I101" s="57" t="str">
        <f t="shared" si="1"/>
        <v>In Stock / 在库</v>
      </c>
      <c r="J101" s="57" t="str">
        <f t="shared" si="2"/>
        <v>Container detail / 容器明细</v>
      </c>
      <c r="K101" s="57" t="b">
        <f t="shared" si="3"/>
        <v>1</v>
      </c>
      <c r="L101" s="57" t="str">
        <f t="array" ref="L101">IF($A101="","",INDEX('主表 Stock_Transaction_Log'!$P:$P,$A101))</f>
        <v>New / 新机</v>
      </c>
      <c r="M101" s="57">
        <f>IF($A101="","",IF($H101&lt;=0,0,SUMIFS('主表 Stock_Transaction_Log'!$K$2:$K1000,'主表 Stock_Transaction_Log'!$C$2:$C1000,"Prepared",'主表 Stock_Transaction_Log'!$L$2:$L1000,$B101,'主表 Stock_Transaction_Log'!$F$2:$F1000,$C101,'主表 Stock_Transaction_Log'!$G$2:$G1000,$D101,'主表 Stock_Transaction_Log'!$P$2:$P1000,$L101)))</f>
        <v>0</v>
      </c>
      <c r="N101" s="57" t="s">
        <v>397</v>
      </c>
      <c r="O101" s="57">
        <f t="shared" si="4"/>
        <v>12</v>
      </c>
      <c r="P101" s="57">
        <f t="shared" si="5"/>
        <v>3</v>
      </c>
      <c r="Q101" s="57">
        <f t="shared" si="6"/>
        <v>3</v>
      </c>
      <c r="R101" s="57" t="str">
        <f t="shared" si="7"/>
        <v>Mix002</v>
      </c>
      <c r="S101" s="57" t="str">
        <f t="shared" si="8"/>
        <v>R2-2-5-L
Mixed / 混装: 3 SKUs
Container / 容器: Mix002
Qty / 数量: 12</v>
      </c>
      <c r="T101" s="57" t="str">
        <f>IFERROR(__xludf.DUMMYFUNCTION("IF($N101="""","""",IF($O101=0,""Empty / 空"",IFERROR(LET(c,UNIQUE(FILTER($L$2:$L$500,$B$2:$B$500=$N101,$H$2:$H$500&gt;0,$L$2:$L$500&lt;&gt;"""")),IF(COUNTA(c)&gt;1,""Mixed / 混放: ""&amp;TEXTJOIN("" + "",TRUE,c),INDEX(c,1))),""Unclassified / 未分类"")))"),"Repair_Good / 维修良品")</f>
        <v>Repair_Good / 维修良品</v>
      </c>
      <c r="U101" s="58"/>
      <c r="V101" s="58"/>
      <c r="W101" s="58"/>
      <c r="X101" s="58"/>
      <c r="Y101" s="58"/>
      <c r="Z101" s="58"/>
      <c r="AA101" s="58"/>
    </row>
    <row r="102">
      <c r="A102" s="57">
        <f>IF('主表 Stock_Transaction_Log'!$T102="","",IF(COUNTIF('主表 Stock_Transaction_Log'!$T$2:$T102,'主表 Stock_Transaction_Log'!$T102)=1,ROW('主表 Stock_Transaction_Log'!$T102),""))</f>
        <v>102</v>
      </c>
      <c r="B102" s="57" t="str">
        <f t="array" ref="B102">IF($A102="","",INDEX('主表 Stock_Transaction_Log'!$Q:$Q,$A102))</f>
        <v>FLEX-01</v>
      </c>
      <c r="C102" s="57" t="str">
        <f t="array" ref="C102">IF($A102="","",IF(INDEX('主表 Stock_Transaction_Log'!$F:$F,$A102)=0,"",INDEX('主表 Stock_Transaction_Log'!$F:$F,$A102)))</f>
        <v>mix08</v>
      </c>
      <c r="D102" s="57" t="str">
        <f t="array" ref="D102">IF($A102="","",INDEX('主表 Stock_Transaction_Log'!$G:$G,$A102))</f>
        <v>97-223-00088-00</v>
      </c>
      <c r="E102" s="57" t="str">
        <f t="array" ref="E102">IF($A102="","",INDEX('主表 Stock_Transaction_Log'!$H:$H,$A102))</f>
        <v>EQ4800-M</v>
      </c>
      <c r="F102" s="57" t="str">
        <f t="array" ref="F102">IF($A102="","",INDEX('主表 Stock_Transaction_Log'!$I:$I,$A102))</f>
        <v>Product</v>
      </c>
      <c r="G102" s="57" t="str">
        <f t="array" ref="G102">IF($A102="","",IF(INDEX('主表 Stock_Transaction_Log'!$R:$R,$A102)=0,"",INDEX('主表 Stock_Transaction_Log'!$R:$R,$A102)))</f>
        <v/>
      </c>
      <c r="H102" s="57">
        <f t="array" ref="H102">IF($A102="","",SUMIF('主表 Stock_Transaction_Log'!$T:$T,INDEX('主表 Stock_Transaction_Log'!$T:$T,$A102),'主表 Stock_Transaction_Log'!$S:$S)+SUMIF('主表 Stock_Transaction_Log'!$AB:$AB,INDEX('主表 Stock_Transaction_Log'!$T:$T,$A102),'主表 Stock_Transaction_Log'!$AC:$AC))</f>
        <v>2</v>
      </c>
      <c r="I102" s="57" t="str">
        <f t="shared" si="1"/>
        <v>In Stock / 在库</v>
      </c>
      <c r="J102" s="57" t="str">
        <f t="shared" si="2"/>
        <v>Container detail / 容器明细</v>
      </c>
      <c r="K102" s="57" t="b">
        <f t="shared" si="3"/>
        <v>1</v>
      </c>
      <c r="L102" s="57" t="str">
        <f t="array" ref="L102">IF($A102="","",INDEX('主表 Stock_Transaction_Log'!$P:$P,$A102))</f>
        <v>New / 新机</v>
      </c>
      <c r="M102" s="57">
        <f>IF($A102="","",IF($H102&lt;=0,0,SUMIFS('主表 Stock_Transaction_Log'!$K$2:$K1000,'主表 Stock_Transaction_Log'!$C$2:$C1000,"Prepared",'主表 Stock_Transaction_Log'!$L$2:$L1000,$B102,'主表 Stock_Transaction_Log'!$F$2:$F1000,$C102,'主表 Stock_Transaction_Log'!$G$2:$G1000,$D102,'主表 Stock_Transaction_Log'!$P$2:$P1000,$L102)))</f>
        <v>0</v>
      </c>
      <c r="N102" s="57" t="s">
        <v>960</v>
      </c>
      <c r="O102" s="57">
        <f t="shared" si="4"/>
        <v>0</v>
      </c>
      <c r="P102" s="57">
        <f t="shared" si="5"/>
        <v>0</v>
      </c>
      <c r="Q102" s="57">
        <f t="shared" si="6"/>
        <v>0</v>
      </c>
      <c r="R102" s="57" t="str">
        <f t="shared" si="7"/>
        <v/>
      </c>
      <c r="S102" s="57" t="str">
        <f t="shared" si="8"/>
        <v>R2-2-5-M
Empty / 空</v>
      </c>
      <c r="T102" s="57" t="str">
        <f>IFERROR(__xludf.DUMMYFUNCTION("IF($N102="""","""",IF($O102=0,""Empty / 空"",IFERROR(LET(c,UNIQUE(FILTER($L$2:$L$500,$B$2:$B$500=$N102,$H$2:$H$500&gt;0,$L$2:$L$500&lt;&gt;"""")),IF(COUNTA(c)&gt;1,""Mixed / 混放: ""&amp;TEXTJOIN("" + "",TRUE,c),INDEX(c,1))),""Unclassified / 未分类"")))"),"Empty / 空")</f>
        <v>Empty / 空</v>
      </c>
      <c r="U102" s="58"/>
      <c r="V102" s="58"/>
      <c r="W102" s="58"/>
      <c r="X102" s="58"/>
      <c r="Y102" s="58"/>
      <c r="Z102" s="58"/>
      <c r="AA102" s="58"/>
    </row>
    <row r="103">
      <c r="A103" s="57" t="str">
        <f>IF('主表 Stock_Transaction_Log'!$T103="","",IF(COUNTIF('主表 Stock_Transaction_Log'!$T$2:$T103,'主表 Stock_Transaction_Log'!$T103)=1,ROW('主表 Stock_Transaction_Log'!$T103),""))</f>
        <v/>
      </c>
      <c r="B103" s="57" t="str">
        <f t="array" ref="B103">IF($A103="","",INDEX('主表 Stock_Transaction_Log'!$Q:$Q,$A103))</f>
        <v/>
      </c>
      <c r="C103" s="57" t="str">
        <f t="array" ref="C103">IF($A103="","",IF(INDEX('主表 Stock_Transaction_Log'!$F:$F,$A103)=0,"",INDEX('主表 Stock_Transaction_Log'!$F:$F,$A103)))</f>
        <v/>
      </c>
      <c r="D103" s="57" t="str">
        <f t="array" ref="D103">IF($A103="","",INDEX('主表 Stock_Transaction_Log'!$G:$G,$A103))</f>
        <v/>
      </c>
      <c r="E103" s="57" t="str">
        <f t="array" ref="E103">IF($A103="","",INDEX('主表 Stock_Transaction_Log'!$H:$H,$A103))</f>
        <v/>
      </c>
      <c r="F103" s="57" t="str">
        <f t="array" ref="F103">IF($A103="","",INDEX('主表 Stock_Transaction_Log'!$I:$I,$A103))</f>
        <v/>
      </c>
      <c r="G103" s="57" t="str">
        <f t="array" ref="G103">IF($A103="","",IF(INDEX('主表 Stock_Transaction_Log'!$R:$R,$A103)=0,"",INDEX('主表 Stock_Transaction_Log'!$R:$R,$A103)))</f>
        <v/>
      </c>
      <c r="H103" s="57" t="str">
        <f t="array" ref="H103">IF($A103="","",SUMIF('主表 Stock_Transaction_Log'!$T:$T,INDEX('主表 Stock_Transaction_Log'!$T:$T,$A103),'主表 Stock_Transaction_Log'!$S:$S)+SUMIF('主表 Stock_Transaction_Log'!$AB:$AB,INDEX('主表 Stock_Transaction_Log'!$T:$T,$A103),'主表 Stock_Transaction_Log'!$AC:$AC))</f>
        <v/>
      </c>
      <c r="I103" s="57" t="str">
        <f t="shared" si="1"/>
        <v/>
      </c>
      <c r="J103" s="57" t="str">
        <f t="shared" si="2"/>
        <v/>
      </c>
      <c r="K103" s="57" t="str">
        <f t="shared" si="3"/>
        <v/>
      </c>
      <c r="L103" s="57" t="str">
        <f t="array" ref="L103">IF($A103="","",INDEX('主表 Stock_Transaction_Log'!$P:$P,$A103))</f>
        <v/>
      </c>
      <c r="M103" s="57" t="str">
        <f>IF($A103="","",IF($H103&lt;=0,0,SUMIFS('主表 Stock_Transaction_Log'!$K$2:$K1000,'主表 Stock_Transaction_Log'!$C$2:$C1000,"Prepared",'主表 Stock_Transaction_Log'!$L$2:$L1000,$B103,'主表 Stock_Transaction_Log'!$F$2:$F1000,$C103,'主表 Stock_Transaction_Log'!$G$2:$G1000,$D103,'主表 Stock_Transaction_Log'!$P$2:$P1000,$L103)))</f>
        <v/>
      </c>
      <c r="N103" s="57" t="s">
        <v>425</v>
      </c>
      <c r="O103" s="57">
        <f t="shared" si="4"/>
        <v>12</v>
      </c>
      <c r="P103" s="57">
        <f t="shared" si="5"/>
        <v>1</v>
      </c>
      <c r="Q103" s="57">
        <f t="shared" si="6"/>
        <v>1</v>
      </c>
      <c r="R103" s="57" t="str">
        <f t="shared" si="7"/>
        <v/>
      </c>
      <c r="S103" s="57" t="str">
        <f t="shared" si="8"/>
        <v>R2-2-5-R
97-223-00107-00
Qty / 数量: 12</v>
      </c>
      <c r="T103" s="57" t="str">
        <f>IFERROR(__xludf.DUMMYFUNCTION("IF($N103="""","""",IF($O103=0,""Empty / 空"",IFERROR(LET(c,UNIQUE(FILTER($L$2:$L$500,$B$2:$B$500=$N103,$H$2:$H$500&gt;0,$L$2:$L$500&lt;&gt;"""")),IF(COUNTA(c)&gt;1,""Mixed / 混放: ""&amp;TEXTJOIN("" + "",TRUE,c),INDEX(c,1))),""Unclassified / 未分类"")))"),"New / 新机")</f>
        <v>New / 新机</v>
      </c>
      <c r="U103" s="58"/>
      <c r="V103" s="58"/>
      <c r="W103" s="58"/>
      <c r="X103" s="58"/>
      <c r="Y103" s="58"/>
      <c r="Z103" s="58"/>
      <c r="AA103" s="58"/>
    </row>
    <row r="104">
      <c r="A104" s="57" t="str">
        <f>IF('主表 Stock_Transaction_Log'!$T104="","",IF(COUNTIF('主表 Stock_Transaction_Log'!$T$2:$T104,'主表 Stock_Transaction_Log'!$T104)=1,ROW('主表 Stock_Transaction_Log'!$T104),""))</f>
        <v/>
      </c>
      <c r="B104" s="57" t="str">
        <f t="array" ref="B104">IF($A104="","",INDEX('主表 Stock_Transaction_Log'!$Q:$Q,$A104))</f>
        <v/>
      </c>
      <c r="C104" s="57" t="str">
        <f t="array" ref="C104">IF($A104="","",IF(INDEX('主表 Stock_Transaction_Log'!$F:$F,$A104)=0,"",INDEX('主表 Stock_Transaction_Log'!$F:$F,$A104)))</f>
        <v/>
      </c>
      <c r="D104" s="57" t="str">
        <f t="array" ref="D104">IF($A104="","",INDEX('主表 Stock_Transaction_Log'!$G:$G,$A104))</f>
        <v/>
      </c>
      <c r="E104" s="57" t="str">
        <f t="array" ref="E104">IF($A104="","",INDEX('主表 Stock_Transaction_Log'!$H:$H,$A104))</f>
        <v/>
      </c>
      <c r="F104" s="57" t="str">
        <f t="array" ref="F104">IF($A104="","",INDEX('主表 Stock_Transaction_Log'!$I:$I,$A104))</f>
        <v/>
      </c>
      <c r="G104" s="57" t="str">
        <f t="array" ref="G104">IF($A104="","",IF(INDEX('主表 Stock_Transaction_Log'!$R:$R,$A104)=0,"",INDEX('主表 Stock_Transaction_Log'!$R:$R,$A104)))</f>
        <v/>
      </c>
      <c r="H104" s="57" t="str">
        <f t="array" ref="H104">IF($A104="","",SUMIF('主表 Stock_Transaction_Log'!$T:$T,INDEX('主表 Stock_Transaction_Log'!$T:$T,$A104),'主表 Stock_Transaction_Log'!$S:$S)+SUMIF('主表 Stock_Transaction_Log'!$AB:$AB,INDEX('主表 Stock_Transaction_Log'!$T:$T,$A104),'主表 Stock_Transaction_Log'!$AC:$AC))</f>
        <v/>
      </c>
      <c r="I104" s="57" t="str">
        <f t="shared" si="1"/>
        <v/>
      </c>
      <c r="J104" s="57" t="str">
        <f t="shared" si="2"/>
        <v/>
      </c>
      <c r="K104" s="57" t="str">
        <f t="shared" si="3"/>
        <v/>
      </c>
      <c r="L104" s="57" t="str">
        <f t="array" ref="L104">IF($A104="","",INDEX('主表 Stock_Transaction_Log'!$P:$P,$A104))</f>
        <v/>
      </c>
      <c r="M104" s="57" t="str">
        <f>IF($A104="","",IF($H104&lt;=0,0,SUMIFS('主表 Stock_Transaction_Log'!$K$2:$K1000,'主表 Stock_Transaction_Log'!$C$2:$C1000,"Prepared",'主表 Stock_Transaction_Log'!$L$2:$L1000,$B104,'主表 Stock_Transaction_Log'!$F$2:$F1000,$C104,'主表 Stock_Transaction_Log'!$G$2:$G1000,$D104,'主表 Stock_Transaction_Log'!$P$2:$P1000,$L104)))</f>
        <v/>
      </c>
      <c r="N104" s="57" t="s">
        <v>962</v>
      </c>
      <c r="O104" s="57">
        <f t="shared" si="4"/>
        <v>0</v>
      </c>
      <c r="P104" s="57">
        <f t="shared" si="5"/>
        <v>0</v>
      </c>
      <c r="Q104" s="57">
        <f t="shared" si="6"/>
        <v>0</v>
      </c>
      <c r="R104" s="57" t="str">
        <f t="shared" si="7"/>
        <v/>
      </c>
      <c r="S104" s="57" t="str">
        <f t="shared" si="8"/>
        <v>R2-3-1-L
Empty / 空</v>
      </c>
      <c r="T104" s="57" t="str">
        <f>IFERROR(__xludf.DUMMYFUNCTION("IF($N104="""","""",IF($O104=0,""Empty / 空"",IFERROR(LET(c,UNIQUE(FILTER($L$2:$L$500,$B$2:$B$500=$N104,$H$2:$H$500&gt;0,$L$2:$L$500&lt;&gt;"""")),IF(COUNTA(c)&gt;1,""Mixed / 混放: ""&amp;TEXTJOIN("" + "",TRUE,c),INDEX(c,1))),""Unclassified / 未分类"")))"),"Empty / 空")</f>
        <v>Empty / 空</v>
      </c>
      <c r="U104" s="58"/>
      <c r="V104" s="58"/>
      <c r="W104" s="58"/>
      <c r="X104" s="58"/>
      <c r="Y104" s="58"/>
      <c r="Z104" s="58"/>
      <c r="AA104" s="58"/>
    </row>
    <row r="105">
      <c r="A105" s="57">
        <f>IF('主表 Stock_Transaction_Log'!$T105="","",IF(COUNTIF('主表 Stock_Transaction_Log'!$T$2:$T105,'主表 Stock_Transaction_Log'!$T105)=1,ROW('主表 Stock_Transaction_Log'!$T105),""))</f>
        <v>105</v>
      </c>
      <c r="B105" s="57" t="str">
        <f t="array" ref="B105">IF($A105="","",INDEX('主表 Stock_Transaction_Log'!$Q:$Q,$A105))</f>
        <v>FLEX-01</v>
      </c>
      <c r="C105" s="57" t="str">
        <f t="array" ref="C105">IF($A105="","",IF(INDEX('主表 Stock_Transaction_Log'!$F:$F,$A105)=0,"",INDEX('主表 Stock_Transaction_Log'!$F:$F,$A105)))</f>
        <v/>
      </c>
      <c r="D105" s="57" t="str">
        <f t="array" ref="D105">IF($A105="","",INDEX('主表 Stock_Transaction_Log'!$G:$G,$A105))</f>
        <v>97-229-00021-00</v>
      </c>
      <c r="E105" s="57" t="str">
        <f t="array" ref="E105">IF($A105="","",INDEX('主表 Stock_Transaction_Log'!$H:$H,$A105))</f>
        <v>CQ6-S</v>
      </c>
      <c r="F105" s="57" t="str">
        <f t="array" ref="F105">IF($A105="","",INDEX('主表 Stock_Transaction_Log'!$I:$I,$A105))</f>
        <v>Product</v>
      </c>
      <c r="G105" s="57" t="str">
        <f t="array" ref="G105">IF($A105="","",IF(INDEX('主表 Stock_Transaction_Log'!$R:$R,$A105)=0,"",INDEX('主表 Stock_Transaction_Log'!$R:$R,$A105)))</f>
        <v/>
      </c>
      <c r="H105" s="57">
        <f t="array" ref="H105">IF($A105="","",SUMIF('主表 Stock_Transaction_Log'!$T:$T,INDEX('主表 Stock_Transaction_Log'!$T:$T,$A105),'主表 Stock_Transaction_Log'!$S:$S)+SUMIF('主表 Stock_Transaction_Log'!$AB:$AB,INDEX('主表 Stock_Transaction_Log'!$T:$T,$A105),'主表 Stock_Transaction_Log'!$AC:$AC))</f>
        <v>15</v>
      </c>
      <c r="I105" s="57" t="str">
        <f t="shared" si="1"/>
        <v>In Stock / 在库</v>
      </c>
      <c r="J105" s="57" t="str">
        <f t="shared" si="2"/>
        <v>Stock line / 库存明细</v>
      </c>
      <c r="K105" s="57" t="b">
        <f t="shared" si="3"/>
        <v>1</v>
      </c>
      <c r="L105" s="57" t="str">
        <f t="array" ref="L105">IF($A105="","",INDEX('主表 Stock_Transaction_Log'!$P:$P,$A105))</f>
        <v>New / 新机</v>
      </c>
      <c r="M105" s="57">
        <f>IF($A105="","",IF($H105&lt;=0,0,SUMIFS('主表 Stock_Transaction_Log'!$K$2:$K1000,'主表 Stock_Transaction_Log'!$C$2:$C1000,"Prepared",'主表 Stock_Transaction_Log'!$L$2:$L1000,$B105,'主表 Stock_Transaction_Log'!$F$2:$F1000,$C105,'主表 Stock_Transaction_Log'!$G$2:$G1000,$D105,'主表 Stock_Transaction_Log'!$P$2:$P1000,$L105)))</f>
        <v>0</v>
      </c>
      <c r="N105" s="57" t="s">
        <v>966</v>
      </c>
      <c r="O105" s="57">
        <f t="shared" si="4"/>
        <v>0</v>
      </c>
      <c r="P105" s="57">
        <f t="shared" si="5"/>
        <v>0</v>
      </c>
      <c r="Q105" s="57">
        <f t="shared" si="6"/>
        <v>0</v>
      </c>
      <c r="R105" s="57" t="str">
        <f t="shared" si="7"/>
        <v/>
      </c>
      <c r="S105" s="57" t="str">
        <f t="shared" si="8"/>
        <v>R2-3-1-M
Empty / 空</v>
      </c>
      <c r="T105" s="57" t="str">
        <f>IFERROR(__xludf.DUMMYFUNCTION("IF($N105="""","""",IF($O105=0,""Empty / 空"",IFERROR(LET(c,UNIQUE(FILTER($L$2:$L$500,$B$2:$B$500=$N105,$H$2:$H$500&gt;0,$L$2:$L$500&lt;&gt;"""")),IF(COUNTA(c)&gt;1,""Mixed / 混放: ""&amp;TEXTJOIN("" + "",TRUE,c),INDEX(c,1))),""Unclassified / 未分类"")))"),"Empty / 空")</f>
        <v>Empty / 空</v>
      </c>
      <c r="U105" s="58"/>
      <c r="V105" s="58"/>
      <c r="W105" s="58"/>
      <c r="X105" s="58"/>
      <c r="Y105" s="58"/>
      <c r="Z105" s="58"/>
      <c r="AA105" s="58"/>
    </row>
    <row r="106">
      <c r="A106" s="57">
        <f>IF('主表 Stock_Transaction_Log'!$T106="","",IF(COUNTIF('主表 Stock_Transaction_Log'!$T$2:$T106,'主表 Stock_Transaction_Log'!$T106)=1,ROW('主表 Stock_Transaction_Log'!$T106),""))</f>
        <v>106</v>
      </c>
      <c r="B106" s="57" t="str">
        <f t="array" ref="B106">IF($A106="","",INDEX('主表 Stock_Transaction_Log'!$Q:$Q,$A106))</f>
        <v>FLEX-01</v>
      </c>
      <c r="C106" s="57" t="str">
        <f t="array" ref="C106">IF($A106="","",IF(INDEX('主表 Stock_Transaction_Log'!$F:$F,$A106)=0,"",INDEX('主表 Stock_Transaction_Log'!$F:$F,$A106)))</f>
        <v/>
      </c>
      <c r="D106" s="57" t="str">
        <f t="array" ref="D106">IF($A106="","",INDEX('主表 Stock_Transaction_Log'!$G:$G,$A106))</f>
        <v>97-141-00060-B0</v>
      </c>
      <c r="E106" s="57" t="str">
        <f t="array" ref="E106">IF($A106="","",INDEX('主表 Stock_Transaction_Log'!$H:$H,$A106))</f>
        <v>H3-10.0-Smart</v>
      </c>
      <c r="F106" s="57" t="str">
        <f t="array" ref="F106">IF($A106="","",INDEX('主表 Stock_Transaction_Log'!$I:$I,$A106))</f>
        <v>Product</v>
      </c>
      <c r="G106" s="57" t="str">
        <f t="array" ref="G106">IF($A106="","",IF(INDEX('主表 Stock_Transaction_Log'!$R:$R,$A106)=0,"",INDEX('主表 Stock_Transaction_Log'!$R:$R,$A106)))</f>
        <v/>
      </c>
      <c r="H106" s="57">
        <f t="array" ref="H106">IF($A106="","",SUMIF('主表 Stock_Transaction_Log'!$T:$T,INDEX('主表 Stock_Transaction_Log'!$T:$T,$A106),'主表 Stock_Transaction_Log'!$S:$S)+SUMIF('主表 Stock_Transaction_Log'!$AB:$AB,INDEX('主表 Stock_Transaction_Log'!$T:$T,$A106),'主表 Stock_Transaction_Log'!$AC:$AC))</f>
        <v>5</v>
      </c>
      <c r="I106" s="57" t="str">
        <f t="shared" si="1"/>
        <v>In Stock / 在库</v>
      </c>
      <c r="J106" s="57" t="str">
        <f t="shared" si="2"/>
        <v>Stock line / 库存明细</v>
      </c>
      <c r="K106" s="57" t="b">
        <f t="shared" si="3"/>
        <v>1</v>
      </c>
      <c r="L106" s="57" t="str">
        <f t="array" ref="L106">IF($A106="","",INDEX('主表 Stock_Transaction_Log'!$P:$P,$A106))</f>
        <v>New / 新机</v>
      </c>
      <c r="M106" s="57">
        <f>IF($A106="","",IF($H106&lt;=0,0,SUMIFS('主表 Stock_Transaction_Log'!$K$2:$K1000,'主表 Stock_Transaction_Log'!$C$2:$C1000,"Prepared",'主表 Stock_Transaction_Log'!$L$2:$L1000,$B106,'主表 Stock_Transaction_Log'!$F$2:$F1000,$C106,'主表 Stock_Transaction_Log'!$G$2:$G1000,$D106,'主表 Stock_Transaction_Log'!$P$2:$P1000,$L106)))</f>
        <v>0</v>
      </c>
      <c r="N106" s="57" t="s">
        <v>781</v>
      </c>
      <c r="O106" s="57">
        <f t="shared" si="4"/>
        <v>99</v>
      </c>
      <c r="P106" s="57">
        <f t="shared" si="5"/>
        <v>1</v>
      </c>
      <c r="Q106" s="57">
        <f t="shared" si="6"/>
        <v>1</v>
      </c>
      <c r="R106" s="57" t="str">
        <f t="shared" si="7"/>
        <v/>
      </c>
      <c r="S106" s="57" t="str">
        <f t="shared" si="8"/>
        <v>R2-3-1-R
坏机
Qty / 数量: 99</v>
      </c>
      <c r="T106" s="57" t="str">
        <f>IFERROR(__xludf.DUMMYFUNCTION("IF($N106="""","""",IF($O106=0,""Empty / 空"",IFERROR(LET(c,UNIQUE(FILTER($L$2:$L$500,$B$2:$B$500=$N106,$H$2:$H$500&gt;0,$L$2:$L$500&lt;&gt;"""")),IF(COUNTA(c)&gt;1,""Mixed / 混放: ""&amp;TEXTJOIN("" + "",TRUE,c),INDEX(c,1))),""Unclassified / 未分类"")))"),"Repair / 待修")</f>
        <v>Repair / 待修</v>
      </c>
      <c r="U106" s="58"/>
      <c r="V106" s="58"/>
      <c r="W106" s="58"/>
      <c r="X106" s="58"/>
      <c r="Y106" s="58"/>
      <c r="Z106" s="58"/>
      <c r="AA106" s="58"/>
    </row>
    <row r="107">
      <c r="A107" s="57">
        <f>IF('主表 Stock_Transaction_Log'!$T107="","",IF(COUNTIF('主表 Stock_Transaction_Log'!$T$2:$T107,'主表 Stock_Transaction_Log'!$T107)=1,ROW('主表 Stock_Transaction_Log'!$T107),""))</f>
        <v>107</v>
      </c>
      <c r="B107" s="57" t="str">
        <f t="array" ref="B107">IF($A107="","",INDEX('主表 Stock_Transaction_Log'!$Q:$Q,$A107))</f>
        <v>FLEX-01</v>
      </c>
      <c r="C107" s="57" t="str">
        <f t="array" ref="C107">IF($A107="","",IF(INDEX('主表 Stock_Transaction_Log'!$F:$F,$A107)=0,"",INDEX('主表 Stock_Transaction_Log'!$F:$F,$A107)))</f>
        <v/>
      </c>
      <c r="D107" s="57" t="str">
        <f t="array" ref="D107">IF($A107="","",INDEX('主表 Stock_Transaction_Log'!$G:$G,$A107))</f>
        <v>30-138-K1215-B0</v>
      </c>
      <c r="E107" s="57" t="str">
        <f t="array" ref="E107">IF($A107="","",INDEX('主表 Stock_Transaction_Log'!$H:$H,$A107))</f>
        <v>KH8</v>
      </c>
      <c r="F107" s="57" t="str">
        <f t="array" ref="F107">IF($A107="","",INDEX('主表 Stock_Transaction_Log'!$I:$I,$A107))</f>
        <v>Product</v>
      </c>
      <c r="G107" s="57" t="str">
        <f t="array" ref="G107">IF($A107="","",IF(INDEX('主表 Stock_Transaction_Log'!$R:$R,$A107)=0,"",INDEX('主表 Stock_Transaction_Log'!$R:$R,$A107)))</f>
        <v/>
      </c>
      <c r="H107" s="57">
        <f t="array" ref="H107">IF($A107="","",SUMIF('主表 Stock_Transaction_Log'!$T:$T,INDEX('主表 Stock_Transaction_Log'!$T:$T,$A107),'主表 Stock_Transaction_Log'!$S:$S)+SUMIF('主表 Stock_Transaction_Log'!$AB:$AB,INDEX('主表 Stock_Transaction_Log'!$T:$T,$A107),'主表 Stock_Transaction_Log'!$AC:$AC))</f>
        <v>1</v>
      </c>
      <c r="I107" s="57" t="str">
        <f t="shared" si="1"/>
        <v>In Stock / 在库</v>
      </c>
      <c r="J107" s="57" t="str">
        <f t="shared" si="2"/>
        <v>Stock line / 库存明细</v>
      </c>
      <c r="K107" s="57" t="b">
        <f t="shared" si="3"/>
        <v>1</v>
      </c>
      <c r="L107" s="57" t="str">
        <f t="array" ref="L107">IF($A107="","",INDEX('主表 Stock_Transaction_Log'!$P:$P,$A107))</f>
        <v>New / 新机</v>
      </c>
      <c r="M107" s="57">
        <f>IF($A107="","",IF($H107&lt;=0,0,SUMIFS('主表 Stock_Transaction_Log'!$K$2:$K1000,'主表 Stock_Transaction_Log'!$C$2:$C1000,"Prepared",'主表 Stock_Transaction_Log'!$L$2:$L1000,$B107,'主表 Stock_Transaction_Log'!$F$2:$F1000,$C107,'主表 Stock_Transaction_Log'!$G$2:$G1000,$D107,'主表 Stock_Transaction_Log'!$P$2:$P1000,$L107)))</f>
        <v>0</v>
      </c>
      <c r="N107" s="57" t="s">
        <v>816</v>
      </c>
      <c r="O107" s="57">
        <f t="shared" si="4"/>
        <v>99</v>
      </c>
      <c r="P107" s="57">
        <f t="shared" si="5"/>
        <v>1</v>
      </c>
      <c r="Q107" s="57">
        <f t="shared" si="6"/>
        <v>1</v>
      </c>
      <c r="R107" s="57" t="str">
        <f t="shared" si="7"/>
        <v/>
      </c>
      <c r="S107" s="57" t="str">
        <f t="shared" si="8"/>
        <v>R2-3-2-L
坏机
Qty / 数量: 99</v>
      </c>
      <c r="T107" s="57" t="str">
        <f>IFERROR(__xludf.DUMMYFUNCTION("IF($N107="""","""",IF($O107=0,""Empty / 空"",IFERROR(LET(c,UNIQUE(FILTER($L$2:$L$500,$B$2:$B$500=$N107,$H$2:$H$500&gt;0,$L$2:$L$500&lt;&gt;"""")),IF(COUNTA(c)&gt;1,""Mixed / 混放: ""&amp;TEXTJOIN("" + "",TRUE,c),INDEX(c,1))),""Unclassified / 未分类"")))"),"Repair / 待修")</f>
        <v>Repair / 待修</v>
      </c>
      <c r="U107" s="58"/>
      <c r="V107" s="58"/>
      <c r="W107" s="58"/>
      <c r="X107" s="58"/>
      <c r="Y107" s="58"/>
      <c r="Z107" s="58"/>
      <c r="AA107" s="58"/>
    </row>
    <row r="108">
      <c r="A108" s="57">
        <f>IF('主表 Stock_Transaction_Log'!$T108="","",IF(COUNTIF('主表 Stock_Transaction_Log'!$T$2:$T108,'主表 Stock_Transaction_Log'!$T108)=1,ROW('主表 Stock_Transaction_Log'!$T108),""))</f>
        <v>108</v>
      </c>
      <c r="B108" s="57" t="str">
        <f t="array" ref="B108">IF($A108="","",INDEX('主表 Stock_Transaction_Log'!$Q:$Q,$A108))</f>
        <v>FLEX-01</v>
      </c>
      <c r="C108" s="57" t="str">
        <f t="array" ref="C108">IF($A108="","",IF(INDEX('主表 Stock_Transaction_Log'!$F:$F,$A108)=0,"",INDEX('主表 Stock_Transaction_Log'!$F:$F,$A108)))</f>
        <v/>
      </c>
      <c r="D108" s="57" t="str">
        <f t="array" ref="D108">IF($A108="","",INDEX('主表 Stock_Transaction_Log'!$G:$G,$A108))</f>
        <v>30-229-00003-00</v>
      </c>
      <c r="E108" s="57" t="str">
        <f t="array" ref="E108">IF($A108="","",INDEX('主表 Stock_Transaction_Log'!$H:$H,$A108))</f>
        <v>CQ7-S</v>
      </c>
      <c r="F108" s="57" t="str">
        <f t="array" ref="F108">IF($A108="","",INDEX('主表 Stock_Transaction_Log'!$I:$I,$A108))</f>
        <v>Product</v>
      </c>
      <c r="G108" s="57" t="str">
        <f t="array" ref="G108">IF($A108="","",IF(INDEX('主表 Stock_Transaction_Log'!$R:$R,$A108)=0,"",INDEX('主表 Stock_Transaction_Log'!$R:$R,$A108)))</f>
        <v/>
      </c>
      <c r="H108" s="57">
        <f t="array" ref="H108">IF($A108="","",SUMIF('主表 Stock_Transaction_Log'!$T:$T,INDEX('主表 Stock_Transaction_Log'!$T:$T,$A108),'主表 Stock_Transaction_Log'!$S:$S)+SUMIF('主表 Stock_Transaction_Log'!$AB:$AB,INDEX('主表 Stock_Transaction_Log'!$T:$T,$A108),'主表 Stock_Transaction_Log'!$AC:$AC))</f>
        <v>2</v>
      </c>
      <c r="I108" s="57" t="str">
        <f t="shared" si="1"/>
        <v>In Stock / 在库</v>
      </c>
      <c r="J108" s="57" t="str">
        <f t="shared" si="2"/>
        <v>Stock line / 库存明细</v>
      </c>
      <c r="K108" s="57" t="b">
        <f t="shared" si="3"/>
        <v>1</v>
      </c>
      <c r="L108" s="57" t="str">
        <f t="array" ref="L108">IF($A108="","",INDEX('主表 Stock_Transaction_Log'!$P:$P,$A108))</f>
        <v>New / 新机</v>
      </c>
      <c r="M108" s="57">
        <f>IF($A108="","",IF($H108&lt;=0,0,SUMIFS('主表 Stock_Transaction_Log'!$K$2:$K1000,'主表 Stock_Transaction_Log'!$C$2:$C1000,"Prepared",'主表 Stock_Transaction_Log'!$L$2:$L1000,$B108,'主表 Stock_Transaction_Log'!$F$2:$F1000,$C108,'主表 Stock_Transaction_Log'!$G$2:$G1000,$D108,'主表 Stock_Transaction_Log'!$P$2:$P1000,$L108)))</f>
        <v>0</v>
      </c>
      <c r="N108" s="57" t="s">
        <v>970</v>
      </c>
      <c r="O108" s="57">
        <f t="shared" si="4"/>
        <v>0</v>
      </c>
      <c r="P108" s="57">
        <f t="shared" si="5"/>
        <v>0</v>
      </c>
      <c r="Q108" s="57">
        <f t="shared" si="6"/>
        <v>0</v>
      </c>
      <c r="R108" s="57" t="str">
        <f t="shared" si="7"/>
        <v/>
      </c>
      <c r="S108" s="57" t="str">
        <f t="shared" si="8"/>
        <v>R2-3-2-M
Empty / 空</v>
      </c>
      <c r="T108" s="57" t="str">
        <f>IFERROR(__xludf.DUMMYFUNCTION("IF($N108="""","""",IF($O108=0,""Empty / 空"",IFERROR(LET(c,UNIQUE(FILTER($L$2:$L$500,$B$2:$B$500=$N108,$H$2:$H$500&gt;0,$L$2:$L$500&lt;&gt;"""")),IF(COUNTA(c)&gt;1,""Mixed / 混放: ""&amp;TEXTJOIN("" + "",TRUE,c),INDEX(c,1))),""Unclassified / 未分类"")))"),"Empty / 空")</f>
        <v>Empty / 空</v>
      </c>
      <c r="U108" s="58"/>
      <c r="V108" s="58"/>
      <c r="W108" s="58"/>
      <c r="X108" s="58"/>
      <c r="Y108" s="58"/>
      <c r="Z108" s="58"/>
      <c r="AA108" s="58"/>
    </row>
    <row r="109">
      <c r="A109" s="57">
        <f>IF('主表 Stock_Transaction_Log'!$T109="","",IF(COUNTIF('主表 Stock_Transaction_Log'!$T$2:$T109,'主表 Stock_Transaction_Log'!$T109)=1,ROW('主表 Stock_Transaction_Log'!$T109),""))</f>
        <v>109</v>
      </c>
      <c r="B109" s="57" t="str">
        <f t="array" ref="B109">IF($A109="","",INDEX('主表 Stock_Transaction_Log'!$Q:$Q,$A109))</f>
        <v>FLEX-01</v>
      </c>
      <c r="C109" s="57" t="str">
        <f t="array" ref="C109">IF($A109="","",IF(INDEX('主表 Stock_Transaction_Log'!$F:$F,$A109)=0,"",INDEX('主表 Stock_Transaction_Log'!$F:$F,$A109)))</f>
        <v/>
      </c>
      <c r="D109" s="57" t="str">
        <f t="array" ref="D109">IF($A109="","",INDEX('主表 Stock_Transaction_Log'!$G:$G,$A109))</f>
        <v>97-223-00108-00</v>
      </c>
      <c r="E109" s="57" t="str">
        <f t="array" ref="E109">IF($A109="","",INDEX('主表 Stock_Transaction_Log'!$H:$H,$A109))</f>
        <v>EQ4800-M</v>
      </c>
      <c r="F109" s="57" t="str">
        <f t="array" ref="F109">IF($A109="","",INDEX('主表 Stock_Transaction_Log'!$I:$I,$A109))</f>
        <v>Product</v>
      </c>
      <c r="G109" s="57" t="str">
        <f t="array" ref="G109">IF($A109="","",IF(INDEX('主表 Stock_Transaction_Log'!$R:$R,$A109)=0,"",INDEX('主表 Stock_Transaction_Log'!$R:$R,$A109)))</f>
        <v/>
      </c>
      <c r="H109" s="57">
        <f t="array" ref="H109">IF($A109="","",SUMIF('主表 Stock_Transaction_Log'!$T:$T,INDEX('主表 Stock_Transaction_Log'!$T:$T,$A109),'主表 Stock_Transaction_Log'!$S:$S)+SUMIF('主表 Stock_Transaction_Log'!$AB:$AB,INDEX('主表 Stock_Transaction_Log'!$T:$T,$A109),'主表 Stock_Transaction_Log'!$AC:$AC))</f>
        <v>23</v>
      </c>
      <c r="I109" s="57" t="str">
        <f t="shared" si="1"/>
        <v>In Stock / 在库</v>
      </c>
      <c r="J109" s="57" t="str">
        <f t="shared" si="2"/>
        <v>Stock line / 库存明细</v>
      </c>
      <c r="K109" s="57" t="b">
        <f t="shared" si="3"/>
        <v>1</v>
      </c>
      <c r="L109" s="57" t="str">
        <f t="array" ref="L109">IF($A109="","",INDEX('主表 Stock_Transaction_Log'!$P:$P,$A109))</f>
        <v>New / 新机</v>
      </c>
      <c r="M109" s="57">
        <f>IF($A109="","",IF($H109&lt;=0,0,SUMIFS('主表 Stock_Transaction_Log'!$K$2:$K1000,'主表 Stock_Transaction_Log'!$C$2:$C1000,"Prepared",'主表 Stock_Transaction_Log'!$L$2:$L1000,$B109,'主表 Stock_Transaction_Log'!$F$2:$F1000,$C109,'主表 Stock_Transaction_Log'!$G$2:$G1000,$D109,'主表 Stock_Transaction_Log'!$P$2:$P1000,$L109)))</f>
        <v>0</v>
      </c>
      <c r="N109" s="57" t="s">
        <v>823</v>
      </c>
      <c r="O109" s="57">
        <f t="shared" si="4"/>
        <v>99</v>
      </c>
      <c r="P109" s="57">
        <f t="shared" si="5"/>
        <v>1</v>
      </c>
      <c r="Q109" s="57">
        <f t="shared" si="6"/>
        <v>1</v>
      </c>
      <c r="R109" s="57" t="str">
        <f t="shared" si="7"/>
        <v/>
      </c>
      <c r="S109" s="57" t="str">
        <f t="shared" si="8"/>
        <v>R2-3-2-R
坏机
Qty / 数量: 99</v>
      </c>
      <c r="T109" s="57" t="str">
        <f>IFERROR(__xludf.DUMMYFUNCTION("IF($N109="""","""",IF($O109=0,""Empty / 空"",IFERROR(LET(c,UNIQUE(FILTER($L$2:$L$500,$B$2:$B$500=$N109,$H$2:$H$500&gt;0,$L$2:$L$500&lt;&gt;"""")),IF(COUNTA(c)&gt;1,""Mixed / 混放: ""&amp;TEXTJOIN("" + "",TRUE,c),INDEX(c,1))),""Unclassified / 未分类"")))"),"Repair / 待修")</f>
        <v>Repair / 待修</v>
      </c>
      <c r="U109" s="58"/>
      <c r="V109" s="58"/>
      <c r="W109" s="58"/>
      <c r="X109" s="58"/>
      <c r="Y109" s="58"/>
      <c r="Z109" s="58"/>
      <c r="AA109" s="58"/>
    </row>
    <row r="110">
      <c r="A110" s="57">
        <f>IF('主表 Stock_Transaction_Log'!$T110="","",IF(COUNTIF('主表 Stock_Transaction_Log'!$T$2:$T110,'主表 Stock_Transaction_Log'!$T110)=1,ROW('主表 Stock_Transaction_Log'!$T110),""))</f>
        <v>110</v>
      </c>
      <c r="B110" s="57" t="str">
        <f t="array" ref="B110">IF($A110="","",INDEX('主表 Stock_Transaction_Log'!$Q:$Q,$A110))</f>
        <v>FLEX-01</v>
      </c>
      <c r="C110" s="57" t="str">
        <f t="array" ref="C110">IF($A110="","",IF(INDEX('主表 Stock_Transaction_Log'!$F:$F,$A110)=0,"",INDEX('主表 Stock_Transaction_Log'!$F:$F,$A110)))</f>
        <v/>
      </c>
      <c r="D110" s="57" t="str">
        <f t="array" ref="D110">IF($A110="","",INDEX('主表 Stock_Transaction_Log'!$G:$G,$A110))</f>
        <v>97-223-00107-00</v>
      </c>
      <c r="E110" s="57" t="str">
        <f t="array" ref="E110">IF($A110="","",INDEX('主表 Stock_Transaction_Log'!$H:$H,$A110))</f>
        <v>EQ4800-S</v>
      </c>
      <c r="F110" s="57" t="str">
        <f t="array" ref="F110">IF($A110="","",INDEX('主表 Stock_Transaction_Log'!$I:$I,$A110))</f>
        <v>Product</v>
      </c>
      <c r="G110" s="57" t="str">
        <f t="array" ref="G110">IF($A110="","",IF(INDEX('主表 Stock_Transaction_Log'!$R:$R,$A110)=0,"",INDEX('主表 Stock_Transaction_Log'!$R:$R,$A110)))</f>
        <v/>
      </c>
      <c r="H110" s="57">
        <f t="array" ref="H110">IF($A110="","",SUMIF('主表 Stock_Transaction_Log'!$T:$T,INDEX('主表 Stock_Transaction_Log'!$T:$T,$A110),'主表 Stock_Transaction_Log'!$S:$S)+SUMIF('主表 Stock_Transaction_Log'!$AB:$AB,INDEX('主表 Stock_Transaction_Log'!$T:$T,$A110),'主表 Stock_Transaction_Log'!$AC:$AC))</f>
        <v>32</v>
      </c>
      <c r="I110" s="57" t="str">
        <f t="shared" si="1"/>
        <v>In Stock / 在库</v>
      </c>
      <c r="J110" s="57" t="str">
        <f t="shared" si="2"/>
        <v>Stock line / 库存明细</v>
      </c>
      <c r="K110" s="57" t="b">
        <f t="shared" si="3"/>
        <v>1</v>
      </c>
      <c r="L110" s="57" t="str">
        <f t="array" ref="L110">IF($A110="","",INDEX('主表 Stock_Transaction_Log'!$P:$P,$A110))</f>
        <v>New / 新机</v>
      </c>
      <c r="M110" s="57">
        <f>IF($A110="","",IF($H110&lt;=0,0,SUMIFS('主表 Stock_Transaction_Log'!$K$2:$K1000,'主表 Stock_Transaction_Log'!$C$2:$C1000,"Prepared",'主表 Stock_Transaction_Log'!$L$2:$L1000,$B110,'主表 Stock_Transaction_Log'!$F$2:$F1000,$C110,'主表 Stock_Transaction_Log'!$G$2:$G1000,$D110,'主表 Stock_Transaction_Log'!$P$2:$P1000,$L110)))</f>
        <v>2</v>
      </c>
      <c r="N110" s="57" t="s">
        <v>973</v>
      </c>
      <c r="O110" s="57">
        <f t="shared" si="4"/>
        <v>0</v>
      </c>
      <c r="P110" s="57">
        <f t="shared" si="5"/>
        <v>0</v>
      </c>
      <c r="Q110" s="57">
        <f t="shared" si="6"/>
        <v>0</v>
      </c>
      <c r="R110" s="57" t="str">
        <f t="shared" si="7"/>
        <v/>
      </c>
      <c r="S110" s="57" t="str">
        <f t="shared" si="8"/>
        <v>R2-3-3-L
Empty / 空</v>
      </c>
      <c r="T110" s="57" t="str">
        <f>IFERROR(__xludf.DUMMYFUNCTION("IF($N110="""","""",IF($O110=0,""Empty / 空"",IFERROR(LET(c,UNIQUE(FILTER($L$2:$L$500,$B$2:$B$500=$N110,$H$2:$H$500&gt;0,$L$2:$L$500&lt;&gt;"""")),IF(COUNTA(c)&gt;1,""Mixed / 混放: ""&amp;TEXTJOIN("" + "",TRUE,c),INDEX(c,1))),""Unclassified / 未分类"")))"),"Empty / 空")</f>
        <v>Empty / 空</v>
      </c>
      <c r="U110" s="58"/>
      <c r="V110" s="58"/>
      <c r="W110" s="58"/>
      <c r="X110" s="58"/>
      <c r="Y110" s="58"/>
      <c r="Z110" s="58"/>
      <c r="AA110" s="58"/>
    </row>
    <row r="111">
      <c r="A111" s="57">
        <f>IF('主表 Stock_Transaction_Log'!$T111="","",IF(COUNTIF('主表 Stock_Transaction_Log'!$T$2:$T111,'主表 Stock_Transaction_Log'!$T111)=1,ROW('主表 Stock_Transaction_Log'!$T111),""))</f>
        <v>111</v>
      </c>
      <c r="B111" s="57" t="str">
        <f t="array" ref="B111">IF($A111="","",INDEX('主表 Stock_Transaction_Log'!$Q:$Q,$A111))</f>
        <v>FLEX-01</v>
      </c>
      <c r="C111" s="57" t="str">
        <f t="array" ref="C111">IF($A111="","",IF(INDEX('主表 Stock_Transaction_Log'!$F:$F,$A111)=0,"",INDEX('主表 Stock_Transaction_Log'!$F:$F,$A111)))</f>
        <v/>
      </c>
      <c r="D111" s="57" t="str">
        <f t="array" ref="D111">IF($A111="","",INDEX('主表 Stock_Transaction_Log'!$G:$G,$A111))</f>
        <v>30-138-K1415-B0</v>
      </c>
      <c r="E111" s="57" t="str">
        <f t="array" ref="E111">IF($A111="","",INDEX('主表 Stock_Transaction_Log'!$H:$H,$A111))</f>
        <v>KH10</v>
      </c>
      <c r="F111" s="57" t="str">
        <f t="array" ref="F111">IF($A111="","",INDEX('主表 Stock_Transaction_Log'!$I:$I,$A111))</f>
        <v>Product</v>
      </c>
      <c r="G111" s="57" t="str">
        <f t="array" ref="G111">IF($A111="","",IF(INDEX('主表 Stock_Transaction_Log'!$R:$R,$A111)=0,"",INDEX('主表 Stock_Transaction_Log'!$R:$R,$A111)))</f>
        <v/>
      </c>
      <c r="H111" s="57">
        <f t="array" ref="H111">IF($A111="","",SUMIF('主表 Stock_Transaction_Log'!$T:$T,INDEX('主表 Stock_Transaction_Log'!$T:$T,$A111),'主表 Stock_Transaction_Log'!$S:$S)+SUMIF('主表 Stock_Transaction_Log'!$AB:$AB,INDEX('主表 Stock_Transaction_Log'!$T:$T,$A111),'主表 Stock_Transaction_Log'!$AC:$AC))</f>
        <v>2</v>
      </c>
      <c r="I111" s="57" t="str">
        <f t="shared" si="1"/>
        <v>In Stock / 在库</v>
      </c>
      <c r="J111" s="57" t="str">
        <f t="shared" si="2"/>
        <v>Stock line / 库存明细</v>
      </c>
      <c r="K111" s="57" t="b">
        <f t="shared" si="3"/>
        <v>1</v>
      </c>
      <c r="L111" s="57" t="str">
        <f t="array" ref="L111">IF($A111="","",INDEX('主表 Stock_Transaction_Log'!$P:$P,$A111))</f>
        <v>New / 新机</v>
      </c>
      <c r="M111" s="57">
        <f>IF($A111="","",IF($H111&lt;=0,0,SUMIFS('主表 Stock_Transaction_Log'!$K$2:$K1000,'主表 Stock_Transaction_Log'!$C$2:$C1000,"Prepared",'主表 Stock_Transaction_Log'!$L$2:$L1000,$B111,'主表 Stock_Transaction_Log'!$F$2:$F1000,$C111,'主表 Stock_Transaction_Log'!$G$2:$G1000,$D111,'主表 Stock_Transaction_Log'!$P$2:$P1000,$L111)))</f>
        <v>0</v>
      </c>
      <c r="N111" s="57" t="s">
        <v>975</v>
      </c>
      <c r="O111" s="57">
        <f t="shared" si="4"/>
        <v>0</v>
      </c>
      <c r="P111" s="57">
        <f t="shared" si="5"/>
        <v>0</v>
      </c>
      <c r="Q111" s="57">
        <f t="shared" si="6"/>
        <v>0</v>
      </c>
      <c r="R111" s="57" t="str">
        <f t="shared" si="7"/>
        <v/>
      </c>
      <c r="S111" s="57" t="str">
        <f t="shared" si="8"/>
        <v>R2-3-3-M
Empty / 空</v>
      </c>
      <c r="T111" s="57" t="str">
        <f>IFERROR(__xludf.DUMMYFUNCTION("IF($N111="""","""",IF($O111=0,""Empty / 空"",IFERROR(LET(c,UNIQUE(FILTER($L$2:$L$500,$B$2:$B$500=$N111,$H$2:$H$500&gt;0,$L$2:$L$500&lt;&gt;"""")),IF(COUNTA(c)&gt;1,""Mixed / 混放: ""&amp;TEXTJOIN("" + "",TRUE,c),INDEX(c,1))),""Unclassified / 未分类"")))"),"Empty / 空")</f>
        <v>Empty / 空</v>
      </c>
      <c r="U111" s="58"/>
      <c r="V111" s="58"/>
      <c r="W111" s="58"/>
      <c r="X111" s="58"/>
      <c r="Y111" s="58"/>
      <c r="Z111" s="58"/>
      <c r="AA111" s="58"/>
    </row>
    <row r="112">
      <c r="A112" s="57">
        <f>IF('主表 Stock_Transaction_Log'!$T112="","",IF(COUNTIF('主表 Stock_Transaction_Log'!$T$2:$T112,'主表 Stock_Transaction_Log'!$T112)=1,ROW('主表 Stock_Transaction_Log'!$T112),""))</f>
        <v>112</v>
      </c>
      <c r="B112" s="57" t="str">
        <f t="array" ref="B112">IF($A112="","",INDEX('主表 Stock_Transaction_Log'!$Q:$Q,$A112))</f>
        <v>FLEX-01</v>
      </c>
      <c r="C112" s="57" t="str">
        <f t="array" ref="C112">IF($A112="","",IF(INDEX('主表 Stock_Transaction_Log'!$F:$F,$A112)=0,"",INDEX('主表 Stock_Transaction_Log'!$F:$F,$A112)))</f>
        <v/>
      </c>
      <c r="D112" s="57" t="str">
        <f t="array" ref="D112">IF($A112="","",INDEX('主表 Stock_Transaction_Log'!$G:$G,$A112))</f>
        <v>97-141-00062-B0</v>
      </c>
      <c r="E112" s="57" t="str">
        <f t="array" ref="E112">IF($A112="","",INDEX('主表 Stock_Transaction_Log'!$H:$H,$A112))</f>
        <v>H3-15.0-Smart</v>
      </c>
      <c r="F112" s="57" t="str">
        <f t="array" ref="F112">IF($A112="","",INDEX('主表 Stock_Transaction_Log'!$I:$I,$A112))</f>
        <v>Product</v>
      </c>
      <c r="G112" s="57" t="str">
        <f t="array" ref="G112">IF($A112="","",IF(INDEX('主表 Stock_Transaction_Log'!$R:$R,$A112)=0,"",INDEX('主表 Stock_Transaction_Log'!$R:$R,$A112)))</f>
        <v/>
      </c>
      <c r="H112" s="57">
        <f t="array" ref="H112">IF($A112="","",SUMIF('主表 Stock_Transaction_Log'!$T:$T,INDEX('主表 Stock_Transaction_Log'!$T:$T,$A112),'主表 Stock_Transaction_Log'!$S:$S)+SUMIF('主表 Stock_Transaction_Log'!$AB:$AB,INDEX('主表 Stock_Transaction_Log'!$T:$T,$A112),'主表 Stock_Transaction_Log'!$AC:$AC))</f>
        <v>8</v>
      </c>
      <c r="I112" s="57" t="str">
        <f t="shared" si="1"/>
        <v>In Stock / 在库</v>
      </c>
      <c r="J112" s="57" t="str">
        <f t="shared" si="2"/>
        <v>Stock line / 库存明细</v>
      </c>
      <c r="K112" s="57" t="b">
        <f t="shared" si="3"/>
        <v>1</v>
      </c>
      <c r="L112" s="57" t="str">
        <f t="array" ref="L112">IF($A112="","",INDEX('主表 Stock_Transaction_Log'!$P:$P,$A112))</f>
        <v>New / 新机</v>
      </c>
      <c r="M112" s="57">
        <f>IF($A112="","",IF($H112&lt;=0,0,SUMIFS('主表 Stock_Transaction_Log'!$K$2:$K1000,'主表 Stock_Transaction_Log'!$C$2:$C1000,"Prepared",'主表 Stock_Transaction_Log'!$L$2:$L1000,$B112,'主表 Stock_Transaction_Log'!$F$2:$F1000,$C112,'主表 Stock_Transaction_Log'!$G$2:$G1000,$D112,'主表 Stock_Transaction_Log'!$P$2:$P1000,$L112)))</f>
        <v>0</v>
      </c>
      <c r="N112" s="57" t="s">
        <v>456</v>
      </c>
      <c r="O112" s="57">
        <f t="shared" si="4"/>
        <v>6</v>
      </c>
      <c r="P112" s="57">
        <f t="shared" si="5"/>
        <v>1</v>
      </c>
      <c r="Q112" s="57">
        <f t="shared" si="6"/>
        <v>1</v>
      </c>
      <c r="R112" s="57" t="str">
        <f t="shared" si="7"/>
        <v/>
      </c>
      <c r="S112" s="57" t="str">
        <f t="shared" si="8"/>
        <v>R2-3-3-R
坏机
Qty / 数量: 6</v>
      </c>
      <c r="T112" s="57" t="str">
        <f>IFERROR(__xludf.DUMMYFUNCTION("IF($N112="""","""",IF($O112=0,""Empty / 空"",IFERROR(LET(c,UNIQUE(FILTER($L$2:$L$500,$B$2:$B$500=$N112,$H$2:$H$500&gt;0,$L$2:$L$500&lt;&gt;"""")),IF(COUNTA(c)&gt;1,""Mixed / 混放: ""&amp;TEXTJOIN("" + "",TRUE,c),INDEX(c,1))),""Unclassified / 未分类"")))"),"Repair / 待修")</f>
        <v>Repair / 待修</v>
      </c>
      <c r="U112" s="58"/>
      <c r="V112" s="58"/>
      <c r="W112" s="58"/>
      <c r="X112" s="58"/>
      <c r="Y112" s="58"/>
      <c r="Z112" s="58"/>
      <c r="AA112" s="58"/>
    </row>
    <row r="113">
      <c r="A113" s="57" t="str">
        <f>IF('主表 Stock_Transaction_Log'!$T113="","",IF(COUNTIF('主表 Stock_Transaction_Log'!$T$2:$T113,'主表 Stock_Transaction_Log'!$T113)=1,ROW('主表 Stock_Transaction_Log'!$T113),""))</f>
        <v/>
      </c>
      <c r="B113" s="57" t="str">
        <f t="array" ref="B113">IF($A113="","",INDEX('主表 Stock_Transaction_Log'!$Q:$Q,$A113))</f>
        <v/>
      </c>
      <c r="C113" s="57" t="str">
        <f t="array" ref="C113">IF($A113="","",IF(INDEX('主表 Stock_Transaction_Log'!$F:$F,$A113)=0,"",INDEX('主表 Stock_Transaction_Log'!$F:$F,$A113)))</f>
        <v/>
      </c>
      <c r="D113" s="57" t="str">
        <f t="array" ref="D113">IF($A113="","",INDEX('主表 Stock_Transaction_Log'!$G:$G,$A113))</f>
        <v/>
      </c>
      <c r="E113" s="57" t="str">
        <f t="array" ref="E113">IF($A113="","",INDEX('主表 Stock_Transaction_Log'!$H:$H,$A113))</f>
        <v/>
      </c>
      <c r="F113" s="57" t="str">
        <f t="array" ref="F113">IF($A113="","",INDEX('主表 Stock_Transaction_Log'!$I:$I,$A113))</f>
        <v/>
      </c>
      <c r="G113" s="57" t="str">
        <f t="array" ref="G113">IF($A113="","",IF(INDEX('主表 Stock_Transaction_Log'!$R:$R,$A113)=0,"",INDEX('主表 Stock_Transaction_Log'!$R:$R,$A113)))</f>
        <v/>
      </c>
      <c r="H113" s="57" t="str">
        <f t="array" ref="H113">IF($A113="","",SUMIF('主表 Stock_Transaction_Log'!$T:$T,INDEX('主表 Stock_Transaction_Log'!$T:$T,$A113),'主表 Stock_Transaction_Log'!$S:$S)+SUMIF('主表 Stock_Transaction_Log'!$AB:$AB,INDEX('主表 Stock_Transaction_Log'!$T:$T,$A113),'主表 Stock_Transaction_Log'!$AC:$AC))</f>
        <v/>
      </c>
      <c r="I113" s="57" t="str">
        <f t="shared" si="1"/>
        <v/>
      </c>
      <c r="J113" s="57" t="str">
        <f t="shared" si="2"/>
        <v/>
      </c>
      <c r="K113" s="57" t="str">
        <f t="shared" si="3"/>
        <v/>
      </c>
      <c r="L113" s="57" t="str">
        <f t="array" ref="L113">IF($A113="","",INDEX('主表 Stock_Transaction_Log'!$P:$P,$A113))</f>
        <v/>
      </c>
      <c r="M113" s="57" t="str">
        <f>IF($A113="","",IF($H113&lt;=0,0,SUMIFS('主表 Stock_Transaction_Log'!$K$2:$K1000,'主表 Stock_Transaction_Log'!$C$2:$C1000,"Prepared",'主表 Stock_Transaction_Log'!$L$2:$L1000,$B113,'主表 Stock_Transaction_Log'!$F$2:$F1000,$C113,'主表 Stock_Transaction_Log'!$G$2:$G1000,$D113,'主表 Stock_Transaction_Log'!$P$2:$P1000,$L113)))</f>
        <v/>
      </c>
      <c r="N113" s="57" t="s">
        <v>443</v>
      </c>
      <c r="O113" s="57">
        <f t="shared" si="4"/>
        <v>6</v>
      </c>
      <c r="P113" s="57">
        <f t="shared" si="5"/>
        <v>1</v>
      </c>
      <c r="Q113" s="57">
        <f t="shared" si="6"/>
        <v>1</v>
      </c>
      <c r="R113" s="57" t="str">
        <f t="shared" si="7"/>
        <v/>
      </c>
      <c r="S113" s="57" t="str">
        <f t="shared" si="8"/>
        <v>R2-3-4-L
97-229-00021-00
Qty / 数量: 6</v>
      </c>
      <c r="T113" s="57" t="str">
        <f>IFERROR(__xludf.DUMMYFUNCTION("IF($N113="""","""",IF($O113=0,""Empty / 空"",IFERROR(LET(c,UNIQUE(FILTER($L$2:$L$500,$B$2:$B$500=$N113,$H$2:$H$500&gt;0,$L$2:$L$500&lt;&gt;"""")),IF(COUNTA(c)&gt;1,""Mixed / 混放: ""&amp;TEXTJOIN("" + "",TRUE,c),INDEX(c,1))),""Unclassified / 未分类"")))"),"New / 新机")</f>
        <v>New / 新机</v>
      </c>
      <c r="U113" s="58"/>
      <c r="V113" s="58"/>
      <c r="W113" s="58"/>
      <c r="X113" s="58"/>
      <c r="Y113" s="58"/>
      <c r="Z113" s="58"/>
      <c r="AA113" s="58"/>
    </row>
    <row r="114">
      <c r="A114" s="57">
        <f>IF('主表 Stock_Transaction_Log'!$T114="","",IF(COUNTIF('主表 Stock_Transaction_Log'!$T$2:$T114,'主表 Stock_Transaction_Log'!$T114)=1,ROW('主表 Stock_Transaction_Log'!$T114),""))</f>
        <v>114</v>
      </c>
      <c r="B114" s="57" t="str">
        <f t="array" ref="B114">IF($A114="","",INDEX('主表 Stock_Transaction_Log'!$Q:$Q,$A114))</f>
        <v>FLEX-01</v>
      </c>
      <c r="C114" s="57" t="str">
        <f t="array" ref="C114">IF($A114="","",IF(INDEX('主表 Stock_Transaction_Log'!$F:$F,$A114)=0,"",INDEX('主表 Stock_Transaction_Log'!$F:$F,$A114)))</f>
        <v/>
      </c>
      <c r="D114" s="57" t="str">
        <f t="array" ref="D114">IF($A114="","",INDEX('主表 Stock_Transaction_Log'!$G:$G,$A114))</f>
        <v>97-229-00020-00</v>
      </c>
      <c r="E114" s="57" t="str">
        <f t="array" ref="E114">IF($A114="","",INDEX('主表 Stock_Transaction_Log'!$H:$H,$A114))</f>
        <v>CQ6-M</v>
      </c>
      <c r="F114" s="57" t="str">
        <f t="array" ref="F114">IF($A114="","",INDEX('主表 Stock_Transaction_Log'!$I:$I,$A114))</f>
        <v>Product</v>
      </c>
      <c r="G114" s="57" t="str">
        <f t="array" ref="G114">IF($A114="","",IF(INDEX('主表 Stock_Transaction_Log'!$R:$R,$A114)=0,"",INDEX('主表 Stock_Transaction_Log'!$R:$R,$A114)))</f>
        <v/>
      </c>
      <c r="H114" s="57">
        <f t="array" ref="H114">IF($A114="","",SUMIF('主表 Stock_Transaction_Log'!$T:$T,INDEX('主表 Stock_Transaction_Log'!$T:$T,$A114),'主表 Stock_Transaction_Log'!$S:$S)+SUMIF('主表 Stock_Transaction_Log'!$AB:$AB,INDEX('主表 Stock_Transaction_Log'!$T:$T,$A114),'主表 Stock_Transaction_Log'!$AC:$AC))</f>
        <v>30</v>
      </c>
      <c r="I114" s="57" t="str">
        <f t="shared" si="1"/>
        <v>In Stock / 在库</v>
      </c>
      <c r="J114" s="57" t="str">
        <f t="shared" si="2"/>
        <v>Stock line / 库存明细</v>
      </c>
      <c r="K114" s="57" t="b">
        <f t="shared" si="3"/>
        <v>1</v>
      </c>
      <c r="L114" s="57" t="str">
        <f t="array" ref="L114">IF($A114="","",INDEX('主表 Stock_Transaction_Log'!$P:$P,$A114))</f>
        <v>New / 新机</v>
      </c>
      <c r="M114" s="57">
        <f>IF($A114="","",IF($H114&lt;=0,0,SUMIFS('主表 Stock_Transaction_Log'!$K$2:$K1000,'主表 Stock_Transaction_Log'!$C$2:$C1000,"Prepared",'主表 Stock_Transaction_Log'!$L$2:$L1000,$B114,'主表 Stock_Transaction_Log'!$F$2:$F1000,$C114,'主表 Stock_Transaction_Log'!$G$2:$G1000,$D114,'主表 Stock_Transaction_Log'!$P$2:$P1000,$L114)))</f>
        <v>0</v>
      </c>
      <c r="N114" s="57" t="s">
        <v>979</v>
      </c>
      <c r="O114" s="57">
        <f t="shared" si="4"/>
        <v>0</v>
      </c>
      <c r="P114" s="57">
        <f t="shared" si="5"/>
        <v>0</v>
      </c>
      <c r="Q114" s="57">
        <f t="shared" si="6"/>
        <v>0</v>
      </c>
      <c r="R114" s="57" t="str">
        <f t="shared" si="7"/>
        <v/>
      </c>
      <c r="S114" s="57" t="str">
        <f t="shared" si="8"/>
        <v>R2-3-4-M
Empty / 空</v>
      </c>
      <c r="T114" s="57" t="str">
        <f>IFERROR(__xludf.DUMMYFUNCTION("IF($N114="""","""",IF($O114=0,""Empty / 空"",IFERROR(LET(c,UNIQUE(FILTER($L$2:$L$500,$B$2:$B$500=$N114,$H$2:$H$500&gt;0,$L$2:$L$500&lt;&gt;"""")),IF(COUNTA(c)&gt;1,""Mixed / 混放: ""&amp;TEXTJOIN("" + "",TRUE,c),INDEX(c,1))),""Unclassified / 未分类"")))"),"Empty / 空")</f>
        <v>Empty / 空</v>
      </c>
      <c r="U114" s="58"/>
      <c r="V114" s="58"/>
      <c r="W114" s="58"/>
      <c r="X114" s="58"/>
      <c r="Y114" s="58"/>
      <c r="Z114" s="58"/>
      <c r="AA114" s="58"/>
    </row>
    <row r="115">
      <c r="A115" s="57" t="str">
        <f>IF('主表 Stock_Transaction_Log'!$T115="","",IF(COUNTIF('主表 Stock_Transaction_Log'!$T$2:$T115,'主表 Stock_Transaction_Log'!$T115)=1,ROW('主表 Stock_Transaction_Log'!$T115),""))</f>
        <v/>
      </c>
      <c r="B115" s="57" t="str">
        <f t="array" ref="B115">IF($A115="","",INDEX('主表 Stock_Transaction_Log'!$Q:$Q,$A115))</f>
        <v/>
      </c>
      <c r="C115" s="57" t="str">
        <f t="array" ref="C115">IF($A115="","",IF(INDEX('主表 Stock_Transaction_Log'!$F:$F,$A115)=0,"",INDEX('主表 Stock_Transaction_Log'!$F:$F,$A115)))</f>
        <v/>
      </c>
      <c r="D115" s="57" t="str">
        <f t="array" ref="D115">IF($A115="","",INDEX('主表 Stock_Transaction_Log'!$G:$G,$A115))</f>
        <v/>
      </c>
      <c r="E115" s="57" t="str">
        <f t="array" ref="E115">IF($A115="","",INDEX('主表 Stock_Transaction_Log'!$H:$H,$A115))</f>
        <v/>
      </c>
      <c r="F115" s="57" t="str">
        <f t="array" ref="F115">IF($A115="","",INDEX('主表 Stock_Transaction_Log'!$I:$I,$A115))</f>
        <v/>
      </c>
      <c r="G115" s="57" t="str">
        <f t="array" ref="G115">IF($A115="","",IF(INDEX('主表 Stock_Transaction_Log'!$R:$R,$A115)=0,"",INDEX('主表 Stock_Transaction_Log'!$R:$R,$A115)))</f>
        <v/>
      </c>
      <c r="H115" s="57" t="str">
        <f t="array" ref="H115">IF($A115="","",SUMIF('主表 Stock_Transaction_Log'!$T:$T,INDEX('主表 Stock_Transaction_Log'!$T:$T,$A115),'主表 Stock_Transaction_Log'!$S:$S)+SUMIF('主表 Stock_Transaction_Log'!$AB:$AB,INDEX('主表 Stock_Transaction_Log'!$T:$T,$A115),'主表 Stock_Transaction_Log'!$AC:$AC))</f>
        <v/>
      </c>
      <c r="I115" s="57" t="str">
        <f t="shared" si="1"/>
        <v/>
      </c>
      <c r="J115" s="57" t="str">
        <f t="shared" si="2"/>
        <v/>
      </c>
      <c r="K115" s="57" t="str">
        <f t="shared" si="3"/>
        <v/>
      </c>
      <c r="L115" s="57" t="str">
        <f t="array" ref="L115">IF($A115="","",INDEX('主表 Stock_Transaction_Log'!$P:$P,$A115))</f>
        <v/>
      </c>
      <c r="M115" s="57" t="str">
        <f>IF($A115="","",IF($H115&lt;=0,0,SUMIFS('主表 Stock_Transaction_Log'!$K$2:$K1000,'主表 Stock_Transaction_Log'!$C$2:$C1000,"Prepared",'主表 Stock_Transaction_Log'!$L$2:$L1000,$B115,'主表 Stock_Transaction_Log'!$F$2:$F1000,$C115,'主表 Stock_Transaction_Log'!$G$2:$G1000,$D115,'主表 Stock_Transaction_Log'!$P$2:$P1000,$L115)))</f>
        <v/>
      </c>
      <c r="N115" s="57" t="s">
        <v>445</v>
      </c>
      <c r="O115" s="57">
        <f t="shared" si="4"/>
        <v>6</v>
      </c>
      <c r="P115" s="57">
        <f t="shared" si="5"/>
        <v>1</v>
      </c>
      <c r="Q115" s="57">
        <f t="shared" si="6"/>
        <v>1</v>
      </c>
      <c r="R115" s="57" t="str">
        <f t="shared" si="7"/>
        <v/>
      </c>
      <c r="S115" s="57" t="str">
        <f t="shared" si="8"/>
        <v>R2-3-4-R
97-229-00021-00
Qty / 数量: 6</v>
      </c>
      <c r="T115" s="57" t="str">
        <f>IFERROR(__xludf.DUMMYFUNCTION("IF($N115="""","""",IF($O115=0,""Empty / 空"",IFERROR(LET(c,UNIQUE(FILTER($L$2:$L$500,$B$2:$B$500=$N115,$H$2:$H$500&gt;0,$L$2:$L$500&lt;&gt;"""")),IF(COUNTA(c)&gt;1,""Mixed / 混放: ""&amp;TEXTJOIN("" + "",TRUE,c),INDEX(c,1))),""Unclassified / 未分类"")))"),"New / 新机")</f>
        <v>New / 新机</v>
      </c>
      <c r="U115" s="58"/>
      <c r="V115" s="58"/>
      <c r="W115" s="58"/>
      <c r="X115" s="58"/>
      <c r="Y115" s="58"/>
      <c r="Z115" s="58"/>
      <c r="AA115" s="58"/>
    </row>
    <row r="116">
      <c r="A116" s="57" t="str">
        <f>IF('主表 Stock_Transaction_Log'!$T116="","",IF(COUNTIF('主表 Stock_Transaction_Log'!$T$2:$T116,'主表 Stock_Transaction_Log'!$T116)=1,ROW('主表 Stock_Transaction_Log'!$T116),""))</f>
        <v/>
      </c>
      <c r="B116" s="57" t="str">
        <f t="array" ref="B116">IF($A116="","",INDEX('主表 Stock_Transaction_Log'!$Q:$Q,$A116))</f>
        <v/>
      </c>
      <c r="C116" s="57" t="str">
        <f t="array" ref="C116">IF($A116="","",IF(INDEX('主表 Stock_Transaction_Log'!$F:$F,$A116)=0,"",INDEX('主表 Stock_Transaction_Log'!$F:$F,$A116)))</f>
        <v/>
      </c>
      <c r="D116" s="57" t="str">
        <f t="array" ref="D116">IF($A116="","",INDEX('主表 Stock_Transaction_Log'!$G:$G,$A116))</f>
        <v/>
      </c>
      <c r="E116" s="57" t="str">
        <f t="array" ref="E116">IF($A116="","",INDEX('主表 Stock_Transaction_Log'!$H:$H,$A116))</f>
        <v/>
      </c>
      <c r="F116" s="57" t="str">
        <f t="array" ref="F116">IF($A116="","",INDEX('主表 Stock_Transaction_Log'!$I:$I,$A116))</f>
        <v/>
      </c>
      <c r="G116" s="57" t="str">
        <f t="array" ref="G116">IF($A116="","",IF(INDEX('主表 Stock_Transaction_Log'!$R:$R,$A116)=0,"",INDEX('主表 Stock_Transaction_Log'!$R:$R,$A116)))</f>
        <v/>
      </c>
      <c r="H116" s="57" t="str">
        <f t="array" ref="H116">IF($A116="","",SUMIF('主表 Stock_Transaction_Log'!$T:$T,INDEX('主表 Stock_Transaction_Log'!$T:$T,$A116),'主表 Stock_Transaction_Log'!$S:$S)+SUMIF('主表 Stock_Transaction_Log'!$AB:$AB,INDEX('主表 Stock_Transaction_Log'!$T:$T,$A116),'主表 Stock_Transaction_Log'!$AC:$AC))</f>
        <v/>
      </c>
      <c r="I116" s="57" t="str">
        <f t="shared" si="1"/>
        <v/>
      </c>
      <c r="J116" s="57" t="str">
        <f t="shared" si="2"/>
        <v/>
      </c>
      <c r="K116" s="57" t="str">
        <f t="shared" si="3"/>
        <v/>
      </c>
      <c r="L116" s="57" t="str">
        <f t="array" ref="L116">IF($A116="","",INDEX('主表 Stock_Transaction_Log'!$P:$P,$A116))</f>
        <v/>
      </c>
      <c r="M116" s="57" t="str">
        <f>IF($A116="","",IF($H116&lt;=0,0,SUMIFS('主表 Stock_Transaction_Log'!$K$2:$K1000,'主表 Stock_Transaction_Log'!$C$2:$C1000,"Prepared",'主表 Stock_Transaction_Log'!$L$2:$L1000,$B116,'主表 Stock_Transaction_Log'!$F$2:$F1000,$C116,'主表 Stock_Transaction_Log'!$G$2:$G1000,$D116,'主表 Stock_Transaction_Log'!$P$2:$P1000,$L116)))</f>
        <v/>
      </c>
      <c r="N116" s="57" t="s">
        <v>409</v>
      </c>
      <c r="O116" s="57">
        <f t="shared" si="4"/>
        <v>6</v>
      </c>
      <c r="P116" s="57">
        <f t="shared" si="5"/>
        <v>2</v>
      </c>
      <c r="Q116" s="57">
        <f t="shared" si="6"/>
        <v>2</v>
      </c>
      <c r="R116" s="57" t="str">
        <f t="shared" si="7"/>
        <v>Mix003</v>
      </c>
      <c r="S116" s="57" t="str">
        <f t="shared" si="8"/>
        <v>R2-3-5-L
Mixed / 混装: 2 SKUs
Container / 容器: Mix003
Qty / 数量: 6</v>
      </c>
      <c r="T116" s="57" t="str">
        <f>IFERROR(__xludf.DUMMYFUNCTION("IF($N116="""","""",IF($O116=0,""Empty / 空"",IFERROR(LET(c,UNIQUE(FILTER($L$2:$L$500,$B$2:$B$500=$N116,$H$2:$H$500&gt;0,$L$2:$L$500&lt;&gt;"""")),IF(COUNTA(c)&gt;1,""Mixed / 混放: ""&amp;TEXTJOIN("" + "",TRUE,c),INDEX(c,1))),""Unclassified / 未分类"")))"),"Repair_Good / 维修良品")</f>
        <v>Repair_Good / 维修良品</v>
      </c>
      <c r="U116" s="58"/>
      <c r="V116" s="58"/>
      <c r="W116" s="58"/>
      <c r="X116" s="58"/>
      <c r="Y116" s="58"/>
      <c r="Z116" s="58"/>
      <c r="AA116" s="58"/>
    </row>
    <row r="117">
      <c r="A117" s="57" t="str">
        <f>IF('主表 Stock_Transaction_Log'!$T117="","",IF(COUNTIF('主表 Stock_Transaction_Log'!$T$2:$T117,'主表 Stock_Transaction_Log'!$T117)=1,ROW('主表 Stock_Transaction_Log'!$T117),""))</f>
        <v/>
      </c>
      <c r="B117" s="57" t="str">
        <f t="array" ref="B117">IF($A117="","",INDEX('主表 Stock_Transaction_Log'!$Q:$Q,$A117))</f>
        <v/>
      </c>
      <c r="C117" s="57" t="str">
        <f t="array" ref="C117">IF($A117="","",IF(INDEX('主表 Stock_Transaction_Log'!$F:$F,$A117)=0,"",INDEX('主表 Stock_Transaction_Log'!$F:$F,$A117)))</f>
        <v/>
      </c>
      <c r="D117" s="57" t="str">
        <f t="array" ref="D117">IF($A117="","",INDEX('主表 Stock_Transaction_Log'!$G:$G,$A117))</f>
        <v/>
      </c>
      <c r="E117" s="57" t="str">
        <f t="array" ref="E117">IF($A117="","",INDEX('主表 Stock_Transaction_Log'!$H:$H,$A117))</f>
        <v/>
      </c>
      <c r="F117" s="57" t="str">
        <f t="array" ref="F117">IF($A117="","",INDEX('主表 Stock_Transaction_Log'!$I:$I,$A117))</f>
        <v/>
      </c>
      <c r="G117" s="57" t="str">
        <f t="array" ref="G117">IF($A117="","",IF(INDEX('主表 Stock_Transaction_Log'!$R:$R,$A117)=0,"",INDEX('主表 Stock_Transaction_Log'!$R:$R,$A117)))</f>
        <v/>
      </c>
      <c r="H117" s="57" t="str">
        <f t="array" ref="H117">IF($A117="","",SUMIF('主表 Stock_Transaction_Log'!$T:$T,INDEX('主表 Stock_Transaction_Log'!$T:$T,$A117),'主表 Stock_Transaction_Log'!$S:$S)+SUMIF('主表 Stock_Transaction_Log'!$AB:$AB,INDEX('主表 Stock_Transaction_Log'!$T:$T,$A117),'主表 Stock_Transaction_Log'!$AC:$AC))</f>
        <v/>
      </c>
      <c r="I117" s="57" t="str">
        <f t="shared" si="1"/>
        <v/>
      </c>
      <c r="J117" s="57" t="str">
        <f t="shared" si="2"/>
        <v/>
      </c>
      <c r="K117" s="57" t="str">
        <f t="shared" si="3"/>
        <v/>
      </c>
      <c r="L117" s="57" t="str">
        <f t="array" ref="L117">IF($A117="","",INDEX('主表 Stock_Transaction_Log'!$P:$P,$A117))</f>
        <v/>
      </c>
      <c r="M117" s="57" t="str">
        <f>IF($A117="","",IF($H117&lt;=0,0,SUMIFS('主表 Stock_Transaction_Log'!$K$2:$K1000,'主表 Stock_Transaction_Log'!$C$2:$C1000,"Prepared",'主表 Stock_Transaction_Log'!$L$2:$L1000,$B117,'主表 Stock_Transaction_Log'!$F$2:$F1000,$C117,'主表 Stock_Transaction_Log'!$G$2:$G1000,$D117,'主表 Stock_Transaction_Log'!$P$2:$P1000,$L117)))</f>
        <v/>
      </c>
      <c r="N117" s="57" t="s">
        <v>983</v>
      </c>
      <c r="O117" s="57">
        <f t="shared" si="4"/>
        <v>0</v>
      </c>
      <c r="P117" s="57">
        <f t="shared" si="5"/>
        <v>0</v>
      </c>
      <c r="Q117" s="57">
        <f t="shared" si="6"/>
        <v>0</v>
      </c>
      <c r="R117" s="57" t="str">
        <f t="shared" si="7"/>
        <v/>
      </c>
      <c r="S117" s="57" t="str">
        <f t="shared" si="8"/>
        <v>R2-3-5-M
Empty / 空</v>
      </c>
      <c r="T117" s="57" t="str">
        <f>IFERROR(__xludf.DUMMYFUNCTION("IF($N117="""","""",IF($O117=0,""Empty / 空"",IFERROR(LET(c,UNIQUE(FILTER($L$2:$L$500,$B$2:$B$500=$N117,$H$2:$H$500&gt;0,$L$2:$L$500&lt;&gt;"""")),IF(COUNTA(c)&gt;1,""Mixed / 混放: ""&amp;TEXTJOIN("" + "",TRUE,c),INDEX(c,1))),""Unclassified / 未分类"")))"),"Empty / 空")</f>
        <v>Empty / 空</v>
      </c>
      <c r="U117" s="58"/>
      <c r="V117" s="58"/>
      <c r="W117" s="58"/>
      <c r="X117" s="58"/>
      <c r="Y117" s="58"/>
      <c r="Z117" s="58"/>
      <c r="AA117" s="58"/>
    </row>
    <row r="118">
      <c r="A118" s="57" t="str">
        <f>IF('主表 Stock_Transaction_Log'!$T118="","",IF(COUNTIF('主表 Stock_Transaction_Log'!$T$2:$T118,'主表 Stock_Transaction_Log'!$T118)=1,ROW('主表 Stock_Transaction_Log'!$T118),""))</f>
        <v/>
      </c>
      <c r="B118" s="57" t="str">
        <f t="array" ref="B118">IF($A118="","",INDEX('主表 Stock_Transaction_Log'!$Q:$Q,$A118))</f>
        <v/>
      </c>
      <c r="C118" s="57" t="str">
        <f t="array" ref="C118">IF($A118="","",IF(INDEX('主表 Stock_Transaction_Log'!$F:$F,$A118)=0,"",INDEX('主表 Stock_Transaction_Log'!$F:$F,$A118)))</f>
        <v/>
      </c>
      <c r="D118" s="57" t="str">
        <f t="array" ref="D118">IF($A118="","",INDEX('主表 Stock_Transaction_Log'!$G:$G,$A118))</f>
        <v/>
      </c>
      <c r="E118" s="57" t="str">
        <f t="array" ref="E118">IF($A118="","",INDEX('主表 Stock_Transaction_Log'!$H:$H,$A118))</f>
        <v/>
      </c>
      <c r="F118" s="57" t="str">
        <f t="array" ref="F118">IF($A118="","",INDEX('主表 Stock_Transaction_Log'!$I:$I,$A118))</f>
        <v/>
      </c>
      <c r="G118" s="57" t="str">
        <f t="array" ref="G118">IF($A118="","",IF(INDEX('主表 Stock_Transaction_Log'!$R:$R,$A118)=0,"",INDEX('主表 Stock_Transaction_Log'!$R:$R,$A118)))</f>
        <v/>
      </c>
      <c r="H118" s="57" t="str">
        <f t="array" ref="H118">IF($A118="","",SUMIF('主表 Stock_Transaction_Log'!$T:$T,INDEX('主表 Stock_Transaction_Log'!$T:$T,$A118),'主表 Stock_Transaction_Log'!$S:$S)+SUMIF('主表 Stock_Transaction_Log'!$AB:$AB,INDEX('主表 Stock_Transaction_Log'!$T:$T,$A118),'主表 Stock_Transaction_Log'!$AC:$AC))</f>
        <v/>
      </c>
      <c r="I118" s="57" t="str">
        <f t="shared" si="1"/>
        <v/>
      </c>
      <c r="J118" s="57" t="str">
        <f t="shared" si="2"/>
        <v/>
      </c>
      <c r="K118" s="57" t="str">
        <f t="shared" si="3"/>
        <v/>
      </c>
      <c r="L118" s="57" t="str">
        <f t="array" ref="L118">IF($A118="","",INDEX('主表 Stock_Transaction_Log'!$P:$P,$A118))</f>
        <v/>
      </c>
      <c r="M118" s="57" t="str">
        <f>IF($A118="","",IF($H118&lt;=0,0,SUMIFS('主表 Stock_Transaction_Log'!$K$2:$K1000,'主表 Stock_Transaction_Log'!$C$2:$C1000,"Prepared",'主表 Stock_Transaction_Log'!$L$2:$L1000,$B118,'主表 Stock_Transaction_Log'!$F$2:$F1000,$C118,'主表 Stock_Transaction_Log'!$G$2:$G1000,$D118,'主表 Stock_Transaction_Log'!$P$2:$P1000,$L118)))</f>
        <v/>
      </c>
      <c r="N118" s="57" t="s">
        <v>414</v>
      </c>
      <c r="O118" s="57">
        <f t="shared" si="4"/>
        <v>6</v>
      </c>
      <c r="P118" s="57">
        <f t="shared" si="5"/>
        <v>3</v>
      </c>
      <c r="Q118" s="57">
        <f t="shared" si="6"/>
        <v>3</v>
      </c>
      <c r="R118" s="57" t="str">
        <f t="shared" si="7"/>
        <v>Mix004</v>
      </c>
      <c r="S118" s="57" t="str">
        <f t="shared" si="8"/>
        <v>R2-3-5-R
Mixed / 混装: 3 SKUs
Container / 容器: Mix004
Qty / 数量: 6</v>
      </c>
      <c r="T118" s="57" t="str">
        <f>IFERROR(__xludf.DUMMYFUNCTION("IF($N118="""","""",IF($O118=0,""Empty / 空"",IFERROR(LET(c,UNIQUE(FILTER($L$2:$L$500,$B$2:$B$500=$N118,$H$2:$H$500&gt;0,$L$2:$L$500&lt;&gt;"""")),IF(COUNTA(c)&gt;1,""Mixed / 混放: ""&amp;TEXTJOIN("" + "",TRUE,c),INDEX(c,1))),""Unclassified / 未分类"")))"),"Repair_Good / 维修良品")</f>
        <v>Repair_Good / 维修良品</v>
      </c>
      <c r="U118" s="58"/>
      <c r="V118" s="58"/>
      <c r="W118" s="58"/>
      <c r="X118" s="58"/>
      <c r="Y118" s="58"/>
      <c r="Z118" s="58"/>
      <c r="AA118" s="58"/>
    </row>
    <row r="119">
      <c r="A119" s="57" t="str">
        <f>IF('主表 Stock_Transaction_Log'!$T119="","",IF(COUNTIF('主表 Stock_Transaction_Log'!$T$2:$T119,'主表 Stock_Transaction_Log'!$T119)=1,ROW('主表 Stock_Transaction_Log'!$T119),""))</f>
        <v/>
      </c>
      <c r="B119" s="57" t="str">
        <f t="array" ref="B119">IF($A119="","",INDEX('主表 Stock_Transaction_Log'!$Q:$Q,$A119))</f>
        <v/>
      </c>
      <c r="C119" s="57" t="str">
        <f t="array" ref="C119">IF($A119="","",IF(INDEX('主表 Stock_Transaction_Log'!$F:$F,$A119)=0,"",INDEX('主表 Stock_Transaction_Log'!$F:$F,$A119)))</f>
        <v/>
      </c>
      <c r="D119" s="57" t="str">
        <f t="array" ref="D119">IF($A119="","",INDEX('主表 Stock_Transaction_Log'!$G:$G,$A119))</f>
        <v/>
      </c>
      <c r="E119" s="57" t="str">
        <f t="array" ref="E119">IF($A119="","",INDEX('主表 Stock_Transaction_Log'!$H:$H,$A119))</f>
        <v/>
      </c>
      <c r="F119" s="57" t="str">
        <f t="array" ref="F119">IF($A119="","",INDEX('主表 Stock_Transaction_Log'!$I:$I,$A119))</f>
        <v/>
      </c>
      <c r="G119" s="57" t="str">
        <f t="array" ref="G119">IF($A119="","",IF(INDEX('主表 Stock_Transaction_Log'!$R:$R,$A119)=0,"",INDEX('主表 Stock_Transaction_Log'!$R:$R,$A119)))</f>
        <v/>
      </c>
      <c r="H119" s="57" t="str">
        <f t="array" ref="H119">IF($A119="","",SUMIF('主表 Stock_Transaction_Log'!$T:$T,INDEX('主表 Stock_Transaction_Log'!$T:$T,$A119),'主表 Stock_Transaction_Log'!$S:$S)+SUMIF('主表 Stock_Transaction_Log'!$AB:$AB,INDEX('主表 Stock_Transaction_Log'!$T:$T,$A119),'主表 Stock_Transaction_Log'!$AC:$AC))</f>
        <v/>
      </c>
      <c r="I119" s="57" t="str">
        <f t="shared" si="1"/>
        <v/>
      </c>
      <c r="J119" s="57" t="str">
        <f t="shared" si="2"/>
        <v/>
      </c>
      <c r="K119" s="57" t="str">
        <f t="shared" si="3"/>
        <v/>
      </c>
      <c r="L119" s="57" t="str">
        <f t="array" ref="L119">IF($A119="","",INDEX('主表 Stock_Transaction_Log'!$P:$P,$A119))</f>
        <v/>
      </c>
      <c r="M119" s="57" t="str">
        <f>IF($A119="","",IF($H119&lt;=0,0,SUMIFS('主表 Stock_Transaction_Log'!$K$2:$K1000,'主表 Stock_Transaction_Log'!$C$2:$C1000,"Prepared",'主表 Stock_Transaction_Log'!$L$2:$L1000,$B119,'主表 Stock_Transaction_Log'!$F$2:$F1000,$C119,'主表 Stock_Transaction_Log'!$G$2:$G1000,$D119,'主表 Stock_Transaction_Log'!$P$2:$P1000,$L119)))</f>
        <v/>
      </c>
      <c r="N119" s="57" t="s">
        <v>513</v>
      </c>
      <c r="O119" s="57">
        <f t="shared" si="4"/>
        <v>40</v>
      </c>
      <c r="P119" s="57">
        <f t="shared" si="5"/>
        <v>1</v>
      </c>
      <c r="Q119" s="57">
        <f t="shared" si="6"/>
        <v>1</v>
      </c>
      <c r="R119" s="57" t="str">
        <f t="shared" si="7"/>
        <v/>
      </c>
      <c r="S119" s="57" t="str">
        <f t="shared" si="8"/>
        <v>R2-4-1-L
20-012-10270-04
Qty / 数量: 40</v>
      </c>
      <c r="T119" s="57" t="str">
        <f>IFERROR(__xludf.DUMMYFUNCTION("IF($N119="""","""",IF($O119=0,""Empty / 空"",IFERROR(LET(c,UNIQUE(FILTER($L$2:$L$500,$B$2:$B$500=$N119,$H$2:$H$500&gt;0,$L$2:$L$500&lt;&gt;"""")),IF(COUNTA(c)&gt;1,""Mixed / 混放: ""&amp;TEXTJOIN("" + "",TRUE,c),INDEX(c,1))),""Unclassified / 未分类"")))"),"Material / 物料")</f>
        <v>Material / 物料</v>
      </c>
      <c r="U119" s="58"/>
      <c r="V119" s="58"/>
      <c r="W119" s="58"/>
      <c r="X119" s="58"/>
      <c r="Y119" s="58"/>
      <c r="Z119" s="58"/>
      <c r="AA119" s="58"/>
    </row>
    <row r="120">
      <c r="A120" s="57" t="str">
        <f>IF('主表 Stock_Transaction_Log'!$T120="","",IF(COUNTIF('主表 Stock_Transaction_Log'!$T$2:$T120,'主表 Stock_Transaction_Log'!$T120)=1,ROW('主表 Stock_Transaction_Log'!$T120),""))</f>
        <v/>
      </c>
      <c r="B120" s="57" t="str">
        <f t="array" ref="B120">IF($A120="","",INDEX('主表 Stock_Transaction_Log'!$Q:$Q,$A120))</f>
        <v/>
      </c>
      <c r="C120" s="57" t="str">
        <f t="array" ref="C120">IF($A120="","",IF(INDEX('主表 Stock_Transaction_Log'!$F:$F,$A120)=0,"",INDEX('主表 Stock_Transaction_Log'!$F:$F,$A120)))</f>
        <v/>
      </c>
      <c r="D120" s="57" t="str">
        <f t="array" ref="D120">IF($A120="","",INDEX('主表 Stock_Transaction_Log'!$G:$G,$A120))</f>
        <v/>
      </c>
      <c r="E120" s="57" t="str">
        <f t="array" ref="E120">IF($A120="","",INDEX('主表 Stock_Transaction_Log'!$H:$H,$A120))</f>
        <v/>
      </c>
      <c r="F120" s="57" t="str">
        <f t="array" ref="F120">IF($A120="","",INDEX('主表 Stock_Transaction_Log'!$I:$I,$A120))</f>
        <v/>
      </c>
      <c r="G120" s="57" t="str">
        <f t="array" ref="G120">IF($A120="","",IF(INDEX('主表 Stock_Transaction_Log'!$R:$R,$A120)=0,"",INDEX('主表 Stock_Transaction_Log'!$R:$R,$A120)))</f>
        <v/>
      </c>
      <c r="H120" s="57" t="str">
        <f t="array" ref="H120">IF($A120="","",SUMIF('主表 Stock_Transaction_Log'!$T:$T,INDEX('主表 Stock_Transaction_Log'!$T:$T,$A120),'主表 Stock_Transaction_Log'!$S:$S)+SUMIF('主表 Stock_Transaction_Log'!$AB:$AB,INDEX('主表 Stock_Transaction_Log'!$T:$T,$A120),'主表 Stock_Transaction_Log'!$AC:$AC))</f>
        <v/>
      </c>
      <c r="I120" s="57" t="str">
        <f t="shared" si="1"/>
        <v/>
      </c>
      <c r="J120" s="57" t="str">
        <f t="shared" si="2"/>
        <v/>
      </c>
      <c r="K120" s="57" t="str">
        <f t="shared" si="3"/>
        <v/>
      </c>
      <c r="L120" s="57" t="str">
        <f t="array" ref="L120">IF($A120="","",INDEX('主表 Stock_Transaction_Log'!$P:$P,$A120))</f>
        <v/>
      </c>
      <c r="M120" s="57" t="str">
        <f>IF($A120="","",IF($H120&lt;=0,0,SUMIFS('主表 Stock_Transaction_Log'!$K$2:$K1000,'主表 Stock_Transaction_Log'!$C$2:$C1000,"Prepared",'主表 Stock_Transaction_Log'!$L$2:$L1000,$B120,'主表 Stock_Transaction_Log'!$F$2:$F1000,$C120,'主表 Stock_Transaction_Log'!$G$2:$G1000,$D120,'主表 Stock_Transaction_Log'!$P$2:$P1000,$L120)))</f>
        <v/>
      </c>
      <c r="N120" s="57" t="s">
        <v>988</v>
      </c>
      <c r="O120" s="57">
        <f t="shared" si="4"/>
        <v>0</v>
      </c>
      <c r="P120" s="57">
        <f t="shared" si="5"/>
        <v>0</v>
      </c>
      <c r="Q120" s="57">
        <f t="shared" si="6"/>
        <v>0</v>
      </c>
      <c r="R120" s="57" t="str">
        <f t="shared" si="7"/>
        <v/>
      </c>
      <c r="S120" s="57" t="str">
        <f t="shared" si="8"/>
        <v>R2-4-1-M
Empty / 空</v>
      </c>
      <c r="T120" s="57" t="str">
        <f>IFERROR(__xludf.DUMMYFUNCTION("IF($N120="""","""",IF($O120=0,""Empty / 空"",IFERROR(LET(c,UNIQUE(FILTER($L$2:$L$500,$B$2:$B$500=$N120,$H$2:$H$500&gt;0,$L$2:$L$500&lt;&gt;"""")),IF(COUNTA(c)&gt;1,""Mixed / 混放: ""&amp;TEXTJOIN("" + "",TRUE,c),INDEX(c,1))),""Unclassified / 未分类"")))"),"Empty / 空")</f>
        <v>Empty / 空</v>
      </c>
      <c r="U120" s="58"/>
      <c r="V120" s="58"/>
      <c r="W120" s="58"/>
      <c r="X120" s="58"/>
      <c r="Y120" s="58"/>
      <c r="Z120" s="58"/>
      <c r="AA120" s="58"/>
    </row>
    <row r="121">
      <c r="A121" s="57">
        <f>IF('主表 Stock_Transaction_Log'!$T121="","",IF(COUNTIF('主表 Stock_Transaction_Log'!$T$2:$T121,'主表 Stock_Transaction_Log'!$T121)=1,ROW('主表 Stock_Transaction_Log'!$T121),""))</f>
        <v>121</v>
      </c>
      <c r="B121" s="57" t="str">
        <f t="array" ref="B121">IF($A121="","",INDEX('主表 Stock_Transaction_Log'!$Q:$Q,$A121))</f>
        <v>FLEX-01</v>
      </c>
      <c r="C121" s="57" t="str">
        <f t="array" ref="C121">IF($A121="","",IF(INDEX('主表 Stock_Transaction_Log'!$F:$F,$A121)=0,"",INDEX('主表 Stock_Transaction_Log'!$F:$F,$A121)))</f>
        <v/>
      </c>
      <c r="D121" s="57" t="str">
        <f t="array" ref="D121">IF($A121="","",INDEX('主表 Stock_Transaction_Log'!$G:$G,$A121))</f>
        <v>30-223-00002-00</v>
      </c>
      <c r="E121" s="57" t="str">
        <f t="array" ref="E121">IF($A121="","",INDEX('主表 Stock_Transaction_Log'!$H:$H,$A121))</f>
        <v>EQ4800-S</v>
      </c>
      <c r="F121" s="57" t="str">
        <f t="array" ref="F121">IF($A121="","",INDEX('主表 Stock_Transaction_Log'!$I:$I,$A121))</f>
        <v>Product</v>
      </c>
      <c r="G121" s="57" t="str">
        <f t="array" ref="G121">IF($A121="","",IF(INDEX('主表 Stock_Transaction_Log'!$R:$R,$A121)=0,"",INDEX('主表 Stock_Transaction_Log'!$R:$R,$A121)))</f>
        <v/>
      </c>
      <c r="H121" s="57">
        <f t="array" ref="H121">IF($A121="","",SUMIF('主表 Stock_Transaction_Log'!$T:$T,INDEX('主表 Stock_Transaction_Log'!$T:$T,$A121),'主表 Stock_Transaction_Log'!$S:$S)+SUMIF('主表 Stock_Transaction_Log'!$AB:$AB,INDEX('主表 Stock_Transaction_Log'!$T:$T,$A121),'主表 Stock_Transaction_Log'!$AC:$AC))</f>
        <v>3</v>
      </c>
      <c r="I121" s="57" t="str">
        <f t="shared" si="1"/>
        <v>In Stock / 在库</v>
      </c>
      <c r="J121" s="57" t="str">
        <f t="shared" si="2"/>
        <v>Stock line / 库存明细</v>
      </c>
      <c r="K121" s="57" t="b">
        <f t="shared" si="3"/>
        <v>1</v>
      </c>
      <c r="L121" s="57" t="str">
        <f t="array" ref="L121">IF($A121="","",INDEX('主表 Stock_Transaction_Log'!$P:$P,$A121))</f>
        <v>Repair_Good / 维修良品</v>
      </c>
      <c r="M121" s="57">
        <f>IF($A121="","",IF($H121&lt;=0,0,SUMIFS('主表 Stock_Transaction_Log'!$K$2:$K1000,'主表 Stock_Transaction_Log'!$C$2:$C1000,"Prepared",'主表 Stock_Transaction_Log'!$L$2:$L1000,$B121,'主表 Stock_Transaction_Log'!$F$2:$F1000,$C121,'主表 Stock_Transaction_Log'!$G$2:$G1000,$D121,'主表 Stock_Transaction_Log'!$P$2:$P1000,$L121)))</f>
        <v>1</v>
      </c>
      <c r="N121" s="57" t="s">
        <v>516</v>
      </c>
      <c r="O121" s="57">
        <f t="shared" si="4"/>
        <v>40</v>
      </c>
      <c r="P121" s="57">
        <f t="shared" si="5"/>
        <v>1</v>
      </c>
      <c r="Q121" s="57">
        <f t="shared" si="6"/>
        <v>1</v>
      </c>
      <c r="R121" s="57" t="str">
        <f t="shared" si="7"/>
        <v/>
      </c>
      <c r="S121" s="57" t="str">
        <f t="shared" si="8"/>
        <v>R2-4-1-R
20-012-10270-04
Qty / 数量: 40</v>
      </c>
      <c r="T121" s="57" t="str">
        <f>IFERROR(__xludf.DUMMYFUNCTION("IF($N121="""","""",IF($O121=0,""Empty / 空"",IFERROR(LET(c,UNIQUE(FILTER($L$2:$L$500,$B$2:$B$500=$N121,$H$2:$H$500&gt;0,$L$2:$L$500&lt;&gt;"""")),IF(COUNTA(c)&gt;1,""Mixed / 混放: ""&amp;TEXTJOIN("" + "",TRUE,c),INDEX(c,1))),""Unclassified / 未分类"")))"),"Material / 物料")</f>
        <v>Material / 物料</v>
      </c>
      <c r="U121" s="58"/>
      <c r="V121" s="58"/>
      <c r="W121" s="58"/>
      <c r="X121" s="58"/>
      <c r="Y121" s="58"/>
      <c r="Z121" s="58"/>
      <c r="AA121" s="58"/>
    </row>
    <row r="122">
      <c r="A122" s="57">
        <f>IF('主表 Stock_Transaction_Log'!$T122="","",IF(COUNTIF('主表 Stock_Transaction_Log'!$T$2:$T122,'主表 Stock_Transaction_Log'!$T122)=1,ROW('主表 Stock_Transaction_Log'!$T122),""))</f>
        <v>122</v>
      </c>
      <c r="B122" s="57" t="str">
        <f t="array" ref="B122">IF($A122="","",INDEX('主表 Stock_Transaction_Log'!$Q:$Q,$A122))</f>
        <v>FLEX-01</v>
      </c>
      <c r="C122" s="57" t="str">
        <f t="array" ref="C122">IF($A122="","",IF(INDEX('主表 Stock_Transaction_Log'!$F:$F,$A122)=0,"",INDEX('主表 Stock_Transaction_Log'!$F:$F,$A122)))</f>
        <v/>
      </c>
      <c r="D122" s="57" t="str">
        <f t="array" ref="D122">IF($A122="","",INDEX('主表 Stock_Transaction_Log'!$G:$G,$A122))</f>
        <v>97-223-00067-00</v>
      </c>
      <c r="E122" s="57" t="str">
        <f t="array" ref="E122">IF($A122="","",INDEX('主表 Stock_Transaction_Log'!$H:$H,$A122))</f>
        <v>EQ4800-S</v>
      </c>
      <c r="F122" s="57" t="str">
        <f t="array" ref="F122">IF($A122="","",INDEX('主表 Stock_Transaction_Log'!$I:$I,$A122))</f>
        <v>Product</v>
      </c>
      <c r="G122" s="57" t="str">
        <f t="array" ref="G122">IF($A122="","",IF(INDEX('主表 Stock_Transaction_Log'!$R:$R,$A122)=0,"",INDEX('主表 Stock_Transaction_Log'!$R:$R,$A122)))</f>
        <v/>
      </c>
      <c r="H122" s="57">
        <f t="array" ref="H122">IF($A122="","",SUMIF('主表 Stock_Transaction_Log'!$T:$T,INDEX('主表 Stock_Transaction_Log'!$T:$T,$A122),'主表 Stock_Transaction_Log'!$S:$S)+SUMIF('主表 Stock_Transaction_Log'!$AB:$AB,INDEX('主表 Stock_Transaction_Log'!$T:$T,$A122),'主表 Stock_Transaction_Log'!$AC:$AC))</f>
        <v>8</v>
      </c>
      <c r="I122" s="57" t="str">
        <f t="shared" si="1"/>
        <v>In Stock / 在库</v>
      </c>
      <c r="J122" s="57" t="str">
        <f t="shared" si="2"/>
        <v>Stock line / 库存明细</v>
      </c>
      <c r="K122" s="57" t="b">
        <f t="shared" si="3"/>
        <v>1</v>
      </c>
      <c r="L122" s="57" t="str">
        <f t="array" ref="L122">IF($A122="","",INDEX('主表 Stock_Transaction_Log'!$P:$P,$A122))</f>
        <v>Repair_Good / 维修良品</v>
      </c>
      <c r="M122" s="57">
        <f>IF($A122="","",IF($H122&lt;=0,0,SUMIFS('主表 Stock_Transaction_Log'!$K$2:$K1000,'主表 Stock_Transaction_Log'!$C$2:$C1000,"Prepared",'主表 Stock_Transaction_Log'!$L$2:$L1000,$B122,'主表 Stock_Transaction_Log'!$F$2:$F1000,$C122,'主表 Stock_Transaction_Log'!$G$2:$G1000,$D122,'主表 Stock_Transaction_Log'!$P$2:$P1000,$L122)))</f>
        <v>0</v>
      </c>
      <c r="N122" s="57" t="s">
        <v>502</v>
      </c>
      <c r="O122" s="57">
        <f t="shared" si="4"/>
        <v>99</v>
      </c>
      <c r="P122" s="57">
        <f t="shared" si="5"/>
        <v>1</v>
      </c>
      <c r="Q122" s="57">
        <f t="shared" si="6"/>
        <v>1</v>
      </c>
      <c r="R122" s="57" t="str">
        <f t="shared" si="7"/>
        <v/>
      </c>
      <c r="S122" s="57" t="str">
        <f t="shared" si="8"/>
        <v>R2-4-2-L
物料
Qty / 数量: 99</v>
      </c>
      <c r="T122" s="57" t="str">
        <f>IFERROR(__xludf.DUMMYFUNCTION("IF($N122="""","""",IF($O122=0,""Empty / 空"",IFERROR(LET(c,UNIQUE(FILTER($L$2:$L$500,$B$2:$B$500=$N122,$H$2:$H$500&gt;0,$L$2:$L$500&lt;&gt;"""")),IF(COUNTA(c)&gt;1,""Mixed / 混放: ""&amp;TEXTJOIN("" + "",TRUE,c),INDEX(c,1))),""Unclassified / 未分类"")))"),"Material / 物料")</f>
        <v>Material / 物料</v>
      </c>
      <c r="U122" s="58"/>
      <c r="V122" s="58"/>
      <c r="W122" s="58"/>
      <c r="X122" s="58"/>
      <c r="Y122" s="58"/>
      <c r="Z122" s="58"/>
      <c r="AA122" s="58"/>
    </row>
    <row r="123">
      <c r="A123" s="57">
        <f>IF('主表 Stock_Transaction_Log'!$T123="","",IF(COUNTIF('主表 Stock_Transaction_Log'!$T$2:$T123,'主表 Stock_Transaction_Log'!$T123)=1,ROW('主表 Stock_Transaction_Log'!$T123),""))</f>
        <v>123</v>
      </c>
      <c r="B123" s="57" t="str">
        <f t="array" ref="B123">IF($A123="","",INDEX('主表 Stock_Transaction_Log'!$Q:$Q,$A123))</f>
        <v>FLEX-01</v>
      </c>
      <c r="C123" s="57" t="str">
        <f t="array" ref="C123">IF($A123="","",IF(INDEX('主表 Stock_Transaction_Log'!$F:$F,$A123)=0,"",INDEX('主表 Stock_Transaction_Log'!$F:$F,$A123)))</f>
        <v/>
      </c>
      <c r="D123" s="57" t="str">
        <f t="array" ref="D123">IF($A123="","",INDEX('主表 Stock_Transaction_Log'!$G:$G,$A123))</f>
        <v>30-138-K1415-B0</v>
      </c>
      <c r="E123" s="57" t="str">
        <f t="array" ref="E123">IF($A123="","",INDEX('主表 Stock_Transaction_Log'!$H:$H,$A123))</f>
        <v>KH10</v>
      </c>
      <c r="F123" s="57" t="str">
        <f t="array" ref="F123">IF($A123="","",INDEX('主表 Stock_Transaction_Log'!$I:$I,$A123))</f>
        <v>Product</v>
      </c>
      <c r="G123" s="57" t="str">
        <f t="array" ref="G123">IF($A123="","",IF(INDEX('主表 Stock_Transaction_Log'!$R:$R,$A123)=0,"",INDEX('主表 Stock_Transaction_Log'!$R:$R,$A123)))</f>
        <v/>
      </c>
      <c r="H123" s="57">
        <f t="array" ref="H123">IF($A123="","",SUMIF('主表 Stock_Transaction_Log'!$T:$T,INDEX('主表 Stock_Transaction_Log'!$T:$T,$A123),'主表 Stock_Transaction_Log'!$S:$S)+SUMIF('主表 Stock_Transaction_Log'!$AB:$AB,INDEX('主表 Stock_Transaction_Log'!$T:$T,$A123),'主表 Stock_Transaction_Log'!$AC:$AC))</f>
        <v>10</v>
      </c>
      <c r="I123" s="57" t="str">
        <f t="shared" si="1"/>
        <v>In Stock / 在库</v>
      </c>
      <c r="J123" s="57" t="str">
        <f t="shared" si="2"/>
        <v>Stock line / 库存明细</v>
      </c>
      <c r="K123" s="57" t="b">
        <f t="shared" si="3"/>
        <v>1</v>
      </c>
      <c r="L123" s="57" t="str">
        <f t="array" ref="L123">IF($A123="","",INDEX('主表 Stock_Transaction_Log'!$P:$P,$A123))</f>
        <v>Repair_Good / 维修良品</v>
      </c>
      <c r="M123" s="57">
        <f>IF($A123="","",IF($H123&lt;=0,0,SUMIFS('主表 Stock_Transaction_Log'!$K$2:$K1000,'主表 Stock_Transaction_Log'!$C$2:$C1000,"Prepared",'主表 Stock_Transaction_Log'!$L$2:$L1000,$B123,'主表 Stock_Transaction_Log'!$F$2:$F1000,$C123,'主表 Stock_Transaction_Log'!$G$2:$G1000,$D123,'主表 Stock_Transaction_Log'!$P$2:$P1000,$L123)))</f>
        <v>0</v>
      </c>
      <c r="N123" s="57" t="s">
        <v>990</v>
      </c>
      <c r="O123" s="57">
        <f t="shared" si="4"/>
        <v>0</v>
      </c>
      <c r="P123" s="57">
        <f t="shared" si="5"/>
        <v>0</v>
      </c>
      <c r="Q123" s="57">
        <f t="shared" si="6"/>
        <v>0</v>
      </c>
      <c r="R123" s="57" t="str">
        <f t="shared" si="7"/>
        <v/>
      </c>
      <c r="S123" s="57" t="str">
        <f t="shared" si="8"/>
        <v>R2-4-2-M
Empty / 空</v>
      </c>
      <c r="T123" s="57" t="str">
        <f>IFERROR(__xludf.DUMMYFUNCTION("IF($N123="""","""",IF($O123=0,""Empty / 空"",IFERROR(LET(c,UNIQUE(FILTER($L$2:$L$500,$B$2:$B$500=$N123,$H$2:$H$500&gt;0,$L$2:$L$500&lt;&gt;"""")),IF(COUNTA(c)&gt;1,""Mixed / 混放: ""&amp;TEXTJOIN("" + "",TRUE,c),INDEX(c,1))),""Unclassified / 未分类"")))"),"Empty / 空")</f>
        <v>Empty / 空</v>
      </c>
      <c r="U123" s="58"/>
      <c r="V123" s="58"/>
      <c r="W123" s="58"/>
      <c r="X123" s="58"/>
      <c r="Y123" s="58"/>
      <c r="Z123" s="58"/>
      <c r="AA123" s="58"/>
    </row>
    <row r="124">
      <c r="A124" s="57">
        <f>IF('主表 Stock_Transaction_Log'!$T124="","",IF(COUNTIF('主表 Stock_Transaction_Log'!$T$2:$T124,'主表 Stock_Transaction_Log'!$T124)=1,ROW('主表 Stock_Transaction_Log'!$T124),""))</f>
        <v>124</v>
      </c>
      <c r="B124" s="57" t="str">
        <f t="array" ref="B124">IF($A124="","",INDEX('主表 Stock_Transaction_Log'!$Q:$Q,$A124))</f>
        <v>FLEX-01</v>
      </c>
      <c r="C124" s="57" t="str">
        <f t="array" ref="C124">IF($A124="","",IF(INDEX('主表 Stock_Transaction_Log'!$F:$F,$A124)=0,"",INDEX('主表 Stock_Transaction_Log'!$F:$F,$A124)))</f>
        <v/>
      </c>
      <c r="D124" s="57" t="str">
        <f t="array" ref="D124">IF($A124="","",INDEX('主表 Stock_Transaction_Log'!$G:$G,$A124))</f>
        <v>30-138-K1615-B0</v>
      </c>
      <c r="E124" s="57" t="str">
        <f t="array" ref="E124">IF($A124="","",INDEX('主表 Stock_Transaction_Log'!$H:$H,$A124))</f>
        <v>KH9.9</v>
      </c>
      <c r="F124" s="57" t="str">
        <f t="array" ref="F124">IF($A124="","",INDEX('主表 Stock_Transaction_Log'!$I:$I,$A124))</f>
        <v>Material</v>
      </c>
      <c r="G124" s="57" t="str">
        <f t="array" ref="G124">IF($A124="","",IF(INDEX('主表 Stock_Transaction_Log'!$R:$R,$A124)=0,"",INDEX('主表 Stock_Transaction_Log'!$R:$R,$A124)))</f>
        <v/>
      </c>
      <c r="H124" s="57">
        <f t="array" ref="H124">IF($A124="","",SUMIF('主表 Stock_Transaction_Log'!$T:$T,INDEX('主表 Stock_Transaction_Log'!$T:$T,$A124),'主表 Stock_Transaction_Log'!$S:$S)+SUMIF('主表 Stock_Transaction_Log'!$AB:$AB,INDEX('主表 Stock_Transaction_Log'!$T:$T,$A124),'主表 Stock_Transaction_Log'!$AC:$AC))</f>
        <v>4</v>
      </c>
      <c r="I124" s="57" t="str">
        <f t="shared" si="1"/>
        <v>In Stock / 在库</v>
      </c>
      <c r="J124" s="57" t="str">
        <f t="shared" si="2"/>
        <v>Stock line / 库存明细</v>
      </c>
      <c r="K124" s="57" t="b">
        <f t="shared" si="3"/>
        <v>1</v>
      </c>
      <c r="L124" s="57" t="str">
        <f t="array" ref="L124">IF($A124="","",INDEX('主表 Stock_Transaction_Log'!$P:$P,$A124))</f>
        <v>Repair_Good / 维修良品</v>
      </c>
      <c r="M124" s="57">
        <f>IF($A124="","",IF($H124&lt;=0,0,SUMIFS('主表 Stock_Transaction_Log'!$K$2:$K1000,'主表 Stock_Transaction_Log'!$C$2:$C1000,"Prepared",'主表 Stock_Transaction_Log'!$L$2:$L1000,$B124,'主表 Stock_Transaction_Log'!$F$2:$F1000,$C124,'主表 Stock_Transaction_Log'!$G$2:$G1000,$D124,'主表 Stock_Transaction_Log'!$P$2:$P1000,$L124)))</f>
        <v>0</v>
      </c>
      <c r="N124" s="57" t="s">
        <v>505</v>
      </c>
      <c r="O124" s="57">
        <f t="shared" si="4"/>
        <v>99</v>
      </c>
      <c r="P124" s="57">
        <f t="shared" si="5"/>
        <v>1</v>
      </c>
      <c r="Q124" s="57">
        <f t="shared" si="6"/>
        <v>1</v>
      </c>
      <c r="R124" s="57" t="str">
        <f t="shared" si="7"/>
        <v/>
      </c>
      <c r="S124" s="57" t="str">
        <f t="shared" si="8"/>
        <v>R2-4-2-R
物料
Qty / 数量: 99</v>
      </c>
      <c r="T124" s="57" t="str">
        <f>IFERROR(__xludf.DUMMYFUNCTION("IF($N124="""","""",IF($O124=0,""Empty / 空"",IFERROR(LET(c,UNIQUE(FILTER($L$2:$L$500,$B$2:$B$500=$N124,$H$2:$H$500&gt;0,$L$2:$L$500&lt;&gt;"""")),IF(COUNTA(c)&gt;1,""Mixed / 混放: ""&amp;TEXTJOIN("" + "",TRUE,c),INDEX(c,1))),""Unclassified / 未分类"")))"),"Material / 物料")</f>
        <v>Material / 物料</v>
      </c>
      <c r="U124" s="58"/>
      <c r="V124" s="58"/>
      <c r="W124" s="58"/>
      <c r="X124" s="58"/>
      <c r="Y124" s="58"/>
      <c r="Z124" s="58"/>
      <c r="AA124" s="58"/>
    </row>
    <row r="125">
      <c r="A125" s="57">
        <f>IF('主表 Stock_Transaction_Log'!$T125="","",IF(COUNTIF('主表 Stock_Transaction_Log'!$T$2:$T125,'主表 Stock_Transaction_Log'!$T125)=1,ROW('主表 Stock_Transaction_Log'!$T125),""))</f>
        <v>125</v>
      </c>
      <c r="B125" s="57" t="str">
        <f t="array" ref="B125">IF($A125="","",INDEX('主表 Stock_Transaction_Log'!$Q:$Q,$A125))</f>
        <v>FLEX-01</v>
      </c>
      <c r="C125" s="57" t="str">
        <f t="array" ref="C125">IF($A125="","",IF(INDEX('主表 Stock_Transaction_Log'!$F:$F,$A125)=0,"",INDEX('主表 Stock_Transaction_Log'!$F:$F,$A125)))</f>
        <v/>
      </c>
      <c r="D125" s="57" t="str">
        <f t="array" ref="D125">IF($A125="","",INDEX('主表 Stock_Transaction_Log'!$G:$G,$A125))</f>
        <v>30-138-K1215-B0</v>
      </c>
      <c r="E125" s="57" t="str">
        <f t="array" ref="E125">IF($A125="","",INDEX('主表 Stock_Transaction_Log'!$H:$H,$A125))</f>
        <v>KH8</v>
      </c>
      <c r="F125" s="57" t="str">
        <f t="array" ref="F125">IF($A125="","",INDEX('主表 Stock_Transaction_Log'!$I:$I,$A125))</f>
        <v>Product</v>
      </c>
      <c r="G125" s="57" t="str">
        <f t="array" ref="G125">IF($A125="","",IF(INDEX('主表 Stock_Transaction_Log'!$R:$R,$A125)=0,"",INDEX('主表 Stock_Transaction_Log'!$R:$R,$A125)))</f>
        <v/>
      </c>
      <c r="H125" s="57">
        <f t="array" ref="H125">IF($A125="","",SUMIF('主表 Stock_Transaction_Log'!$T:$T,INDEX('主表 Stock_Transaction_Log'!$T:$T,$A125),'主表 Stock_Transaction_Log'!$S:$S)+SUMIF('主表 Stock_Transaction_Log'!$AB:$AB,INDEX('主表 Stock_Transaction_Log'!$T:$T,$A125),'主表 Stock_Transaction_Log'!$AC:$AC))</f>
        <v>5</v>
      </c>
      <c r="I125" s="57" t="str">
        <f t="shared" si="1"/>
        <v>In Stock / 在库</v>
      </c>
      <c r="J125" s="57" t="str">
        <f t="shared" si="2"/>
        <v>Stock line / 库存明细</v>
      </c>
      <c r="K125" s="57" t="b">
        <f t="shared" si="3"/>
        <v>1</v>
      </c>
      <c r="L125" s="57" t="str">
        <f t="array" ref="L125">IF($A125="","",INDEX('主表 Stock_Transaction_Log'!$P:$P,$A125))</f>
        <v>Repair_Good / 维修良品</v>
      </c>
      <c r="M125" s="57">
        <f>IF($A125="","",IF($H125&lt;=0,0,SUMIFS('主表 Stock_Transaction_Log'!$K$2:$K1000,'主表 Stock_Transaction_Log'!$C$2:$C1000,"Prepared",'主表 Stock_Transaction_Log'!$L$2:$L1000,$B125,'主表 Stock_Transaction_Log'!$F$2:$F1000,$C125,'主表 Stock_Transaction_Log'!$G$2:$G1000,$D125,'主表 Stock_Transaction_Log'!$P$2:$P1000,$L125)))</f>
        <v>0</v>
      </c>
      <c r="N125" s="57" t="s">
        <v>454</v>
      </c>
      <c r="O125" s="57">
        <f t="shared" si="4"/>
        <v>8</v>
      </c>
      <c r="P125" s="57">
        <f t="shared" si="5"/>
        <v>1</v>
      </c>
      <c r="Q125" s="57">
        <f t="shared" si="6"/>
        <v>1</v>
      </c>
      <c r="R125" s="57" t="str">
        <f t="shared" si="7"/>
        <v/>
      </c>
      <c r="S125" s="57" t="str">
        <f t="shared" si="8"/>
        <v>R2-4-3-L
坏机
Qty / 数量: 8</v>
      </c>
      <c r="T125" s="57" t="str">
        <f>IFERROR(__xludf.DUMMYFUNCTION("IF($N125="""","""",IF($O125=0,""Empty / 空"",IFERROR(LET(c,UNIQUE(FILTER($L$2:$L$500,$B$2:$B$500=$N125,$H$2:$H$500&gt;0,$L$2:$L$500&lt;&gt;"""")),IF(COUNTA(c)&gt;1,""Mixed / 混放: ""&amp;TEXTJOIN("" + "",TRUE,c),INDEX(c,1))),""Unclassified / 未分类"")))"),"Repair / 待修")</f>
        <v>Repair / 待修</v>
      </c>
      <c r="U125" s="58"/>
      <c r="V125" s="58"/>
      <c r="W125" s="58"/>
      <c r="X125" s="58"/>
      <c r="Y125" s="58"/>
      <c r="Z125" s="58"/>
      <c r="AA125" s="58"/>
    </row>
    <row r="126">
      <c r="A126" s="57">
        <f>IF('主表 Stock_Transaction_Log'!$T126="","",IF(COUNTIF('主表 Stock_Transaction_Log'!$T$2:$T126,'主表 Stock_Transaction_Log'!$T126)=1,ROW('主表 Stock_Transaction_Log'!$T126),""))</f>
        <v>126</v>
      </c>
      <c r="B126" s="57" t="str">
        <f t="array" ref="B126">IF($A126="","",INDEX('主表 Stock_Transaction_Log'!$Q:$Q,$A126))</f>
        <v>FLEX-01</v>
      </c>
      <c r="C126" s="57" t="str">
        <f t="array" ref="C126">IF($A126="","",IF(INDEX('主表 Stock_Transaction_Log'!$F:$F,$A126)=0,"",INDEX('主表 Stock_Transaction_Log'!$F:$F,$A126)))</f>
        <v/>
      </c>
      <c r="D126" s="57" t="str">
        <f t="array" ref="D126">IF($A126="","",INDEX('主表 Stock_Transaction_Log'!$G:$G,$A126))</f>
        <v>97-229-00014-00</v>
      </c>
      <c r="E126" s="57" t="str">
        <f t="array" ref="E126">IF($A126="","",INDEX('主表 Stock_Transaction_Log'!$H:$H,$A126))</f>
        <v>CQ6-S</v>
      </c>
      <c r="F126" s="57" t="str">
        <f t="array" ref="F126">IF($A126="","",INDEX('主表 Stock_Transaction_Log'!$I:$I,$A126))</f>
        <v>Product</v>
      </c>
      <c r="G126" s="57" t="str">
        <f t="array" ref="G126">IF($A126="","",IF(INDEX('主表 Stock_Transaction_Log'!$R:$R,$A126)=0,"",INDEX('主表 Stock_Transaction_Log'!$R:$R,$A126)))</f>
        <v/>
      </c>
      <c r="H126" s="57">
        <f t="array" ref="H126">IF($A126="","",SUMIF('主表 Stock_Transaction_Log'!$T:$T,INDEX('主表 Stock_Transaction_Log'!$T:$T,$A126),'主表 Stock_Transaction_Log'!$S:$S)+SUMIF('主表 Stock_Transaction_Log'!$AB:$AB,INDEX('主表 Stock_Transaction_Log'!$T:$T,$A126),'主表 Stock_Transaction_Log'!$AC:$AC))</f>
        <v>1</v>
      </c>
      <c r="I126" s="57" t="str">
        <f t="shared" si="1"/>
        <v>In Stock / 在库</v>
      </c>
      <c r="J126" s="57" t="str">
        <f t="shared" si="2"/>
        <v>Stock line / 库存明细</v>
      </c>
      <c r="K126" s="57" t="b">
        <f t="shared" si="3"/>
        <v>1</v>
      </c>
      <c r="L126" s="57" t="str">
        <f t="array" ref="L126">IF($A126="","",INDEX('主表 Stock_Transaction_Log'!$P:$P,$A126))</f>
        <v>Repair_Good / 维修良品</v>
      </c>
      <c r="M126" s="57">
        <f>IF($A126="","",IF($H126&lt;=0,0,SUMIFS('主表 Stock_Transaction_Log'!$K$2:$K1000,'主表 Stock_Transaction_Log'!$C$2:$C1000,"Prepared",'主表 Stock_Transaction_Log'!$L$2:$L1000,$B126,'主表 Stock_Transaction_Log'!$F$2:$F1000,$C126,'主表 Stock_Transaction_Log'!$G$2:$G1000,$D126,'主表 Stock_Transaction_Log'!$P$2:$P1000,$L126)))</f>
        <v>0</v>
      </c>
      <c r="N126" s="57" t="s">
        <v>994</v>
      </c>
      <c r="O126" s="57">
        <f t="shared" si="4"/>
        <v>0</v>
      </c>
      <c r="P126" s="57">
        <f t="shared" si="5"/>
        <v>0</v>
      </c>
      <c r="Q126" s="57">
        <f t="shared" si="6"/>
        <v>0</v>
      </c>
      <c r="R126" s="57" t="str">
        <f t="shared" si="7"/>
        <v/>
      </c>
      <c r="S126" s="57" t="str">
        <f t="shared" si="8"/>
        <v>R2-4-3-M
Empty / 空</v>
      </c>
      <c r="T126" s="57" t="str">
        <f>IFERROR(__xludf.DUMMYFUNCTION("IF($N126="""","""",IF($O126=0,""Empty / 空"",IFERROR(LET(c,UNIQUE(FILTER($L$2:$L$500,$B$2:$B$500=$N126,$H$2:$H$500&gt;0,$L$2:$L$500&lt;&gt;"""")),IF(COUNTA(c)&gt;1,""Mixed / 混放: ""&amp;TEXTJOIN("" + "",TRUE,c),INDEX(c,1))),""Unclassified / 未分类"")))"),"Empty / 空")</f>
        <v>Empty / 空</v>
      </c>
      <c r="U126" s="58"/>
      <c r="V126" s="58"/>
      <c r="W126" s="58"/>
      <c r="X126" s="58"/>
      <c r="Y126" s="58"/>
      <c r="Z126" s="58"/>
      <c r="AA126" s="58"/>
    </row>
    <row r="127">
      <c r="A127" s="57">
        <f>IF('主表 Stock_Transaction_Log'!$T127="","",IF(COUNTIF('主表 Stock_Transaction_Log'!$T$2:$T127,'主表 Stock_Transaction_Log'!$T127)=1,ROW('主表 Stock_Transaction_Log'!$T127),""))</f>
        <v>127</v>
      </c>
      <c r="B127" s="57" t="str">
        <f t="array" ref="B127">IF($A127="","",INDEX('主表 Stock_Transaction_Log'!$Q:$Q,$A127))</f>
        <v>FLEX-01</v>
      </c>
      <c r="C127" s="57" t="str">
        <f t="array" ref="C127">IF($A127="","",IF(INDEX('主表 Stock_Transaction_Log'!$F:$F,$A127)=0,"",INDEX('主表 Stock_Transaction_Log'!$F:$F,$A127)))</f>
        <v/>
      </c>
      <c r="D127" s="57" t="str">
        <f t="array" ref="D127">IF($A127="","",INDEX('主表 Stock_Transaction_Log'!$G:$G,$A127))</f>
        <v>97-223-00088-00</v>
      </c>
      <c r="E127" s="57" t="str">
        <f t="array" ref="E127">IF($A127="","",INDEX('主表 Stock_Transaction_Log'!$H:$H,$A127))</f>
        <v>EQ4800-M</v>
      </c>
      <c r="F127" s="57" t="str">
        <f t="array" ref="F127">IF($A127="","",INDEX('主表 Stock_Transaction_Log'!$I:$I,$A127))</f>
        <v>Product</v>
      </c>
      <c r="G127" s="57" t="str">
        <f t="array" ref="G127">IF($A127="","",IF(INDEX('主表 Stock_Transaction_Log'!$R:$R,$A127)=0,"",INDEX('主表 Stock_Transaction_Log'!$R:$R,$A127)))</f>
        <v/>
      </c>
      <c r="H127" s="57">
        <f t="array" ref="H127">IF($A127="","",SUMIF('主表 Stock_Transaction_Log'!$T:$T,INDEX('主表 Stock_Transaction_Log'!$T:$T,$A127),'主表 Stock_Transaction_Log'!$S:$S)+SUMIF('主表 Stock_Transaction_Log'!$AB:$AB,INDEX('主表 Stock_Transaction_Log'!$T:$T,$A127),'主表 Stock_Transaction_Log'!$AC:$AC))</f>
        <v>6</v>
      </c>
      <c r="I127" s="57" t="str">
        <f t="shared" si="1"/>
        <v>In Stock / 在库</v>
      </c>
      <c r="J127" s="57" t="str">
        <f t="shared" si="2"/>
        <v>Stock line / 库存明细</v>
      </c>
      <c r="K127" s="57" t="b">
        <f t="shared" si="3"/>
        <v>1</v>
      </c>
      <c r="L127" s="57" t="str">
        <f t="array" ref="L127">IF($A127="","",INDEX('主表 Stock_Transaction_Log'!$P:$P,$A127))</f>
        <v>Repair_Good / 维修良品</v>
      </c>
      <c r="M127" s="57">
        <f>IF($A127="","",IF($H127&lt;=0,0,SUMIFS('主表 Stock_Transaction_Log'!$K$2:$K1000,'主表 Stock_Transaction_Log'!$C$2:$C1000,"Prepared",'主表 Stock_Transaction_Log'!$L$2:$L1000,$B127,'主表 Stock_Transaction_Log'!$F$2:$F1000,$C127,'主表 Stock_Transaction_Log'!$G$2:$G1000,$D127,'主表 Stock_Transaction_Log'!$P$2:$P1000,$L127)))</f>
        <v>0</v>
      </c>
      <c r="N127" s="57" t="s">
        <v>451</v>
      </c>
      <c r="O127" s="57">
        <f t="shared" si="4"/>
        <v>7</v>
      </c>
      <c r="P127" s="57">
        <f t="shared" si="5"/>
        <v>1</v>
      </c>
      <c r="Q127" s="57">
        <f t="shared" si="6"/>
        <v>1</v>
      </c>
      <c r="R127" s="57" t="str">
        <f t="shared" si="7"/>
        <v/>
      </c>
      <c r="S127" s="57" t="str">
        <f t="shared" si="8"/>
        <v>R2-4-3-R
坏机
Qty / 数量: 7</v>
      </c>
      <c r="T127" s="57" t="str">
        <f>IFERROR(__xludf.DUMMYFUNCTION("IF($N127="""","""",IF($O127=0,""Empty / 空"",IFERROR(LET(c,UNIQUE(FILTER($L$2:$L$500,$B$2:$B$500=$N127,$H$2:$H$500&gt;0,$L$2:$L$500&lt;&gt;"""")),IF(COUNTA(c)&gt;1,""Mixed / 混放: ""&amp;TEXTJOIN("" + "",TRUE,c),INDEX(c,1))),""Unclassified / 未分类"")))"),"Repair / 待修")</f>
        <v>Repair / 待修</v>
      </c>
      <c r="U127" s="58"/>
      <c r="V127" s="58"/>
      <c r="W127" s="58"/>
      <c r="X127" s="58"/>
      <c r="Y127" s="58"/>
      <c r="Z127" s="58"/>
      <c r="AA127" s="58"/>
    </row>
    <row r="128">
      <c r="A128" s="57" t="str">
        <f>IF('主表 Stock_Transaction_Log'!$T128="","",IF(COUNTIF('主表 Stock_Transaction_Log'!$T$2:$T128,'主表 Stock_Transaction_Log'!$T128)=1,ROW('主表 Stock_Transaction_Log'!$T128),""))</f>
        <v/>
      </c>
      <c r="B128" s="57" t="str">
        <f t="array" ref="B128">IF($A128="","",INDEX('主表 Stock_Transaction_Log'!$Q:$Q,$A128))</f>
        <v/>
      </c>
      <c r="C128" s="57" t="str">
        <f t="array" ref="C128">IF($A128="","",IF(INDEX('主表 Stock_Transaction_Log'!$F:$F,$A128)=0,"",INDEX('主表 Stock_Transaction_Log'!$F:$F,$A128)))</f>
        <v/>
      </c>
      <c r="D128" s="57" t="str">
        <f t="array" ref="D128">IF($A128="","",INDEX('主表 Stock_Transaction_Log'!$G:$G,$A128))</f>
        <v/>
      </c>
      <c r="E128" s="57" t="str">
        <f t="array" ref="E128">IF($A128="","",INDEX('主表 Stock_Transaction_Log'!$H:$H,$A128))</f>
        <v/>
      </c>
      <c r="F128" s="57" t="str">
        <f t="array" ref="F128">IF($A128="","",INDEX('主表 Stock_Transaction_Log'!$I:$I,$A128))</f>
        <v/>
      </c>
      <c r="G128" s="57" t="str">
        <f t="array" ref="G128">IF($A128="","",IF(INDEX('主表 Stock_Transaction_Log'!$R:$R,$A128)=0,"",INDEX('主表 Stock_Transaction_Log'!$R:$R,$A128)))</f>
        <v/>
      </c>
      <c r="H128" s="57" t="str">
        <f t="array" ref="H128">IF($A128="","",SUMIF('主表 Stock_Transaction_Log'!$T:$T,INDEX('主表 Stock_Transaction_Log'!$T:$T,$A128),'主表 Stock_Transaction_Log'!$S:$S)+SUMIF('主表 Stock_Transaction_Log'!$AB:$AB,INDEX('主表 Stock_Transaction_Log'!$T:$T,$A128),'主表 Stock_Transaction_Log'!$AC:$AC))</f>
        <v/>
      </c>
      <c r="I128" s="57" t="str">
        <f t="shared" si="1"/>
        <v/>
      </c>
      <c r="J128" s="57" t="str">
        <f t="shared" si="2"/>
        <v/>
      </c>
      <c r="K128" s="57" t="str">
        <f t="shared" si="3"/>
        <v/>
      </c>
      <c r="L128" s="57" t="str">
        <f t="array" ref="L128">IF($A128="","",INDEX('主表 Stock_Transaction_Log'!$P:$P,$A128))</f>
        <v/>
      </c>
      <c r="M128" s="57" t="str">
        <f>IF($A128="","",IF($H128&lt;=0,0,SUMIFS('主表 Stock_Transaction_Log'!$K$2:$K1000,'主表 Stock_Transaction_Log'!$C$2:$C1000,"Prepared",'主表 Stock_Transaction_Log'!$L$2:$L1000,$B128,'主表 Stock_Transaction_Log'!$F$2:$F1000,$C128,'主表 Stock_Transaction_Log'!$G$2:$G1000,$D128,'主表 Stock_Transaction_Log'!$P$2:$P1000,$L128)))</f>
        <v/>
      </c>
      <c r="N128" s="57" t="s">
        <v>435</v>
      </c>
      <c r="O128" s="57">
        <f t="shared" si="4"/>
        <v>16</v>
      </c>
      <c r="P128" s="57">
        <f t="shared" si="5"/>
        <v>1</v>
      </c>
      <c r="Q128" s="57">
        <f t="shared" si="6"/>
        <v>1</v>
      </c>
      <c r="R128" s="57" t="str">
        <f t="shared" si="7"/>
        <v/>
      </c>
      <c r="S128" s="57" t="str">
        <f t="shared" si="8"/>
        <v>R2-4-4-L
97-223-00107-00
Qty / 数量: 16</v>
      </c>
      <c r="T128" s="57" t="str">
        <f>IFERROR(__xludf.DUMMYFUNCTION("IF($N128="""","""",IF($O128=0,""Empty / 空"",IFERROR(LET(c,UNIQUE(FILTER($L$2:$L$500,$B$2:$B$500=$N128,$H$2:$H$500&gt;0,$L$2:$L$500&lt;&gt;"""")),IF(COUNTA(c)&gt;1,""Mixed / 混放: ""&amp;TEXTJOIN("" + "",TRUE,c),INDEX(c,1))),""Unclassified / 未分类"")))"),"New / 新机")</f>
        <v>New / 新机</v>
      </c>
      <c r="U128" s="58"/>
      <c r="V128" s="58"/>
      <c r="W128" s="58"/>
      <c r="X128" s="58"/>
      <c r="Y128" s="58"/>
      <c r="Z128" s="58"/>
      <c r="AA128" s="58"/>
    </row>
    <row r="129">
      <c r="A129" s="57" t="str">
        <f>IF('主表 Stock_Transaction_Log'!$T129="","",IF(COUNTIF('主表 Stock_Transaction_Log'!$T$2:$T129,'主表 Stock_Transaction_Log'!$T129)=1,ROW('主表 Stock_Transaction_Log'!$T129),""))</f>
        <v/>
      </c>
      <c r="B129" s="57" t="str">
        <f t="array" ref="B129">IF($A129="","",INDEX('主表 Stock_Transaction_Log'!$Q:$Q,$A129))</f>
        <v/>
      </c>
      <c r="C129" s="57" t="str">
        <f t="array" ref="C129">IF($A129="","",IF(INDEX('主表 Stock_Transaction_Log'!$F:$F,$A129)=0,"",INDEX('主表 Stock_Transaction_Log'!$F:$F,$A129)))</f>
        <v/>
      </c>
      <c r="D129" s="57" t="str">
        <f t="array" ref="D129">IF($A129="","",INDEX('主表 Stock_Transaction_Log'!$G:$G,$A129))</f>
        <v/>
      </c>
      <c r="E129" s="57" t="str">
        <f t="array" ref="E129">IF($A129="","",INDEX('主表 Stock_Transaction_Log'!$H:$H,$A129))</f>
        <v/>
      </c>
      <c r="F129" s="57" t="str">
        <f t="array" ref="F129">IF($A129="","",INDEX('主表 Stock_Transaction_Log'!$I:$I,$A129))</f>
        <v/>
      </c>
      <c r="G129" s="57" t="str">
        <f t="array" ref="G129">IF($A129="","",IF(INDEX('主表 Stock_Transaction_Log'!$R:$R,$A129)=0,"",INDEX('主表 Stock_Transaction_Log'!$R:$R,$A129)))</f>
        <v/>
      </c>
      <c r="H129" s="57" t="str">
        <f t="array" ref="H129">IF($A129="","",SUMIF('主表 Stock_Transaction_Log'!$T:$T,INDEX('主表 Stock_Transaction_Log'!$T:$T,$A129),'主表 Stock_Transaction_Log'!$S:$S)+SUMIF('主表 Stock_Transaction_Log'!$AB:$AB,INDEX('主表 Stock_Transaction_Log'!$T:$T,$A129),'主表 Stock_Transaction_Log'!$AC:$AC))</f>
        <v/>
      </c>
      <c r="I129" s="57" t="str">
        <f t="shared" si="1"/>
        <v/>
      </c>
      <c r="J129" s="57" t="str">
        <f t="shared" si="2"/>
        <v/>
      </c>
      <c r="K129" s="57" t="str">
        <f t="shared" si="3"/>
        <v/>
      </c>
      <c r="L129" s="57" t="str">
        <f t="array" ref="L129">IF($A129="","",INDEX('主表 Stock_Transaction_Log'!$P:$P,$A129))</f>
        <v/>
      </c>
      <c r="M129" s="57" t="str">
        <f>IF($A129="","",IF($H129&lt;=0,0,SUMIFS('主表 Stock_Transaction_Log'!$K$2:$K1000,'主表 Stock_Transaction_Log'!$C$2:$C1000,"Prepared",'主表 Stock_Transaction_Log'!$L$2:$L1000,$B129,'主表 Stock_Transaction_Log'!$F$2:$F1000,$C129,'主表 Stock_Transaction_Log'!$G$2:$G1000,$D129,'主表 Stock_Transaction_Log'!$P$2:$P1000,$L129)))</f>
        <v/>
      </c>
      <c r="N129" s="57" t="s">
        <v>997</v>
      </c>
      <c r="O129" s="57">
        <f t="shared" si="4"/>
        <v>0</v>
      </c>
      <c r="P129" s="57">
        <f t="shared" si="5"/>
        <v>0</v>
      </c>
      <c r="Q129" s="57">
        <f t="shared" si="6"/>
        <v>0</v>
      </c>
      <c r="R129" s="57" t="str">
        <f t="shared" si="7"/>
        <v/>
      </c>
      <c r="S129" s="57" t="str">
        <f t="shared" si="8"/>
        <v>R2-4-4-M
Empty / 空</v>
      </c>
      <c r="T129" s="57" t="str">
        <f>IFERROR(__xludf.DUMMYFUNCTION("IF($N129="""","""",IF($O129=0,""Empty / 空"",IFERROR(LET(c,UNIQUE(FILTER($L$2:$L$500,$B$2:$B$500=$N129,$H$2:$H$500&gt;0,$L$2:$L$500&lt;&gt;"""")),IF(COUNTA(c)&gt;1,""Mixed / 混放: ""&amp;TEXTJOIN("" + "",TRUE,c),INDEX(c,1))),""Unclassified / 未分类"")))"),"Empty / 空")</f>
        <v>Empty / 空</v>
      </c>
      <c r="U129" s="58"/>
      <c r="V129" s="58"/>
      <c r="W129" s="58"/>
      <c r="X129" s="58"/>
      <c r="Y129" s="58"/>
      <c r="Z129" s="58"/>
      <c r="AA129" s="58"/>
    </row>
    <row r="130">
      <c r="A130" s="57">
        <f>IF('主表 Stock_Transaction_Log'!$T130="","",IF(COUNTIF('主表 Stock_Transaction_Log'!$T$2:$T130,'主表 Stock_Transaction_Log'!$T130)=1,ROW('主表 Stock_Transaction_Log'!$T130),""))</f>
        <v>130</v>
      </c>
      <c r="B130" s="57" t="str">
        <f t="array" ref="B130">IF($A130="","",INDEX('主表 Stock_Transaction_Log'!$Q:$Q,$A130))</f>
        <v>REPAIR-01</v>
      </c>
      <c r="C130" s="57" t="str">
        <f t="array" ref="C130">IF($A130="","",IF(INDEX('主表 Stock_Transaction_Log'!$F:$F,$A130)=0,"",INDEX('主表 Stock_Transaction_Log'!$F:$F,$A130)))</f>
        <v/>
      </c>
      <c r="D130" s="57" t="str">
        <f t="array" ref="D130">IF($A130="","",INDEX('主表 Stock_Transaction_Log'!$G:$G,$A130))</f>
        <v/>
      </c>
      <c r="E130" s="57" t="str">
        <f t="array" ref="E130">IF($A130="","",INDEX('主表 Stock_Transaction_Log'!$H:$H,$A130))</f>
        <v/>
      </c>
      <c r="F130" s="57" t="str">
        <f t="array" ref="F130">IF($A130="","",INDEX('主表 Stock_Transaction_Log'!$I:$I,$A130))</f>
        <v/>
      </c>
      <c r="G130" s="57" t="str">
        <f t="array" ref="G130">IF($A130="","",IF(INDEX('主表 Stock_Transaction_Log'!$R:$R,$A130)=0,"",INDEX('主表 Stock_Transaction_Log'!$R:$R,$A130)))</f>
        <v>60E5M4805C3F242</v>
      </c>
      <c r="H130" s="57">
        <f t="array" ref="H130">IF($A130="","",SUMIF('主表 Stock_Transaction_Log'!$T:$T,INDEX('主表 Stock_Transaction_Log'!$T:$T,$A130),'主表 Stock_Transaction_Log'!$S:$S)+SUMIF('主表 Stock_Transaction_Log'!$AB:$AB,INDEX('主表 Stock_Transaction_Log'!$T:$T,$A130),'主表 Stock_Transaction_Log'!$AC:$AC))</f>
        <v>1</v>
      </c>
      <c r="I130" s="57" t="str">
        <f t="shared" si="1"/>
        <v>In Stock / 在库</v>
      </c>
      <c r="J130" s="57" t="str">
        <f t="shared" si="2"/>
        <v>SN-level repair stock / 维修SN明细</v>
      </c>
      <c r="K130" s="57" t="b">
        <f t="shared" si="3"/>
        <v>1</v>
      </c>
      <c r="L130" s="57" t="str">
        <f t="array" ref="L130">IF($A130="","",INDEX('主表 Stock_Transaction_Log'!$P:$P,$A130))</f>
        <v>Repair / 待修</v>
      </c>
      <c r="M130" s="57">
        <f>IF($A130="","",IF($H130&lt;=0,0,SUMIFS('主表 Stock_Transaction_Log'!$K$2:$K1000,'主表 Stock_Transaction_Log'!$C$2:$C1000,"Prepared",'主表 Stock_Transaction_Log'!$L$2:$L1000,$B130,'主表 Stock_Transaction_Log'!$F$2:$F1000,$C130,'主表 Stock_Transaction_Log'!$G$2:$G1000,$D130,'主表 Stock_Transaction_Log'!$P$2:$P1000,$L130)))</f>
        <v>0</v>
      </c>
      <c r="N130" s="57" t="s">
        <v>433</v>
      </c>
      <c r="O130" s="57">
        <f t="shared" si="4"/>
        <v>16</v>
      </c>
      <c r="P130" s="57">
        <f t="shared" si="5"/>
        <v>1</v>
      </c>
      <c r="Q130" s="57">
        <f t="shared" si="6"/>
        <v>1</v>
      </c>
      <c r="R130" s="57" t="str">
        <f t="shared" si="7"/>
        <v/>
      </c>
      <c r="S130" s="57" t="str">
        <f t="shared" si="8"/>
        <v>R2-4-4-R
97-223-00107-00
Qty / 数量: 16</v>
      </c>
      <c r="T130" s="57" t="str">
        <f>IFERROR(__xludf.DUMMYFUNCTION("IF($N130="""","""",IF($O130=0,""Empty / 空"",IFERROR(LET(c,UNIQUE(FILTER($L$2:$L$500,$B$2:$B$500=$N130,$H$2:$H$500&gt;0,$L$2:$L$500&lt;&gt;"""")),IF(COUNTA(c)&gt;1,""Mixed / 混放: ""&amp;TEXTJOIN("" + "",TRUE,c),INDEX(c,1))),""Unclassified / 未分类"")))"),"New / 新机")</f>
        <v>New / 新机</v>
      </c>
      <c r="U130" s="58"/>
      <c r="V130" s="58"/>
      <c r="W130" s="58"/>
      <c r="X130" s="58"/>
      <c r="Y130" s="58"/>
      <c r="Z130" s="58"/>
      <c r="AA130" s="58"/>
    </row>
    <row r="131">
      <c r="A131" s="57">
        <f>IF('主表 Stock_Transaction_Log'!$T131="","",IF(COUNTIF('主表 Stock_Transaction_Log'!$T$2:$T131,'主表 Stock_Transaction_Log'!$T131)=1,ROW('主表 Stock_Transaction_Log'!$T131),""))</f>
        <v>131</v>
      </c>
      <c r="B131" s="57" t="str">
        <f t="array" ref="B131">IF($A131="","",INDEX('主表 Stock_Transaction_Log'!$Q:$Q,$A131))</f>
        <v>REPAIR-01</v>
      </c>
      <c r="C131" s="57" t="str">
        <f t="array" ref="C131">IF($A131="","",IF(INDEX('主表 Stock_Transaction_Log'!$F:$F,$A131)=0,"",INDEX('主表 Stock_Transaction_Log'!$F:$F,$A131)))</f>
        <v/>
      </c>
      <c r="D131" s="57" t="str">
        <f t="array" ref="D131">IF($A131="","",INDEX('主表 Stock_Transaction_Log'!$G:$G,$A131))</f>
        <v/>
      </c>
      <c r="E131" s="57" t="str">
        <f t="array" ref="E131">IF($A131="","",INDEX('主表 Stock_Transaction_Log'!$H:$H,$A131))</f>
        <v/>
      </c>
      <c r="F131" s="57" t="str">
        <f t="array" ref="F131">IF($A131="","",INDEX('主表 Stock_Transaction_Log'!$I:$I,$A131))</f>
        <v/>
      </c>
      <c r="G131" s="57" t="str">
        <f t="array" ref="G131">IF($A131="","",IF(INDEX('主表 Stock_Transaction_Log'!$R:$R,$A131)=0,"",INDEX('主表 Stock_Transaction_Log'!$R:$R,$A131)))</f>
        <v>60HD9920617M278</v>
      </c>
      <c r="H131" s="57">
        <f t="array" ref="H131">IF($A131="","",SUMIF('主表 Stock_Transaction_Log'!$T:$T,INDEX('主表 Stock_Transaction_Log'!$T:$T,$A131),'主表 Stock_Transaction_Log'!$S:$S)+SUMIF('主表 Stock_Transaction_Log'!$AB:$AB,INDEX('主表 Stock_Transaction_Log'!$T:$T,$A131),'主表 Stock_Transaction_Log'!$AC:$AC))</f>
        <v>1</v>
      </c>
      <c r="I131" s="57" t="str">
        <f t="shared" si="1"/>
        <v>In Stock / 在库</v>
      </c>
      <c r="J131" s="57" t="str">
        <f t="shared" si="2"/>
        <v>SN-level repair stock / 维修SN明细</v>
      </c>
      <c r="K131" s="57" t="b">
        <f t="shared" si="3"/>
        <v>1</v>
      </c>
      <c r="L131" s="57" t="str">
        <f t="array" ref="L131">IF($A131="","",INDEX('主表 Stock_Transaction_Log'!$P:$P,$A131))</f>
        <v>Repair / 待修</v>
      </c>
      <c r="M131" s="57">
        <f>IF($A131="","",IF($H131&lt;=0,0,SUMIFS('主表 Stock_Transaction_Log'!$K$2:$K1000,'主表 Stock_Transaction_Log'!$C$2:$C1000,"Prepared",'主表 Stock_Transaction_Log'!$L$2:$L1000,$B131,'主表 Stock_Transaction_Log'!$F$2:$F1000,$C131,'主表 Stock_Transaction_Log'!$G$2:$G1000,$D131,'主表 Stock_Transaction_Log'!$P$2:$P1000,$L131)))</f>
        <v>0</v>
      </c>
      <c r="N131" s="57" t="s">
        <v>428</v>
      </c>
      <c r="O131" s="57">
        <f t="shared" si="4"/>
        <v>34</v>
      </c>
      <c r="P131" s="57">
        <f t="shared" si="5"/>
        <v>1</v>
      </c>
      <c r="Q131" s="57">
        <f t="shared" si="6"/>
        <v>1</v>
      </c>
      <c r="R131" s="57" t="str">
        <f t="shared" si="7"/>
        <v/>
      </c>
      <c r="S131" s="57" t="str">
        <f t="shared" si="8"/>
        <v>R2-4-5-L
97-406-00017-00
Qty / 数量: 34</v>
      </c>
      <c r="T131" s="57" t="str">
        <f>IFERROR(__xludf.DUMMYFUNCTION("IF($N131="""","""",IF($O131=0,""Empty / 空"",IFERROR(LET(c,UNIQUE(FILTER($L$2:$L$500,$B$2:$B$500=$N131,$H$2:$H$500&gt;0,$L$2:$L$500&lt;&gt;"""")),IF(COUNTA(c)&gt;1,""Mixed / 混放: ""&amp;TEXTJOIN("" + "",TRUE,c),INDEX(c,1))),""Unclassified / 未分类"")))"),"Material / 物料")</f>
        <v>Material / 物料</v>
      </c>
      <c r="U131" s="58"/>
      <c r="V131" s="58"/>
      <c r="W131" s="58"/>
      <c r="X131" s="58"/>
      <c r="Y131" s="58"/>
      <c r="Z131" s="58"/>
      <c r="AA131" s="58"/>
    </row>
    <row r="132">
      <c r="A132" s="57" t="str">
        <f>IF('主表 Stock_Transaction_Log'!$T132="","",IF(COUNTIF('主表 Stock_Transaction_Log'!$T$2:$T132,'主表 Stock_Transaction_Log'!$T132)=1,ROW('主表 Stock_Transaction_Log'!$T132),""))</f>
        <v/>
      </c>
      <c r="B132" s="57" t="str">
        <f t="array" ref="B132">IF($A132="","",INDEX('主表 Stock_Transaction_Log'!$Q:$Q,$A132))</f>
        <v/>
      </c>
      <c r="C132" s="57" t="str">
        <f t="array" ref="C132">IF($A132="","",IF(INDEX('主表 Stock_Transaction_Log'!$F:$F,$A132)=0,"",INDEX('主表 Stock_Transaction_Log'!$F:$F,$A132)))</f>
        <v/>
      </c>
      <c r="D132" s="57" t="str">
        <f t="array" ref="D132">IF($A132="","",INDEX('主表 Stock_Transaction_Log'!$G:$G,$A132))</f>
        <v/>
      </c>
      <c r="E132" s="57" t="str">
        <f t="array" ref="E132">IF($A132="","",INDEX('主表 Stock_Transaction_Log'!$H:$H,$A132))</f>
        <v/>
      </c>
      <c r="F132" s="57" t="str">
        <f t="array" ref="F132">IF($A132="","",INDEX('主表 Stock_Transaction_Log'!$I:$I,$A132))</f>
        <v/>
      </c>
      <c r="G132" s="57" t="str">
        <f t="array" ref="G132">IF($A132="","",IF(INDEX('主表 Stock_Transaction_Log'!$R:$R,$A132)=0,"",INDEX('主表 Stock_Transaction_Log'!$R:$R,$A132)))</f>
        <v/>
      </c>
      <c r="H132" s="57" t="str">
        <f t="array" ref="H132">IF($A132="","",SUMIF('主表 Stock_Transaction_Log'!$T:$T,INDEX('主表 Stock_Transaction_Log'!$T:$T,$A132),'主表 Stock_Transaction_Log'!$S:$S)+SUMIF('主表 Stock_Transaction_Log'!$AB:$AB,INDEX('主表 Stock_Transaction_Log'!$T:$T,$A132),'主表 Stock_Transaction_Log'!$AC:$AC))</f>
        <v/>
      </c>
      <c r="I132" s="57" t="str">
        <f t="shared" si="1"/>
        <v/>
      </c>
      <c r="J132" s="57" t="str">
        <f t="shared" si="2"/>
        <v/>
      </c>
      <c r="K132" s="57" t="str">
        <f t="shared" si="3"/>
        <v/>
      </c>
      <c r="L132" s="57" t="str">
        <f t="array" ref="L132">IF($A132="","",INDEX('主表 Stock_Transaction_Log'!$P:$P,$A132))</f>
        <v/>
      </c>
      <c r="M132" s="57" t="str">
        <f>IF($A132="","",IF($H132&lt;=0,0,SUMIFS('主表 Stock_Transaction_Log'!$K$2:$K1000,'主表 Stock_Transaction_Log'!$C$2:$C1000,"Prepared",'主表 Stock_Transaction_Log'!$L$2:$L1000,$B132,'主表 Stock_Transaction_Log'!$F$2:$F1000,$C132,'主表 Stock_Transaction_Log'!$G$2:$G1000,$D132,'主表 Stock_Transaction_Log'!$P$2:$P1000,$L132)))</f>
        <v/>
      </c>
      <c r="N132" s="57" t="s">
        <v>1000</v>
      </c>
      <c r="O132" s="57">
        <f t="shared" si="4"/>
        <v>0</v>
      </c>
      <c r="P132" s="57">
        <f t="shared" si="5"/>
        <v>0</v>
      </c>
      <c r="Q132" s="57">
        <f t="shared" si="6"/>
        <v>0</v>
      </c>
      <c r="R132" s="57" t="str">
        <f t="shared" si="7"/>
        <v/>
      </c>
      <c r="S132" s="57" t="str">
        <f t="shared" si="8"/>
        <v>R2-4-5-M
Empty / 空</v>
      </c>
      <c r="T132" s="57" t="str">
        <f>IFERROR(__xludf.DUMMYFUNCTION("IF($N132="""","""",IF($O132=0,""Empty / 空"",IFERROR(LET(c,UNIQUE(FILTER($L$2:$L$500,$B$2:$B$500=$N132,$H$2:$H$500&gt;0,$L$2:$L$500&lt;&gt;"""")),IF(COUNTA(c)&gt;1,""Mixed / 混放: ""&amp;TEXTJOIN("" + "",TRUE,c),INDEX(c,1))),""Unclassified / 未分类"")))"),"Empty / 空")</f>
        <v>Empty / 空</v>
      </c>
      <c r="U132" s="58"/>
      <c r="V132" s="58"/>
      <c r="W132" s="58"/>
      <c r="X132" s="58"/>
      <c r="Y132" s="58"/>
      <c r="Z132" s="58"/>
      <c r="AA132" s="58"/>
    </row>
    <row r="133">
      <c r="A133" s="57" t="str">
        <f>IF('主表 Stock_Transaction_Log'!$T133="","",IF(COUNTIF('主表 Stock_Transaction_Log'!$T$2:$T133,'主表 Stock_Transaction_Log'!$T133)=1,ROW('主表 Stock_Transaction_Log'!$T133),""))</f>
        <v/>
      </c>
      <c r="B133" s="57" t="str">
        <f t="array" ref="B133">IF($A133="","",INDEX('主表 Stock_Transaction_Log'!$Q:$Q,$A133))</f>
        <v/>
      </c>
      <c r="C133" s="57" t="str">
        <f t="array" ref="C133">IF($A133="","",IF(INDEX('主表 Stock_Transaction_Log'!$F:$F,$A133)=0,"",INDEX('主表 Stock_Transaction_Log'!$F:$F,$A133)))</f>
        <v/>
      </c>
      <c r="D133" s="57" t="str">
        <f t="array" ref="D133">IF($A133="","",INDEX('主表 Stock_Transaction_Log'!$G:$G,$A133))</f>
        <v/>
      </c>
      <c r="E133" s="57" t="str">
        <f t="array" ref="E133">IF($A133="","",INDEX('主表 Stock_Transaction_Log'!$H:$H,$A133))</f>
        <v/>
      </c>
      <c r="F133" s="57" t="str">
        <f t="array" ref="F133">IF($A133="","",INDEX('主表 Stock_Transaction_Log'!$I:$I,$A133))</f>
        <v/>
      </c>
      <c r="G133" s="57" t="str">
        <f t="array" ref="G133">IF($A133="","",IF(INDEX('主表 Stock_Transaction_Log'!$R:$R,$A133)=0,"",INDEX('主表 Stock_Transaction_Log'!$R:$R,$A133)))</f>
        <v/>
      </c>
      <c r="H133" s="57" t="str">
        <f t="array" ref="H133">IF($A133="","",SUMIF('主表 Stock_Transaction_Log'!$T:$T,INDEX('主表 Stock_Transaction_Log'!$T:$T,$A133),'主表 Stock_Transaction_Log'!$S:$S)+SUMIF('主表 Stock_Transaction_Log'!$AB:$AB,INDEX('主表 Stock_Transaction_Log'!$T:$T,$A133),'主表 Stock_Transaction_Log'!$AC:$AC))</f>
        <v/>
      </c>
      <c r="I133" s="57" t="str">
        <f t="shared" si="1"/>
        <v/>
      </c>
      <c r="J133" s="57" t="str">
        <f t="shared" si="2"/>
        <v/>
      </c>
      <c r="K133" s="57" t="str">
        <f t="shared" si="3"/>
        <v/>
      </c>
      <c r="L133" s="57" t="str">
        <f t="array" ref="L133">IF($A133="","",INDEX('主表 Stock_Transaction_Log'!$P:$P,$A133))</f>
        <v/>
      </c>
      <c r="M133" s="57" t="str">
        <f>IF($A133="","",IF($H133&lt;=0,0,SUMIFS('主表 Stock_Transaction_Log'!$K$2:$K1000,'主表 Stock_Transaction_Log'!$C$2:$C1000,"Prepared",'主表 Stock_Transaction_Log'!$L$2:$L1000,$B133,'主表 Stock_Transaction_Log'!$F$2:$F1000,$C133,'主表 Stock_Transaction_Log'!$G$2:$G1000,$D133,'主表 Stock_Transaction_Log'!$P$2:$P1000,$L133)))</f>
        <v/>
      </c>
      <c r="N133" s="57" t="s">
        <v>430</v>
      </c>
      <c r="O133" s="57">
        <f t="shared" si="4"/>
        <v>35</v>
      </c>
      <c r="P133" s="57">
        <f t="shared" si="5"/>
        <v>1</v>
      </c>
      <c r="Q133" s="57">
        <f t="shared" si="6"/>
        <v>1</v>
      </c>
      <c r="R133" s="57" t="str">
        <f t="shared" si="7"/>
        <v/>
      </c>
      <c r="S133" s="57" t="str">
        <f t="shared" si="8"/>
        <v>R2-4-5-R
97-406-00017-00
Qty / 数量: 35</v>
      </c>
      <c r="T133" s="57" t="str">
        <f>IFERROR(__xludf.DUMMYFUNCTION("IF($N133="""","""",IF($O133=0,""Empty / 空"",IFERROR(LET(c,UNIQUE(FILTER($L$2:$L$500,$B$2:$B$500=$N133,$H$2:$H$500&gt;0,$L$2:$L$500&lt;&gt;"""")),IF(COUNTA(c)&gt;1,""Mixed / 混放: ""&amp;TEXTJOIN("" + "",TRUE,c),INDEX(c,1))),""Unclassified / 未分类"")))"),"Material / 物料")</f>
        <v>Material / 物料</v>
      </c>
      <c r="U133" s="58"/>
      <c r="V133" s="58"/>
      <c r="W133" s="58"/>
      <c r="X133" s="58"/>
      <c r="Y133" s="58"/>
      <c r="Z133" s="58"/>
      <c r="AA133" s="58"/>
    </row>
    <row r="134">
      <c r="A134" s="57">
        <f>IF('主表 Stock_Transaction_Log'!$T134="","",IF(COUNTIF('主表 Stock_Transaction_Log'!$T$2:$T134,'主表 Stock_Transaction_Log'!$T134)=1,ROW('主表 Stock_Transaction_Log'!$T134),""))</f>
        <v>134</v>
      </c>
      <c r="B134" s="57" t="str">
        <f t="array" ref="B134">IF($A134="","",INDEX('主表 Stock_Transaction_Log'!$Q:$Q,$A134))</f>
        <v>R2-1-5-L</v>
      </c>
      <c r="C134" s="57" t="str">
        <f t="array" ref="C134">IF($A134="","",IF(INDEX('主表 Stock_Transaction_Log'!$F:$F,$A134)=0,"",INDEX('主表 Stock_Transaction_Log'!$F:$F,$A134)))</f>
        <v/>
      </c>
      <c r="D134" s="57" t="str">
        <f t="array" ref="D134">IF($A134="","",INDEX('主表 Stock_Transaction_Log'!$G:$G,$A134))</f>
        <v>97-229-00018-00</v>
      </c>
      <c r="E134" s="57" t="str">
        <f t="array" ref="E134">IF($A134="","",INDEX('主表 Stock_Transaction_Log'!$H:$H,$A134))</f>
        <v>CQ6-S</v>
      </c>
      <c r="F134" s="57" t="str">
        <f t="array" ref="F134">IF($A134="","",INDEX('主表 Stock_Transaction_Log'!$I:$I,$A134))</f>
        <v>Product</v>
      </c>
      <c r="G134" s="57" t="str">
        <f t="array" ref="G134">IF($A134="","",IF(INDEX('主表 Stock_Transaction_Log'!$R:$R,$A134)=0,"",INDEX('主表 Stock_Transaction_Log'!$R:$R,$A134)))</f>
        <v/>
      </c>
      <c r="H134" s="57">
        <f t="array" ref="H134">IF($A134="","",SUMIF('主表 Stock_Transaction_Log'!$T:$T,INDEX('主表 Stock_Transaction_Log'!$T:$T,$A134),'主表 Stock_Transaction_Log'!$S:$S)+SUMIF('主表 Stock_Transaction_Log'!$AB:$AB,INDEX('主表 Stock_Transaction_Log'!$T:$T,$A134),'主表 Stock_Transaction_Log'!$AC:$AC))</f>
        <v>0</v>
      </c>
      <c r="I134" s="57" t="str">
        <f t="shared" si="1"/>
        <v>Out / 已出库</v>
      </c>
      <c r="J134" s="57" t="str">
        <f t="shared" si="2"/>
        <v>Stock line / 库存明细</v>
      </c>
      <c r="K134" s="57" t="b">
        <f t="shared" si="3"/>
        <v>1</v>
      </c>
      <c r="L134" s="57" t="str">
        <f t="array" ref="L134">IF($A134="","",INDEX('主表 Stock_Transaction_Log'!$P:$P,$A134))</f>
        <v>New / 新机</v>
      </c>
      <c r="M134" s="57">
        <f>IF($A134="","",IF($H134&lt;=0,0,SUMIFS('主表 Stock_Transaction_Log'!$K$2:$K1000,'主表 Stock_Transaction_Log'!$C$2:$C1000,"Prepared",'主表 Stock_Transaction_Log'!$L$2:$L1000,$B134,'主表 Stock_Transaction_Log'!$F$2:$F1000,$C134,'主表 Stock_Transaction_Log'!$G$2:$G1000,$D134,'主表 Stock_Transaction_Log'!$P$2:$P1000,$L134)))</f>
        <v>0</v>
      </c>
      <c r="N134" s="57" t="s">
        <v>633</v>
      </c>
      <c r="O134" s="57">
        <f t="shared" si="4"/>
        <v>2</v>
      </c>
      <c r="P134" s="57">
        <f t="shared" si="5"/>
        <v>2</v>
      </c>
      <c r="Q134" s="57">
        <f t="shared" si="6"/>
        <v>2</v>
      </c>
      <c r="R134" s="57" t="str">
        <f t="shared" si="7"/>
        <v/>
      </c>
      <c r="S134" s="57" t="str">
        <f t="shared" si="8"/>
        <v>REPAIR-01
Mixed / 混装: 2 SKUs
Container / 容器: 
Qty / 数量: 2</v>
      </c>
      <c r="T134" s="57" t="str">
        <f>IFERROR(__xludf.DUMMYFUNCTION("IF($N134="""","""",IF($O134=0,""Empty / 空"",IFERROR(LET(c,UNIQUE(FILTER($L$2:$L$500,$B$2:$B$500=$N134,$H$2:$H$500&gt;0,$L$2:$L$500&lt;&gt;"""")),IF(COUNTA(c)&gt;1,""Mixed / 混放: ""&amp;TEXTJOIN("" + "",TRUE,c),INDEX(c,1))),""Unclassified / 未分类"")))"),"Repair / 待修")</f>
        <v>Repair / 待修</v>
      </c>
      <c r="U134" s="58"/>
      <c r="V134" s="58"/>
      <c r="W134" s="58"/>
      <c r="X134" s="58"/>
      <c r="Y134" s="58"/>
      <c r="Z134" s="58"/>
      <c r="AA134" s="58"/>
    </row>
    <row r="135">
      <c r="A135" s="57" t="str">
        <f>IF('主表 Stock_Transaction_Log'!$T135="","",IF(COUNTIF('主表 Stock_Transaction_Log'!$T$2:$T135,'主表 Stock_Transaction_Log'!$T135)=1,ROW('主表 Stock_Transaction_Log'!$T135),""))</f>
        <v/>
      </c>
      <c r="B135" s="57" t="str">
        <f t="array" ref="B135">IF($A135="","",INDEX('主表 Stock_Transaction_Log'!$Q:$Q,$A135))</f>
        <v/>
      </c>
      <c r="C135" s="57" t="str">
        <f t="array" ref="C135">IF($A135="","",IF(INDEX('主表 Stock_Transaction_Log'!$F:$F,$A135)=0,"",INDEX('主表 Stock_Transaction_Log'!$F:$F,$A135)))</f>
        <v/>
      </c>
      <c r="D135" s="57" t="str">
        <f t="array" ref="D135">IF($A135="","",INDEX('主表 Stock_Transaction_Log'!$G:$G,$A135))</f>
        <v/>
      </c>
      <c r="E135" s="57" t="str">
        <f t="array" ref="E135">IF($A135="","",INDEX('主表 Stock_Transaction_Log'!$H:$H,$A135))</f>
        <v/>
      </c>
      <c r="F135" s="57" t="str">
        <f t="array" ref="F135">IF($A135="","",INDEX('主表 Stock_Transaction_Log'!$I:$I,$A135))</f>
        <v/>
      </c>
      <c r="G135" s="57" t="str">
        <f t="array" ref="G135">IF($A135="","",IF(INDEX('主表 Stock_Transaction_Log'!$R:$R,$A135)=0,"",INDEX('主表 Stock_Transaction_Log'!$R:$R,$A135)))</f>
        <v/>
      </c>
      <c r="H135" s="57" t="str">
        <f t="array" ref="H135">IF($A135="","",SUMIF('主表 Stock_Transaction_Log'!$T:$T,INDEX('主表 Stock_Transaction_Log'!$T:$T,$A135),'主表 Stock_Transaction_Log'!$S:$S)+SUMIF('主表 Stock_Transaction_Log'!$AB:$AB,INDEX('主表 Stock_Transaction_Log'!$T:$T,$A135),'主表 Stock_Transaction_Log'!$AC:$AC))</f>
        <v/>
      </c>
      <c r="I135" s="57" t="str">
        <f t="shared" si="1"/>
        <v/>
      </c>
      <c r="J135" s="57" t="str">
        <f t="shared" si="2"/>
        <v/>
      </c>
      <c r="K135" s="57" t="str">
        <f t="shared" si="3"/>
        <v/>
      </c>
      <c r="L135" s="57" t="str">
        <f t="array" ref="L135">IF($A135="","",INDEX('主表 Stock_Transaction_Log'!$P:$P,$A135))</f>
        <v/>
      </c>
      <c r="M135" s="57" t="str">
        <f>IF($A135="","",IF($H135&lt;=0,0,SUMIFS('主表 Stock_Transaction_Log'!$K$2:$K1000,'主表 Stock_Transaction_Log'!$C$2:$C1000,"Prepared",'主表 Stock_Transaction_Log'!$L$2:$L1000,$B135,'主表 Stock_Transaction_Log'!$F$2:$F1000,$C135,'主表 Stock_Transaction_Log'!$G$2:$G1000,$D135,'主表 Stock_Transaction_Log'!$P$2:$P1000,$L135)))</f>
        <v/>
      </c>
      <c r="N135" s="57" t="s">
        <v>1006</v>
      </c>
      <c r="O135" s="57">
        <f t="shared" si="4"/>
        <v>0</v>
      </c>
      <c r="P135" s="57">
        <f t="shared" si="5"/>
        <v>0</v>
      </c>
      <c r="Q135" s="57">
        <f t="shared" si="6"/>
        <v>0</v>
      </c>
      <c r="R135" s="57" t="str">
        <f t="shared" si="7"/>
        <v/>
      </c>
      <c r="S135" s="57" t="str">
        <f t="shared" si="8"/>
        <v>RETURN-01
Empty / 空</v>
      </c>
      <c r="T135" s="57" t="str">
        <f>IFERROR(__xludf.DUMMYFUNCTION("IF($N135="""","""",IF($O135=0,""Empty / 空"",IFERROR(LET(c,UNIQUE(FILTER($L$2:$L$500,$B$2:$B$500=$N135,$H$2:$H$500&gt;0,$L$2:$L$500&lt;&gt;"""")),IF(COUNTA(c)&gt;1,""Mixed / 混放: ""&amp;TEXTJOIN("" + "",TRUE,c),INDEX(c,1))),""Unclassified / 未分类"")))"),"Empty / 空")</f>
        <v>Empty / 空</v>
      </c>
      <c r="U135" s="58"/>
      <c r="V135" s="58"/>
      <c r="W135" s="58"/>
      <c r="X135" s="58"/>
      <c r="Y135" s="58"/>
      <c r="Z135" s="58"/>
      <c r="AA135" s="58"/>
    </row>
    <row r="136">
      <c r="A136" s="57">
        <f>IF('主表 Stock_Transaction_Log'!$T136="","",IF(COUNTIF('主表 Stock_Transaction_Log'!$T$2:$T136,'主表 Stock_Transaction_Log'!$T136)=1,ROW('主表 Stock_Transaction_Log'!$T136),""))</f>
        <v>136</v>
      </c>
      <c r="B136" s="57" t="str">
        <f t="array" ref="B136">IF($A136="","",INDEX('主表 Stock_Transaction_Log'!$Q:$Q,$A136))</f>
        <v>FLEX-01</v>
      </c>
      <c r="C136" s="57" t="str">
        <f t="array" ref="C136">IF($A136="","",IF(INDEX('主表 Stock_Transaction_Log'!$F:$F,$A136)=0,"",INDEX('主表 Stock_Transaction_Log'!$F:$F,$A136)))</f>
        <v/>
      </c>
      <c r="D136" s="57" t="str">
        <f t="array" ref="D136">IF($A136="","",INDEX('主表 Stock_Transaction_Log'!$G:$G,$A136))</f>
        <v>10-120-00471-00</v>
      </c>
      <c r="E136" s="57" t="str">
        <f t="array" ref="E136">IF($A136="","",INDEX('主表 Stock_Transaction_Log'!$H:$H,$A136))</f>
        <v>保温棉 橡胶泡棉 -90° -180° V-0 黑色 1主8从 上保温棉+下保温棉+四周保温棉(4+5) 带纸箱</v>
      </c>
      <c r="F136" s="57" t="str">
        <f t="array" ref="F136">IF($A136="","",INDEX('主表 Stock_Transaction_Log'!$I:$I,$A136))</f>
        <v>Material</v>
      </c>
      <c r="G136" s="57" t="str">
        <f t="array" ref="G136">IF($A136="","",IF(INDEX('主表 Stock_Transaction_Log'!$R:$R,$A136)=0,"",INDEX('主表 Stock_Transaction_Log'!$R:$R,$A136)))</f>
        <v/>
      </c>
      <c r="H136" s="57">
        <f t="array" ref="H136">IF($A136="","",SUMIF('主表 Stock_Transaction_Log'!$T:$T,INDEX('主表 Stock_Transaction_Log'!$T:$T,$A136),'主表 Stock_Transaction_Log'!$S:$S)+SUMIF('主表 Stock_Transaction_Log'!$AB:$AB,INDEX('主表 Stock_Transaction_Log'!$T:$T,$A136),'主表 Stock_Transaction_Log'!$AC:$AC))</f>
        <v>0</v>
      </c>
      <c r="I136" s="57" t="str">
        <f t="shared" si="1"/>
        <v>Out / 已出库</v>
      </c>
      <c r="J136" s="57" t="str">
        <f t="shared" si="2"/>
        <v>Stock line / 库存明细</v>
      </c>
      <c r="K136" s="57" t="b">
        <f t="shared" si="3"/>
        <v>1</v>
      </c>
      <c r="L136" s="57" t="str">
        <f t="array" ref="L136">IF($A136="","",INDEX('主表 Stock_Transaction_Log'!$P:$P,$A136))</f>
        <v>Material / 物料</v>
      </c>
      <c r="M136" s="57">
        <f>IF($A136="","",IF($H136&lt;=0,0,SUMIFS('主表 Stock_Transaction_Log'!$K$2:$K1000,'主表 Stock_Transaction_Log'!$C$2:$C1000,"Prepared",'主表 Stock_Transaction_Log'!$L$2:$L1000,$B136,'主表 Stock_Transaction_Log'!$F$2:$F1000,$C136,'主表 Stock_Transaction_Log'!$G$2:$G1000,$D136,'主表 Stock_Transaction_Log'!$P$2:$P1000,$L136)))</f>
        <v>0</v>
      </c>
      <c r="N136" s="57" t="s">
        <v>1009</v>
      </c>
      <c r="O136" s="57">
        <f t="shared" si="4"/>
        <v>0</v>
      </c>
      <c r="P136" s="57">
        <f t="shared" si="5"/>
        <v>0</v>
      </c>
      <c r="Q136" s="57">
        <f t="shared" si="6"/>
        <v>0</v>
      </c>
      <c r="R136" s="57" t="str">
        <f t="shared" si="7"/>
        <v/>
      </c>
      <c r="S136" s="57" t="str">
        <f t="shared" si="8"/>
        <v>DISPATCH-01
Empty / 空</v>
      </c>
      <c r="T136" s="57" t="str">
        <f>IFERROR(__xludf.DUMMYFUNCTION("IF($N136="""","""",IF($O136=0,""Empty / 空"",IFERROR(LET(c,UNIQUE(FILTER($L$2:$L$500,$B$2:$B$500=$N136,$H$2:$H$500&gt;0,$L$2:$L$500&lt;&gt;"""")),IF(COUNTA(c)&gt;1,""Mixed / 混放: ""&amp;TEXTJOIN("" + "",TRUE,c),INDEX(c,1))),""Unclassified / 未分类"")))"),"Empty / 空")</f>
        <v>Empty / 空</v>
      </c>
      <c r="U136" s="58"/>
      <c r="V136" s="58"/>
      <c r="W136" s="58"/>
      <c r="X136" s="58"/>
      <c r="Y136" s="58"/>
      <c r="Z136" s="58"/>
      <c r="AA136" s="58"/>
    </row>
    <row r="137">
      <c r="A137" s="57">
        <f>IF('主表 Stock_Transaction_Log'!$T137="","",IF(COUNTIF('主表 Stock_Transaction_Log'!$T$2:$T137,'主表 Stock_Transaction_Log'!$T137)=1,ROW('主表 Stock_Transaction_Log'!$T137),""))</f>
        <v>137</v>
      </c>
      <c r="B137" s="57" t="str">
        <f t="array" ref="B137">IF($A137="","",INDEX('主表 Stock_Transaction_Log'!$Q:$Q,$A137))</f>
        <v>FLEX-01</v>
      </c>
      <c r="C137" s="57" t="str">
        <f t="array" ref="C137">IF($A137="","",IF(INDEX('主表 Stock_Transaction_Log'!$F:$F,$A137)=0,"",INDEX('主表 Stock_Transaction_Log'!$F:$F,$A137)))</f>
        <v/>
      </c>
      <c r="D137" s="57" t="str">
        <f t="array" ref="D137">IF($A137="","",INDEX('主表 Stock_Transaction_Log'!$G:$G,$A137))</f>
        <v>10-105-00346-00</v>
      </c>
      <c r="E137" s="57" t="str">
        <f t="array" ref="E137">IF($A137="","",INDEX('主表 Stock_Transaction_Log'!$H:$H,$A137))</f>
        <v>SKU not found</v>
      </c>
      <c r="F137" s="57" t="str">
        <f t="array" ref="F137">IF($A137="","",INDEX('主表 Stock_Transaction_Log'!$I:$I,$A137))</f>
        <v>Item type not found</v>
      </c>
      <c r="G137" s="57" t="str">
        <f t="array" ref="G137">IF($A137="","",IF(INDEX('主表 Stock_Transaction_Log'!$R:$R,$A137)=0,"",INDEX('主表 Stock_Transaction_Log'!$R:$R,$A137)))</f>
        <v/>
      </c>
      <c r="H137" s="57">
        <f t="array" ref="H137">IF($A137="","",SUMIF('主表 Stock_Transaction_Log'!$T:$T,INDEX('主表 Stock_Transaction_Log'!$T:$T,$A137),'主表 Stock_Transaction_Log'!$S:$S)+SUMIF('主表 Stock_Transaction_Log'!$AB:$AB,INDEX('主表 Stock_Transaction_Log'!$T:$T,$A137),'主表 Stock_Transaction_Log'!$AC:$AC))</f>
        <v>0</v>
      </c>
      <c r="I137" s="57" t="str">
        <f t="shared" si="1"/>
        <v>Out / 已出库</v>
      </c>
      <c r="J137" s="57" t="str">
        <f t="shared" si="2"/>
        <v>Stock line / 库存明细</v>
      </c>
      <c r="K137" s="57" t="b">
        <f t="shared" si="3"/>
        <v>1</v>
      </c>
      <c r="L137" s="57" t="str">
        <f t="array" ref="L137">IF($A137="","",INDEX('主表 Stock_Transaction_Log'!$P:$P,$A137))</f>
        <v>Material / 物料</v>
      </c>
      <c r="M137" s="57">
        <f>IF($A137="","",IF($H137&lt;=0,0,SUMIFS('主表 Stock_Transaction_Log'!$K$2:$K1000,'主表 Stock_Transaction_Log'!$C$2:$C1000,"Prepared",'主表 Stock_Transaction_Log'!$L$2:$L1000,$B137,'主表 Stock_Transaction_Log'!$F$2:$F1000,$C137,'主表 Stock_Transaction_Log'!$G$2:$G1000,$D137,'主表 Stock_Transaction_Log'!$P$2:$P1000,$L137)))</f>
        <v>0</v>
      </c>
      <c r="N137" s="57" t="s">
        <v>559</v>
      </c>
      <c r="O137" s="57">
        <f t="shared" si="4"/>
        <v>243</v>
      </c>
      <c r="P137" s="57">
        <f t="shared" si="5"/>
        <v>30</v>
      </c>
      <c r="Q137" s="57">
        <f t="shared" si="6"/>
        <v>30</v>
      </c>
      <c r="R137" s="57" t="str">
        <f t="shared" si="7"/>
        <v>mix08</v>
      </c>
      <c r="S137" s="57" t="str">
        <f t="shared" si="8"/>
        <v>FLEX-01
Mixed / 混装: 30 SKUs
Container / 容器: mix08
Qty / 数量: 243</v>
      </c>
      <c r="T137" s="57" t="str">
        <f>IFERROR(__xludf.DUMMYFUNCTION("IF($N137="""","""",IF($O137=0,""Empty / 空"",IFERROR(LET(c,UNIQUE(FILTER($L$2:$L$500,$B$2:$B$500=$N137,$H$2:$H$500&gt;0,$L$2:$L$500&lt;&gt;"""")),IF(COUNTA(c)&gt;1,""Mixed / 混放: ""&amp;TEXTJOIN("" + "",TRUE,c),INDEX(c,1))),""Unclassified / 未分类"")))"),"Mixed / 混放: New / 新机 + Repair_Good / 维修良品 + Material / 物料")</f>
        <v>Mixed / 混放: New / 新机 + Repair_Good / 维修良品 + Material / 物料</v>
      </c>
      <c r="U137" s="58"/>
      <c r="V137" s="58"/>
      <c r="W137" s="58"/>
      <c r="X137" s="58"/>
      <c r="Y137" s="58"/>
      <c r="Z137" s="58"/>
      <c r="AA137" s="58"/>
    </row>
    <row r="138">
      <c r="A138" s="57">
        <f>IF('主表 Stock_Transaction_Log'!$T138="","",IF(COUNTIF('主表 Stock_Transaction_Log'!$T$2:$T138,'主表 Stock_Transaction_Log'!$T138)=1,ROW('主表 Stock_Transaction_Log'!$T138),""))</f>
        <v>138</v>
      </c>
      <c r="B138" s="57" t="str">
        <f t="array" ref="B138">IF($A138="","",INDEX('主表 Stock_Transaction_Log'!$Q:$Q,$A138))</f>
        <v>FLEX-01</v>
      </c>
      <c r="C138" s="57" t="str">
        <f t="array" ref="C138">IF($A138="","",IF(INDEX('主表 Stock_Transaction_Log'!$F:$F,$A138)=0,"",INDEX('主表 Stock_Transaction_Log'!$F:$F,$A138)))</f>
        <v/>
      </c>
      <c r="D138" s="57" t="str">
        <f t="array" ref="D138">IF($A138="","",INDEX('主表 Stock_Transaction_Log'!$G:$G,$A138))</f>
        <v>97-406-00017-00</v>
      </c>
      <c r="E138" s="57" t="str">
        <f t="array" ref="E138">IF($A138="","",INDEX('主表 Stock_Transaction_Log'!$H:$H,$A138))</f>
        <v>KH遮线罩</v>
      </c>
      <c r="F138" s="57" t="str">
        <f t="array" ref="F138">IF($A138="","",INDEX('主表 Stock_Transaction_Log'!$I:$I,$A138))</f>
        <v>Material</v>
      </c>
      <c r="G138" s="57" t="str">
        <f t="array" ref="G138">IF($A138="","",IF(INDEX('主表 Stock_Transaction_Log'!$R:$R,$A138)=0,"",INDEX('主表 Stock_Transaction_Log'!$R:$R,$A138)))</f>
        <v/>
      </c>
      <c r="H138" s="57">
        <f t="array" ref="H138">IF($A138="","",SUMIF('主表 Stock_Transaction_Log'!$T:$T,INDEX('主表 Stock_Transaction_Log'!$T:$T,$A138),'主表 Stock_Transaction_Log'!$S:$S)+SUMIF('主表 Stock_Transaction_Log'!$AB:$AB,INDEX('主表 Stock_Transaction_Log'!$T:$T,$A138),'主表 Stock_Transaction_Log'!$AC:$AC))</f>
        <v>67</v>
      </c>
      <c r="I138" s="57" t="str">
        <f t="shared" si="1"/>
        <v>In Stock / 在库</v>
      </c>
      <c r="J138" s="57" t="str">
        <f t="shared" si="2"/>
        <v>Stock line / 库存明细</v>
      </c>
      <c r="K138" s="57" t="b">
        <f t="shared" si="3"/>
        <v>1</v>
      </c>
      <c r="L138" s="57" t="str">
        <f t="array" ref="L138">IF($A138="","",INDEX('主表 Stock_Transaction_Log'!$P:$P,$A138))</f>
        <v>Material / 物料</v>
      </c>
      <c r="M138" s="57">
        <f>IF($A138="","",IF($H138&lt;=0,0,SUMIFS('主表 Stock_Transaction_Log'!$K$2:$K1000,'主表 Stock_Transaction_Log'!$C$2:$C1000,"Prepared",'主表 Stock_Transaction_Log'!$L$2:$L1000,$B138,'主表 Stock_Transaction_Log'!$F$2:$F1000,$C138,'主表 Stock_Transaction_Log'!$G$2:$G1000,$D138,'主表 Stock_Transaction_Log'!$P$2:$P1000,$L138)))</f>
        <v>0</v>
      </c>
      <c r="N138" s="57"/>
      <c r="O138" s="57" t="str">
        <f t="shared" si="4"/>
        <v/>
      </c>
      <c r="P138" s="57" t="str">
        <f t="shared" si="5"/>
        <v/>
      </c>
      <c r="Q138" s="57" t="str">
        <f t="shared" ref="Q138:Q500" si="9">IF(N138="","",COUNTIFS($B:$B,N138,$I:$I,"In Stock / 在库"))</f>
        <v/>
      </c>
      <c r="R138" s="57" t="str">
        <f t="shared" si="7"/>
        <v/>
      </c>
      <c r="S138" s="57" t="str">
        <f t="shared" si="8"/>
        <v/>
      </c>
      <c r="T138" s="57" t="str">
        <f>IFERROR(__xludf.DUMMYFUNCTION("IF($N138="""","""",IF($O138=0,""Empty / 空"",IFERROR(LET(c,UNIQUE(FILTER($L$2:$L$500,$B$2:$B$500=$N138,$H$2:$H$500&gt;0,$L$2:$L$500&lt;&gt;"""")),IF(COUNTA(c)&gt;1,""Mixed / 混放: ""&amp;TEXTJOIN("" + "",TRUE,c),INDEX(c,1))),""Unclassified / 未分类"")))"),"")</f>
        <v/>
      </c>
      <c r="U138" s="58"/>
      <c r="V138" s="58"/>
      <c r="W138" s="58"/>
      <c r="X138" s="58"/>
      <c r="Y138" s="58"/>
      <c r="Z138" s="58"/>
      <c r="AA138" s="58"/>
    </row>
    <row r="139">
      <c r="A139" s="57" t="str">
        <f>IF('主表 Stock_Transaction_Log'!$T139="","",IF(COUNTIF('主表 Stock_Transaction_Log'!$T$2:$T139,'主表 Stock_Transaction_Log'!$T139)=1,ROW('主表 Stock_Transaction_Log'!$T139),""))</f>
        <v/>
      </c>
      <c r="B139" s="57" t="str">
        <f t="array" ref="B139">IF($A139="","",INDEX('主表 Stock_Transaction_Log'!$Q:$Q,$A139))</f>
        <v/>
      </c>
      <c r="C139" s="57" t="str">
        <f t="array" ref="C139">IF($A139="","",IF(INDEX('主表 Stock_Transaction_Log'!$F:$F,$A139)=0,"",INDEX('主表 Stock_Transaction_Log'!$F:$F,$A139)))</f>
        <v/>
      </c>
      <c r="D139" s="57" t="str">
        <f t="array" ref="D139">IF($A139="","",INDEX('主表 Stock_Transaction_Log'!$G:$G,$A139))</f>
        <v/>
      </c>
      <c r="E139" s="57" t="str">
        <f t="array" ref="E139">IF($A139="","",INDEX('主表 Stock_Transaction_Log'!$H:$H,$A139))</f>
        <v/>
      </c>
      <c r="F139" s="57" t="str">
        <f t="array" ref="F139">IF($A139="","",INDEX('主表 Stock_Transaction_Log'!$I:$I,$A139))</f>
        <v/>
      </c>
      <c r="G139" s="57" t="str">
        <f t="array" ref="G139">IF($A139="","",IF(INDEX('主表 Stock_Transaction_Log'!$R:$R,$A139)=0,"",INDEX('主表 Stock_Transaction_Log'!$R:$R,$A139)))</f>
        <v/>
      </c>
      <c r="H139" s="57" t="str">
        <f t="array" ref="H139">IF($A139="","",SUMIF('主表 Stock_Transaction_Log'!$T:$T,INDEX('主表 Stock_Transaction_Log'!$T:$T,$A139),'主表 Stock_Transaction_Log'!$S:$S)+SUMIF('主表 Stock_Transaction_Log'!$AB:$AB,INDEX('主表 Stock_Transaction_Log'!$T:$T,$A139),'主表 Stock_Transaction_Log'!$AC:$AC))</f>
        <v/>
      </c>
      <c r="I139" s="57" t="str">
        <f t="shared" si="1"/>
        <v/>
      </c>
      <c r="J139" s="57" t="str">
        <f t="shared" si="2"/>
        <v/>
      </c>
      <c r="K139" s="57" t="str">
        <f t="shared" si="3"/>
        <v/>
      </c>
      <c r="L139" s="57" t="str">
        <f t="array" ref="L139">IF($A139="","",INDEX('主表 Stock_Transaction_Log'!$P:$P,$A139))</f>
        <v/>
      </c>
      <c r="M139" s="57" t="str">
        <f>IF($A139="","",IF($H139&lt;=0,0,SUMIFS('主表 Stock_Transaction_Log'!$K$2:$K1000,'主表 Stock_Transaction_Log'!$C$2:$C1000,"Prepared",'主表 Stock_Transaction_Log'!$L$2:$L1000,$B139,'主表 Stock_Transaction_Log'!$F$2:$F1000,$C139,'主表 Stock_Transaction_Log'!$G$2:$G1000,$D139,'主表 Stock_Transaction_Log'!$P$2:$P1000,$L139)))</f>
        <v/>
      </c>
      <c r="N139" s="57"/>
      <c r="O139" s="57" t="str">
        <f t="shared" si="4"/>
        <v/>
      </c>
      <c r="P139" s="57" t="str">
        <f t="shared" si="5"/>
        <v/>
      </c>
      <c r="Q139" s="57" t="str">
        <f t="shared" si="9"/>
        <v/>
      </c>
      <c r="R139" s="57" t="str">
        <f t="shared" si="7"/>
        <v/>
      </c>
      <c r="S139" s="57" t="str">
        <f t="shared" si="8"/>
        <v/>
      </c>
      <c r="T139" s="57" t="str">
        <f>IFERROR(__xludf.DUMMYFUNCTION("IF($N139="""","""",IF($O139=0,""Empty / 空"",IFERROR(LET(c,UNIQUE(FILTER($L$2:$L$500,$B$2:$B$500=$N139,$H$2:$H$500&gt;0,$L$2:$L$500&lt;&gt;"""")),IF(COUNTA(c)&gt;1,""Mixed / 混放: ""&amp;TEXTJOIN("" + "",TRUE,c),INDEX(c,1))),""Unclassified / 未分类"")))"),"")</f>
        <v/>
      </c>
      <c r="U139" s="58"/>
      <c r="V139" s="58"/>
      <c r="W139" s="58"/>
      <c r="X139" s="58"/>
      <c r="Y139" s="58"/>
      <c r="Z139" s="58"/>
      <c r="AA139" s="58"/>
    </row>
    <row r="140">
      <c r="A140" s="57" t="str">
        <f>IF('主表 Stock_Transaction_Log'!$T140="","",IF(COUNTIF('主表 Stock_Transaction_Log'!$T$2:$T140,'主表 Stock_Transaction_Log'!$T140)=1,ROW('主表 Stock_Transaction_Log'!$T140),""))</f>
        <v/>
      </c>
      <c r="B140" s="57" t="str">
        <f t="array" ref="B140">IF($A140="","",INDEX('主表 Stock_Transaction_Log'!$Q:$Q,$A140))</f>
        <v/>
      </c>
      <c r="C140" s="57" t="str">
        <f t="array" ref="C140">IF($A140="","",IF(INDEX('主表 Stock_Transaction_Log'!$F:$F,$A140)=0,"",INDEX('主表 Stock_Transaction_Log'!$F:$F,$A140)))</f>
        <v/>
      </c>
      <c r="D140" s="57" t="str">
        <f t="array" ref="D140">IF($A140="","",INDEX('主表 Stock_Transaction_Log'!$G:$G,$A140))</f>
        <v/>
      </c>
      <c r="E140" s="57" t="str">
        <f t="array" ref="E140">IF($A140="","",INDEX('主表 Stock_Transaction_Log'!$H:$H,$A140))</f>
        <v/>
      </c>
      <c r="F140" s="57" t="str">
        <f t="array" ref="F140">IF($A140="","",INDEX('主表 Stock_Transaction_Log'!$I:$I,$A140))</f>
        <v/>
      </c>
      <c r="G140" s="57" t="str">
        <f t="array" ref="G140">IF($A140="","",IF(INDEX('主表 Stock_Transaction_Log'!$R:$R,$A140)=0,"",INDEX('主表 Stock_Transaction_Log'!$R:$R,$A140)))</f>
        <v/>
      </c>
      <c r="H140" s="57" t="str">
        <f t="array" ref="H140">IF($A140="","",SUMIF('主表 Stock_Transaction_Log'!$T:$T,INDEX('主表 Stock_Transaction_Log'!$T:$T,$A140),'主表 Stock_Transaction_Log'!$S:$S)+SUMIF('主表 Stock_Transaction_Log'!$AB:$AB,INDEX('主表 Stock_Transaction_Log'!$T:$T,$A140),'主表 Stock_Transaction_Log'!$AC:$AC))</f>
        <v/>
      </c>
      <c r="I140" s="57" t="str">
        <f t="shared" si="1"/>
        <v/>
      </c>
      <c r="J140" s="57" t="str">
        <f t="shared" si="2"/>
        <v/>
      </c>
      <c r="K140" s="57" t="str">
        <f t="shared" si="3"/>
        <v/>
      </c>
      <c r="L140" s="57" t="str">
        <f t="array" ref="L140">IF($A140="","",INDEX('主表 Stock_Transaction_Log'!$P:$P,$A140))</f>
        <v/>
      </c>
      <c r="M140" s="57" t="str">
        <f>IF($A140="","",IF($H140&lt;=0,0,SUMIFS('主表 Stock_Transaction_Log'!$K$2:$K1000,'主表 Stock_Transaction_Log'!$C$2:$C1000,"Prepared",'主表 Stock_Transaction_Log'!$L$2:$L1000,$B140,'主表 Stock_Transaction_Log'!$F$2:$F1000,$C140,'主表 Stock_Transaction_Log'!$G$2:$G1000,$D140,'主表 Stock_Transaction_Log'!$P$2:$P1000,$L140)))</f>
        <v/>
      </c>
      <c r="N140" s="57"/>
      <c r="O140" s="57" t="str">
        <f t="shared" si="4"/>
        <v/>
      </c>
      <c r="P140" s="57" t="str">
        <f t="shared" si="5"/>
        <v/>
      </c>
      <c r="Q140" s="57" t="str">
        <f t="shared" si="9"/>
        <v/>
      </c>
      <c r="R140" s="57" t="str">
        <f t="shared" si="7"/>
        <v/>
      </c>
      <c r="S140" s="57" t="str">
        <f t="shared" si="8"/>
        <v/>
      </c>
      <c r="T140" s="57" t="str">
        <f>IFERROR(__xludf.DUMMYFUNCTION("IF($N140="""","""",IF($O140=0,""Empty / 空"",IFERROR(LET(c,UNIQUE(FILTER($L$2:$L$500,$B$2:$B$500=$N140,$H$2:$H$500&gt;0,$L$2:$L$500&lt;&gt;"""")),IF(COUNTA(c)&gt;1,""Mixed / 混放: ""&amp;TEXTJOIN("" + "",TRUE,c),INDEX(c,1))),""Unclassified / 未分类"")))"),"")</f>
        <v/>
      </c>
      <c r="U140" s="58"/>
      <c r="V140" s="58"/>
      <c r="W140" s="58"/>
      <c r="X140" s="58"/>
      <c r="Y140" s="58"/>
      <c r="Z140" s="58"/>
      <c r="AA140" s="58"/>
    </row>
    <row r="141">
      <c r="A141" s="57">
        <f>IF('主表 Stock_Transaction_Log'!$T141="","",IF(COUNTIF('主表 Stock_Transaction_Log'!$T$2:$T141,'主表 Stock_Transaction_Log'!$T141)=1,ROW('主表 Stock_Transaction_Log'!$T141),""))</f>
        <v>141</v>
      </c>
      <c r="B141" s="57" t="str">
        <f t="array" ref="B141">IF($A141="","",INDEX('主表 Stock_Transaction_Log'!$Q:$Q,$A141))</f>
        <v>FLEX-01</v>
      </c>
      <c r="C141" s="57" t="str">
        <f t="array" ref="C141">IF($A141="","",IF(INDEX('主表 Stock_Transaction_Log'!$F:$F,$A141)=0,"",INDEX('主表 Stock_Transaction_Log'!$F:$F,$A141)))</f>
        <v/>
      </c>
      <c r="D141" s="57" t="str">
        <f t="array" ref="D141">IF($A141="","",INDEX('主表 Stock_Transaction_Log'!$G:$G,$A141))</f>
        <v>97-223-00064-00</v>
      </c>
      <c r="E141" s="57" t="str">
        <f t="array" ref="E141">IF($A141="","",INDEX('主表 Stock_Transaction_Log'!$H:$H,$A141))</f>
        <v>EQ4800-M</v>
      </c>
      <c r="F141" s="57" t="str">
        <f t="array" ref="F141">IF($A141="","",INDEX('主表 Stock_Transaction_Log'!$I:$I,$A141))</f>
        <v>Product</v>
      </c>
      <c r="G141" s="57" t="str">
        <f t="array" ref="G141">IF($A141="","",IF(INDEX('主表 Stock_Transaction_Log'!$R:$R,$A141)=0,"",INDEX('主表 Stock_Transaction_Log'!$R:$R,$A141)))</f>
        <v/>
      </c>
      <c r="H141" s="57">
        <f t="array" ref="H141">IF($A141="","",SUMIF('主表 Stock_Transaction_Log'!$T:$T,INDEX('主表 Stock_Transaction_Log'!$T:$T,$A141),'主表 Stock_Transaction_Log'!$S:$S)+SUMIF('主表 Stock_Transaction_Log'!$AB:$AB,INDEX('主表 Stock_Transaction_Log'!$T:$T,$A141),'主表 Stock_Transaction_Log'!$AC:$AC))</f>
        <v>3</v>
      </c>
      <c r="I141" s="57" t="str">
        <f t="shared" si="1"/>
        <v>In Stock / 在库</v>
      </c>
      <c r="J141" s="57" t="str">
        <f t="shared" si="2"/>
        <v>Stock line / 库存明细</v>
      </c>
      <c r="K141" s="57" t="b">
        <f t="shared" si="3"/>
        <v>1</v>
      </c>
      <c r="L141" s="57" t="str">
        <f t="array" ref="L141">IF($A141="","",INDEX('主表 Stock_Transaction_Log'!$P:$P,$A141))</f>
        <v>Repair_Good / 维修良品</v>
      </c>
      <c r="M141" s="57">
        <f>IF($A141="","",IF($H141&lt;=0,0,SUMIFS('主表 Stock_Transaction_Log'!$K$2:$K1000,'主表 Stock_Transaction_Log'!$C$2:$C1000,"Prepared",'主表 Stock_Transaction_Log'!$L$2:$L1000,$B141,'主表 Stock_Transaction_Log'!$F$2:$F1000,$C141,'主表 Stock_Transaction_Log'!$G$2:$G1000,$D141,'主表 Stock_Transaction_Log'!$P$2:$P1000,$L141)))</f>
        <v>0</v>
      </c>
      <c r="N141" s="57"/>
      <c r="O141" s="57" t="str">
        <f t="shared" si="4"/>
        <v/>
      </c>
      <c r="P141" s="57" t="str">
        <f t="shared" si="5"/>
        <v/>
      </c>
      <c r="Q141" s="57" t="str">
        <f t="shared" si="9"/>
        <v/>
      </c>
      <c r="R141" s="57" t="str">
        <f t="shared" si="7"/>
        <v/>
      </c>
      <c r="S141" s="57" t="str">
        <f t="shared" si="8"/>
        <v/>
      </c>
      <c r="T141" s="58"/>
      <c r="U141" s="58"/>
      <c r="V141" s="58"/>
      <c r="W141" s="58"/>
      <c r="X141" s="58"/>
      <c r="Y141" s="58"/>
      <c r="Z141" s="58"/>
      <c r="AA141" s="58"/>
    </row>
    <row r="142">
      <c r="A142" s="57">
        <f>IF('主表 Stock_Transaction_Log'!$T142="","",IF(COUNTIF('主表 Stock_Transaction_Log'!$T$2:$T142,'主表 Stock_Transaction_Log'!$T142)=1,ROW('主表 Stock_Transaction_Log'!$T142),""))</f>
        <v>142</v>
      </c>
      <c r="B142" s="57" t="str">
        <f t="array" ref="B142">IF($A142="","",INDEX('主表 Stock_Transaction_Log'!$Q:$Q,$A142))</f>
        <v>FLEX-01</v>
      </c>
      <c r="C142" s="57" t="str">
        <f t="array" ref="C142">IF($A142="","",IF(INDEX('主表 Stock_Transaction_Log'!$F:$F,$A142)=0,"",INDEX('主表 Stock_Transaction_Log'!$F:$F,$A142)))</f>
        <v/>
      </c>
      <c r="D142" s="57" t="str">
        <f t="array" ref="D142">IF($A142="","",INDEX('主表 Stock_Transaction_Log'!$G:$G,$A142))</f>
        <v>97-223-00091-00</v>
      </c>
      <c r="E142" s="57" t="str">
        <f t="array" ref="E142">IF($A142="","",INDEX('主表 Stock_Transaction_Log'!$H:$H,$A142))</f>
        <v>EQ4800-M</v>
      </c>
      <c r="F142" s="57" t="str">
        <f t="array" ref="F142">IF($A142="","",INDEX('主表 Stock_Transaction_Log'!$I:$I,$A142))</f>
        <v>Product</v>
      </c>
      <c r="G142" s="57" t="str">
        <f t="array" ref="G142">IF($A142="","",IF(INDEX('主表 Stock_Transaction_Log'!$R:$R,$A142)=0,"",INDEX('主表 Stock_Transaction_Log'!$R:$R,$A142)))</f>
        <v/>
      </c>
      <c r="H142" s="57">
        <f t="array" ref="H142">IF($A142="","",SUMIF('主表 Stock_Transaction_Log'!$T:$T,INDEX('主表 Stock_Transaction_Log'!$T:$T,$A142),'主表 Stock_Transaction_Log'!$S:$S)+SUMIF('主表 Stock_Transaction_Log'!$AB:$AB,INDEX('主表 Stock_Transaction_Log'!$T:$T,$A142),'主表 Stock_Transaction_Log'!$AC:$AC))</f>
        <v>1</v>
      </c>
      <c r="I142" s="57" t="str">
        <f t="shared" si="1"/>
        <v>In Stock / 在库</v>
      </c>
      <c r="J142" s="57" t="str">
        <f t="shared" si="2"/>
        <v>Stock line / 库存明细</v>
      </c>
      <c r="K142" s="57" t="b">
        <f t="shared" si="3"/>
        <v>1</v>
      </c>
      <c r="L142" s="57" t="str">
        <f t="array" ref="L142">IF($A142="","",INDEX('主表 Stock_Transaction_Log'!$P:$P,$A142))</f>
        <v>Repair_Good / 维修良品</v>
      </c>
      <c r="M142" s="57">
        <f>IF($A142="","",IF($H142&lt;=0,0,SUMIFS('主表 Stock_Transaction_Log'!$K$2:$K1000,'主表 Stock_Transaction_Log'!$C$2:$C1000,"Prepared",'主表 Stock_Transaction_Log'!$L$2:$L1000,$B142,'主表 Stock_Transaction_Log'!$F$2:$F1000,$C142,'主表 Stock_Transaction_Log'!$G$2:$G1000,$D142,'主表 Stock_Transaction_Log'!$P$2:$P1000,$L142)))</f>
        <v>0</v>
      </c>
      <c r="N142" s="57"/>
      <c r="O142" s="57" t="str">
        <f t="shared" si="4"/>
        <v/>
      </c>
      <c r="P142" s="57" t="str">
        <f t="shared" si="5"/>
        <v/>
      </c>
      <c r="Q142" s="57" t="str">
        <f t="shared" si="9"/>
        <v/>
      </c>
      <c r="R142" s="57" t="str">
        <f t="shared" si="7"/>
        <v/>
      </c>
      <c r="S142" s="57" t="str">
        <f t="shared" si="8"/>
        <v/>
      </c>
      <c r="T142" s="58"/>
      <c r="U142" s="58"/>
      <c r="V142" s="58"/>
      <c r="W142" s="58"/>
      <c r="X142" s="58"/>
      <c r="Y142" s="58"/>
      <c r="Z142" s="58"/>
      <c r="AA142" s="58"/>
    </row>
    <row r="143">
      <c r="A143" s="57" t="str">
        <f>IF('主表 Stock_Transaction_Log'!$T143="","",IF(COUNTIF('主表 Stock_Transaction_Log'!$T$2:$T143,'主表 Stock_Transaction_Log'!$T143)=1,ROW('主表 Stock_Transaction_Log'!$T143),""))</f>
        <v/>
      </c>
      <c r="B143" s="57" t="str">
        <f t="array" ref="B143">IF($A143="","",INDEX('主表 Stock_Transaction_Log'!$Q:$Q,$A143))</f>
        <v/>
      </c>
      <c r="C143" s="57" t="str">
        <f t="array" ref="C143">IF($A143="","",IF(INDEX('主表 Stock_Transaction_Log'!$F:$F,$A143)=0,"",INDEX('主表 Stock_Transaction_Log'!$F:$F,$A143)))</f>
        <v/>
      </c>
      <c r="D143" s="57" t="str">
        <f t="array" ref="D143">IF($A143="","",INDEX('主表 Stock_Transaction_Log'!$G:$G,$A143))</f>
        <v/>
      </c>
      <c r="E143" s="57" t="str">
        <f t="array" ref="E143">IF($A143="","",INDEX('主表 Stock_Transaction_Log'!$H:$H,$A143))</f>
        <v/>
      </c>
      <c r="F143" s="57" t="str">
        <f t="array" ref="F143">IF($A143="","",INDEX('主表 Stock_Transaction_Log'!$I:$I,$A143))</f>
        <v/>
      </c>
      <c r="G143" s="57" t="str">
        <f t="array" ref="G143">IF($A143="","",IF(INDEX('主表 Stock_Transaction_Log'!$R:$R,$A143)=0,"",INDEX('主表 Stock_Transaction_Log'!$R:$R,$A143)))</f>
        <v/>
      </c>
      <c r="H143" s="57" t="str">
        <f t="array" ref="H143">IF($A143="","",SUMIF('主表 Stock_Transaction_Log'!$T:$T,INDEX('主表 Stock_Transaction_Log'!$T:$T,$A143),'主表 Stock_Transaction_Log'!$S:$S)+SUMIF('主表 Stock_Transaction_Log'!$AB:$AB,INDEX('主表 Stock_Transaction_Log'!$T:$T,$A143),'主表 Stock_Transaction_Log'!$AC:$AC))</f>
        <v/>
      </c>
      <c r="I143" s="57" t="str">
        <f t="shared" si="1"/>
        <v/>
      </c>
      <c r="J143" s="57" t="str">
        <f t="shared" si="2"/>
        <v/>
      </c>
      <c r="K143" s="57" t="str">
        <f t="shared" si="3"/>
        <v/>
      </c>
      <c r="L143" s="57" t="str">
        <f t="array" ref="L143">IF($A143="","",INDEX('主表 Stock_Transaction_Log'!$P:$P,$A143))</f>
        <v/>
      </c>
      <c r="M143" s="57" t="str">
        <f>IF($A143="","",IF($H143&lt;=0,0,SUMIFS('主表 Stock_Transaction_Log'!$K$2:$K1000,'主表 Stock_Transaction_Log'!$C$2:$C1000,"Prepared",'主表 Stock_Transaction_Log'!$L$2:$L1000,$B143,'主表 Stock_Transaction_Log'!$F$2:$F1000,$C143,'主表 Stock_Transaction_Log'!$G$2:$G1000,$D143,'主表 Stock_Transaction_Log'!$P$2:$P1000,$L143)))</f>
        <v/>
      </c>
      <c r="N143" s="57"/>
      <c r="O143" s="57" t="str">
        <f t="shared" si="4"/>
        <v/>
      </c>
      <c r="P143" s="57" t="str">
        <f t="shared" si="5"/>
        <v/>
      </c>
      <c r="Q143" s="57" t="str">
        <f t="shared" si="9"/>
        <v/>
      </c>
      <c r="R143" s="57" t="str">
        <f t="shared" si="7"/>
        <v/>
      </c>
      <c r="S143" s="57" t="str">
        <f t="shared" si="8"/>
        <v/>
      </c>
      <c r="T143" s="58"/>
      <c r="U143" s="58"/>
      <c r="V143" s="58"/>
      <c r="W143" s="58"/>
      <c r="X143" s="58"/>
      <c r="Y143" s="58"/>
      <c r="Z143" s="58"/>
      <c r="AA143" s="58"/>
    </row>
    <row r="144">
      <c r="A144" s="57" t="str">
        <f>IF('主表 Stock_Transaction_Log'!$T144="","",IF(COUNTIF('主表 Stock_Transaction_Log'!$T$2:$T144,'主表 Stock_Transaction_Log'!$T144)=1,ROW('主表 Stock_Transaction_Log'!$T144),""))</f>
        <v/>
      </c>
      <c r="B144" s="57" t="str">
        <f t="array" ref="B144">IF($A144="","",INDEX('主表 Stock_Transaction_Log'!$Q:$Q,$A144))</f>
        <v/>
      </c>
      <c r="C144" s="57" t="str">
        <f t="array" ref="C144">IF($A144="","",IF(INDEX('主表 Stock_Transaction_Log'!$F:$F,$A144)=0,"",INDEX('主表 Stock_Transaction_Log'!$F:$F,$A144)))</f>
        <v/>
      </c>
      <c r="D144" s="57" t="str">
        <f t="array" ref="D144">IF($A144="","",INDEX('主表 Stock_Transaction_Log'!$G:$G,$A144))</f>
        <v/>
      </c>
      <c r="E144" s="57" t="str">
        <f t="array" ref="E144">IF($A144="","",INDEX('主表 Stock_Transaction_Log'!$H:$H,$A144))</f>
        <v/>
      </c>
      <c r="F144" s="57" t="str">
        <f t="array" ref="F144">IF($A144="","",INDEX('主表 Stock_Transaction_Log'!$I:$I,$A144))</f>
        <v/>
      </c>
      <c r="G144" s="57" t="str">
        <f t="array" ref="G144">IF($A144="","",IF(INDEX('主表 Stock_Transaction_Log'!$R:$R,$A144)=0,"",INDEX('主表 Stock_Transaction_Log'!$R:$R,$A144)))</f>
        <v/>
      </c>
      <c r="H144" s="57" t="str">
        <f t="array" ref="H144">IF($A144="","",SUMIF('主表 Stock_Transaction_Log'!$T:$T,INDEX('主表 Stock_Transaction_Log'!$T:$T,$A144),'主表 Stock_Transaction_Log'!$S:$S)+SUMIF('主表 Stock_Transaction_Log'!$AB:$AB,INDEX('主表 Stock_Transaction_Log'!$T:$T,$A144),'主表 Stock_Transaction_Log'!$AC:$AC))</f>
        <v/>
      </c>
      <c r="I144" s="57" t="str">
        <f t="shared" si="1"/>
        <v/>
      </c>
      <c r="J144" s="57" t="str">
        <f t="shared" si="2"/>
        <v/>
      </c>
      <c r="K144" s="57" t="str">
        <f t="shared" si="3"/>
        <v/>
      </c>
      <c r="L144" s="57" t="str">
        <f t="array" ref="L144">IF($A144="","",INDEX('主表 Stock_Transaction_Log'!$P:$P,$A144))</f>
        <v/>
      </c>
      <c r="M144" s="57" t="str">
        <f>IF($A144="","",IF($H144&lt;=0,0,SUMIFS('主表 Stock_Transaction_Log'!$K$2:$K1000,'主表 Stock_Transaction_Log'!$C$2:$C1000,"Prepared",'主表 Stock_Transaction_Log'!$L$2:$L1000,$B144,'主表 Stock_Transaction_Log'!$F$2:$F1000,$C144,'主表 Stock_Transaction_Log'!$G$2:$G1000,$D144,'主表 Stock_Transaction_Log'!$P$2:$P1000,$L144)))</f>
        <v/>
      </c>
      <c r="N144" s="57"/>
      <c r="O144" s="57" t="str">
        <f t="shared" si="4"/>
        <v/>
      </c>
      <c r="P144" s="57" t="str">
        <f t="shared" si="5"/>
        <v/>
      </c>
      <c r="Q144" s="57" t="str">
        <f t="shared" si="9"/>
        <v/>
      </c>
      <c r="R144" s="57" t="str">
        <f t="shared" si="7"/>
        <v/>
      </c>
      <c r="S144" s="57" t="str">
        <f t="shared" si="8"/>
        <v/>
      </c>
      <c r="T144" s="58"/>
      <c r="U144" s="58"/>
      <c r="V144" s="58"/>
      <c r="W144" s="58"/>
      <c r="X144" s="58"/>
      <c r="Y144" s="58"/>
      <c r="Z144" s="58"/>
      <c r="AA144" s="58"/>
    </row>
    <row r="145">
      <c r="A145" s="57" t="str">
        <f>IF('主表 Stock_Transaction_Log'!$T145="","",IF(COUNTIF('主表 Stock_Transaction_Log'!$T$2:$T145,'主表 Stock_Transaction_Log'!$T145)=1,ROW('主表 Stock_Transaction_Log'!$T145),""))</f>
        <v/>
      </c>
      <c r="B145" s="57" t="str">
        <f t="array" ref="B145">IF($A145="","",INDEX('主表 Stock_Transaction_Log'!$Q:$Q,$A145))</f>
        <v/>
      </c>
      <c r="C145" s="57" t="str">
        <f t="array" ref="C145">IF($A145="","",IF(INDEX('主表 Stock_Transaction_Log'!$F:$F,$A145)=0,"",INDEX('主表 Stock_Transaction_Log'!$F:$F,$A145)))</f>
        <v/>
      </c>
      <c r="D145" s="57" t="str">
        <f t="array" ref="D145">IF($A145="","",INDEX('主表 Stock_Transaction_Log'!$G:$G,$A145))</f>
        <v/>
      </c>
      <c r="E145" s="57" t="str">
        <f t="array" ref="E145">IF($A145="","",INDEX('主表 Stock_Transaction_Log'!$H:$H,$A145))</f>
        <v/>
      </c>
      <c r="F145" s="57" t="str">
        <f t="array" ref="F145">IF($A145="","",INDEX('主表 Stock_Transaction_Log'!$I:$I,$A145))</f>
        <v/>
      </c>
      <c r="G145" s="57" t="str">
        <f t="array" ref="G145">IF($A145="","",IF(INDEX('主表 Stock_Transaction_Log'!$R:$R,$A145)=0,"",INDEX('主表 Stock_Transaction_Log'!$R:$R,$A145)))</f>
        <v/>
      </c>
      <c r="H145" s="57" t="str">
        <f t="array" ref="H145">IF($A145="","",SUMIF('主表 Stock_Transaction_Log'!$T:$T,INDEX('主表 Stock_Transaction_Log'!$T:$T,$A145),'主表 Stock_Transaction_Log'!$S:$S)+SUMIF('主表 Stock_Transaction_Log'!$AB:$AB,INDEX('主表 Stock_Transaction_Log'!$T:$T,$A145),'主表 Stock_Transaction_Log'!$AC:$AC))</f>
        <v/>
      </c>
      <c r="I145" s="57" t="str">
        <f t="shared" si="1"/>
        <v/>
      </c>
      <c r="J145" s="57" t="str">
        <f t="shared" si="2"/>
        <v/>
      </c>
      <c r="K145" s="57" t="str">
        <f t="shared" si="3"/>
        <v/>
      </c>
      <c r="L145" s="57" t="str">
        <f t="array" ref="L145">IF($A145="","",INDEX('主表 Stock_Transaction_Log'!$P:$P,$A145))</f>
        <v/>
      </c>
      <c r="M145" s="57" t="str">
        <f>IF($A145="","",IF($H145&lt;=0,0,SUMIFS('主表 Stock_Transaction_Log'!$K$2:$K1000,'主表 Stock_Transaction_Log'!$C$2:$C1000,"Prepared",'主表 Stock_Transaction_Log'!$L$2:$L1000,$B145,'主表 Stock_Transaction_Log'!$F$2:$F1000,$C145,'主表 Stock_Transaction_Log'!$G$2:$G1000,$D145,'主表 Stock_Transaction_Log'!$P$2:$P1000,$L145)))</f>
        <v/>
      </c>
      <c r="N145" s="57"/>
      <c r="O145" s="57" t="str">
        <f t="shared" si="4"/>
        <v/>
      </c>
      <c r="P145" s="57" t="str">
        <f t="shared" si="5"/>
        <v/>
      </c>
      <c r="Q145" s="57" t="str">
        <f t="shared" si="9"/>
        <v/>
      </c>
      <c r="R145" s="57" t="str">
        <f t="shared" si="7"/>
        <v/>
      </c>
      <c r="S145" s="57" t="str">
        <f t="shared" si="8"/>
        <v/>
      </c>
      <c r="T145" s="58"/>
      <c r="U145" s="58"/>
      <c r="V145" s="58"/>
      <c r="W145" s="58"/>
      <c r="X145" s="58"/>
      <c r="Y145" s="58"/>
      <c r="Z145" s="58"/>
      <c r="AA145" s="58"/>
    </row>
    <row r="146">
      <c r="A146" s="57" t="str">
        <f>IF('主表 Stock_Transaction_Log'!$T146="","",IF(COUNTIF('主表 Stock_Transaction_Log'!$T$2:$T146,'主表 Stock_Transaction_Log'!$T146)=1,ROW('主表 Stock_Transaction_Log'!$T146),""))</f>
        <v/>
      </c>
      <c r="B146" s="57" t="str">
        <f t="array" ref="B146">IF($A146="","",INDEX('主表 Stock_Transaction_Log'!$Q:$Q,$A146))</f>
        <v/>
      </c>
      <c r="C146" s="57" t="str">
        <f t="array" ref="C146">IF($A146="","",IF(INDEX('主表 Stock_Transaction_Log'!$F:$F,$A146)=0,"",INDEX('主表 Stock_Transaction_Log'!$F:$F,$A146)))</f>
        <v/>
      </c>
      <c r="D146" s="57" t="str">
        <f t="array" ref="D146">IF($A146="","",INDEX('主表 Stock_Transaction_Log'!$G:$G,$A146))</f>
        <v/>
      </c>
      <c r="E146" s="57" t="str">
        <f t="array" ref="E146">IF($A146="","",INDEX('主表 Stock_Transaction_Log'!$H:$H,$A146))</f>
        <v/>
      </c>
      <c r="F146" s="57" t="str">
        <f t="array" ref="F146">IF($A146="","",INDEX('主表 Stock_Transaction_Log'!$I:$I,$A146))</f>
        <v/>
      </c>
      <c r="G146" s="57" t="str">
        <f t="array" ref="G146">IF($A146="","",IF(INDEX('主表 Stock_Transaction_Log'!$R:$R,$A146)=0,"",INDEX('主表 Stock_Transaction_Log'!$R:$R,$A146)))</f>
        <v/>
      </c>
      <c r="H146" s="57" t="str">
        <f t="array" ref="H146">IF($A146="","",SUMIF('主表 Stock_Transaction_Log'!$T:$T,INDEX('主表 Stock_Transaction_Log'!$T:$T,$A146),'主表 Stock_Transaction_Log'!$S:$S)+SUMIF('主表 Stock_Transaction_Log'!$AB:$AB,INDEX('主表 Stock_Transaction_Log'!$T:$T,$A146),'主表 Stock_Transaction_Log'!$AC:$AC))</f>
        <v/>
      </c>
      <c r="I146" s="57" t="str">
        <f t="shared" si="1"/>
        <v/>
      </c>
      <c r="J146" s="57" t="str">
        <f t="shared" si="2"/>
        <v/>
      </c>
      <c r="K146" s="57" t="str">
        <f t="shared" si="3"/>
        <v/>
      </c>
      <c r="L146" s="57" t="str">
        <f t="array" ref="L146">IF($A146="","",INDEX('主表 Stock_Transaction_Log'!$P:$P,$A146))</f>
        <v/>
      </c>
      <c r="M146" s="57" t="str">
        <f>IF($A146="","",IF($H146&lt;=0,0,SUMIFS('主表 Stock_Transaction_Log'!$K$2:$K1000,'主表 Stock_Transaction_Log'!$C$2:$C1000,"Prepared",'主表 Stock_Transaction_Log'!$L$2:$L1000,$B146,'主表 Stock_Transaction_Log'!$F$2:$F1000,$C146,'主表 Stock_Transaction_Log'!$G$2:$G1000,$D146,'主表 Stock_Transaction_Log'!$P$2:$P1000,$L146)))</f>
        <v/>
      </c>
      <c r="N146" s="57"/>
      <c r="O146" s="57" t="str">
        <f t="shared" si="4"/>
        <v/>
      </c>
      <c r="P146" s="57" t="str">
        <f t="shared" si="5"/>
        <v/>
      </c>
      <c r="Q146" s="57" t="str">
        <f t="shared" si="9"/>
        <v/>
      </c>
      <c r="R146" s="57" t="str">
        <f t="shared" si="7"/>
        <v/>
      </c>
      <c r="S146" s="57" t="str">
        <f t="shared" si="8"/>
        <v/>
      </c>
      <c r="T146" s="58"/>
      <c r="U146" s="58"/>
      <c r="V146" s="58"/>
      <c r="W146" s="58"/>
      <c r="X146" s="58"/>
      <c r="Y146" s="58"/>
      <c r="Z146" s="58"/>
      <c r="AA146" s="58"/>
    </row>
    <row r="147">
      <c r="A147" s="57">
        <f>IF('主表 Stock_Transaction_Log'!$T147="","",IF(COUNTIF('主表 Stock_Transaction_Log'!$T$2:$T147,'主表 Stock_Transaction_Log'!$T147)=1,ROW('主表 Stock_Transaction_Log'!$T147),""))</f>
        <v>147</v>
      </c>
      <c r="B147" s="57" t="str">
        <f t="array" ref="B147">IF($A147="","",INDEX('主表 Stock_Transaction_Log'!$Q:$Q,$A147))</f>
        <v>R1-4-3-L</v>
      </c>
      <c r="C147" s="57" t="str">
        <f t="array" ref="C147">IF($A147="","",IF(INDEX('主表 Stock_Transaction_Log'!$F:$F,$A147)=0,"",INDEX('主表 Stock_Transaction_Log'!$F:$F,$A147)))</f>
        <v/>
      </c>
      <c r="D147" s="57" t="str">
        <f t="array" ref="D147">IF($A147="","",INDEX('主表 Stock_Transaction_Log'!$G:$G,$A147))</f>
        <v>20-012-10219-08</v>
      </c>
      <c r="E147" s="57" t="str">
        <f t="array" ref="E147">IF($A147="","",INDEX('主表 Stock_Transaction_Log'!$H:$H,$A147))</f>
        <v>PCBA-逆变器 H1-G2 3-6kW 功率板</v>
      </c>
      <c r="F147" s="57" t="str">
        <f t="array" ref="F147">IF($A147="","",INDEX('主表 Stock_Transaction_Log'!$I:$I,$A147))</f>
        <v>Material</v>
      </c>
      <c r="G147" s="57" t="str">
        <f t="array" ref="G147">IF($A147="","",IF(INDEX('主表 Stock_Transaction_Log'!$R:$R,$A147)=0,"",INDEX('主表 Stock_Transaction_Log'!$R:$R,$A147)))</f>
        <v/>
      </c>
      <c r="H147" s="57">
        <f t="array" ref="H147">IF($A147="","",SUMIF('主表 Stock_Transaction_Log'!$T:$T,INDEX('主表 Stock_Transaction_Log'!$T:$T,$A147),'主表 Stock_Transaction_Log'!$S:$S)+SUMIF('主表 Stock_Transaction_Log'!$AB:$AB,INDEX('主表 Stock_Transaction_Log'!$T:$T,$A147),'主表 Stock_Transaction_Log'!$AC:$AC))</f>
        <v>75</v>
      </c>
      <c r="I147" s="57" t="str">
        <f t="shared" si="1"/>
        <v>In Stock / 在库</v>
      </c>
      <c r="J147" s="57" t="str">
        <f t="shared" si="2"/>
        <v>Stock line / 库存明细</v>
      </c>
      <c r="K147" s="57" t="b">
        <f t="shared" si="3"/>
        <v>1</v>
      </c>
      <c r="L147" s="57" t="str">
        <f t="array" ref="L147">IF($A147="","",INDEX('主表 Stock_Transaction_Log'!$P:$P,$A147))</f>
        <v>Material / 物料</v>
      </c>
      <c r="M147" s="57">
        <f>IF($A147="","",IF($H147&lt;=0,0,SUMIFS('主表 Stock_Transaction_Log'!$K$2:$K1000,'主表 Stock_Transaction_Log'!$C$2:$C1000,"Prepared",'主表 Stock_Transaction_Log'!$L$2:$L1000,$B147,'主表 Stock_Transaction_Log'!$F$2:$F1000,$C147,'主表 Stock_Transaction_Log'!$G$2:$G1000,$D147,'主表 Stock_Transaction_Log'!$P$2:$P1000,$L147)))</f>
        <v>0</v>
      </c>
      <c r="N147" s="57"/>
      <c r="O147" s="57" t="str">
        <f t="shared" si="4"/>
        <v/>
      </c>
      <c r="P147" s="57" t="str">
        <f t="shared" si="5"/>
        <v/>
      </c>
      <c r="Q147" s="57" t="str">
        <f t="shared" si="9"/>
        <v/>
      </c>
      <c r="R147" s="57" t="str">
        <f t="shared" si="7"/>
        <v/>
      </c>
      <c r="S147" s="57" t="str">
        <f t="shared" si="8"/>
        <v/>
      </c>
      <c r="T147" s="58"/>
      <c r="U147" s="58"/>
      <c r="V147" s="58"/>
      <c r="W147" s="58"/>
      <c r="X147" s="58"/>
      <c r="Y147" s="58"/>
      <c r="Z147" s="58"/>
      <c r="AA147" s="58"/>
    </row>
    <row r="148">
      <c r="A148" s="57">
        <f>IF('主表 Stock_Transaction_Log'!$T148="","",IF(COUNTIF('主表 Stock_Transaction_Log'!$T$2:$T148,'主表 Stock_Transaction_Log'!$T148)=1,ROW('主表 Stock_Transaction_Log'!$T148),""))</f>
        <v>148</v>
      </c>
      <c r="B148" s="57" t="str">
        <f t="array" ref="B148">IF($A148="","",INDEX('主表 Stock_Transaction_Log'!$Q:$Q,$A148))</f>
        <v>R1-4-3-R</v>
      </c>
      <c r="C148" s="57" t="str">
        <f t="array" ref="C148">IF($A148="","",IF(INDEX('主表 Stock_Transaction_Log'!$F:$F,$A148)=0,"",INDEX('主表 Stock_Transaction_Log'!$F:$F,$A148)))</f>
        <v/>
      </c>
      <c r="D148" s="57" t="str">
        <f t="array" ref="D148">IF($A148="","",INDEX('主表 Stock_Transaction_Log'!$G:$G,$A148))</f>
        <v>20-012-10330-11</v>
      </c>
      <c r="E148" s="57" t="str">
        <f t="array" ref="E148">IF($A148="","",INDEX('主表 Stock_Transaction_Log'!$H:$H,$A148))</f>
        <v>PCBA-逆变器 H3-G2 15kW 控制板</v>
      </c>
      <c r="F148" s="57" t="str">
        <f t="array" ref="F148">IF($A148="","",INDEX('主表 Stock_Transaction_Log'!$I:$I,$A148))</f>
        <v>Material</v>
      </c>
      <c r="G148" s="57" t="str">
        <f t="array" ref="G148">IF($A148="","",IF(INDEX('主表 Stock_Transaction_Log'!$R:$R,$A148)=0,"",INDEX('主表 Stock_Transaction_Log'!$R:$R,$A148)))</f>
        <v/>
      </c>
      <c r="H148" s="57">
        <f t="array" ref="H148">IF($A148="","",SUMIF('主表 Stock_Transaction_Log'!$T:$T,INDEX('主表 Stock_Transaction_Log'!$T:$T,$A148),'主表 Stock_Transaction_Log'!$S:$S)+SUMIF('主表 Stock_Transaction_Log'!$AB:$AB,INDEX('主表 Stock_Transaction_Log'!$T:$T,$A148),'主表 Stock_Transaction_Log'!$AC:$AC))</f>
        <v>99</v>
      </c>
      <c r="I148" s="57" t="str">
        <f t="shared" si="1"/>
        <v>In Stock / 在库</v>
      </c>
      <c r="J148" s="57" t="str">
        <f t="shared" si="2"/>
        <v>Stock line / 库存明细</v>
      </c>
      <c r="K148" s="57" t="b">
        <f t="shared" si="3"/>
        <v>1</v>
      </c>
      <c r="L148" s="57" t="str">
        <f t="array" ref="L148">IF($A148="","",INDEX('主表 Stock_Transaction_Log'!$P:$P,$A148))</f>
        <v>Material / 物料</v>
      </c>
      <c r="M148" s="57">
        <f>IF($A148="","",IF($H148&lt;=0,0,SUMIFS('主表 Stock_Transaction_Log'!$K$2:$K1000,'主表 Stock_Transaction_Log'!$C$2:$C1000,"Prepared",'主表 Stock_Transaction_Log'!$L$2:$L1000,$B148,'主表 Stock_Transaction_Log'!$F$2:$F1000,$C148,'主表 Stock_Transaction_Log'!$G$2:$G1000,$D148,'主表 Stock_Transaction_Log'!$P$2:$P1000,$L148)))</f>
        <v>0</v>
      </c>
      <c r="N148" s="57"/>
      <c r="O148" s="57" t="str">
        <f t="shared" si="4"/>
        <v/>
      </c>
      <c r="P148" s="57" t="str">
        <f t="shared" si="5"/>
        <v/>
      </c>
      <c r="Q148" s="57" t="str">
        <f t="shared" si="9"/>
        <v/>
      </c>
      <c r="R148" s="57" t="str">
        <f t="shared" si="7"/>
        <v/>
      </c>
      <c r="S148" s="57" t="str">
        <f t="shared" si="8"/>
        <v/>
      </c>
      <c r="T148" s="58"/>
      <c r="U148" s="58"/>
      <c r="V148" s="58"/>
      <c r="W148" s="58"/>
      <c r="X148" s="58"/>
      <c r="Y148" s="58"/>
      <c r="Z148" s="58"/>
      <c r="AA148" s="58"/>
    </row>
    <row r="149">
      <c r="A149" s="57">
        <f>IF('主表 Stock_Transaction_Log'!$T149="","",IF(COUNTIF('主表 Stock_Transaction_Log'!$T$2:$T149,'主表 Stock_Transaction_Log'!$T149)=1,ROW('主表 Stock_Transaction_Log'!$T149),""))</f>
        <v>149</v>
      </c>
      <c r="B149" s="57" t="str">
        <f t="array" ref="B149">IF($A149="","",INDEX('主表 Stock_Transaction_Log'!$Q:$Q,$A149))</f>
        <v>R1-3-3-L</v>
      </c>
      <c r="C149" s="57" t="str">
        <f t="array" ref="C149">IF($A149="","",IF(INDEX('主表 Stock_Transaction_Log'!$F:$F,$A149)=0,"",INDEX('主表 Stock_Transaction_Log'!$F:$F,$A149)))</f>
        <v/>
      </c>
      <c r="D149" s="57" t="str">
        <f t="array" ref="D149">IF($A149="","",INDEX('主表 Stock_Transaction_Log'!$G:$G,$A149))</f>
        <v>20-012-10342-02</v>
      </c>
      <c r="E149" s="57" t="str">
        <f t="array" ref="E149">IF($A149="","",INDEX('主表 Stock_Transaction_Log'!$H:$H,$A149))</f>
        <v>PCBA-逆变器 KH 9-10.5kW 功率板</v>
      </c>
      <c r="F149" s="57" t="str">
        <f t="array" ref="F149">IF($A149="","",INDEX('主表 Stock_Transaction_Log'!$I:$I,$A149))</f>
        <v>Material</v>
      </c>
      <c r="G149" s="57" t="str">
        <f t="array" ref="G149">IF($A149="","",IF(INDEX('主表 Stock_Transaction_Log'!$R:$R,$A149)=0,"",INDEX('主表 Stock_Transaction_Log'!$R:$R,$A149)))</f>
        <v/>
      </c>
      <c r="H149" s="57">
        <f t="array" ref="H149">IF($A149="","",SUMIF('主表 Stock_Transaction_Log'!$T:$T,INDEX('主表 Stock_Transaction_Log'!$T:$T,$A149),'主表 Stock_Transaction_Log'!$S:$S)+SUMIF('主表 Stock_Transaction_Log'!$AB:$AB,INDEX('主表 Stock_Transaction_Log'!$T:$T,$A149),'主表 Stock_Transaction_Log'!$AC:$AC))</f>
        <v>75</v>
      </c>
      <c r="I149" s="57" t="str">
        <f t="shared" si="1"/>
        <v>In Stock / 在库</v>
      </c>
      <c r="J149" s="57" t="str">
        <f t="shared" si="2"/>
        <v>Stock line / 库存明细</v>
      </c>
      <c r="K149" s="57" t="b">
        <f t="shared" si="3"/>
        <v>1</v>
      </c>
      <c r="L149" s="57" t="str">
        <f t="array" ref="L149">IF($A149="","",INDEX('主表 Stock_Transaction_Log'!$P:$P,$A149))</f>
        <v>Material / 物料</v>
      </c>
      <c r="M149" s="57">
        <f>IF($A149="","",IF($H149&lt;=0,0,SUMIFS('主表 Stock_Transaction_Log'!$K$2:$K1000,'主表 Stock_Transaction_Log'!$C$2:$C1000,"Prepared",'主表 Stock_Transaction_Log'!$L$2:$L1000,$B149,'主表 Stock_Transaction_Log'!$F$2:$F1000,$C149,'主表 Stock_Transaction_Log'!$G$2:$G1000,$D149,'主表 Stock_Transaction_Log'!$P$2:$P1000,$L149)))</f>
        <v>0</v>
      </c>
      <c r="N149" s="57"/>
      <c r="O149" s="57" t="str">
        <f t="shared" si="4"/>
        <v/>
      </c>
      <c r="P149" s="57" t="str">
        <f t="shared" si="5"/>
        <v/>
      </c>
      <c r="Q149" s="57" t="str">
        <f t="shared" si="9"/>
        <v/>
      </c>
      <c r="R149" s="57" t="str">
        <f t="shared" si="7"/>
        <v/>
      </c>
      <c r="S149" s="57" t="str">
        <f t="shared" si="8"/>
        <v/>
      </c>
      <c r="T149" s="58"/>
      <c r="U149" s="58"/>
      <c r="V149" s="58"/>
      <c r="W149" s="58"/>
      <c r="X149" s="58"/>
      <c r="Y149" s="58"/>
      <c r="Z149" s="58"/>
      <c r="AA149" s="58"/>
    </row>
    <row r="150">
      <c r="A150" s="57">
        <f>IF('主表 Stock_Transaction_Log'!$T150="","",IF(COUNTIF('主表 Stock_Transaction_Log'!$T$2:$T150,'主表 Stock_Transaction_Log'!$T150)=1,ROW('主表 Stock_Transaction_Log'!$T150),""))</f>
        <v>150</v>
      </c>
      <c r="B150" s="57" t="str">
        <f t="array" ref="B150">IF($A150="","",INDEX('主表 Stock_Transaction_Log'!$Q:$Q,$A150))</f>
        <v>R1-3-3-R</v>
      </c>
      <c r="C150" s="57" t="str">
        <f t="array" ref="C150">IF($A150="","",IF(INDEX('主表 Stock_Transaction_Log'!$F:$F,$A150)=0,"",INDEX('主表 Stock_Transaction_Log'!$F:$F,$A150)))</f>
        <v/>
      </c>
      <c r="D150" s="57" t="str">
        <f t="array" ref="D150">IF($A150="","",INDEX('主表 Stock_Transaction_Log'!$G:$G,$A150))</f>
        <v>20-012-20142-00</v>
      </c>
      <c r="E150" s="57" t="str">
        <f t="array" ref="E150">IF($A150="","",INDEX('主表 Stock_Transaction_Log'!$H:$H,$A150))</f>
        <v>PCBA-电池 ECS BMU_6813_V2_14串_7NTC_CAN_CM</v>
      </c>
      <c r="F150" s="57" t="str">
        <f t="array" ref="F150">IF($A150="","",INDEX('主表 Stock_Transaction_Log'!$I:$I,$A150))</f>
        <v>Material</v>
      </c>
      <c r="G150" s="57" t="str">
        <f t="array" ref="G150">IF($A150="","",IF(INDEX('主表 Stock_Transaction_Log'!$R:$R,$A150)=0,"",INDEX('主表 Stock_Transaction_Log'!$R:$R,$A150)))</f>
        <v/>
      </c>
      <c r="H150" s="57">
        <f t="array" ref="H150">IF($A150="","",SUMIF('主表 Stock_Transaction_Log'!$T:$T,INDEX('主表 Stock_Transaction_Log'!$T:$T,$A150),'主表 Stock_Transaction_Log'!$S:$S)+SUMIF('主表 Stock_Transaction_Log'!$AB:$AB,INDEX('主表 Stock_Transaction_Log'!$T:$T,$A150),'主表 Stock_Transaction_Log'!$AC:$AC))</f>
        <v>99</v>
      </c>
      <c r="I150" s="57" t="str">
        <f t="shared" si="1"/>
        <v>In Stock / 在库</v>
      </c>
      <c r="J150" s="57" t="str">
        <f t="shared" si="2"/>
        <v>Stock line / 库存明细</v>
      </c>
      <c r="K150" s="57" t="b">
        <f t="shared" si="3"/>
        <v>1</v>
      </c>
      <c r="L150" s="57" t="str">
        <f t="array" ref="L150">IF($A150="","",INDEX('主表 Stock_Transaction_Log'!$P:$P,$A150))</f>
        <v>Material / 物料</v>
      </c>
      <c r="M150" s="57">
        <f>IF($A150="","",IF($H150&lt;=0,0,SUMIFS('主表 Stock_Transaction_Log'!$K$2:$K1000,'主表 Stock_Transaction_Log'!$C$2:$C1000,"Prepared",'主表 Stock_Transaction_Log'!$L$2:$L1000,$B150,'主表 Stock_Transaction_Log'!$F$2:$F1000,$C150,'主表 Stock_Transaction_Log'!$G$2:$G1000,$D150,'主表 Stock_Transaction_Log'!$P$2:$P1000,$L150)))</f>
        <v>0</v>
      </c>
      <c r="N150" s="57"/>
      <c r="O150" s="57" t="str">
        <f t="shared" si="4"/>
        <v/>
      </c>
      <c r="P150" s="57" t="str">
        <f t="shared" si="5"/>
        <v/>
      </c>
      <c r="Q150" s="57" t="str">
        <f t="shared" si="9"/>
        <v/>
      </c>
      <c r="R150" s="57" t="str">
        <f t="shared" si="7"/>
        <v/>
      </c>
      <c r="S150" s="57" t="str">
        <f t="shared" si="8"/>
        <v/>
      </c>
      <c r="T150" s="58"/>
      <c r="U150" s="58"/>
      <c r="V150" s="58"/>
      <c r="W150" s="58"/>
      <c r="X150" s="58"/>
      <c r="Y150" s="58"/>
      <c r="Z150" s="58"/>
      <c r="AA150" s="58"/>
    </row>
    <row r="151">
      <c r="A151" s="57">
        <f>IF('主表 Stock_Transaction_Log'!$T151="","",IF(COUNTIF('主表 Stock_Transaction_Log'!$T$2:$T151,'主表 Stock_Transaction_Log'!$T151)=1,ROW('主表 Stock_Transaction_Log'!$T151),""))</f>
        <v>151</v>
      </c>
      <c r="B151" s="57" t="str">
        <f t="array" ref="B151">IF($A151="","",INDEX('主表 Stock_Transaction_Log'!$Q:$Q,$A151))</f>
        <v>R1-4-4-L</v>
      </c>
      <c r="C151" s="57" t="str">
        <f t="array" ref="C151">IF($A151="","",IF(INDEX('主表 Stock_Transaction_Log'!$F:$F,$A151)=0,"",INDEX('主表 Stock_Transaction_Log'!$F:$F,$A151)))</f>
        <v/>
      </c>
      <c r="D151" s="57" t="str">
        <f t="array" ref="D151">IF($A151="","",INDEX('主表 Stock_Transaction_Log'!$G:$G,$A151))</f>
        <v/>
      </c>
      <c r="E151" s="57" t="str">
        <f t="array" ref="E151">IF($A151="","",INDEX('主表 Stock_Transaction_Log'!$H:$H,$A151))</f>
        <v/>
      </c>
      <c r="F151" s="57" t="str">
        <f t="array" ref="F151">IF($A151="","",INDEX('主表 Stock_Transaction_Log'!$I:$I,$A151))</f>
        <v/>
      </c>
      <c r="G151" s="57" t="str">
        <f t="array" ref="G151">IF($A151="","",IF(INDEX('主表 Stock_Transaction_Log'!$R:$R,$A151)=0,"",INDEX('主表 Stock_Transaction_Log'!$R:$R,$A151)))</f>
        <v/>
      </c>
      <c r="H151" s="57">
        <f t="array" ref="H151">IF($A151="","",SUMIF('主表 Stock_Transaction_Log'!$T:$T,INDEX('主表 Stock_Transaction_Log'!$T:$T,$A151),'主表 Stock_Transaction_Log'!$S:$S)+SUMIF('主表 Stock_Transaction_Log'!$AB:$AB,INDEX('主表 Stock_Transaction_Log'!$T:$T,$A151),'主表 Stock_Transaction_Log'!$AC:$AC))</f>
        <v>99</v>
      </c>
      <c r="I151" s="57" t="str">
        <f t="shared" si="1"/>
        <v>In Stock / 在库</v>
      </c>
      <c r="J151" s="57" t="str">
        <f t="shared" si="2"/>
        <v>Stock line / 库存明细</v>
      </c>
      <c r="K151" s="57" t="b">
        <f t="shared" si="3"/>
        <v>1</v>
      </c>
      <c r="L151" s="57" t="str">
        <f t="array" ref="L151">IF($A151="","",INDEX('主表 Stock_Transaction_Log'!$P:$P,$A151))</f>
        <v>Material / 物料</v>
      </c>
      <c r="M151" s="57">
        <f>IF($A151="","",IF($H151&lt;=0,0,SUMIFS('主表 Stock_Transaction_Log'!$K$2:$K1000,'主表 Stock_Transaction_Log'!$C$2:$C1000,"Prepared",'主表 Stock_Transaction_Log'!$L$2:$L1000,$B151,'主表 Stock_Transaction_Log'!$F$2:$F1000,$C151,'主表 Stock_Transaction_Log'!$G$2:$G1000,$D151,'主表 Stock_Transaction_Log'!$P$2:$P1000,$L151)))</f>
        <v>0</v>
      </c>
      <c r="N151" s="57"/>
      <c r="O151" s="57" t="str">
        <f t="shared" si="4"/>
        <v/>
      </c>
      <c r="P151" s="57" t="str">
        <f t="shared" si="5"/>
        <v/>
      </c>
      <c r="Q151" s="57" t="str">
        <f t="shared" si="9"/>
        <v/>
      </c>
      <c r="R151" s="57" t="str">
        <f t="shared" si="7"/>
        <v/>
      </c>
      <c r="S151" s="57" t="str">
        <f t="shared" si="8"/>
        <v/>
      </c>
      <c r="T151" s="58"/>
      <c r="U151" s="58"/>
      <c r="V151" s="58"/>
      <c r="W151" s="58"/>
      <c r="X151" s="58"/>
      <c r="Y151" s="58"/>
      <c r="Z151" s="58"/>
      <c r="AA151" s="58"/>
    </row>
    <row r="152">
      <c r="A152" s="57">
        <f>IF('主表 Stock_Transaction_Log'!$T152="","",IF(COUNTIF('主表 Stock_Transaction_Log'!$T$2:$T152,'主表 Stock_Transaction_Log'!$T152)=1,ROW('主表 Stock_Transaction_Log'!$T152),""))</f>
        <v>152</v>
      </c>
      <c r="B152" s="57" t="str">
        <f t="array" ref="B152">IF($A152="","",INDEX('主表 Stock_Transaction_Log'!$Q:$Q,$A152))</f>
        <v>R1-3-4-L</v>
      </c>
      <c r="C152" s="57" t="str">
        <f t="array" ref="C152">IF($A152="","",IF(INDEX('主表 Stock_Transaction_Log'!$F:$F,$A152)=0,"",INDEX('主表 Stock_Transaction_Log'!$F:$F,$A152)))</f>
        <v/>
      </c>
      <c r="D152" s="57" t="str">
        <f t="array" ref="D152">IF($A152="","",INDEX('主表 Stock_Transaction_Log'!$G:$G,$A152))</f>
        <v/>
      </c>
      <c r="E152" s="57" t="str">
        <f t="array" ref="E152">IF($A152="","",INDEX('主表 Stock_Transaction_Log'!$H:$H,$A152))</f>
        <v/>
      </c>
      <c r="F152" s="57" t="str">
        <f t="array" ref="F152">IF($A152="","",INDEX('主表 Stock_Transaction_Log'!$I:$I,$A152))</f>
        <v/>
      </c>
      <c r="G152" s="57" t="str">
        <f t="array" ref="G152">IF($A152="","",IF(INDEX('主表 Stock_Transaction_Log'!$R:$R,$A152)=0,"",INDEX('主表 Stock_Transaction_Log'!$R:$R,$A152)))</f>
        <v/>
      </c>
      <c r="H152" s="57">
        <f t="array" ref="H152">IF($A152="","",SUMIF('主表 Stock_Transaction_Log'!$T:$T,INDEX('主表 Stock_Transaction_Log'!$T:$T,$A152),'主表 Stock_Transaction_Log'!$S:$S)+SUMIF('主表 Stock_Transaction_Log'!$AB:$AB,INDEX('主表 Stock_Transaction_Log'!$T:$T,$A152),'主表 Stock_Transaction_Log'!$AC:$AC))</f>
        <v>99</v>
      </c>
      <c r="I152" s="57" t="str">
        <f t="shared" si="1"/>
        <v>In Stock / 在库</v>
      </c>
      <c r="J152" s="57" t="str">
        <f t="shared" si="2"/>
        <v>Stock line / 库存明细</v>
      </c>
      <c r="K152" s="57" t="b">
        <f t="shared" si="3"/>
        <v>1</v>
      </c>
      <c r="L152" s="57" t="str">
        <f t="array" ref="L152">IF($A152="","",INDEX('主表 Stock_Transaction_Log'!$P:$P,$A152))</f>
        <v>Material / 物料</v>
      </c>
      <c r="M152" s="57">
        <f>IF($A152="","",IF($H152&lt;=0,0,SUMIFS('主表 Stock_Transaction_Log'!$K$2:$K1000,'主表 Stock_Transaction_Log'!$C$2:$C1000,"Prepared",'主表 Stock_Transaction_Log'!$L$2:$L1000,$B152,'主表 Stock_Transaction_Log'!$F$2:$F1000,$C152,'主表 Stock_Transaction_Log'!$G$2:$G1000,$D152,'主表 Stock_Transaction_Log'!$P$2:$P1000,$L152)))</f>
        <v>0</v>
      </c>
      <c r="N152" s="57"/>
      <c r="O152" s="57" t="str">
        <f t="shared" si="4"/>
        <v/>
      </c>
      <c r="P152" s="57" t="str">
        <f t="shared" si="5"/>
        <v/>
      </c>
      <c r="Q152" s="57" t="str">
        <f t="shared" si="9"/>
        <v/>
      </c>
      <c r="R152" s="57" t="str">
        <f t="shared" si="7"/>
        <v/>
      </c>
      <c r="S152" s="57" t="str">
        <f t="shared" si="8"/>
        <v/>
      </c>
      <c r="T152" s="58"/>
      <c r="U152" s="58"/>
      <c r="V152" s="58"/>
      <c r="W152" s="58"/>
      <c r="X152" s="58"/>
      <c r="Y152" s="58"/>
      <c r="Z152" s="58"/>
      <c r="AA152" s="58"/>
    </row>
    <row r="153">
      <c r="A153" s="57">
        <f>IF('主表 Stock_Transaction_Log'!$T153="","",IF(COUNTIF('主表 Stock_Transaction_Log'!$T$2:$T153,'主表 Stock_Transaction_Log'!$T153)=1,ROW('主表 Stock_Transaction_Log'!$T153),""))</f>
        <v>153</v>
      </c>
      <c r="B153" s="57" t="str">
        <f t="array" ref="B153">IF($A153="","",INDEX('主表 Stock_Transaction_Log'!$Q:$Q,$A153))</f>
        <v>R1-3-4-R</v>
      </c>
      <c r="C153" s="57" t="str">
        <f t="array" ref="C153">IF($A153="","",IF(INDEX('主表 Stock_Transaction_Log'!$F:$F,$A153)=0,"",INDEX('主表 Stock_Transaction_Log'!$F:$F,$A153)))</f>
        <v/>
      </c>
      <c r="D153" s="57" t="str">
        <f t="array" ref="D153">IF($A153="","",INDEX('主表 Stock_Transaction_Log'!$G:$G,$A153))</f>
        <v/>
      </c>
      <c r="E153" s="57" t="str">
        <f t="array" ref="E153">IF($A153="","",INDEX('主表 Stock_Transaction_Log'!$H:$H,$A153))</f>
        <v/>
      </c>
      <c r="F153" s="57" t="str">
        <f t="array" ref="F153">IF($A153="","",INDEX('主表 Stock_Transaction_Log'!$I:$I,$A153))</f>
        <v/>
      </c>
      <c r="G153" s="57" t="str">
        <f t="array" ref="G153">IF($A153="","",IF(INDEX('主表 Stock_Transaction_Log'!$R:$R,$A153)=0,"",INDEX('主表 Stock_Transaction_Log'!$R:$R,$A153)))</f>
        <v/>
      </c>
      <c r="H153" s="57">
        <f t="array" ref="H153">IF($A153="","",SUMIF('主表 Stock_Transaction_Log'!$T:$T,INDEX('主表 Stock_Transaction_Log'!$T:$T,$A153),'主表 Stock_Transaction_Log'!$S:$S)+SUMIF('主表 Stock_Transaction_Log'!$AB:$AB,INDEX('主表 Stock_Transaction_Log'!$T:$T,$A153),'主表 Stock_Transaction_Log'!$AC:$AC))</f>
        <v>99</v>
      </c>
      <c r="I153" s="57" t="str">
        <f t="shared" si="1"/>
        <v>In Stock / 在库</v>
      </c>
      <c r="J153" s="57" t="str">
        <f t="shared" si="2"/>
        <v>Stock line / 库存明细</v>
      </c>
      <c r="K153" s="57" t="b">
        <f t="shared" si="3"/>
        <v>1</v>
      </c>
      <c r="L153" s="57" t="str">
        <f t="array" ref="L153">IF($A153="","",INDEX('主表 Stock_Transaction_Log'!$P:$P,$A153))</f>
        <v>Material / 物料</v>
      </c>
      <c r="M153" s="57">
        <f>IF($A153="","",IF($H153&lt;=0,0,SUMIFS('主表 Stock_Transaction_Log'!$K$2:$K1000,'主表 Stock_Transaction_Log'!$C$2:$C1000,"Prepared",'主表 Stock_Transaction_Log'!$L$2:$L1000,$B153,'主表 Stock_Transaction_Log'!$F$2:$F1000,$C153,'主表 Stock_Transaction_Log'!$G$2:$G1000,$D153,'主表 Stock_Transaction_Log'!$P$2:$P1000,$L153)))</f>
        <v>0</v>
      </c>
      <c r="N153" s="57"/>
      <c r="O153" s="57" t="str">
        <f t="shared" si="4"/>
        <v/>
      </c>
      <c r="P153" s="57" t="str">
        <f t="shared" si="5"/>
        <v/>
      </c>
      <c r="Q153" s="57" t="str">
        <f t="shared" si="9"/>
        <v/>
      </c>
      <c r="R153" s="57" t="str">
        <f t="shared" si="7"/>
        <v/>
      </c>
      <c r="S153" s="57" t="str">
        <f t="shared" si="8"/>
        <v/>
      </c>
      <c r="T153" s="58"/>
      <c r="U153" s="58"/>
      <c r="V153" s="58"/>
      <c r="W153" s="58"/>
      <c r="X153" s="58"/>
      <c r="Y153" s="58"/>
      <c r="Z153" s="58"/>
      <c r="AA153" s="58"/>
    </row>
    <row r="154">
      <c r="A154" s="57">
        <f>IF('主表 Stock_Transaction_Log'!$T154="","",IF(COUNTIF('主表 Stock_Transaction_Log'!$T$2:$T154,'主表 Stock_Transaction_Log'!$T154)=1,ROW('主表 Stock_Transaction_Log'!$T154),""))</f>
        <v>154</v>
      </c>
      <c r="B154" s="57" t="str">
        <f t="array" ref="B154">IF($A154="","",INDEX('主表 Stock_Transaction_Log'!$Q:$Q,$A154))</f>
        <v>R1-2-4-L</v>
      </c>
      <c r="C154" s="57" t="str">
        <f t="array" ref="C154">IF($A154="","",IF(INDEX('主表 Stock_Transaction_Log'!$F:$F,$A154)=0,"",INDEX('主表 Stock_Transaction_Log'!$F:$F,$A154)))</f>
        <v/>
      </c>
      <c r="D154" s="57" t="str">
        <f t="array" ref="D154">IF($A154="","",INDEX('主表 Stock_Transaction_Log'!$G:$G,$A154))</f>
        <v/>
      </c>
      <c r="E154" s="57" t="str">
        <f t="array" ref="E154">IF($A154="","",INDEX('主表 Stock_Transaction_Log'!$H:$H,$A154))</f>
        <v/>
      </c>
      <c r="F154" s="57" t="str">
        <f t="array" ref="F154">IF($A154="","",INDEX('主表 Stock_Transaction_Log'!$I:$I,$A154))</f>
        <v/>
      </c>
      <c r="G154" s="57" t="str">
        <f t="array" ref="G154">IF($A154="","",IF(INDEX('主表 Stock_Transaction_Log'!$R:$R,$A154)=0,"",INDEX('主表 Stock_Transaction_Log'!$R:$R,$A154)))</f>
        <v/>
      </c>
      <c r="H154" s="57">
        <f t="array" ref="H154">IF($A154="","",SUMIF('主表 Stock_Transaction_Log'!$T:$T,INDEX('主表 Stock_Transaction_Log'!$T:$T,$A154),'主表 Stock_Transaction_Log'!$S:$S)+SUMIF('主表 Stock_Transaction_Log'!$AB:$AB,INDEX('主表 Stock_Transaction_Log'!$T:$T,$A154),'主表 Stock_Transaction_Log'!$AC:$AC))</f>
        <v>99</v>
      </c>
      <c r="I154" s="57" t="str">
        <f t="shared" si="1"/>
        <v>In Stock / 在库</v>
      </c>
      <c r="J154" s="57" t="str">
        <f t="shared" si="2"/>
        <v>Stock line / 库存明细</v>
      </c>
      <c r="K154" s="57" t="b">
        <f t="shared" si="3"/>
        <v>1</v>
      </c>
      <c r="L154" s="57" t="str">
        <f t="array" ref="L154">IF($A154="","",INDEX('主表 Stock_Transaction_Log'!$P:$P,$A154))</f>
        <v>Material / 物料</v>
      </c>
      <c r="M154" s="57">
        <f>IF($A154="","",IF($H154&lt;=0,0,SUMIFS('主表 Stock_Transaction_Log'!$K$2:$K1000,'主表 Stock_Transaction_Log'!$C$2:$C1000,"Prepared",'主表 Stock_Transaction_Log'!$L$2:$L1000,$B154,'主表 Stock_Transaction_Log'!$F$2:$F1000,$C154,'主表 Stock_Transaction_Log'!$G$2:$G1000,$D154,'主表 Stock_Transaction_Log'!$P$2:$P1000,$L154)))</f>
        <v>0</v>
      </c>
      <c r="N154" s="57"/>
      <c r="O154" s="57" t="str">
        <f t="shared" si="4"/>
        <v/>
      </c>
      <c r="P154" s="57" t="str">
        <f t="shared" si="5"/>
        <v/>
      </c>
      <c r="Q154" s="57" t="str">
        <f t="shared" si="9"/>
        <v/>
      </c>
      <c r="R154" s="57" t="str">
        <f t="shared" si="7"/>
        <v/>
      </c>
      <c r="S154" s="57" t="str">
        <f t="shared" si="8"/>
        <v/>
      </c>
      <c r="T154" s="58"/>
      <c r="U154" s="58"/>
      <c r="V154" s="58"/>
      <c r="W154" s="58"/>
      <c r="X154" s="58"/>
      <c r="Y154" s="58"/>
      <c r="Z154" s="58"/>
      <c r="AA154" s="58"/>
    </row>
    <row r="155">
      <c r="A155" s="57">
        <f>IF('主表 Stock_Transaction_Log'!$T155="","",IF(COUNTIF('主表 Stock_Transaction_Log'!$T$2:$T155,'主表 Stock_Transaction_Log'!$T155)=1,ROW('主表 Stock_Transaction_Log'!$T155),""))</f>
        <v>155</v>
      </c>
      <c r="B155" s="57" t="str">
        <f t="array" ref="B155">IF($A155="","",INDEX('主表 Stock_Transaction_Log'!$Q:$Q,$A155))</f>
        <v>R1-2-4-R</v>
      </c>
      <c r="C155" s="57" t="str">
        <f t="array" ref="C155">IF($A155="","",IF(INDEX('主表 Stock_Transaction_Log'!$F:$F,$A155)=0,"",INDEX('主表 Stock_Transaction_Log'!$F:$F,$A155)))</f>
        <v/>
      </c>
      <c r="D155" s="57" t="str">
        <f t="array" ref="D155">IF($A155="","",INDEX('主表 Stock_Transaction_Log'!$G:$G,$A155))</f>
        <v/>
      </c>
      <c r="E155" s="57" t="str">
        <f t="array" ref="E155">IF($A155="","",INDEX('主表 Stock_Transaction_Log'!$H:$H,$A155))</f>
        <v/>
      </c>
      <c r="F155" s="57" t="str">
        <f t="array" ref="F155">IF($A155="","",INDEX('主表 Stock_Transaction_Log'!$I:$I,$A155))</f>
        <v/>
      </c>
      <c r="G155" s="57" t="str">
        <f t="array" ref="G155">IF($A155="","",IF(INDEX('主表 Stock_Transaction_Log'!$R:$R,$A155)=0,"",INDEX('主表 Stock_Transaction_Log'!$R:$R,$A155)))</f>
        <v/>
      </c>
      <c r="H155" s="57">
        <f t="array" ref="H155">IF($A155="","",SUMIF('主表 Stock_Transaction_Log'!$T:$T,INDEX('主表 Stock_Transaction_Log'!$T:$T,$A155),'主表 Stock_Transaction_Log'!$S:$S)+SUMIF('主表 Stock_Transaction_Log'!$AB:$AB,INDEX('主表 Stock_Transaction_Log'!$T:$T,$A155),'主表 Stock_Transaction_Log'!$AC:$AC))</f>
        <v>99</v>
      </c>
      <c r="I155" s="57" t="str">
        <f t="shared" si="1"/>
        <v>In Stock / 在库</v>
      </c>
      <c r="J155" s="57" t="str">
        <f t="shared" si="2"/>
        <v>Stock line / 库存明细</v>
      </c>
      <c r="K155" s="57" t="b">
        <f t="shared" si="3"/>
        <v>1</v>
      </c>
      <c r="L155" s="57" t="str">
        <f t="array" ref="L155">IF($A155="","",INDEX('主表 Stock_Transaction_Log'!$P:$P,$A155))</f>
        <v>Material / 物料</v>
      </c>
      <c r="M155" s="57">
        <f>IF($A155="","",IF($H155&lt;=0,0,SUMIFS('主表 Stock_Transaction_Log'!$K$2:$K1000,'主表 Stock_Transaction_Log'!$C$2:$C1000,"Prepared",'主表 Stock_Transaction_Log'!$L$2:$L1000,$B155,'主表 Stock_Transaction_Log'!$F$2:$F1000,$C155,'主表 Stock_Transaction_Log'!$G$2:$G1000,$D155,'主表 Stock_Transaction_Log'!$P$2:$P1000,$L155)))</f>
        <v>0</v>
      </c>
      <c r="N155" s="57"/>
      <c r="O155" s="57" t="str">
        <f t="shared" si="4"/>
        <v/>
      </c>
      <c r="P155" s="57" t="str">
        <f t="shared" si="5"/>
        <v/>
      </c>
      <c r="Q155" s="57" t="str">
        <f t="shared" si="9"/>
        <v/>
      </c>
      <c r="R155" s="57" t="str">
        <f t="shared" si="7"/>
        <v/>
      </c>
      <c r="S155" s="57" t="str">
        <f t="shared" si="8"/>
        <v/>
      </c>
      <c r="T155" s="58"/>
      <c r="U155" s="58"/>
      <c r="V155" s="58"/>
      <c r="W155" s="58"/>
      <c r="X155" s="58"/>
      <c r="Y155" s="58"/>
      <c r="Z155" s="58"/>
      <c r="AA155" s="58"/>
    </row>
    <row r="156">
      <c r="A156" s="57">
        <f>IF('主表 Stock_Transaction_Log'!$T156="","",IF(COUNTIF('主表 Stock_Transaction_Log'!$T$2:$T156,'主表 Stock_Transaction_Log'!$T156)=1,ROW('主表 Stock_Transaction_Log'!$T156),""))</f>
        <v>156</v>
      </c>
      <c r="B156" s="57" t="str">
        <f t="array" ref="B156">IF($A156="","",INDEX('主表 Stock_Transaction_Log'!$Q:$Q,$A156))</f>
        <v>R1-3-5-L</v>
      </c>
      <c r="C156" s="57" t="str">
        <f t="array" ref="C156">IF($A156="","",IF(INDEX('主表 Stock_Transaction_Log'!$F:$F,$A156)=0,"",INDEX('主表 Stock_Transaction_Log'!$F:$F,$A156)))</f>
        <v/>
      </c>
      <c r="D156" s="57" t="str">
        <f t="array" ref="D156">IF($A156="","",INDEX('主表 Stock_Transaction_Log'!$G:$G,$A156))</f>
        <v/>
      </c>
      <c r="E156" s="57" t="str">
        <f t="array" ref="E156">IF($A156="","",INDEX('主表 Stock_Transaction_Log'!$H:$H,$A156))</f>
        <v/>
      </c>
      <c r="F156" s="57" t="str">
        <f t="array" ref="F156">IF($A156="","",INDEX('主表 Stock_Transaction_Log'!$I:$I,$A156))</f>
        <v/>
      </c>
      <c r="G156" s="57" t="str">
        <f t="array" ref="G156">IF($A156="","",IF(INDEX('主表 Stock_Transaction_Log'!$R:$R,$A156)=0,"",INDEX('主表 Stock_Transaction_Log'!$R:$R,$A156)))</f>
        <v/>
      </c>
      <c r="H156" s="57">
        <f t="array" ref="H156">IF($A156="","",SUMIF('主表 Stock_Transaction_Log'!$T:$T,INDEX('主表 Stock_Transaction_Log'!$T:$T,$A156),'主表 Stock_Transaction_Log'!$S:$S)+SUMIF('主表 Stock_Transaction_Log'!$AB:$AB,INDEX('主表 Stock_Transaction_Log'!$T:$T,$A156),'主表 Stock_Transaction_Log'!$AC:$AC))</f>
        <v>99</v>
      </c>
      <c r="I156" s="57" t="str">
        <f t="shared" si="1"/>
        <v>In Stock / 在库</v>
      </c>
      <c r="J156" s="57" t="str">
        <f t="shared" si="2"/>
        <v>Stock line / 库存明细</v>
      </c>
      <c r="K156" s="57" t="b">
        <f t="shared" si="3"/>
        <v>1</v>
      </c>
      <c r="L156" s="57" t="str">
        <f t="array" ref="L156">IF($A156="","",INDEX('主表 Stock_Transaction_Log'!$P:$P,$A156))</f>
        <v>Material / 物料</v>
      </c>
      <c r="M156" s="57">
        <f>IF($A156="","",IF($H156&lt;=0,0,SUMIFS('主表 Stock_Transaction_Log'!$K$2:$K1000,'主表 Stock_Transaction_Log'!$C$2:$C1000,"Prepared",'主表 Stock_Transaction_Log'!$L$2:$L1000,$B156,'主表 Stock_Transaction_Log'!$F$2:$F1000,$C156,'主表 Stock_Transaction_Log'!$G$2:$G1000,$D156,'主表 Stock_Transaction_Log'!$P$2:$P1000,$L156)))</f>
        <v>0</v>
      </c>
      <c r="N156" s="57"/>
      <c r="O156" s="57" t="str">
        <f t="shared" si="4"/>
        <v/>
      </c>
      <c r="P156" s="57" t="str">
        <f t="shared" si="5"/>
        <v/>
      </c>
      <c r="Q156" s="57" t="str">
        <f t="shared" si="9"/>
        <v/>
      </c>
      <c r="R156" s="57" t="str">
        <f t="shared" si="7"/>
        <v/>
      </c>
      <c r="S156" s="57" t="str">
        <f t="shared" si="8"/>
        <v/>
      </c>
      <c r="T156" s="58"/>
      <c r="U156" s="58"/>
      <c r="V156" s="58"/>
      <c r="W156" s="58"/>
      <c r="X156" s="58"/>
      <c r="Y156" s="58"/>
      <c r="Z156" s="58"/>
      <c r="AA156" s="58"/>
    </row>
    <row r="157">
      <c r="A157" s="57">
        <f>IF('主表 Stock_Transaction_Log'!$T157="","",IF(COUNTIF('主表 Stock_Transaction_Log'!$T$2:$T157,'主表 Stock_Transaction_Log'!$T157)=1,ROW('主表 Stock_Transaction_Log'!$T157),""))</f>
        <v>157</v>
      </c>
      <c r="B157" s="57" t="str">
        <f t="array" ref="B157">IF($A157="","",INDEX('主表 Stock_Transaction_Log'!$Q:$Q,$A157))</f>
        <v>R1-3-5-R</v>
      </c>
      <c r="C157" s="57" t="str">
        <f t="array" ref="C157">IF($A157="","",IF(INDEX('主表 Stock_Transaction_Log'!$F:$F,$A157)=0,"",INDEX('主表 Stock_Transaction_Log'!$F:$F,$A157)))</f>
        <v/>
      </c>
      <c r="D157" s="57" t="str">
        <f t="array" ref="D157">IF($A157="","",INDEX('主表 Stock_Transaction_Log'!$G:$G,$A157))</f>
        <v/>
      </c>
      <c r="E157" s="57" t="str">
        <f t="array" ref="E157">IF($A157="","",INDEX('主表 Stock_Transaction_Log'!$H:$H,$A157))</f>
        <v/>
      </c>
      <c r="F157" s="57" t="str">
        <f t="array" ref="F157">IF($A157="","",INDEX('主表 Stock_Transaction_Log'!$I:$I,$A157))</f>
        <v/>
      </c>
      <c r="G157" s="57" t="str">
        <f t="array" ref="G157">IF($A157="","",IF(INDEX('主表 Stock_Transaction_Log'!$R:$R,$A157)=0,"",INDEX('主表 Stock_Transaction_Log'!$R:$R,$A157)))</f>
        <v/>
      </c>
      <c r="H157" s="57">
        <f t="array" ref="H157">IF($A157="","",SUMIF('主表 Stock_Transaction_Log'!$T:$T,INDEX('主表 Stock_Transaction_Log'!$T:$T,$A157),'主表 Stock_Transaction_Log'!$S:$S)+SUMIF('主表 Stock_Transaction_Log'!$AB:$AB,INDEX('主表 Stock_Transaction_Log'!$T:$T,$A157),'主表 Stock_Transaction_Log'!$AC:$AC))</f>
        <v>99</v>
      </c>
      <c r="I157" s="57" t="str">
        <f t="shared" si="1"/>
        <v>In Stock / 在库</v>
      </c>
      <c r="J157" s="57" t="str">
        <f t="shared" si="2"/>
        <v>Stock line / 库存明细</v>
      </c>
      <c r="K157" s="57" t="b">
        <f t="shared" si="3"/>
        <v>1</v>
      </c>
      <c r="L157" s="57" t="str">
        <f t="array" ref="L157">IF($A157="","",INDEX('主表 Stock_Transaction_Log'!$P:$P,$A157))</f>
        <v>Material / 物料</v>
      </c>
      <c r="M157" s="57">
        <f>IF($A157="","",IF($H157&lt;=0,0,SUMIFS('主表 Stock_Transaction_Log'!$K$2:$K1000,'主表 Stock_Transaction_Log'!$C$2:$C1000,"Prepared",'主表 Stock_Transaction_Log'!$L$2:$L1000,$B157,'主表 Stock_Transaction_Log'!$F$2:$F1000,$C157,'主表 Stock_Transaction_Log'!$G$2:$G1000,$D157,'主表 Stock_Transaction_Log'!$P$2:$P1000,$L157)))</f>
        <v>0</v>
      </c>
      <c r="N157" s="57"/>
      <c r="O157" s="57" t="str">
        <f t="shared" si="4"/>
        <v/>
      </c>
      <c r="P157" s="57" t="str">
        <f t="shared" si="5"/>
        <v/>
      </c>
      <c r="Q157" s="57" t="str">
        <f t="shared" si="9"/>
        <v/>
      </c>
      <c r="R157" s="57" t="str">
        <f t="shared" si="7"/>
        <v/>
      </c>
      <c r="S157" s="57" t="str">
        <f t="shared" si="8"/>
        <v/>
      </c>
      <c r="T157" s="58"/>
      <c r="U157" s="58"/>
      <c r="V157" s="58"/>
      <c r="W157" s="58"/>
      <c r="X157" s="58"/>
      <c r="Y157" s="58"/>
      <c r="Z157" s="58"/>
      <c r="AA157" s="58"/>
    </row>
    <row r="158">
      <c r="A158" s="57">
        <f>IF('主表 Stock_Transaction_Log'!$T158="","",IF(COUNTIF('主表 Stock_Transaction_Log'!$T$2:$T158,'主表 Stock_Transaction_Log'!$T158)=1,ROW('主表 Stock_Transaction_Log'!$T158),""))</f>
        <v>158</v>
      </c>
      <c r="B158" s="57" t="str">
        <f t="array" ref="B158">IF($A158="","",INDEX('主表 Stock_Transaction_Log'!$Q:$Q,$A158))</f>
        <v>R1-4-5-L</v>
      </c>
      <c r="C158" s="57" t="str">
        <f t="array" ref="C158">IF($A158="","",IF(INDEX('主表 Stock_Transaction_Log'!$F:$F,$A158)=0,"",INDEX('主表 Stock_Transaction_Log'!$F:$F,$A158)))</f>
        <v/>
      </c>
      <c r="D158" s="57" t="str">
        <f t="array" ref="D158">IF($A158="","",INDEX('主表 Stock_Transaction_Log'!$G:$G,$A158))</f>
        <v/>
      </c>
      <c r="E158" s="57" t="str">
        <f t="array" ref="E158">IF($A158="","",INDEX('主表 Stock_Transaction_Log'!$H:$H,$A158))</f>
        <v/>
      </c>
      <c r="F158" s="57" t="str">
        <f t="array" ref="F158">IF($A158="","",INDEX('主表 Stock_Transaction_Log'!$I:$I,$A158))</f>
        <v/>
      </c>
      <c r="G158" s="57" t="str">
        <f t="array" ref="G158">IF($A158="","",IF(INDEX('主表 Stock_Transaction_Log'!$R:$R,$A158)=0,"",INDEX('主表 Stock_Transaction_Log'!$R:$R,$A158)))</f>
        <v/>
      </c>
      <c r="H158" s="57">
        <f t="array" ref="H158">IF($A158="","",SUMIF('主表 Stock_Transaction_Log'!$T:$T,INDEX('主表 Stock_Transaction_Log'!$T:$T,$A158),'主表 Stock_Transaction_Log'!$S:$S)+SUMIF('主表 Stock_Transaction_Log'!$AB:$AB,INDEX('主表 Stock_Transaction_Log'!$T:$T,$A158),'主表 Stock_Transaction_Log'!$AC:$AC))</f>
        <v>99</v>
      </c>
      <c r="I158" s="57" t="str">
        <f t="shared" si="1"/>
        <v>In Stock / 在库</v>
      </c>
      <c r="J158" s="57" t="str">
        <f t="shared" si="2"/>
        <v>Stock line / 库存明细</v>
      </c>
      <c r="K158" s="57" t="b">
        <f t="shared" si="3"/>
        <v>1</v>
      </c>
      <c r="L158" s="57" t="str">
        <f t="array" ref="L158">IF($A158="","",INDEX('主表 Stock_Transaction_Log'!$P:$P,$A158))</f>
        <v>Material / 物料</v>
      </c>
      <c r="M158" s="57">
        <f>IF($A158="","",IF($H158&lt;=0,0,SUMIFS('主表 Stock_Transaction_Log'!$K$2:$K1000,'主表 Stock_Transaction_Log'!$C$2:$C1000,"Prepared",'主表 Stock_Transaction_Log'!$L$2:$L1000,$B158,'主表 Stock_Transaction_Log'!$F$2:$F1000,$C158,'主表 Stock_Transaction_Log'!$G$2:$G1000,$D158,'主表 Stock_Transaction_Log'!$P$2:$P1000,$L158)))</f>
        <v>0</v>
      </c>
      <c r="N158" s="57"/>
      <c r="O158" s="57" t="str">
        <f t="shared" si="4"/>
        <v/>
      </c>
      <c r="P158" s="57" t="str">
        <f t="shared" si="5"/>
        <v/>
      </c>
      <c r="Q158" s="57" t="str">
        <f t="shared" si="9"/>
        <v/>
      </c>
      <c r="R158" s="57" t="str">
        <f t="shared" si="7"/>
        <v/>
      </c>
      <c r="S158" s="57" t="str">
        <f t="shared" si="8"/>
        <v/>
      </c>
      <c r="T158" s="58"/>
      <c r="U158" s="58"/>
      <c r="V158" s="58"/>
      <c r="W158" s="58"/>
      <c r="X158" s="58"/>
      <c r="Y158" s="58"/>
      <c r="Z158" s="58"/>
      <c r="AA158" s="58"/>
    </row>
    <row r="159">
      <c r="A159" s="57" t="str">
        <f>IF('主表 Stock_Transaction_Log'!$T159="","",IF(COUNTIF('主表 Stock_Transaction_Log'!$T$2:$T159,'主表 Stock_Transaction_Log'!$T159)=1,ROW('主表 Stock_Transaction_Log'!$T159),""))</f>
        <v/>
      </c>
      <c r="B159" s="57" t="str">
        <f t="array" ref="B159">IF($A159="","",INDEX('主表 Stock_Transaction_Log'!$Q:$Q,$A159))</f>
        <v/>
      </c>
      <c r="C159" s="57" t="str">
        <f t="array" ref="C159">IF($A159="","",IF(INDEX('主表 Stock_Transaction_Log'!$F:$F,$A159)=0,"",INDEX('主表 Stock_Transaction_Log'!$F:$F,$A159)))</f>
        <v/>
      </c>
      <c r="D159" s="57" t="str">
        <f t="array" ref="D159">IF($A159="","",INDEX('主表 Stock_Transaction_Log'!$G:$G,$A159))</f>
        <v/>
      </c>
      <c r="E159" s="57" t="str">
        <f t="array" ref="E159">IF($A159="","",INDEX('主表 Stock_Transaction_Log'!$H:$H,$A159))</f>
        <v/>
      </c>
      <c r="F159" s="57" t="str">
        <f t="array" ref="F159">IF($A159="","",INDEX('主表 Stock_Transaction_Log'!$I:$I,$A159))</f>
        <v/>
      </c>
      <c r="G159" s="57" t="str">
        <f t="array" ref="G159">IF($A159="","",IF(INDEX('主表 Stock_Transaction_Log'!$R:$R,$A159)=0,"",INDEX('主表 Stock_Transaction_Log'!$R:$R,$A159)))</f>
        <v/>
      </c>
      <c r="H159" s="57" t="str">
        <f t="array" ref="H159">IF($A159="","",SUMIF('主表 Stock_Transaction_Log'!$T:$T,INDEX('主表 Stock_Transaction_Log'!$T:$T,$A159),'主表 Stock_Transaction_Log'!$S:$S)+SUMIF('主表 Stock_Transaction_Log'!$AB:$AB,INDEX('主表 Stock_Transaction_Log'!$T:$T,$A159),'主表 Stock_Transaction_Log'!$AC:$AC))</f>
        <v/>
      </c>
      <c r="I159" s="57" t="str">
        <f t="shared" si="1"/>
        <v/>
      </c>
      <c r="J159" s="57" t="str">
        <f t="shared" si="2"/>
        <v/>
      </c>
      <c r="K159" s="57" t="str">
        <f t="shared" si="3"/>
        <v/>
      </c>
      <c r="L159" s="57" t="str">
        <f t="array" ref="L159">IF($A159="","",INDEX('主表 Stock_Transaction_Log'!$P:$P,$A159))</f>
        <v/>
      </c>
      <c r="M159" s="57" t="str">
        <f>IF($A159="","",IF($H159&lt;=0,0,SUMIFS('主表 Stock_Transaction_Log'!$K$2:$K1000,'主表 Stock_Transaction_Log'!$C$2:$C1000,"Prepared",'主表 Stock_Transaction_Log'!$L$2:$L1000,$B159,'主表 Stock_Transaction_Log'!$F$2:$F1000,$C159,'主表 Stock_Transaction_Log'!$G$2:$G1000,$D159,'主表 Stock_Transaction_Log'!$P$2:$P1000,$L159)))</f>
        <v/>
      </c>
      <c r="N159" s="57"/>
      <c r="O159" s="57" t="str">
        <f t="shared" si="4"/>
        <v/>
      </c>
      <c r="P159" s="57" t="str">
        <f t="shared" si="5"/>
        <v/>
      </c>
      <c r="Q159" s="57" t="str">
        <f t="shared" si="9"/>
        <v/>
      </c>
      <c r="R159" s="57" t="str">
        <f t="shared" si="7"/>
        <v/>
      </c>
      <c r="S159" s="57" t="str">
        <f t="shared" si="8"/>
        <v/>
      </c>
      <c r="T159" s="58"/>
      <c r="U159" s="58"/>
      <c r="V159" s="58"/>
      <c r="W159" s="58"/>
      <c r="X159" s="58"/>
      <c r="Y159" s="58"/>
      <c r="Z159" s="58"/>
      <c r="AA159" s="58"/>
    </row>
    <row r="160">
      <c r="A160" s="57" t="str">
        <f>IF('主表 Stock_Transaction_Log'!$T160="","",IF(COUNTIF('主表 Stock_Transaction_Log'!$T$2:$T160,'主表 Stock_Transaction_Log'!$T160)=1,ROW('主表 Stock_Transaction_Log'!$T160),""))</f>
        <v/>
      </c>
      <c r="B160" s="57" t="str">
        <f t="array" ref="B160">IF($A160="","",INDEX('主表 Stock_Transaction_Log'!$Q:$Q,$A160))</f>
        <v/>
      </c>
      <c r="C160" s="57" t="str">
        <f t="array" ref="C160">IF($A160="","",IF(INDEX('主表 Stock_Transaction_Log'!$F:$F,$A160)=0,"",INDEX('主表 Stock_Transaction_Log'!$F:$F,$A160)))</f>
        <v/>
      </c>
      <c r="D160" s="57" t="str">
        <f t="array" ref="D160">IF($A160="","",INDEX('主表 Stock_Transaction_Log'!$G:$G,$A160))</f>
        <v/>
      </c>
      <c r="E160" s="57" t="str">
        <f t="array" ref="E160">IF($A160="","",INDEX('主表 Stock_Transaction_Log'!$H:$H,$A160))</f>
        <v/>
      </c>
      <c r="F160" s="57" t="str">
        <f t="array" ref="F160">IF($A160="","",INDEX('主表 Stock_Transaction_Log'!$I:$I,$A160))</f>
        <v/>
      </c>
      <c r="G160" s="57" t="str">
        <f t="array" ref="G160">IF($A160="","",IF(INDEX('主表 Stock_Transaction_Log'!$R:$R,$A160)=0,"",INDEX('主表 Stock_Transaction_Log'!$R:$R,$A160)))</f>
        <v/>
      </c>
      <c r="H160" s="57" t="str">
        <f t="array" ref="H160">IF($A160="","",SUMIF('主表 Stock_Transaction_Log'!$T:$T,INDEX('主表 Stock_Transaction_Log'!$T:$T,$A160),'主表 Stock_Transaction_Log'!$S:$S)+SUMIF('主表 Stock_Transaction_Log'!$AB:$AB,INDEX('主表 Stock_Transaction_Log'!$T:$T,$A160),'主表 Stock_Transaction_Log'!$AC:$AC))</f>
        <v/>
      </c>
      <c r="I160" s="57" t="str">
        <f t="shared" si="1"/>
        <v/>
      </c>
      <c r="J160" s="57" t="str">
        <f t="shared" si="2"/>
        <v/>
      </c>
      <c r="K160" s="57" t="str">
        <f t="shared" si="3"/>
        <v/>
      </c>
      <c r="L160" s="57" t="str">
        <f t="array" ref="L160">IF($A160="","",INDEX('主表 Stock_Transaction_Log'!$P:$P,$A160))</f>
        <v/>
      </c>
      <c r="M160" s="57" t="str">
        <f>IF($A160="","",IF($H160&lt;=0,0,SUMIFS('主表 Stock_Transaction_Log'!$K$2:$K1000,'主表 Stock_Transaction_Log'!$C$2:$C1000,"Prepared",'主表 Stock_Transaction_Log'!$L$2:$L1000,$B160,'主表 Stock_Transaction_Log'!$F$2:$F1000,$C160,'主表 Stock_Transaction_Log'!$G$2:$G1000,$D160,'主表 Stock_Transaction_Log'!$P$2:$P1000,$L160)))</f>
        <v/>
      </c>
      <c r="N160" s="57"/>
      <c r="O160" s="57" t="str">
        <f t="shared" si="4"/>
        <v/>
      </c>
      <c r="P160" s="57" t="str">
        <f t="shared" si="5"/>
        <v/>
      </c>
      <c r="Q160" s="57" t="str">
        <f t="shared" si="9"/>
        <v/>
      </c>
      <c r="R160" s="57" t="str">
        <f t="shared" si="7"/>
        <v/>
      </c>
      <c r="S160" s="57" t="str">
        <f t="shared" si="8"/>
        <v/>
      </c>
      <c r="T160" s="58"/>
      <c r="U160" s="58"/>
      <c r="V160" s="58"/>
      <c r="W160" s="58"/>
      <c r="X160" s="58"/>
      <c r="Y160" s="58"/>
      <c r="Z160" s="58"/>
      <c r="AA160" s="58"/>
    </row>
    <row r="161">
      <c r="A161" s="57">
        <f>IF('主表 Stock_Transaction_Log'!$T161="","",IF(COUNTIF('主表 Stock_Transaction_Log'!$T$2:$T161,'主表 Stock_Transaction_Log'!$T161)=1,ROW('主表 Stock_Transaction_Log'!$T161),""))</f>
        <v>161</v>
      </c>
      <c r="B161" s="57" t="str">
        <f t="array" ref="B161">IF($A161="","",INDEX('主表 Stock_Transaction_Log'!$Q:$Q,$A161))</f>
        <v>R1-2-2-R</v>
      </c>
      <c r="C161" s="57" t="str">
        <f t="array" ref="C161">IF($A161="","",IF(INDEX('主表 Stock_Transaction_Log'!$F:$F,$A161)=0,"",INDEX('主表 Stock_Transaction_Log'!$F:$F,$A161)))</f>
        <v/>
      </c>
      <c r="D161" s="57" t="str">
        <f t="array" ref="D161">IF($A161="","",INDEX('主表 Stock_Transaction_Log'!$G:$G,$A161))</f>
        <v/>
      </c>
      <c r="E161" s="57" t="str">
        <f t="array" ref="E161">IF($A161="","",INDEX('主表 Stock_Transaction_Log'!$H:$H,$A161))</f>
        <v/>
      </c>
      <c r="F161" s="57" t="str">
        <f t="array" ref="F161">IF($A161="","",INDEX('主表 Stock_Transaction_Log'!$I:$I,$A161))</f>
        <v/>
      </c>
      <c r="G161" s="57" t="str">
        <f t="array" ref="G161">IF($A161="","",IF(INDEX('主表 Stock_Transaction_Log'!$R:$R,$A161)=0,"",INDEX('主表 Stock_Transaction_Log'!$R:$R,$A161)))</f>
        <v/>
      </c>
      <c r="H161" s="57">
        <f t="array" ref="H161">IF($A161="","",SUMIF('主表 Stock_Transaction_Log'!$T:$T,INDEX('主表 Stock_Transaction_Log'!$T:$T,$A161),'主表 Stock_Transaction_Log'!$S:$S)+SUMIF('主表 Stock_Transaction_Log'!$AB:$AB,INDEX('主表 Stock_Transaction_Log'!$T:$T,$A161),'主表 Stock_Transaction_Log'!$AC:$AC))</f>
        <v>99</v>
      </c>
      <c r="I161" s="57" t="str">
        <f t="shared" si="1"/>
        <v>In Stock / 在库</v>
      </c>
      <c r="J161" s="57" t="str">
        <f t="shared" si="2"/>
        <v>Stock line / 库存明细</v>
      </c>
      <c r="K161" s="57" t="b">
        <f t="shared" si="3"/>
        <v>1</v>
      </c>
      <c r="L161" s="57" t="str">
        <f t="array" ref="L161">IF($A161="","",INDEX('主表 Stock_Transaction_Log'!$P:$P,$A161))</f>
        <v>Material / 物料</v>
      </c>
      <c r="M161" s="57">
        <f>IF($A161="","",IF($H161&lt;=0,0,SUMIFS('主表 Stock_Transaction_Log'!$K$2:$K1000,'主表 Stock_Transaction_Log'!$C$2:$C1000,"Prepared",'主表 Stock_Transaction_Log'!$L$2:$L1000,$B161,'主表 Stock_Transaction_Log'!$F$2:$F1000,$C161,'主表 Stock_Transaction_Log'!$G$2:$G1000,$D161,'主表 Stock_Transaction_Log'!$P$2:$P1000,$L161)))</f>
        <v>0</v>
      </c>
      <c r="N161" s="57"/>
      <c r="O161" s="57" t="str">
        <f t="shared" si="4"/>
        <v/>
      </c>
      <c r="P161" s="57" t="str">
        <f t="shared" si="5"/>
        <v/>
      </c>
      <c r="Q161" s="57" t="str">
        <f t="shared" si="9"/>
        <v/>
      </c>
      <c r="R161" s="57" t="str">
        <f t="shared" si="7"/>
        <v/>
      </c>
      <c r="S161" s="57" t="str">
        <f t="shared" si="8"/>
        <v/>
      </c>
      <c r="T161" s="58"/>
      <c r="U161" s="58"/>
      <c r="V161" s="58"/>
      <c r="W161" s="58"/>
      <c r="X161" s="58"/>
      <c r="Y161" s="58"/>
      <c r="Z161" s="58"/>
      <c r="AA161" s="58"/>
    </row>
    <row r="162">
      <c r="A162" s="57">
        <f>IF('主表 Stock_Transaction_Log'!$T162="","",IF(COUNTIF('主表 Stock_Transaction_Log'!$T$2:$T162,'主表 Stock_Transaction_Log'!$T162)=1,ROW('主表 Stock_Transaction_Log'!$T162),""))</f>
        <v>162</v>
      </c>
      <c r="B162" s="57" t="str">
        <f t="array" ref="B162">IF($A162="","",INDEX('主表 Stock_Transaction_Log'!$Q:$Q,$A162))</f>
        <v>R1-2-3-L</v>
      </c>
      <c r="C162" s="57" t="str">
        <f t="array" ref="C162">IF($A162="","",IF(INDEX('主表 Stock_Transaction_Log'!$F:$F,$A162)=0,"",INDEX('主表 Stock_Transaction_Log'!$F:$F,$A162)))</f>
        <v/>
      </c>
      <c r="D162" s="57" t="str">
        <f t="array" ref="D162">IF($A162="","",INDEX('主表 Stock_Transaction_Log'!$G:$G,$A162))</f>
        <v/>
      </c>
      <c r="E162" s="57" t="str">
        <f t="array" ref="E162">IF($A162="","",INDEX('主表 Stock_Transaction_Log'!$H:$H,$A162))</f>
        <v/>
      </c>
      <c r="F162" s="57" t="str">
        <f t="array" ref="F162">IF($A162="","",INDEX('主表 Stock_Transaction_Log'!$I:$I,$A162))</f>
        <v/>
      </c>
      <c r="G162" s="57" t="str">
        <f t="array" ref="G162">IF($A162="","",IF(INDEX('主表 Stock_Transaction_Log'!$R:$R,$A162)=0,"",INDEX('主表 Stock_Transaction_Log'!$R:$R,$A162)))</f>
        <v/>
      </c>
      <c r="H162" s="57">
        <f t="array" ref="H162">IF($A162="","",SUMIF('主表 Stock_Transaction_Log'!$T:$T,INDEX('主表 Stock_Transaction_Log'!$T:$T,$A162),'主表 Stock_Transaction_Log'!$S:$S)+SUMIF('主表 Stock_Transaction_Log'!$AB:$AB,INDEX('主表 Stock_Transaction_Log'!$T:$T,$A162),'主表 Stock_Transaction_Log'!$AC:$AC))</f>
        <v>99</v>
      </c>
      <c r="I162" s="57" t="str">
        <f t="shared" si="1"/>
        <v>In Stock / 在库</v>
      </c>
      <c r="J162" s="57" t="str">
        <f t="shared" si="2"/>
        <v>Stock line / 库存明细</v>
      </c>
      <c r="K162" s="57" t="b">
        <f t="shared" si="3"/>
        <v>1</v>
      </c>
      <c r="L162" s="57" t="str">
        <f t="array" ref="L162">IF($A162="","",INDEX('主表 Stock_Transaction_Log'!$P:$P,$A162))</f>
        <v>Material / 物料</v>
      </c>
      <c r="M162" s="57">
        <f>IF($A162="","",IF($H162&lt;=0,0,SUMIFS('主表 Stock_Transaction_Log'!$K$2:$K1000,'主表 Stock_Transaction_Log'!$C$2:$C1000,"Prepared",'主表 Stock_Transaction_Log'!$L$2:$L1000,$B162,'主表 Stock_Transaction_Log'!$F$2:$F1000,$C162,'主表 Stock_Transaction_Log'!$G$2:$G1000,$D162,'主表 Stock_Transaction_Log'!$P$2:$P1000,$L162)))</f>
        <v>0</v>
      </c>
      <c r="N162" s="57"/>
      <c r="O162" s="57" t="str">
        <f t="shared" si="4"/>
        <v/>
      </c>
      <c r="P162" s="57" t="str">
        <f t="shared" si="5"/>
        <v/>
      </c>
      <c r="Q162" s="57" t="str">
        <f t="shared" si="9"/>
        <v/>
      </c>
      <c r="R162" s="57" t="str">
        <f t="shared" si="7"/>
        <v/>
      </c>
      <c r="S162" s="57" t="str">
        <f t="shared" si="8"/>
        <v/>
      </c>
      <c r="T162" s="58"/>
      <c r="U162" s="58"/>
      <c r="V162" s="58"/>
      <c r="W162" s="58"/>
      <c r="X162" s="58"/>
      <c r="Y162" s="58"/>
      <c r="Z162" s="58"/>
      <c r="AA162" s="58"/>
    </row>
    <row r="163">
      <c r="A163" s="57">
        <f>IF('主表 Stock_Transaction_Log'!$T163="","",IF(COUNTIF('主表 Stock_Transaction_Log'!$T$2:$T163,'主表 Stock_Transaction_Log'!$T163)=1,ROW('主表 Stock_Transaction_Log'!$T163),""))</f>
        <v>163</v>
      </c>
      <c r="B163" s="57" t="str">
        <f t="array" ref="B163">IF($A163="","",INDEX('主表 Stock_Transaction_Log'!$Q:$Q,$A163))</f>
        <v>R1-2-3-R</v>
      </c>
      <c r="C163" s="57" t="str">
        <f t="array" ref="C163">IF($A163="","",IF(INDEX('主表 Stock_Transaction_Log'!$F:$F,$A163)=0,"",INDEX('主表 Stock_Transaction_Log'!$F:$F,$A163)))</f>
        <v/>
      </c>
      <c r="D163" s="57" t="str">
        <f t="array" ref="D163">IF($A163="","",INDEX('主表 Stock_Transaction_Log'!$G:$G,$A163))</f>
        <v/>
      </c>
      <c r="E163" s="57" t="str">
        <f t="array" ref="E163">IF($A163="","",INDEX('主表 Stock_Transaction_Log'!$H:$H,$A163))</f>
        <v/>
      </c>
      <c r="F163" s="57" t="str">
        <f t="array" ref="F163">IF($A163="","",INDEX('主表 Stock_Transaction_Log'!$I:$I,$A163))</f>
        <v/>
      </c>
      <c r="G163" s="57" t="str">
        <f t="array" ref="G163">IF($A163="","",IF(INDEX('主表 Stock_Transaction_Log'!$R:$R,$A163)=0,"",INDEX('主表 Stock_Transaction_Log'!$R:$R,$A163)))</f>
        <v/>
      </c>
      <c r="H163" s="57">
        <f t="array" ref="H163">IF($A163="","",SUMIF('主表 Stock_Transaction_Log'!$T:$T,INDEX('主表 Stock_Transaction_Log'!$T:$T,$A163),'主表 Stock_Transaction_Log'!$S:$S)+SUMIF('主表 Stock_Transaction_Log'!$AB:$AB,INDEX('主表 Stock_Transaction_Log'!$T:$T,$A163),'主表 Stock_Transaction_Log'!$AC:$AC))</f>
        <v>99</v>
      </c>
      <c r="I163" s="57" t="str">
        <f t="shared" si="1"/>
        <v>In Stock / 在库</v>
      </c>
      <c r="J163" s="57" t="str">
        <f t="shared" si="2"/>
        <v>Stock line / 库存明细</v>
      </c>
      <c r="K163" s="57" t="b">
        <f t="shared" si="3"/>
        <v>1</v>
      </c>
      <c r="L163" s="57" t="str">
        <f t="array" ref="L163">IF($A163="","",INDEX('主表 Stock_Transaction_Log'!$P:$P,$A163))</f>
        <v>Material / 物料</v>
      </c>
      <c r="M163" s="57">
        <f>IF($A163="","",IF($H163&lt;=0,0,SUMIFS('主表 Stock_Transaction_Log'!$K$2:$K1000,'主表 Stock_Transaction_Log'!$C$2:$C1000,"Prepared",'主表 Stock_Transaction_Log'!$L$2:$L1000,$B163,'主表 Stock_Transaction_Log'!$F$2:$F1000,$C163,'主表 Stock_Transaction_Log'!$G$2:$G1000,$D163,'主表 Stock_Transaction_Log'!$P$2:$P1000,$L163)))</f>
        <v>0</v>
      </c>
      <c r="N163" s="57"/>
      <c r="O163" s="57" t="str">
        <f t="shared" si="4"/>
        <v/>
      </c>
      <c r="P163" s="57" t="str">
        <f t="shared" si="5"/>
        <v/>
      </c>
      <c r="Q163" s="57" t="str">
        <f t="shared" si="9"/>
        <v/>
      </c>
      <c r="R163" s="57" t="str">
        <f t="shared" si="7"/>
        <v/>
      </c>
      <c r="S163" s="57" t="str">
        <f t="shared" si="8"/>
        <v/>
      </c>
      <c r="T163" s="58"/>
      <c r="U163" s="58"/>
      <c r="V163" s="58"/>
      <c r="W163" s="58"/>
      <c r="X163" s="58"/>
      <c r="Y163" s="58"/>
      <c r="Z163" s="58"/>
      <c r="AA163" s="58"/>
    </row>
    <row r="164">
      <c r="A164" s="57">
        <f>IF('主表 Stock_Transaction_Log'!$T164="","",IF(COUNTIF('主表 Stock_Transaction_Log'!$T$2:$T164,'主表 Stock_Transaction_Log'!$T164)=1,ROW('主表 Stock_Transaction_Log'!$T164),""))</f>
        <v>164</v>
      </c>
      <c r="B164" s="57" t="str">
        <f t="array" ref="B164">IF($A164="","",INDEX('主表 Stock_Transaction_Log'!$Q:$Q,$A164))</f>
        <v>R2-3-1-R</v>
      </c>
      <c r="C164" s="57" t="str">
        <f t="array" ref="C164">IF($A164="","",IF(INDEX('主表 Stock_Transaction_Log'!$F:$F,$A164)=0,"",INDEX('主表 Stock_Transaction_Log'!$F:$F,$A164)))</f>
        <v/>
      </c>
      <c r="D164" s="57" t="str">
        <f t="array" ref="D164">IF($A164="","",INDEX('主表 Stock_Transaction_Log'!$G:$G,$A164))</f>
        <v>坏机</v>
      </c>
      <c r="E164" s="57" t="str">
        <f t="array" ref="E164">IF($A164="","",INDEX('主表 Stock_Transaction_Log'!$H:$H,$A164))</f>
        <v>SKU not found</v>
      </c>
      <c r="F164" s="57" t="str">
        <f t="array" ref="F164">IF($A164="","",INDEX('主表 Stock_Transaction_Log'!$I:$I,$A164))</f>
        <v>Item type not found</v>
      </c>
      <c r="G164" s="57" t="str">
        <f t="array" ref="G164">IF($A164="","",IF(INDEX('主表 Stock_Transaction_Log'!$R:$R,$A164)=0,"",INDEX('主表 Stock_Transaction_Log'!$R:$R,$A164)))</f>
        <v/>
      </c>
      <c r="H164" s="57">
        <f t="array" ref="H164">IF($A164="","",SUMIF('主表 Stock_Transaction_Log'!$T:$T,INDEX('主表 Stock_Transaction_Log'!$T:$T,$A164),'主表 Stock_Transaction_Log'!$S:$S)+SUMIF('主表 Stock_Transaction_Log'!$AB:$AB,INDEX('主表 Stock_Transaction_Log'!$T:$T,$A164),'主表 Stock_Transaction_Log'!$AC:$AC))</f>
        <v>99</v>
      </c>
      <c r="I164" s="57" t="str">
        <f t="shared" si="1"/>
        <v>In Stock / 在库</v>
      </c>
      <c r="J164" s="57" t="str">
        <f t="shared" si="2"/>
        <v>Stock line / 库存明细</v>
      </c>
      <c r="K164" s="57" t="b">
        <f t="shared" si="3"/>
        <v>1</v>
      </c>
      <c r="L164" s="57" t="str">
        <f t="array" ref="L164">IF($A164="","",INDEX('主表 Stock_Transaction_Log'!$P:$P,$A164))</f>
        <v>Repair / 待修</v>
      </c>
      <c r="M164" s="57">
        <f>IF($A164="","",IF($H164&lt;=0,0,SUMIFS('主表 Stock_Transaction_Log'!$K$2:$K1000,'主表 Stock_Transaction_Log'!$C$2:$C1000,"Prepared",'主表 Stock_Transaction_Log'!$L$2:$L1000,$B164,'主表 Stock_Transaction_Log'!$F$2:$F1000,$C164,'主表 Stock_Transaction_Log'!$G$2:$G1000,$D164,'主表 Stock_Transaction_Log'!$P$2:$P1000,$L164)))</f>
        <v>0</v>
      </c>
      <c r="N164" s="57"/>
      <c r="O164" s="57" t="str">
        <f t="shared" si="4"/>
        <v/>
      </c>
      <c r="P164" s="57" t="str">
        <f t="shared" si="5"/>
        <v/>
      </c>
      <c r="Q164" s="57" t="str">
        <f t="shared" si="9"/>
        <v/>
      </c>
      <c r="R164" s="57" t="str">
        <f t="shared" si="7"/>
        <v/>
      </c>
      <c r="S164" s="57" t="str">
        <f t="shared" si="8"/>
        <v/>
      </c>
      <c r="T164" s="58"/>
      <c r="U164" s="58"/>
      <c r="V164" s="58"/>
      <c r="W164" s="58"/>
      <c r="X164" s="58"/>
      <c r="Y164" s="58"/>
      <c r="Z164" s="58"/>
      <c r="AA164" s="58"/>
    </row>
    <row r="165">
      <c r="A165" s="57">
        <f>IF('主表 Stock_Transaction_Log'!$T165="","",IF(COUNTIF('主表 Stock_Transaction_Log'!$T$2:$T165,'主表 Stock_Transaction_Log'!$T165)=1,ROW('主表 Stock_Transaction_Log'!$T165),""))</f>
        <v>165</v>
      </c>
      <c r="B165" s="57" t="str">
        <f t="array" ref="B165">IF($A165="","",INDEX('主表 Stock_Transaction_Log'!$Q:$Q,$A165))</f>
        <v>R2-2-1-L</v>
      </c>
      <c r="C165" s="57" t="str">
        <f t="array" ref="C165">IF($A165="","",IF(INDEX('主表 Stock_Transaction_Log'!$F:$F,$A165)=0,"",INDEX('主表 Stock_Transaction_Log'!$F:$F,$A165)))</f>
        <v/>
      </c>
      <c r="D165" s="57" t="str">
        <f t="array" ref="D165">IF($A165="","",INDEX('主表 Stock_Transaction_Log'!$G:$G,$A165))</f>
        <v>坏机</v>
      </c>
      <c r="E165" s="57" t="str">
        <f t="array" ref="E165">IF($A165="","",INDEX('主表 Stock_Transaction_Log'!$H:$H,$A165))</f>
        <v>SKU not found</v>
      </c>
      <c r="F165" s="57" t="str">
        <f t="array" ref="F165">IF($A165="","",INDEX('主表 Stock_Transaction_Log'!$I:$I,$A165))</f>
        <v>Item type not found</v>
      </c>
      <c r="G165" s="57" t="str">
        <f t="array" ref="G165">IF($A165="","",IF(INDEX('主表 Stock_Transaction_Log'!$R:$R,$A165)=0,"",INDEX('主表 Stock_Transaction_Log'!$R:$R,$A165)))</f>
        <v/>
      </c>
      <c r="H165" s="57">
        <f t="array" ref="H165">IF($A165="","",SUMIF('主表 Stock_Transaction_Log'!$T:$T,INDEX('主表 Stock_Transaction_Log'!$T:$T,$A165),'主表 Stock_Transaction_Log'!$S:$S)+SUMIF('主表 Stock_Transaction_Log'!$AB:$AB,INDEX('主表 Stock_Transaction_Log'!$T:$T,$A165),'主表 Stock_Transaction_Log'!$AC:$AC))</f>
        <v>99</v>
      </c>
      <c r="I165" s="57" t="str">
        <f t="shared" si="1"/>
        <v>In Stock / 在库</v>
      </c>
      <c r="J165" s="57" t="str">
        <f t="shared" si="2"/>
        <v>Stock line / 库存明细</v>
      </c>
      <c r="K165" s="57" t="b">
        <f t="shared" si="3"/>
        <v>1</v>
      </c>
      <c r="L165" s="57" t="str">
        <f t="array" ref="L165">IF($A165="","",INDEX('主表 Stock_Transaction_Log'!$P:$P,$A165))</f>
        <v>Repair / 待修</v>
      </c>
      <c r="M165" s="57">
        <f>IF($A165="","",IF($H165&lt;=0,0,SUMIFS('主表 Stock_Transaction_Log'!$K$2:$K1000,'主表 Stock_Transaction_Log'!$C$2:$C1000,"Prepared",'主表 Stock_Transaction_Log'!$L$2:$L1000,$B165,'主表 Stock_Transaction_Log'!$F$2:$F1000,$C165,'主表 Stock_Transaction_Log'!$G$2:$G1000,$D165,'主表 Stock_Transaction_Log'!$P$2:$P1000,$L165)))</f>
        <v>0</v>
      </c>
      <c r="N165" s="57"/>
      <c r="O165" s="57" t="str">
        <f t="shared" si="4"/>
        <v/>
      </c>
      <c r="P165" s="57" t="str">
        <f t="shared" si="5"/>
        <v/>
      </c>
      <c r="Q165" s="57" t="str">
        <f t="shared" si="9"/>
        <v/>
      </c>
      <c r="R165" s="57" t="str">
        <f t="shared" si="7"/>
        <v/>
      </c>
      <c r="S165" s="57" t="str">
        <f t="shared" si="8"/>
        <v/>
      </c>
      <c r="T165" s="58"/>
      <c r="U165" s="58"/>
      <c r="V165" s="58"/>
      <c r="W165" s="58"/>
      <c r="X165" s="58"/>
      <c r="Y165" s="58"/>
      <c r="Z165" s="58"/>
      <c r="AA165" s="58"/>
    </row>
    <row r="166">
      <c r="A166" s="57">
        <f>IF('主表 Stock_Transaction_Log'!$T166="","",IF(COUNTIF('主表 Stock_Transaction_Log'!$T$2:$T166,'主表 Stock_Transaction_Log'!$T166)=1,ROW('主表 Stock_Transaction_Log'!$T166),""))</f>
        <v>166</v>
      </c>
      <c r="B166" s="57" t="str">
        <f t="array" ref="B166">IF($A166="","",INDEX('主表 Stock_Transaction_Log'!$Q:$Q,$A166))</f>
        <v>R2-2-1-R</v>
      </c>
      <c r="C166" s="57" t="str">
        <f t="array" ref="C166">IF($A166="","",IF(INDEX('主表 Stock_Transaction_Log'!$F:$F,$A166)=0,"",INDEX('主表 Stock_Transaction_Log'!$F:$F,$A166)))</f>
        <v/>
      </c>
      <c r="D166" s="57" t="str">
        <f t="array" ref="D166">IF($A166="","",INDEX('主表 Stock_Transaction_Log'!$G:$G,$A166))</f>
        <v>坏机</v>
      </c>
      <c r="E166" s="57" t="str">
        <f t="array" ref="E166">IF($A166="","",INDEX('主表 Stock_Transaction_Log'!$H:$H,$A166))</f>
        <v>SKU not found</v>
      </c>
      <c r="F166" s="57" t="str">
        <f t="array" ref="F166">IF($A166="","",INDEX('主表 Stock_Transaction_Log'!$I:$I,$A166))</f>
        <v>Item type not found</v>
      </c>
      <c r="G166" s="57" t="str">
        <f t="array" ref="G166">IF($A166="","",IF(INDEX('主表 Stock_Transaction_Log'!$R:$R,$A166)=0,"",INDEX('主表 Stock_Transaction_Log'!$R:$R,$A166)))</f>
        <v/>
      </c>
      <c r="H166" s="57">
        <f t="array" ref="H166">IF($A166="","",SUMIF('主表 Stock_Transaction_Log'!$T:$T,INDEX('主表 Stock_Transaction_Log'!$T:$T,$A166),'主表 Stock_Transaction_Log'!$S:$S)+SUMIF('主表 Stock_Transaction_Log'!$AB:$AB,INDEX('主表 Stock_Transaction_Log'!$T:$T,$A166),'主表 Stock_Transaction_Log'!$AC:$AC))</f>
        <v>99</v>
      </c>
      <c r="I166" s="57" t="str">
        <f t="shared" si="1"/>
        <v>In Stock / 在库</v>
      </c>
      <c r="J166" s="57" t="str">
        <f t="shared" si="2"/>
        <v>Stock line / 库存明细</v>
      </c>
      <c r="K166" s="57" t="b">
        <f t="shared" si="3"/>
        <v>1</v>
      </c>
      <c r="L166" s="57" t="str">
        <f t="array" ref="L166">IF($A166="","",INDEX('主表 Stock_Transaction_Log'!$P:$P,$A166))</f>
        <v>Repair / 待修</v>
      </c>
      <c r="M166" s="57">
        <f>IF($A166="","",IF($H166&lt;=0,0,SUMIFS('主表 Stock_Transaction_Log'!$K$2:$K1000,'主表 Stock_Transaction_Log'!$C$2:$C1000,"Prepared",'主表 Stock_Transaction_Log'!$L$2:$L1000,$B166,'主表 Stock_Transaction_Log'!$F$2:$F1000,$C166,'主表 Stock_Transaction_Log'!$G$2:$G1000,$D166,'主表 Stock_Transaction_Log'!$P$2:$P1000,$L166)))</f>
        <v>0</v>
      </c>
      <c r="N166" s="57"/>
      <c r="O166" s="57" t="str">
        <f t="shared" si="4"/>
        <v/>
      </c>
      <c r="P166" s="57" t="str">
        <f t="shared" si="5"/>
        <v/>
      </c>
      <c r="Q166" s="57" t="str">
        <f t="shared" si="9"/>
        <v/>
      </c>
      <c r="R166" s="57" t="str">
        <f t="shared" si="7"/>
        <v/>
      </c>
      <c r="S166" s="57" t="str">
        <f t="shared" si="8"/>
        <v/>
      </c>
      <c r="T166" s="58"/>
      <c r="U166" s="58"/>
      <c r="V166" s="58"/>
      <c r="W166" s="58"/>
      <c r="X166" s="58"/>
      <c r="Y166" s="58"/>
      <c r="Z166" s="58"/>
      <c r="AA166" s="58"/>
    </row>
    <row r="167">
      <c r="A167" s="57">
        <f>IF('主表 Stock_Transaction_Log'!$T167="","",IF(COUNTIF('主表 Stock_Transaction_Log'!$T$2:$T167,'主表 Stock_Transaction_Log'!$T167)=1,ROW('主表 Stock_Transaction_Log'!$T167),""))</f>
        <v>167</v>
      </c>
      <c r="B167" s="57" t="str">
        <f t="array" ref="B167">IF($A167="","",INDEX('主表 Stock_Transaction_Log'!$Q:$Q,$A167))</f>
        <v>R2-1-1-L</v>
      </c>
      <c r="C167" s="57" t="str">
        <f t="array" ref="C167">IF($A167="","",IF(INDEX('主表 Stock_Transaction_Log'!$F:$F,$A167)=0,"",INDEX('主表 Stock_Transaction_Log'!$F:$F,$A167)))</f>
        <v/>
      </c>
      <c r="D167" s="57" t="str">
        <f t="array" ref="D167">IF($A167="","",INDEX('主表 Stock_Transaction_Log'!$G:$G,$A167))</f>
        <v>坏机</v>
      </c>
      <c r="E167" s="57" t="str">
        <f t="array" ref="E167">IF($A167="","",INDEX('主表 Stock_Transaction_Log'!$H:$H,$A167))</f>
        <v>SKU not found</v>
      </c>
      <c r="F167" s="57" t="str">
        <f t="array" ref="F167">IF($A167="","",INDEX('主表 Stock_Transaction_Log'!$I:$I,$A167))</f>
        <v>Item type not found</v>
      </c>
      <c r="G167" s="57" t="str">
        <f t="array" ref="G167">IF($A167="","",IF(INDEX('主表 Stock_Transaction_Log'!$R:$R,$A167)=0,"",INDEX('主表 Stock_Transaction_Log'!$R:$R,$A167)))</f>
        <v/>
      </c>
      <c r="H167" s="57">
        <f t="array" ref="H167">IF($A167="","",SUMIF('主表 Stock_Transaction_Log'!$T:$T,INDEX('主表 Stock_Transaction_Log'!$T:$T,$A167),'主表 Stock_Transaction_Log'!$S:$S)+SUMIF('主表 Stock_Transaction_Log'!$AB:$AB,INDEX('主表 Stock_Transaction_Log'!$T:$T,$A167),'主表 Stock_Transaction_Log'!$AC:$AC))</f>
        <v>99</v>
      </c>
      <c r="I167" s="57" t="str">
        <f t="shared" si="1"/>
        <v>In Stock / 在库</v>
      </c>
      <c r="J167" s="57" t="str">
        <f t="shared" si="2"/>
        <v>Stock line / 库存明细</v>
      </c>
      <c r="K167" s="57" t="b">
        <f t="shared" si="3"/>
        <v>1</v>
      </c>
      <c r="L167" s="57" t="str">
        <f t="array" ref="L167">IF($A167="","",INDEX('主表 Stock_Transaction_Log'!$P:$P,$A167))</f>
        <v>Repair / 待修</v>
      </c>
      <c r="M167" s="57">
        <f>IF($A167="","",IF($H167&lt;=0,0,SUMIFS('主表 Stock_Transaction_Log'!$K$2:$K1000,'主表 Stock_Transaction_Log'!$C$2:$C1000,"Prepared",'主表 Stock_Transaction_Log'!$L$2:$L1000,$B167,'主表 Stock_Transaction_Log'!$F$2:$F1000,$C167,'主表 Stock_Transaction_Log'!$G$2:$G1000,$D167,'主表 Stock_Transaction_Log'!$P$2:$P1000,$L167)))</f>
        <v>0</v>
      </c>
      <c r="N167" s="57"/>
      <c r="O167" s="57" t="str">
        <f t="shared" si="4"/>
        <v/>
      </c>
      <c r="P167" s="57" t="str">
        <f t="shared" si="5"/>
        <v/>
      </c>
      <c r="Q167" s="57" t="str">
        <f t="shared" si="9"/>
        <v/>
      </c>
      <c r="R167" s="57" t="str">
        <f t="shared" si="7"/>
        <v/>
      </c>
      <c r="S167" s="57" t="str">
        <f t="shared" si="8"/>
        <v/>
      </c>
      <c r="T167" s="58"/>
      <c r="U167" s="58"/>
      <c r="V167" s="58"/>
      <c r="W167" s="58"/>
      <c r="X167" s="58"/>
      <c r="Y167" s="58"/>
      <c r="Z167" s="58"/>
      <c r="AA167" s="58"/>
    </row>
    <row r="168">
      <c r="A168" s="57">
        <f>IF('主表 Stock_Transaction_Log'!$T168="","",IF(COUNTIF('主表 Stock_Transaction_Log'!$T$2:$T168,'主表 Stock_Transaction_Log'!$T168)=1,ROW('主表 Stock_Transaction_Log'!$T168),""))</f>
        <v>168</v>
      </c>
      <c r="B168" s="57" t="str">
        <f t="array" ref="B168">IF($A168="","",INDEX('主表 Stock_Transaction_Log'!$Q:$Q,$A168))</f>
        <v>R2-1-1-R</v>
      </c>
      <c r="C168" s="57" t="str">
        <f t="array" ref="C168">IF($A168="","",IF(INDEX('主表 Stock_Transaction_Log'!$F:$F,$A168)=0,"",INDEX('主表 Stock_Transaction_Log'!$F:$F,$A168)))</f>
        <v/>
      </c>
      <c r="D168" s="57" t="str">
        <f t="array" ref="D168">IF($A168="","",INDEX('主表 Stock_Transaction_Log'!$G:$G,$A168))</f>
        <v>坏机</v>
      </c>
      <c r="E168" s="57" t="str">
        <f t="array" ref="E168">IF($A168="","",INDEX('主表 Stock_Transaction_Log'!$H:$H,$A168))</f>
        <v>SKU not found</v>
      </c>
      <c r="F168" s="57" t="str">
        <f t="array" ref="F168">IF($A168="","",INDEX('主表 Stock_Transaction_Log'!$I:$I,$A168))</f>
        <v>Item type not found</v>
      </c>
      <c r="G168" s="57" t="str">
        <f t="array" ref="G168">IF($A168="","",IF(INDEX('主表 Stock_Transaction_Log'!$R:$R,$A168)=0,"",INDEX('主表 Stock_Transaction_Log'!$R:$R,$A168)))</f>
        <v/>
      </c>
      <c r="H168" s="57">
        <f t="array" ref="H168">IF($A168="","",SUMIF('主表 Stock_Transaction_Log'!$T:$T,INDEX('主表 Stock_Transaction_Log'!$T:$T,$A168),'主表 Stock_Transaction_Log'!$S:$S)+SUMIF('主表 Stock_Transaction_Log'!$AB:$AB,INDEX('主表 Stock_Transaction_Log'!$T:$T,$A168),'主表 Stock_Transaction_Log'!$AC:$AC))</f>
        <v>99</v>
      </c>
      <c r="I168" s="57" t="str">
        <f t="shared" si="1"/>
        <v>In Stock / 在库</v>
      </c>
      <c r="J168" s="57" t="str">
        <f t="shared" si="2"/>
        <v>Stock line / 库存明细</v>
      </c>
      <c r="K168" s="57" t="b">
        <f t="shared" si="3"/>
        <v>1</v>
      </c>
      <c r="L168" s="57" t="str">
        <f t="array" ref="L168">IF($A168="","",INDEX('主表 Stock_Transaction_Log'!$P:$P,$A168))</f>
        <v>Repair / 待修</v>
      </c>
      <c r="M168" s="57">
        <f>IF($A168="","",IF($H168&lt;=0,0,SUMIFS('主表 Stock_Transaction_Log'!$K$2:$K1000,'主表 Stock_Transaction_Log'!$C$2:$C1000,"Prepared",'主表 Stock_Transaction_Log'!$L$2:$L1000,$B168,'主表 Stock_Transaction_Log'!$F$2:$F1000,$C168,'主表 Stock_Transaction_Log'!$G$2:$G1000,$D168,'主表 Stock_Transaction_Log'!$P$2:$P1000,$L168)))</f>
        <v>0</v>
      </c>
      <c r="N168" s="57"/>
      <c r="O168" s="57" t="str">
        <f t="shared" si="4"/>
        <v/>
      </c>
      <c r="P168" s="57" t="str">
        <f t="shared" si="5"/>
        <v/>
      </c>
      <c r="Q168" s="57" t="str">
        <f t="shared" si="9"/>
        <v/>
      </c>
      <c r="R168" s="57" t="str">
        <f t="shared" si="7"/>
        <v/>
      </c>
      <c r="S168" s="57" t="str">
        <f t="shared" si="8"/>
        <v/>
      </c>
      <c r="T168" s="58"/>
      <c r="U168" s="58"/>
      <c r="V168" s="58"/>
      <c r="W168" s="58"/>
      <c r="X168" s="58"/>
      <c r="Y168" s="58"/>
      <c r="Z168" s="58"/>
      <c r="AA168" s="58"/>
    </row>
    <row r="169">
      <c r="A169" s="57">
        <f>IF('主表 Stock_Transaction_Log'!$T169="","",IF(COUNTIF('主表 Stock_Transaction_Log'!$T$2:$T169,'主表 Stock_Transaction_Log'!$T169)=1,ROW('主表 Stock_Transaction_Log'!$T169),""))</f>
        <v>169</v>
      </c>
      <c r="B169" s="57" t="str">
        <f t="array" ref="B169">IF($A169="","",INDEX('主表 Stock_Transaction_Log'!$Q:$Q,$A169))</f>
        <v>R2-3-2-L</v>
      </c>
      <c r="C169" s="57" t="str">
        <f t="array" ref="C169">IF($A169="","",IF(INDEX('主表 Stock_Transaction_Log'!$F:$F,$A169)=0,"",INDEX('主表 Stock_Transaction_Log'!$F:$F,$A169)))</f>
        <v/>
      </c>
      <c r="D169" s="57" t="str">
        <f t="array" ref="D169">IF($A169="","",INDEX('主表 Stock_Transaction_Log'!$G:$G,$A169))</f>
        <v>坏机</v>
      </c>
      <c r="E169" s="57" t="str">
        <f t="array" ref="E169">IF($A169="","",INDEX('主表 Stock_Transaction_Log'!$H:$H,$A169))</f>
        <v>SKU not found</v>
      </c>
      <c r="F169" s="57" t="str">
        <f t="array" ref="F169">IF($A169="","",INDEX('主表 Stock_Transaction_Log'!$I:$I,$A169))</f>
        <v>Item type not found</v>
      </c>
      <c r="G169" s="57" t="str">
        <f t="array" ref="G169">IF($A169="","",IF(INDEX('主表 Stock_Transaction_Log'!$R:$R,$A169)=0,"",INDEX('主表 Stock_Transaction_Log'!$R:$R,$A169)))</f>
        <v/>
      </c>
      <c r="H169" s="57">
        <f t="array" ref="H169">IF($A169="","",SUMIF('主表 Stock_Transaction_Log'!$T:$T,INDEX('主表 Stock_Transaction_Log'!$T:$T,$A169),'主表 Stock_Transaction_Log'!$S:$S)+SUMIF('主表 Stock_Transaction_Log'!$AB:$AB,INDEX('主表 Stock_Transaction_Log'!$T:$T,$A169),'主表 Stock_Transaction_Log'!$AC:$AC))</f>
        <v>99</v>
      </c>
      <c r="I169" s="57" t="str">
        <f t="shared" si="1"/>
        <v>In Stock / 在库</v>
      </c>
      <c r="J169" s="57" t="str">
        <f t="shared" si="2"/>
        <v>Stock line / 库存明细</v>
      </c>
      <c r="K169" s="57" t="b">
        <f t="shared" si="3"/>
        <v>1</v>
      </c>
      <c r="L169" s="57" t="str">
        <f t="array" ref="L169">IF($A169="","",INDEX('主表 Stock_Transaction_Log'!$P:$P,$A169))</f>
        <v>Repair / 待修</v>
      </c>
      <c r="M169" s="57">
        <f>IF($A169="","",IF($H169&lt;=0,0,SUMIFS('主表 Stock_Transaction_Log'!$K$2:$K1000,'主表 Stock_Transaction_Log'!$C$2:$C1000,"Prepared",'主表 Stock_Transaction_Log'!$L$2:$L1000,$B169,'主表 Stock_Transaction_Log'!$F$2:$F1000,$C169,'主表 Stock_Transaction_Log'!$G$2:$G1000,$D169,'主表 Stock_Transaction_Log'!$P$2:$P1000,$L169)))</f>
        <v>0</v>
      </c>
      <c r="N169" s="57"/>
      <c r="O169" s="57" t="str">
        <f t="shared" si="4"/>
        <v/>
      </c>
      <c r="P169" s="57" t="str">
        <f t="shared" si="5"/>
        <v/>
      </c>
      <c r="Q169" s="57" t="str">
        <f t="shared" si="9"/>
        <v/>
      </c>
      <c r="R169" s="57" t="str">
        <f t="shared" si="7"/>
        <v/>
      </c>
      <c r="S169" s="57" t="str">
        <f t="shared" si="8"/>
        <v/>
      </c>
      <c r="T169" s="58"/>
      <c r="U169" s="58"/>
      <c r="V169" s="58"/>
      <c r="W169" s="58"/>
      <c r="X169" s="58"/>
      <c r="Y169" s="58"/>
      <c r="Z169" s="58"/>
      <c r="AA169" s="58"/>
    </row>
    <row r="170">
      <c r="A170" s="57">
        <f>IF('主表 Stock_Transaction_Log'!$T170="","",IF(COUNTIF('主表 Stock_Transaction_Log'!$T$2:$T170,'主表 Stock_Transaction_Log'!$T170)=1,ROW('主表 Stock_Transaction_Log'!$T170),""))</f>
        <v>170</v>
      </c>
      <c r="B170" s="57" t="str">
        <f t="array" ref="B170">IF($A170="","",INDEX('主表 Stock_Transaction_Log'!$Q:$Q,$A170))</f>
        <v>R2-3-2-R</v>
      </c>
      <c r="C170" s="57" t="str">
        <f t="array" ref="C170">IF($A170="","",IF(INDEX('主表 Stock_Transaction_Log'!$F:$F,$A170)=0,"",INDEX('主表 Stock_Transaction_Log'!$F:$F,$A170)))</f>
        <v/>
      </c>
      <c r="D170" s="57" t="str">
        <f t="array" ref="D170">IF($A170="","",INDEX('主表 Stock_Transaction_Log'!$G:$G,$A170))</f>
        <v>坏机</v>
      </c>
      <c r="E170" s="57" t="str">
        <f t="array" ref="E170">IF($A170="","",INDEX('主表 Stock_Transaction_Log'!$H:$H,$A170))</f>
        <v>SKU not found</v>
      </c>
      <c r="F170" s="57" t="str">
        <f t="array" ref="F170">IF($A170="","",INDEX('主表 Stock_Transaction_Log'!$I:$I,$A170))</f>
        <v>Item type not found</v>
      </c>
      <c r="G170" s="57" t="str">
        <f t="array" ref="G170">IF($A170="","",IF(INDEX('主表 Stock_Transaction_Log'!$R:$R,$A170)=0,"",INDEX('主表 Stock_Transaction_Log'!$R:$R,$A170)))</f>
        <v/>
      </c>
      <c r="H170" s="57">
        <f t="array" ref="H170">IF($A170="","",SUMIF('主表 Stock_Transaction_Log'!$T:$T,INDEX('主表 Stock_Transaction_Log'!$T:$T,$A170),'主表 Stock_Transaction_Log'!$S:$S)+SUMIF('主表 Stock_Transaction_Log'!$AB:$AB,INDEX('主表 Stock_Transaction_Log'!$T:$T,$A170),'主表 Stock_Transaction_Log'!$AC:$AC))</f>
        <v>99</v>
      </c>
      <c r="I170" s="57" t="str">
        <f t="shared" si="1"/>
        <v>In Stock / 在库</v>
      </c>
      <c r="J170" s="57" t="str">
        <f t="shared" si="2"/>
        <v>Stock line / 库存明细</v>
      </c>
      <c r="K170" s="57" t="b">
        <f t="shared" si="3"/>
        <v>1</v>
      </c>
      <c r="L170" s="57" t="str">
        <f t="array" ref="L170">IF($A170="","",INDEX('主表 Stock_Transaction_Log'!$P:$P,$A170))</f>
        <v>Repair / 待修</v>
      </c>
      <c r="M170" s="57">
        <f>IF($A170="","",IF($H170&lt;=0,0,SUMIFS('主表 Stock_Transaction_Log'!$K$2:$K1000,'主表 Stock_Transaction_Log'!$C$2:$C1000,"Prepared",'主表 Stock_Transaction_Log'!$L$2:$L1000,$B170,'主表 Stock_Transaction_Log'!$F$2:$F1000,$C170,'主表 Stock_Transaction_Log'!$G$2:$G1000,$D170,'主表 Stock_Transaction_Log'!$P$2:$P1000,$L170)))</f>
        <v>0</v>
      </c>
      <c r="N170" s="57"/>
      <c r="O170" s="57" t="str">
        <f t="shared" si="4"/>
        <v/>
      </c>
      <c r="P170" s="57" t="str">
        <f t="shared" si="5"/>
        <v/>
      </c>
      <c r="Q170" s="57" t="str">
        <f t="shared" si="9"/>
        <v/>
      </c>
      <c r="R170" s="57" t="str">
        <f t="shared" si="7"/>
        <v/>
      </c>
      <c r="S170" s="57" t="str">
        <f t="shared" si="8"/>
        <v/>
      </c>
      <c r="T170" s="58"/>
      <c r="U170" s="58"/>
      <c r="V170" s="58"/>
      <c r="W170" s="58"/>
      <c r="X170" s="58"/>
      <c r="Y170" s="58"/>
      <c r="Z170" s="58"/>
      <c r="AA170" s="58"/>
    </row>
    <row r="171">
      <c r="A171" s="57">
        <f>IF('主表 Stock_Transaction_Log'!$T171="","",IF(COUNTIF('主表 Stock_Transaction_Log'!$T$2:$T171,'主表 Stock_Transaction_Log'!$T171)=1,ROW('主表 Stock_Transaction_Log'!$T171),""))</f>
        <v>171</v>
      </c>
      <c r="B171" s="57" t="str">
        <f t="array" ref="B171">IF($A171="","",INDEX('主表 Stock_Transaction_Log'!$Q:$Q,$A171))</f>
        <v>R2-2-2-L</v>
      </c>
      <c r="C171" s="57" t="str">
        <f t="array" ref="C171">IF($A171="","",IF(INDEX('主表 Stock_Transaction_Log'!$F:$F,$A171)=0,"",INDEX('主表 Stock_Transaction_Log'!$F:$F,$A171)))</f>
        <v/>
      </c>
      <c r="D171" s="57" t="str">
        <f t="array" ref="D171">IF($A171="","",INDEX('主表 Stock_Transaction_Log'!$G:$G,$A171))</f>
        <v>坏机</v>
      </c>
      <c r="E171" s="57" t="str">
        <f t="array" ref="E171">IF($A171="","",INDEX('主表 Stock_Transaction_Log'!$H:$H,$A171))</f>
        <v>SKU not found</v>
      </c>
      <c r="F171" s="57" t="str">
        <f t="array" ref="F171">IF($A171="","",INDEX('主表 Stock_Transaction_Log'!$I:$I,$A171))</f>
        <v>Item type not found</v>
      </c>
      <c r="G171" s="57" t="str">
        <f t="array" ref="G171">IF($A171="","",IF(INDEX('主表 Stock_Transaction_Log'!$R:$R,$A171)=0,"",INDEX('主表 Stock_Transaction_Log'!$R:$R,$A171)))</f>
        <v/>
      </c>
      <c r="H171" s="57">
        <f t="array" ref="H171">IF($A171="","",SUMIF('主表 Stock_Transaction_Log'!$T:$T,INDEX('主表 Stock_Transaction_Log'!$T:$T,$A171),'主表 Stock_Transaction_Log'!$S:$S)+SUMIF('主表 Stock_Transaction_Log'!$AB:$AB,INDEX('主表 Stock_Transaction_Log'!$T:$T,$A171),'主表 Stock_Transaction_Log'!$AC:$AC))</f>
        <v>99</v>
      </c>
      <c r="I171" s="57" t="str">
        <f t="shared" si="1"/>
        <v>In Stock / 在库</v>
      </c>
      <c r="J171" s="57" t="str">
        <f t="shared" si="2"/>
        <v>Stock line / 库存明细</v>
      </c>
      <c r="K171" s="57" t="b">
        <f t="shared" si="3"/>
        <v>1</v>
      </c>
      <c r="L171" s="57" t="str">
        <f t="array" ref="L171">IF($A171="","",INDEX('主表 Stock_Transaction_Log'!$P:$P,$A171))</f>
        <v>Repair / 待修</v>
      </c>
      <c r="M171" s="57">
        <f>IF($A171="","",IF($H171&lt;=0,0,SUMIFS('主表 Stock_Transaction_Log'!$K$2:$K1000,'主表 Stock_Transaction_Log'!$C$2:$C1000,"Prepared",'主表 Stock_Transaction_Log'!$L$2:$L1000,$B171,'主表 Stock_Transaction_Log'!$F$2:$F1000,$C171,'主表 Stock_Transaction_Log'!$G$2:$G1000,$D171,'主表 Stock_Transaction_Log'!$P$2:$P1000,$L171)))</f>
        <v>0</v>
      </c>
      <c r="N171" s="57"/>
      <c r="O171" s="57" t="str">
        <f t="shared" si="4"/>
        <v/>
      </c>
      <c r="P171" s="57" t="str">
        <f t="shared" si="5"/>
        <v/>
      </c>
      <c r="Q171" s="57" t="str">
        <f t="shared" si="9"/>
        <v/>
      </c>
      <c r="R171" s="57" t="str">
        <f t="shared" si="7"/>
        <v/>
      </c>
      <c r="S171" s="57" t="str">
        <f t="shared" si="8"/>
        <v/>
      </c>
      <c r="T171" s="58"/>
      <c r="U171" s="58"/>
      <c r="V171" s="58"/>
      <c r="W171" s="58"/>
      <c r="X171" s="58"/>
      <c r="Y171" s="58"/>
      <c r="Z171" s="58"/>
      <c r="AA171" s="58"/>
    </row>
    <row r="172">
      <c r="A172" s="57">
        <f>IF('主表 Stock_Transaction_Log'!$T172="","",IF(COUNTIF('主表 Stock_Transaction_Log'!$T$2:$T172,'主表 Stock_Transaction_Log'!$T172)=1,ROW('主表 Stock_Transaction_Log'!$T172),""))</f>
        <v>172</v>
      </c>
      <c r="B172" s="57" t="str">
        <f t="array" ref="B172">IF($A172="","",INDEX('主表 Stock_Transaction_Log'!$Q:$Q,$A172))</f>
        <v>R2-2-2-R</v>
      </c>
      <c r="C172" s="57" t="str">
        <f t="array" ref="C172">IF($A172="","",IF(INDEX('主表 Stock_Transaction_Log'!$F:$F,$A172)=0,"",INDEX('主表 Stock_Transaction_Log'!$F:$F,$A172)))</f>
        <v/>
      </c>
      <c r="D172" s="57" t="str">
        <f t="array" ref="D172">IF($A172="","",INDEX('主表 Stock_Transaction_Log'!$G:$G,$A172))</f>
        <v>坏机</v>
      </c>
      <c r="E172" s="57" t="str">
        <f t="array" ref="E172">IF($A172="","",INDEX('主表 Stock_Transaction_Log'!$H:$H,$A172))</f>
        <v>SKU not found</v>
      </c>
      <c r="F172" s="57" t="str">
        <f t="array" ref="F172">IF($A172="","",INDEX('主表 Stock_Transaction_Log'!$I:$I,$A172))</f>
        <v>Item type not found</v>
      </c>
      <c r="G172" s="57" t="str">
        <f t="array" ref="G172">IF($A172="","",IF(INDEX('主表 Stock_Transaction_Log'!$R:$R,$A172)=0,"",INDEX('主表 Stock_Transaction_Log'!$R:$R,$A172)))</f>
        <v/>
      </c>
      <c r="H172" s="57">
        <f t="array" ref="H172">IF($A172="","",SUMIF('主表 Stock_Transaction_Log'!$T:$T,INDEX('主表 Stock_Transaction_Log'!$T:$T,$A172),'主表 Stock_Transaction_Log'!$S:$S)+SUMIF('主表 Stock_Transaction_Log'!$AB:$AB,INDEX('主表 Stock_Transaction_Log'!$T:$T,$A172),'主表 Stock_Transaction_Log'!$AC:$AC))</f>
        <v>99</v>
      </c>
      <c r="I172" s="57" t="str">
        <f t="shared" si="1"/>
        <v>In Stock / 在库</v>
      </c>
      <c r="J172" s="57" t="str">
        <f t="shared" si="2"/>
        <v>Stock line / 库存明细</v>
      </c>
      <c r="K172" s="57" t="b">
        <f t="shared" si="3"/>
        <v>1</v>
      </c>
      <c r="L172" s="57" t="str">
        <f t="array" ref="L172">IF($A172="","",INDEX('主表 Stock_Transaction_Log'!$P:$P,$A172))</f>
        <v>Repair / 待修</v>
      </c>
      <c r="M172" s="57">
        <f>IF($A172="","",IF($H172&lt;=0,0,SUMIFS('主表 Stock_Transaction_Log'!$K$2:$K1000,'主表 Stock_Transaction_Log'!$C$2:$C1000,"Prepared",'主表 Stock_Transaction_Log'!$L$2:$L1000,$B172,'主表 Stock_Transaction_Log'!$F$2:$F1000,$C172,'主表 Stock_Transaction_Log'!$G$2:$G1000,$D172,'主表 Stock_Transaction_Log'!$P$2:$P1000,$L172)))</f>
        <v>0</v>
      </c>
      <c r="N172" s="57"/>
      <c r="O172" s="57" t="str">
        <f t="shared" si="4"/>
        <v/>
      </c>
      <c r="P172" s="57" t="str">
        <f t="shared" si="5"/>
        <v/>
      </c>
      <c r="Q172" s="57" t="str">
        <f t="shared" si="9"/>
        <v/>
      </c>
      <c r="R172" s="57" t="str">
        <f t="shared" si="7"/>
        <v/>
      </c>
      <c r="S172" s="57" t="str">
        <f t="shared" si="8"/>
        <v/>
      </c>
      <c r="T172" s="58"/>
      <c r="U172" s="58"/>
      <c r="V172" s="58"/>
      <c r="W172" s="58"/>
      <c r="X172" s="58"/>
      <c r="Y172" s="58"/>
      <c r="Z172" s="58"/>
      <c r="AA172" s="58"/>
    </row>
    <row r="173">
      <c r="A173" s="57">
        <f>IF('主表 Stock_Transaction_Log'!$T173="","",IF(COUNTIF('主表 Stock_Transaction_Log'!$T$2:$T173,'主表 Stock_Transaction_Log'!$T173)=1,ROW('主表 Stock_Transaction_Log'!$T173),""))</f>
        <v>173</v>
      </c>
      <c r="B173" s="57" t="str">
        <f t="array" ref="B173">IF($A173="","",INDEX('主表 Stock_Transaction_Log'!$Q:$Q,$A173))</f>
        <v>R2-1-2-L</v>
      </c>
      <c r="C173" s="57" t="str">
        <f t="array" ref="C173">IF($A173="","",IF(INDEX('主表 Stock_Transaction_Log'!$F:$F,$A173)=0,"",INDEX('主表 Stock_Transaction_Log'!$F:$F,$A173)))</f>
        <v/>
      </c>
      <c r="D173" s="57" t="str">
        <f t="array" ref="D173">IF($A173="","",INDEX('主表 Stock_Transaction_Log'!$G:$G,$A173))</f>
        <v>坏机</v>
      </c>
      <c r="E173" s="57" t="str">
        <f t="array" ref="E173">IF($A173="","",INDEX('主表 Stock_Transaction_Log'!$H:$H,$A173))</f>
        <v>SKU not found</v>
      </c>
      <c r="F173" s="57" t="str">
        <f t="array" ref="F173">IF($A173="","",INDEX('主表 Stock_Transaction_Log'!$I:$I,$A173))</f>
        <v>Item type not found</v>
      </c>
      <c r="G173" s="57" t="str">
        <f t="array" ref="G173">IF($A173="","",IF(INDEX('主表 Stock_Transaction_Log'!$R:$R,$A173)=0,"",INDEX('主表 Stock_Transaction_Log'!$R:$R,$A173)))</f>
        <v/>
      </c>
      <c r="H173" s="57">
        <f t="array" ref="H173">IF($A173="","",SUMIF('主表 Stock_Transaction_Log'!$T:$T,INDEX('主表 Stock_Transaction_Log'!$T:$T,$A173),'主表 Stock_Transaction_Log'!$S:$S)+SUMIF('主表 Stock_Transaction_Log'!$AB:$AB,INDEX('主表 Stock_Transaction_Log'!$T:$T,$A173),'主表 Stock_Transaction_Log'!$AC:$AC))</f>
        <v>99</v>
      </c>
      <c r="I173" s="57" t="str">
        <f t="shared" si="1"/>
        <v>In Stock / 在库</v>
      </c>
      <c r="J173" s="57" t="str">
        <f t="shared" si="2"/>
        <v>Stock line / 库存明细</v>
      </c>
      <c r="K173" s="57" t="b">
        <f t="shared" si="3"/>
        <v>1</v>
      </c>
      <c r="L173" s="57" t="str">
        <f t="array" ref="L173">IF($A173="","",INDEX('主表 Stock_Transaction_Log'!$P:$P,$A173))</f>
        <v>Repair / 待修</v>
      </c>
      <c r="M173" s="57">
        <f>IF($A173="","",IF($H173&lt;=0,0,SUMIFS('主表 Stock_Transaction_Log'!$K$2:$K1000,'主表 Stock_Transaction_Log'!$C$2:$C1000,"Prepared",'主表 Stock_Transaction_Log'!$L$2:$L1000,$B173,'主表 Stock_Transaction_Log'!$F$2:$F1000,$C173,'主表 Stock_Transaction_Log'!$G$2:$G1000,$D173,'主表 Stock_Transaction_Log'!$P$2:$P1000,$L173)))</f>
        <v>0</v>
      </c>
      <c r="N173" s="57"/>
      <c r="O173" s="57" t="str">
        <f t="shared" si="4"/>
        <v/>
      </c>
      <c r="P173" s="57" t="str">
        <f t="shared" si="5"/>
        <v/>
      </c>
      <c r="Q173" s="57" t="str">
        <f t="shared" si="9"/>
        <v/>
      </c>
      <c r="R173" s="57" t="str">
        <f t="shared" si="7"/>
        <v/>
      </c>
      <c r="S173" s="57" t="str">
        <f t="shared" si="8"/>
        <v/>
      </c>
      <c r="T173" s="58"/>
      <c r="U173" s="58"/>
      <c r="V173" s="58"/>
      <c r="W173" s="58"/>
      <c r="X173" s="58"/>
      <c r="Y173" s="58"/>
      <c r="Z173" s="58"/>
      <c r="AA173" s="58"/>
    </row>
    <row r="174">
      <c r="A174" s="57">
        <f>IF('主表 Stock_Transaction_Log'!$T174="","",IF(COUNTIF('主表 Stock_Transaction_Log'!$T$2:$T174,'主表 Stock_Transaction_Log'!$T174)=1,ROW('主表 Stock_Transaction_Log'!$T174),""))</f>
        <v>174</v>
      </c>
      <c r="B174" s="57" t="str">
        <f t="array" ref="B174">IF($A174="","",INDEX('主表 Stock_Transaction_Log'!$Q:$Q,$A174))</f>
        <v>FLEX-01</v>
      </c>
      <c r="C174" s="57" t="str">
        <f t="array" ref="C174">IF($A174="","",IF(INDEX('主表 Stock_Transaction_Log'!$F:$F,$A174)=0,"",INDEX('主表 Stock_Transaction_Log'!$F:$F,$A174)))</f>
        <v/>
      </c>
      <c r="D174" s="57" t="str">
        <f t="array" ref="D174">IF($A174="","",INDEX('主表 Stock_Transaction_Log'!$G:$G,$A174))</f>
        <v>30-229-00024-00</v>
      </c>
      <c r="E174" s="57" t="str">
        <f t="array" ref="E174">IF($A174="","",INDEX('主表 Stock_Transaction_Log'!$H:$H,$A174))</f>
        <v>CQ7-M</v>
      </c>
      <c r="F174" s="57" t="str">
        <f t="array" ref="F174">IF($A174="","",INDEX('主表 Stock_Transaction_Log'!$I:$I,$A174))</f>
        <v>Product</v>
      </c>
      <c r="G174" s="57" t="str">
        <f t="array" ref="G174">IF($A174="","",IF(INDEX('主表 Stock_Transaction_Log'!$R:$R,$A174)=0,"",INDEX('主表 Stock_Transaction_Log'!$R:$R,$A174)))</f>
        <v/>
      </c>
      <c r="H174" s="57">
        <f t="array" ref="H174">IF($A174="","",SUMIF('主表 Stock_Transaction_Log'!$T:$T,INDEX('主表 Stock_Transaction_Log'!$T:$T,$A174),'主表 Stock_Transaction_Log'!$S:$S)+SUMIF('主表 Stock_Transaction_Log'!$AB:$AB,INDEX('主表 Stock_Transaction_Log'!$T:$T,$A174),'主表 Stock_Transaction_Log'!$AC:$AC))</f>
        <v>1</v>
      </c>
      <c r="I174" s="57" t="str">
        <f t="shared" si="1"/>
        <v>In Stock / 在库</v>
      </c>
      <c r="J174" s="57" t="str">
        <f t="shared" si="2"/>
        <v>Stock line / 库存明细</v>
      </c>
      <c r="K174" s="57" t="b">
        <f t="shared" si="3"/>
        <v>1</v>
      </c>
      <c r="L174" s="57" t="str">
        <f t="array" ref="L174">IF($A174="","",INDEX('主表 Stock_Transaction_Log'!$P:$P,$A174))</f>
        <v>Repair_Good / 维修良品</v>
      </c>
      <c r="M174" s="57">
        <f>IF($A174="","",IF($H174&lt;=0,0,SUMIFS('主表 Stock_Transaction_Log'!$K$2:$K1000,'主表 Stock_Transaction_Log'!$C$2:$C1000,"Prepared",'主表 Stock_Transaction_Log'!$L$2:$L1000,$B174,'主表 Stock_Transaction_Log'!$F$2:$F1000,$C174,'主表 Stock_Transaction_Log'!$G$2:$G1000,$D174,'主表 Stock_Transaction_Log'!$P$2:$P1000,$L174)))</f>
        <v>0</v>
      </c>
      <c r="N174" s="57"/>
      <c r="O174" s="57" t="str">
        <f t="shared" si="4"/>
        <v/>
      </c>
      <c r="P174" s="57" t="str">
        <f t="shared" si="5"/>
        <v/>
      </c>
      <c r="Q174" s="57" t="str">
        <f t="shared" si="9"/>
        <v/>
      </c>
      <c r="R174" s="57" t="str">
        <f t="shared" si="7"/>
        <v/>
      </c>
      <c r="S174" s="57" t="str">
        <f t="shared" si="8"/>
        <v/>
      </c>
      <c r="T174" s="58"/>
      <c r="U174" s="58"/>
      <c r="V174" s="58"/>
      <c r="W174" s="58"/>
      <c r="X174" s="58"/>
      <c r="Y174" s="58"/>
      <c r="Z174" s="58"/>
      <c r="AA174" s="58"/>
    </row>
    <row r="175">
      <c r="A175" s="57">
        <f>IF('主表 Stock_Transaction_Log'!$T175="","",IF(COUNTIF('主表 Stock_Transaction_Log'!$T$2:$T175,'主表 Stock_Transaction_Log'!$T175)=1,ROW('主表 Stock_Transaction_Log'!$T175),""))</f>
        <v>175</v>
      </c>
      <c r="B175" s="57" t="str">
        <f t="array" ref="B175">IF($A175="","",INDEX('主表 Stock_Transaction_Log'!$Q:$Q,$A175))</f>
        <v>FLEX-01</v>
      </c>
      <c r="C175" s="57" t="str">
        <f t="array" ref="C175">IF($A175="","",IF(INDEX('主表 Stock_Transaction_Log'!$F:$F,$A175)=0,"",INDEX('主表 Stock_Transaction_Log'!$F:$F,$A175)))</f>
        <v/>
      </c>
      <c r="D175" s="57" t="str">
        <f t="array" ref="D175">IF($A175="","",INDEX('主表 Stock_Transaction_Log'!$G:$G,$A175))</f>
        <v>30-229-00003-00</v>
      </c>
      <c r="E175" s="57" t="str">
        <f t="array" ref="E175">IF($A175="","",INDEX('主表 Stock_Transaction_Log'!$H:$H,$A175))</f>
        <v>CQ7-S</v>
      </c>
      <c r="F175" s="57" t="str">
        <f t="array" ref="F175">IF($A175="","",INDEX('主表 Stock_Transaction_Log'!$I:$I,$A175))</f>
        <v>Product</v>
      </c>
      <c r="G175" s="57" t="str">
        <f t="array" ref="G175">IF($A175="","",IF(INDEX('主表 Stock_Transaction_Log'!$R:$R,$A175)=0,"",INDEX('主表 Stock_Transaction_Log'!$R:$R,$A175)))</f>
        <v/>
      </c>
      <c r="H175" s="57">
        <f t="array" ref="H175">IF($A175="","",SUMIF('主表 Stock_Transaction_Log'!$T:$T,INDEX('主表 Stock_Transaction_Log'!$T:$T,$A175),'主表 Stock_Transaction_Log'!$S:$S)+SUMIF('主表 Stock_Transaction_Log'!$AB:$AB,INDEX('主表 Stock_Transaction_Log'!$T:$T,$A175),'主表 Stock_Transaction_Log'!$AC:$AC))</f>
        <v>1</v>
      </c>
      <c r="I175" s="57" t="str">
        <f t="shared" si="1"/>
        <v>In Stock / 在库</v>
      </c>
      <c r="J175" s="57" t="str">
        <f t="shared" si="2"/>
        <v>Stock line / 库存明细</v>
      </c>
      <c r="K175" s="57" t="b">
        <f t="shared" si="3"/>
        <v>1</v>
      </c>
      <c r="L175" s="57" t="str">
        <f t="array" ref="L175">IF($A175="","",INDEX('主表 Stock_Transaction_Log'!$P:$P,$A175))</f>
        <v>Repair_Good / 维修良品</v>
      </c>
      <c r="M175" s="57">
        <f>IF($A175="","",IF($H175&lt;=0,0,SUMIFS('主表 Stock_Transaction_Log'!$K$2:$K1000,'主表 Stock_Transaction_Log'!$C$2:$C1000,"Prepared",'主表 Stock_Transaction_Log'!$L$2:$L1000,$B175,'主表 Stock_Transaction_Log'!$F$2:$F1000,$C175,'主表 Stock_Transaction_Log'!$G$2:$G1000,$D175,'主表 Stock_Transaction_Log'!$P$2:$P1000,$L175)))</f>
        <v>0</v>
      </c>
      <c r="N175" s="57"/>
      <c r="O175" s="57" t="str">
        <f t="shared" si="4"/>
        <v/>
      </c>
      <c r="P175" s="57" t="str">
        <f t="shared" si="5"/>
        <v/>
      </c>
      <c r="Q175" s="57" t="str">
        <f t="shared" si="9"/>
        <v/>
      </c>
      <c r="R175" s="57" t="str">
        <f t="shared" si="7"/>
        <v/>
      </c>
      <c r="S175" s="57" t="str">
        <f t="shared" si="8"/>
        <v/>
      </c>
      <c r="T175" s="58"/>
      <c r="U175" s="58"/>
      <c r="V175" s="58"/>
      <c r="W175" s="58"/>
      <c r="X175" s="58"/>
      <c r="Y175" s="58"/>
      <c r="Z175" s="58"/>
      <c r="AA175" s="58"/>
    </row>
    <row r="176">
      <c r="A176" s="57">
        <f>IF('主表 Stock_Transaction_Log'!$T176="","",IF(COUNTIF('主表 Stock_Transaction_Log'!$T$2:$T176,'主表 Stock_Transaction_Log'!$T176)=1,ROW('主表 Stock_Transaction_Log'!$T176),""))</f>
        <v>176</v>
      </c>
      <c r="B176" s="57" t="str">
        <f t="array" ref="B176">IF($A176="","",INDEX('主表 Stock_Transaction_Log'!$Q:$Q,$A176))</f>
        <v>FLEX-01</v>
      </c>
      <c r="C176" s="57" t="str">
        <f t="array" ref="C176">IF($A176="","",IF(INDEX('主表 Stock_Transaction_Log'!$F:$F,$A176)=0,"",INDEX('主表 Stock_Transaction_Log'!$F:$F,$A176)))</f>
        <v/>
      </c>
      <c r="D176" s="57" t="str">
        <f t="array" ref="D176">IF($A176="","",INDEX('主表 Stock_Transaction_Log'!$G:$G,$A176))</f>
        <v>97-229-00018-00</v>
      </c>
      <c r="E176" s="57" t="str">
        <f t="array" ref="E176">IF($A176="","",INDEX('主表 Stock_Transaction_Log'!$H:$H,$A176))</f>
        <v>CQ6-S</v>
      </c>
      <c r="F176" s="57" t="str">
        <f t="array" ref="F176">IF($A176="","",INDEX('主表 Stock_Transaction_Log'!$I:$I,$A176))</f>
        <v>Product</v>
      </c>
      <c r="G176" s="57" t="str">
        <f t="array" ref="G176">IF($A176="","",IF(INDEX('主表 Stock_Transaction_Log'!$R:$R,$A176)=0,"",INDEX('主表 Stock_Transaction_Log'!$R:$R,$A176)))</f>
        <v/>
      </c>
      <c r="H176" s="57">
        <f t="array" ref="H176">IF($A176="","",SUMIF('主表 Stock_Transaction_Log'!$T:$T,INDEX('主表 Stock_Transaction_Log'!$T:$T,$A176),'主表 Stock_Transaction_Log'!$S:$S)+SUMIF('主表 Stock_Transaction_Log'!$AB:$AB,INDEX('主表 Stock_Transaction_Log'!$T:$T,$A176),'主表 Stock_Transaction_Log'!$AC:$AC))</f>
        <v>3</v>
      </c>
      <c r="I176" s="57" t="str">
        <f t="shared" si="1"/>
        <v>In Stock / 在库</v>
      </c>
      <c r="J176" s="57" t="str">
        <f t="shared" si="2"/>
        <v>Stock line / 库存明细</v>
      </c>
      <c r="K176" s="57" t="b">
        <f t="shared" si="3"/>
        <v>1</v>
      </c>
      <c r="L176" s="57" t="str">
        <f t="array" ref="L176">IF($A176="","",INDEX('主表 Stock_Transaction_Log'!$P:$P,$A176))</f>
        <v>Repair_Good / 维修良品</v>
      </c>
      <c r="M176" s="57">
        <f>IF($A176="","",IF($H176&lt;=0,0,SUMIFS('主表 Stock_Transaction_Log'!$K$2:$K1000,'主表 Stock_Transaction_Log'!$C$2:$C1000,"Prepared",'主表 Stock_Transaction_Log'!$L$2:$L1000,$B176,'主表 Stock_Transaction_Log'!$F$2:$F1000,$C176,'主表 Stock_Transaction_Log'!$G$2:$G1000,$D176,'主表 Stock_Transaction_Log'!$P$2:$P1000,$L176)))</f>
        <v>0</v>
      </c>
      <c r="N176" s="57"/>
      <c r="O176" s="57" t="str">
        <f t="shared" si="4"/>
        <v/>
      </c>
      <c r="P176" s="57" t="str">
        <f t="shared" si="5"/>
        <v/>
      </c>
      <c r="Q176" s="57" t="str">
        <f t="shared" si="9"/>
        <v/>
      </c>
      <c r="R176" s="57" t="str">
        <f t="shared" si="7"/>
        <v/>
      </c>
      <c r="S176" s="57" t="str">
        <f t="shared" si="8"/>
        <v/>
      </c>
      <c r="T176" s="58"/>
      <c r="U176" s="58"/>
      <c r="V176" s="58"/>
      <c r="W176" s="58"/>
      <c r="X176" s="58"/>
      <c r="Y176" s="58"/>
      <c r="Z176" s="58"/>
      <c r="AA176" s="58"/>
    </row>
    <row r="177">
      <c r="A177" s="57" t="str">
        <f>IF('主表 Stock_Transaction_Log'!$T177="","",IF(COUNTIF('主表 Stock_Transaction_Log'!$T$2:$T177,'主表 Stock_Transaction_Log'!$T177)=1,ROW('主表 Stock_Transaction_Log'!$T177),""))</f>
        <v/>
      </c>
      <c r="B177" s="57" t="str">
        <f t="array" ref="B177">IF($A177="","",INDEX('主表 Stock_Transaction_Log'!$Q:$Q,$A177))</f>
        <v/>
      </c>
      <c r="C177" s="57" t="str">
        <f t="array" ref="C177">IF($A177="","",IF(INDEX('主表 Stock_Transaction_Log'!$F:$F,$A177)=0,"",INDEX('主表 Stock_Transaction_Log'!$F:$F,$A177)))</f>
        <v/>
      </c>
      <c r="D177" s="57" t="str">
        <f t="array" ref="D177">IF($A177="","",INDEX('主表 Stock_Transaction_Log'!$G:$G,$A177))</f>
        <v/>
      </c>
      <c r="E177" s="57" t="str">
        <f t="array" ref="E177">IF($A177="","",INDEX('主表 Stock_Transaction_Log'!$H:$H,$A177))</f>
        <v/>
      </c>
      <c r="F177" s="57" t="str">
        <f t="array" ref="F177">IF($A177="","",INDEX('主表 Stock_Transaction_Log'!$I:$I,$A177))</f>
        <v/>
      </c>
      <c r="G177" s="57" t="str">
        <f t="array" ref="G177">IF($A177="","",IF(INDEX('主表 Stock_Transaction_Log'!$R:$R,$A177)=0,"",INDEX('主表 Stock_Transaction_Log'!$R:$R,$A177)))</f>
        <v/>
      </c>
      <c r="H177" s="57" t="str">
        <f t="array" ref="H177">IF($A177="","",SUMIF('主表 Stock_Transaction_Log'!$T:$T,INDEX('主表 Stock_Transaction_Log'!$T:$T,$A177),'主表 Stock_Transaction_Log'!$S:$S)+SUMIF('主表 Stock_Transaction_Log'!$AB:$AB,INDEX('主表 Stock_Transaction_Log'!$T:$T,$A177),'主表 Stock_Transaction_Log'!$AC:$AC))</f>
        <v/>
      </c>
      <c r="I177" s="57" t="str">
        <f t="shared" si="1"/>
        <v/>
      </c>
      <c r="J177" s="57" t="str">
        <f t="shared" si="2"/>
        <v/>
      </c>
      <c r="K177" s="57" t="str">
        <f t="shared" si="3"/>
        <v/>
      </c>
      <c r="L177" s="57" t="str">
        <f t="array" ref="L177">IF($A177="","",INDEX('主表 Stock_Transaction_Log'!$P:$P,$A177))</f>
        <v/>
      </c>
      <c r="M177" s="57" t="str">
        <f>IF($A177="","",IF($H177&lt;=0,0,SUMIFS('主表 Stock_Transaction_Log'!$K$2:$K1000,'主表 Stock_Transaction_Log'!$C$2:$C1000,"Prepared",'主表 Stock_Transaction_Log'!$L$2:$L1000,$B177,'主表 Stock_Transaction_Log'!$F$2:$F1000,$C177,'主表 Stock_Transaction_Log'!$G$2:$G1000,$D177,'主表 Stock_Transaction_Log'!$P$2:$P1000,$L177)))</f>
        <v/>
      </c>
      <c r="N177" s="57"/>
      <c r="O177" s="57" t="str">
        <f t="shared" si="4"/>
        <v/>
      </c>
      <c r="P177" s="57" t="str">
        <f t="shared" si="5"/>
        <v/>
      </c>
      <c r="Q177" s="57" t="str">
        <f t="shared" si="9"/>
        <v/>
      </c>
      <c r="R177" s="57" t="str">
        <f t="shared" si="7"/>
        <v/>
      </c>
      <c r="S177" s="57" t="str">
        <f t="shared" si="8"/>
        <v/>
      </c>
      <c r="T177" s="58"/>
      <c r="U177" s="58"/>
      <c r="V177" s="58"/>
      <c r="W177" s="58"/>
      <c r="X177" s="58"/>
      <c r="Y177" s="58"/>
      <c r="Z177" s="58"/>
      <c r="AA177" s="58"/>
    </row>
    <row r="178">
      <c r="A178" s="57" t="str">
        <f>IF('主表 Stock_Transaction_Log'!$T178="","",IF(COUNTIF('主表 Stock_Transaction_Log'!$T$2:$T178,'主表 Stock_Transaction_Log'!$T178)=1,ROW('主表 Stock_Transaction_Log'!$T178),""))</f>
        <v/>
      </c>
      <c r="B178" s="57" t="str">
        <f t="array" ref="B178">IF($A178="","",INDEX('主表 Stock_Transaction_Log'!$Q:$Q,$A178))</f>
        <v/>
      </c>
      <c r="C178" s="57" t="str">
        <f t="array" ref="C178">IF($A178="","",IF(INDEX('主表 Stock_Transaction_Log'!$F:$F,$A178)=0,"",INDEX('主表 Stock_Transaction_Log'!$F:$F,$A178)))</f>
        <v/>
      </c>
      <c r="D178" s="57" t="str">
        <f t="array" ref="D178">IF($A178="","",INDEX('主表 Stock_Transaction_Log'!$G:$G,$A178))</f>
        <v/>
      </c>
      <c r="E178" s="57" t="str">
        <f t="array" ref="E178">IF($A178="","",INDEX('主表 Stock_Transaction_Log'!$H:$H,$A178))</f>
        <v/>
      </c>
      <c r="F178" s="57" t="str">
        <f t="array" ref="F178">IF($A178="","",INDEX('主表 Stock_Transaction_Log'!$I:$I,$A178))</f>
        <v/>
      </c>
      <c r="G178" s="57" t="str">
        <f t="array" ref="G178">IF($A178="","",IF(INDEX('主表 Stock_Transaction_Log'!$R:$R,$A178)=0,"",INDEX('主表 Stock_Transaction_Log'!$R:$R,$A178)))</f>
        <v/>
      </c>
      <c r="H178" s="57" t="str">
        <f t="array" ref="H178">IF($A178="","",SUMIF('主表 Stock_Transaction_Log'!$T:$T,INDEX('主表 Stock_Transaction_Log'!$T:$T,$A178),'主表 Stock_Transaction_Log'!$S:$S)+SUMIF('主表 Stock_Transaction_Log'!$AB:$AB,INDEX('主表 Stock_Transaction_Log'!$T:$T,$A178),'主表 Stock_Transaction_Log'!$AC:$AC))</f>
        <v/>
      </c>
      <c r="I178" s="57" t="str">
        <f t="shared" si="1"/>
        <v/>
      </c>
      <c r="J178" s="57" t="str">
        <f t="shared" si="2"/>
        <v/>
      </c>
      <c r="K178" s="57" t="str">
        <f t="shared" si="3"/>
        <v/>
      </c>
      <c r="L178" s="57" t="str">
        <f t="array" ref="L178">IF($A178="","",INDEX('主表 Stock_Transaction_Log'!$P:$P,$A178))</f>
        <v/>
      </c>
      <c r="M178" s="57" t="str">
        <f>IF($A178="","",IF($H178&lt;=0,0,SUMIFS('主表 Stock_Transaction_Log'!$K$2:$K1000,'主表 Stock_Transaction_Log'!$C$2:$C1000,"Prepared",'主表 Stock_Transaction_Log'!$L$2:$L1000,$B178,'主表 Stock_Transaction_Log'!$F$2:$F1000,$C178,'主表 Stock_Transaction_Log'!$G$2:$G1000,$D178,'主表 Stock_Transaction_Log'!$P$2:$P1000,$L178)))</f>
        <v/>
      </c>
      <c r="N178" s="57"/>
      <c r="O178" s="57" t="str">
        <f t="shared" si="4"/>
        <v/>
      </c>
      <c r="P178" s="57" t="str">
        <f t="shared" si="5"/>
        <v/>
      </c>
      <c r="Q178" s="57" t="str">
        <f t="shared" si="9"/>
        <v/>
      </c>
      <c r="R178" s="57" t="str">
        <f t="shared" si="7"/>
        <v/>
      </c>
      <c r="S178" s="57" t="str">
        <f t="shared" si="8"/>
        <v/>
      </c>
      <c r="T178" s="58"/>
      <c r="U178" s="58"/>
      <c r="V178" s="58"/>
      <c r="W178" s="58"/>
      <c r="X178" s="58"/>
      <c r="Y178" s="58"/>
      <c r="Z178" s="58"/>
      <c r="AA178" s="58"/>
    </row>
    <row r="179">
      <c r="A179" s="57">
        <f>IF('主表 Stock_Transaction_Log'!$T179="","",IF(COUNTIF('主表 Stock_Transaction_Log'!$T$2:$T179,'主表 Stock_Transaction_Log'!$T179)=1,ROW('主表 Stock_Transaction_Log'!$T179),""))</f>
        <v>179</v>
      </c>
      <c r="B179" s="57" t="str">
        <f t="array" ref="B179">IF($A179="","",INDEX('主表 Stock_Transaction_Log'!$Q:$Q,$A179))</f>
        <v>FLEX-01</v>
      </c>
      <c r="C179" s="57" t="str">
        <f t="array" ref="C179">IF($A179="","",IF(INDEX('主表 Stock_Transaction_Log'!$F:$F,$A179)=0,"",INDEX('主表 Stock_Transaction_Log'!$F:$F,$A179)))</f>
        <v/>
      </c>
      <c r="D179" s="57" t="str">
        <f t="array" ref="D179">IF($A179="","",INDEX('主表 Stock_Transaction_Log'!$G:$G,$A179))</f>
        <v>97-223-00090-00</v>
      </c>
      <c r="E179" s="57" t="str">
        <f t="array" ref="E179">IF($A179="","",INDEX('主表 Stock_Transaction_Log'!$H:$H,$A179))</f>
        <v>EQ4800-M</v>
      </c>
      <c r="F179" s="57" t="str">
        <f t="array" ref="F179">IF($A179="","",INDEX('主表 Stock_Transaction_Log'!$I:$I,$A179))</f>
        <v>Product</v>
      </c>
      <c r="G179" s="57" t="str">
        <f t="array" ref="G179">IF($A179="","",IF(INDEX('主表 Stock_Transaction_Log'!$R:$R,$A179)=0,"",INDEX('主表 Stock_Transaction_Log'!$R:$R,$A179)))</f>
        <v/>
      </c>
      <c r="H179" s="57">
        <f t="array" ref="H179">IF($A179="","",SUMIF('主表 Stock_Transaction_Log'!$T:$T,INDEX('主表 Stock_Transaction_Log'!$T:$T,$A179),'主表 Stock_Transaction_Log'!$S:$S)+SUMIF('主表 Stock_Transaction_Log'!$AB:$AB,INDEX('主表 Stock_Transaction_Log'!$T:$T,$A179),'主表 Stock_Transaction_Log'!$AC:$AC))</f>
        <v>2</v>
      </c>
      <c r="I179" s="57" t="str">
        <f t="shared" si="1"/>
        <v>In Stock / 在库</v>
      </c>
      <c r="J179" s="57" t="str">
        <f t="shared" si="2"/>
        <v>Stock line / 库存明细</v>
      </c>
      <c r="K179" s="57" t="b">
        <f t="shared" si="3"/>
        <v>1</v>
      </c>
      <c r="L179" s="57" t="str">
        <f t="array" ref="L179">IF($A179="","",INDEX('主表 Stock_Transaction_Log'!$P:$P,$A179))</f>
        <v>Repair_Good / 维修良品</v>
      </c>
      <c r="M179" s="57">
        <f>IF($A179="","",IF($H179&lt;=0,0,SUMIFS('主表 Stock_Transaction_Log'!$K$2:$K1000,'主表 Stock_Transaction_Log'!$C$2:$C1000,"Prepared",'主表 Stock_Transaction_Log'!$L$2:$L1000,$B179,'主表 Stock_Transaction_Log'!$F$2:$F1000,$C179,'主表 Stock_Transaction_Log'!$G$2:$G1000,$D179,'主表 Stock_Transaction_Log'!$P$2:$P1000,$L179)))</f>
        <v>2</v>
      </c>
      <c r="N179" s="57"/>
      <c r="O179" s="57" t="str">
        <f t="shared" si="4"/>
        <v/>
      </c>
      <c r="P179" s="57" t="str">
        <f t="shared" si="5"/>
        <v/>
      </c>
      <c r="Q179" s="57" t="str">
        <f t="shared" si="9"/>
        <v/>
      </c>
      <c r="R179" s="57" t="str">
        <f t="shared" si="7"/>
        <v/>
      </c>
      <c r="S179" s="57" t="str">
        <f t="shared" si="8"/>
        <v/>
      </c>
      <c r="T179" s="58"/>
      <c r="U179" s="58"/>
      <c r="V179" s="58"/>
      <c r="W179" s="58"/>
      <c r="X179" s="58"/>
      <c r="Y179" s="58"/>
      <c r="Z179" s="58"/>
      <c r="AA179" s="58"/>
    </row>
    <row r="180">
      <c r="A180" s="57" t="str">
        <f>IF('主表 Stock_Transaction_Log'!$T180="","",IF(COUNTIF('主表 Stock_Transaction_Log'!$T$2:$T180,'主表 Stock_Transaction_Log'!$T180)=1,ROW('主表 Stock_Transaction_Log'!$T180),""))</f>
        <v/>
      </c>
      <c r="B180" s="57" t="str">
        <f t="array" ref="B180">IF($A180="","",INDEX('主表 Stock_Transaction_Log'!$Q:$Q,$A180))</f>
        <v/>
      </c>
      <c r="C180" s="57" t="str">
        <f t="array" ref="C180">IF($A180="","",IF(INDEX('主表 Stock_Transaction_Log'!$F:$F,$A180)=0,"",INDEX('主表 Stock_Transaction_Log'!$F:$F,$A180)))</f>
        <v/>
      </c>
      <c r="D180" s="57" t="str">
        <f t="array" ref="D180">IF($A180="","",INDEX('主表 Stock_Transaction_Log'!$G:$G,$A180))</f>
        <v/>
      </c>
      <c r="E180" s="57" t="str">
        <f t="array" ref="E180">IF($A180="","",INDEX('主表 Stock_Transaction_Log'!$H:$H,$A180))</f>
        <v/>
      </c>
      <c r="F180" s="57" t="str">
        <f t="array" ref="F180">IF($A180="","",INDEX('主表 Stock_Transaction_Log'!$I:$I,$A180))</f>
        <v/>
      </c>
      <c r="G180" s="57" t="str">
        <f t="array" ref="G180">IF($A180="","",IF(INDEX('主表 Stock_Transaction_Log'!$R:$R,$A180)=0,"",INDEX('主表 Stock_Transaction_Log'!$R:$R,$A180)))</f>
        <v/>
      </c>
      <c r="H180" s="57" t="str">
        <f t="array" ref="H180">IF($A180="","",SUMIF('主表 Stock_Transaction_Log'!$T:$T,INDEX('主表 Stock_Transaction_Log'!$T:$T,$A180),'主表 Stock_Transaction_Log'!$S:$S)+SUMIF('主表 Stock_Transaction_Log'!$AB:$AB,INDEX('主表 Stock_Transaction_Log'!$T:$T,$A180),'主表 Stock_Transaction_Log'!$AC:$AC))</f>
        <v/>
      </c>
      <c r="I180" s="57" t="str">
        <f t="shared" si="1"/>
        <v/>
      </c>
      <c r="J180" s="57" t="str">
        <f t="shared" si="2"/>
        <v/>
      </c>
      <c r="K180" s="57" t="str">
        <f t="shared" si="3"/>
        <v/>
      </c>
      <c r="L180" s="57" t="str">
        <f t="array" ref="L180">IF($A180="","",INDEX('主表 Stock_Transaction_Log'!$P:$P,$A180))</f>
        <v/>
      </c>
      <c r="M180" s="57" t="str">
        <f>IF($A180="","",IF($H180&lt;=0,0,SUMIFS('主表 Stock_Transaction_Log'!$K$2:$K1000,'主表 Stock_Transaction_Log'!$C$2:$C1000,"Prepared",'主表 Stock_Transaction_Log'!$L$2:$L1000,$B180,'主表 Stock_Transaction_Log'!$F$2:$F1000,$C180,'主表 Stock_Transaction_Log'!$G$2:$G1000,$D180,'主表 Stock_Transaction_Log'!$P$2:$P1000,$L180)))</f>
        <v/>
      </c>
      <c r="N180" s="57"/>
      <c r="O180" s="57" t="str">
        <f t="shared" si="4"/>
        <v/>
      </c>
      <c r="P180" s="57" t="str">
        <f t="shared" si="5"/>
        <v/>
      </c>
      <c r="Q180" s="57" t="str">
        <f t="shared" si="9"/>
        <v/>
      </c>
      <c r="R180" s="57" t="str">
        <f t="shared" si="7"/>
        <v/>
      </c>
      <c r="S180" s="57" t="str">
        <f t="shared" si="8"/>
        <v/>
      </c>
      <c r="T180" s="58"/>
      <c r="U180" s="58"/>
      <c r="V180" s="58"/>
      <c r="W180" s="58"/>
      <c r="X180" s="58"/>
      <c r="Y180" s="58"/>
      <c r="Z180" s="58"/>
      <c r="AA180" s="58"/>
    </row>
    <row r="181">
      <c r="A181" s="57">
        <f>IF('主表 Stock_Transaction_Log'!$T181="","",IF(COUNTIF('主表 Stock_Transaction_Log'!$T$2:$T181,'主表 Stock_Transaction_Log'!$T181)=1,ROW('主表 Stock_Transaction_Log'!$T181),""))</f>
        <v>181</v>
      </c>
      <c r="B181" s="57" t="str">
        <f t="array" ref="B181">IF($A181="","",INDEX('主表 Stock_Transaction_Log'!$Q:$Q,$A181))</f>
        <v>FLEX-01</v>
      </c>
      <c r="C181" s="57" t="str">
        <f t="array" ref="C181">IF($A181="","",IF(INDEX('主表 Stock_Transaction_Log'!$F:$F,$A181)=0,"",INDEX('主表 Stock_Transaction_Log'!$F:$F,$A181)))</f>
        <v/>
      </c>
      <c r="D181" s="57" t="str">
        <f t="array" ref="D181">IF($A181="","",INDEX('主表 Stock_Transaction_Log'!$G:$G,$A181))</f>
        <v>97-223-00089-00</v>
      </c>
      <c r="E181" s="57" t="str">
        <f t="array" ref="E181">IF($A181="","",INDEX('主表 Stock_Transaction_Log'!$H:$H,$A181))</f>
        <v>EQ4800-M</v>
      </c>
      <c r="F181" s="57" t="str">
        <f t="array" ref="F181">IF($A181="","",INDEX('主表 Stock_Transaction_Log'!$I:$I,$A181))</f>
        <v>Product</v>
      </c>
      <c r="G181" s="57" t="str">
        <f t="array" ref="G181">IF($A181="","",IF(INDEX('主表 Stock_Transaction_Log'!$R:$R,$A181)=0,"",INDEX('主表 Stock_Transaction_Log'!$R:$R,$A181)))</f>
        <v/>
      </c>
      <c r="H181" s="57">
        <f t="array" ref="H181">IF($A181="","",SUMIF('主表 Stock_Transaction_Log'!$T:$T,INDEX('主表 Stock_Transaction_Log'!$T:$T,$A181),'主表 Stock_Transaction_Log'!$S:$S)+SUMIF('主表 Stock_Transaction_Log'!$AB:$AB,INDEX('主表 Stock_Transaction_Log'!$T:$T,$A181),'主表 Stock_Transaction_Log'!$AC:$AC))</f>
        <v>1</v>
      </c>
      <c r="I181" s="57" t="str">
        <f t="shared" si="1"/>
        <v>In Stock / 在库</v>
      </c>
      <c r="J181" s="57" t="str">
        <f t="shared" si="2"/>
        <v>Stock line / 库存明细</v>
      </c>
      <c r="K181" s="57" t="b">
        <f t="shared" si="3"/>
        <v>1</v>
      </c>
      <c r="L181" s="57" t="str">
        <f t="array" ref="L181">IF($A181="","",INDEX('主表 Stock_Transaction_Log'!$P:$P,$A181))</f>
        <v>Repair_Good / 维修良品</v>
      </c>
      <c r="M181" s="57">
        <f>IF($A181="","",IF($H181&lt;=0,0,SUMIFS('主表 Stock_Transaction_Log'!$K$2:$K1000,'主表 Stock_Transaction_Log'!$C$2:$C1000,"Prepared",'主表 Stock_Transaction_Log'!$L$2:$L1000,$B181,'主表 Stock_Transaction_Log'!$F$2:$F1000,$C181,'主表 Stock_Transaction_Log'!$G$2:$G1000,$D181,'主表 Stock_Transaction_Log'!$P$2:$P1000,$L181)))</f>
        <v>0</v>
      </c>
      <c r="N181" s="57"/>
      <c r="O181" s="57" t="str">
        <f t="shared" si="4"/>
        <v/>
      </c>
      <c r="P181" s="57" t="str">
        <f t="shared" si="5"/>
        <v/>
      </c>
      <c r="Q181" s="57" t="str">
        <f t="shared" si="9"/>
        <v/>
      </c>
      <c r="R181" s="57" t="str">
        <f t="shared" si="7"/>
        <v/>
      </c>
      <c r="S181" s="57" t="str">
        <f t="shared" si="8"/>
        <v/>
      </c>
      <c r="T181" s="58"/>
      <c r="U181" s="58"/>
      <c r="V181" s="58"/>
      <c r="W181" s="58"/>
      <c r="X181" s="58"/>
      <c r="Y181" s="58"/>
      <c r="Z181" s="58"/>
      <c r="AA181" s="58"/>
    </row>
    <row r="182">
      <c r="A182" s="57" t="str">
        <f>IF('主表 Stock_Transaction_Log'!$T182="","",IF(COUNTIF('主表 Stock_Transaction_Log'!$T$2:$T182,'主表 Stock_Transaction_Log'!$T182)=1,ROW('主表 Stock_Transaction_Log'!$T182),""))</f>
        <v/>
      </c>
      <c r="B182" s="57" t="str">
        <f t="array" ref="B182">IF($A182="","",INDEX('主表 Stock_Transaction_Log'!$Q:$Q,$A182))</f>
        <v/>
      </c>
      <c r="C182" s="57" t="str">
        <f t="array" ref="C182">IF($A182="","",IF(INDEX('主表 Stock_Transaction_Log'!$F:$F,$A182)=0,"",INDEX('主表 Stock_Transaction_Log'!$F:$F,$A182)))</f>
        <v/>
      </c>
      <c r="D182" s="57" t="str">
        <f t="array" ref="D182">IF($A182="","",INDEX('主表 Stock_Transaction_Log'!$G:$G,$A182))</f>
        <v/>
      </c>
      <c r="E182" s="57" t="str">
        <f t="array" ref="E182">IF($A182="","",INDEX('主表 Stock_Transaction_Log'!$H:$H,$A182))</f>
        <v/>
      </c>
      <c r="F182" s="57" t="str">
        <f t="array" ref="F182">IF($A182="","",INDEX('主表 Stock_Transaction_Log'!$I:$I,$A182))</f>
        <v/>
      </c>
      <c r="G182" s="57" t="str">
        <f t="array" ref="G182">IF($A182="","",IF(INDEX('主表 Stock_Transaction_Log'!$R:$R,$A182)=0,"",INDEX('主表 Stock_Transaction_Log'!$R:$R,$A182)))</f>
        <v/>
      </c>
      <c r="H182" s="57" t="str">
        <f t="array" ref="H182">IF($A182="","",SUMIF('主表 Stock_Transaction_Log'!$T:$T,INDEX('主表 Stock_Transaction_Log'!$T:$T,$A182),'主表 Stock_Transaction_Log'!$S:$S)+SUMIF('主表 Stock_Transaction_Log'!$AB:$AB,INDEX('主表 Stock_Transaction_Log'!$T:$T,$A182),'主表 Stock_Transaction_Log'!$AC:$AC))</f>
        <v/>
      </c>
      <c r="I182" s="57" t="str">
        <f t="shared" si="1"/>
        <v/>
      </c>
      <c r="J182" s="57" t="str">
        <f t="shared" si="2"/>
        <v/>
      </c>
      <c r="K182" s="57" t="str">
        <f t="shared" si="3"/>
        <v/>
      </c>
      <c r="L182" s="57" t="str">
        <f t="array" ref="L182">IF($A182="","",INDEX('主表 Stock_Transaction_Log'!$P:$P,$A182))</f>
        <v/>
      </c>
      <c r="M182" s="57" t="str">
        <f>IF($A182="","",IF($H182&lt;=0,0,SUMIFS('主表 Stock_Transaction_Log'!$K$2:$K1000,'主表 Stock_Transaction_Log'!$C$2:$C1000,"Prepared",'主表 Stock_Transaction_Log'!$L$2:$L1000,$B182,'主表 Stock_Transaction_Log'!$F$2:$F1000,$C182,'主表 Stock_Transaction_Log'!$G$2:$G1000,$D182,'主表 Stock_Transaction_Log'!$P$2:$P1000,$L182)))</f>
        <v/>
      </c>
      <c r="N182" s="57"/>
      <c r="O182" s="57" t="str">
        <f t="shared" si="4"/>
        <v/>
      </c>
      <c r="P182" s="57" t="str">
        <f t="shared" si="5"/>
        <v/>
      </c>
      <c r="Q182" s="57" t="str">
        <f t="shared" si="9"/>
        <v/>
      </c>
      <c r="R182" s="57" t="str">
        <f t="shared" si="7"/>
        <v/>
      </c>
      <c r="S182" s="57" t="str">
        <f t="shared" si="8"/>
        <v/>
      </c>
      <c r="T182" s="58"/>
      <c r="U182" s="58"/>
      <c r="V182" s="58"/>
      <c r="W182" s="58"/>
      <c r="X182" s="58"/>
      <c r="Y182" s="58"/>
      <c r="Z182" s="58"/>
      <c r="AA182" s="58"/>
    </row>
    <row r="183">
      <c r="A183" s="57" t="str">
        <f>IF('主表 Stock_Transaction_Log'!$T183="","",IF(COUNTIF('主表 Stock_Transaction_Log'!$T$2:$T183,'主表 Stock_Transaction_Log'!$T183)=1,ROW('主表 Stock_Transaction_Log'!$T183),""))</f>
        <v/>
      </c>
      <c r="B183" s="57" t="str">
        <f t="array" ref="B183">IF($A183="","",INDEX('主表 Stock_Transaction_Log'!$Q:$Q,$A183))</f>
        <v/>
      </c>
      <c r="C183" s="57" t="str">
        <f t="array" ref="C183">IF($A183="","",IF(INDEX('主表 Stock_Transaction_Log'!$F:$F,$A183)=0,"",INDEX('主表 Stock_Transaction_Log'!$F:$F,$A183)))</f>
        <v/>
      </c>
      <c r="D183" s="57" t="str">
        <f t="array" ref="D183">IF($A183="","",INDEX('主表 Stock_Transaction_Log'!$G:$G,$A183))</f>
        <v/>
      </c>
      <c r="E183" s="57" t="str">
        <f t="array" ref="E183">IF($A183="","",INDEX('主表 Stock_Transaction_Log'!$H:$H,$A183))</f>
        <v/>
      </c>
      <c r="F183" s="57" t="str">
        <f t="array" ref="F183">IF($A183="","",INDEX('主表 Stock_Transaction_Log'!$I:$I,$A183))</f>
        <v/>
      </c>
      <c r="G183" s="57" t="str">
        <f t="array" ref="G183">IF($A183="","",IF(INDEX('主表 Stock_Transaction_Log'!$R:$R,$A183)=0,"",INDEX('主表 Stock_Transaction_Log'!$R:$R,$A183)))</f>
        <v/>
      </c>
      <c r="H183" s="57" t="str">
        <f t="array" ref="H183">IF($A183="","",SUMIF('主表 Stock_Transaction_Log'!$T:$T,INDEX('主表 Stock_Transaction_Log'!$T:$T,$A183),'主表 Stock_Transaction_Log'!$S:$S)+SUMIF('主表 Stock_Transaction_Log'!$AB:$AB,INDEX('主表 Stock_Transaction_Log'!$T:$T,$A183),'主表 Stock_Transaction_Log'!$AC:$AC))</f>
        <v/>
      </c>
      <c r="I183" s="57" t="str">
        <f t="shared" si="1"/>
        <v/>
      </c>
      <c r="J183" s="57" t="str">
        <f t="shared" si="2"/>
        <v/>
      </c>
      <c r="K183" s="57" t="str">
        <f t="shared" si="3"/>
        <v/>
      </c>
      <c r="L183" s="57" t="str">
        <f t="array" ref="L183">IF($A183="","",INDEX('主表 Stock_Transaction_Log'!$P:$P,$A183))</f>
        <v/>
      </c>
      <c r="M183" s="57" t="str">
        <f>IF($A183="","",IF($H183&lt;=0,0,SUMIFS('主表 Stock_Transaction_Log'!$K$2:$K1000,'主表 Stock_Transaction_Log'!$C$2:$C1000,"Prepared",'主表 Stock_Transaction_Log'!$L$2:$L1000,$B183,'主表 Stock_Transaction_Log'!$F$2:$F1000,$C183,'主表 Stock_Transaction_Log'!$G$2:$G1000,$D183,'主表 Stock_Transaction_Log'!$P$2:$P1000,$L183)))</f>
        <v/>
      </c>
      <c r="N183" s="57"/>
      <c r="O183" s="57" t="str">
        <f t="shared" si="4"/>
        <v/>
      </c>
      <c r="P183" s="57" t="str">
        <f t="shared" si="5"/>
        <v/>
      </c>
      <c r="Q183" s="57" t="str">
        <f t="shared" si="9"/>
        <v/>
      </c>
      <c r="R183" s="57" t="str">
        <f t="shared" si="7"/>
        <v/>
      </c>
      <c r="S183" s="57" t="str">
        <f t="shared" si="8"/>
        <v/>
      </c>
      <c r="T183" s="58"/>
      <c r="U183" s="58"/>
      <c r="V183" s="58"/>
      <c r="W183" s="58"/>
      <c r="X183" s="58"/>
      <c r="Y183" s="58"/>
      <c r="Z183" s="58"/>
      <c r="AA183" s="58"/>
    </row>
    <row r="184">
      <c r="A184" s="57">
        <f>IF('主表 Stock_Transaction_Log'!$T184="","",IF(COUNTIF('主表 Stock_Transaction_Log'!$T$2:$T184,'主表 Stock_Transaction_Log'!$T184)=1,ROW('主表 Stock_Transaction_Log'!$T184),""))</f>
        <v>184</v>
      </c>
      <c r="B184" s="57" t="str">
        <f t="array" ref="B184">IF($A184="","",INDEX('主表 Stock_Transaction_Log'!$Q:$Q,$A184))</f>
        <v>FLEX-01</v>
      </c>
      <c r="C184" s="57" t="str">
        <f t="array" ref="C184">IF($A184="","",IF(INDEX('主表 Stock_Transaction_Log'!$F:$F,$A184)=0,"",INDEX('主表 Stock_Transaction_Log'!$F:$F,$A184)))</f>
        <v/>
      </c>
      <c r="D184" s="57" t="str">
        <f t="array" ref="D184">IF($A184="","",INDEX('主表 Stock_Transaction_Log'!$G:$G,$A184))</f>
        <v>30-223-00001-00</v>
      </c>
      <c r="E184" s="57" t="str">
        <f t="array" ref="E184">IF($A184="","",INDEX('主表 Stock_Transaction_Log'!$H:$H,$A184))</f>
        <v>EQ4800</v>
      </c>
      <c r="F184" s="57" t="str">
        <f t="array" ref="F184">IF($A184="","",INDEX('主表 Stock_Transaction_Log'!$I:$I,$A184))</f>
        <v>Product</v>
      </c>
      <c r="G184" s="57" t="str">
        <f t="array" ref="G184">IF($A184="","",IF(INDEX('主表 Stock_Transaction_Log'!$R:$R,$A184)=0,"",INDEX('主表 Stock_Transaction_Log'!$R:$R,$A184)))</f>
        <v/>
      </c>
      <c r="H184" s="57">
        <f t="array" ref="H184">IF($A184="","",SUMIF('主表 Stock_Transaction_Log'!$T:$T,INDEX('主表 Stock_Transaction_Log'!$T:$T,$A184),'主表 Stock_Transaction_Log'!$S:$S)+SUMIF('主表 Stock_Transaction_Log'!$AB:$AB,INDEX('主表 Stock_Transaction_Log'!$T:$T,$A184),'主表 Stock_Transaction_Log'!$AC:$AC))</f>
        <v>1</v>
      </c>
      <c r="I184" s="57" t="str">
        <f t="shared" si="1"/>
        <v>In Stock / 在库</v>
      </c>
      <c r="J184" s="57" t="str">
        <f t="shared" si="2"/>
        <v>Stock line / 库存明细</v>
      </c>
      <c r="K184" s="57" t="b">
        <f t="shared" si="3"/>
        <v>1</v>
      </c>
      <c r="L184" s="57" t="str">
        <f t="array" ref="L184">IF($A184="","",INDEX('主表 Stock_Transaction_Log'!$P:$P,$A184))</f>
        <v>Repair_Good / 维修良品</v>
      </c>
      <c r="M184" s="57">
        <f>IF($A184="","",IF($H184&lt;=0,0,SUMIFS('主表 Stock_Transaction_Log'!$K$2:$K1000,'主表 Stock_Transaction_Log'!$C$2:$C1000,"Prepared",'主表 Stock_Transaction_Log'!$L$2:$L1000,$B184,'主表 Stock_Transaction_Log'!$F$2:$F1000,$C184,'主表 Stock_Transaction_Log'!$G$2:$G1000,$D184,'主表 Stock_Transaction_Log'!$P$2:$P1000,$L184)))</f>
        <v>0</v>
      </c>
      <c r="N184" s="57"/>
      <c r="O184" s="57" t="str">
        <f t="shared" si="4"/>
        <v/>
      </c>
      <c r="P184" s="57" t="str">
        <f t="shared" si="5"/>
        <v/>
      </c>
      <c r="Q184" s="57" t="str">
        <f t="shared" si="9"/>
        <v/>
      </c>
      <c r="R184" s="57" t="str">
        <f t="shared" si="7"/>
        <v/>
      </c>
      <c r="S184" s="57" t="str">
        <f t="shared" si="8"/>
        <v/>
      </c>
      <c r="T184" s="58"/>
      <c r="U184" s="58"/>
      <c r="V184" s="58"/>
      <c r="W184" s="58"/>
      <c r="X184" s="58"/>
      <c r="Y184" s="58"/>
      <c r="Z184" s="58"/>
      <c r="AA184" s="58"/>
    </row>
    <row r="185">
      <c r="A185" s="57" t="str">
        <f>IF('主表 Stock_Transaction_Log'!$T185="","",IF(COUNTIF('主表 Stock_Transaction_Log'!$T$2:$T185,'主表 Stock_Transaction_Log'!$T185)=1,ROW('主表 Stock_Transaction_Log'!$T185),""))</f>
        <v/>
      </c>
      <c r="B185" s="57" t="str">
        <f t="array" ref="B185">IF($A185="","",INDEX('主表 Stock_Transaction_Log'!$Q:$Q,$A185))</f>
        <v/>
      </c>
      <c r="C185" s="57" t="str">
        <f t="array" ref="C185">IF($A185="","",IF(INDEX('主表 Stock_Transaction_Log'!$F:$F,$A185)=0,"",INDEX('主表 Stock_Transaction_Log'!$F:$F,$A185)))</f>
        <v/>
      </c>
      <c r="D185" s="57" t="str">
        <f t="array" ref="D185">IF($A185="","",INDEX('主表 Stock_Transaction_Log'!$G:$G,$A185))</f>
        <v/>
      </c>
      <c r="E185" s="57" t="str">
        <f t="array" ref="E185">IF($A185="","",INDEX('主表 Stock_Transaction_Log'!$H:$H,$A185))</f>
        <v/>
      </c>
      <c r="F185" s="57" t="str">
        <f t="array" ref="F185">IF($A185="","",INDEX('主表 Stock_Transaction_Log'!$I:$I,$A185))</f>
        <v/>
      </c>
      <c r="G185" s="57" t="str">
        <f t="array" ref="G185">IF($A185="","",IF(INDEX('主表 Stock_Transaction_Log'!$R:$R,$A185)=0,"",INDEX('主表 Stock_Transaction_Log'!$R:$R,$A185)))</f>
        <v/>
      </c>
      <c r="H185" s="57" t="str">
        <f t="array" ref="H185">IF($A185="","",SUMIF('主表 Stock_Transaction_Log'!$T:$T,INDEX('主表 Stock_Transaction_Log'!$T:$T,$A185),'主表 Stock_Transaction_Log'!$S:$S)+SUMIF('主表 Stock_Transaction_Log'!$AB:$AB,INDEX('主表 Stock_Transaction_Log'!$T:$T,$A185),'主表 Stock_Transaction_Log'!$AC:$AC))</f>
        <v/>
      </c>
      <c r="I185" s="57" t="str">
        <f t="shared" si="1"/>
        <v/>
      </c>
      <c r="J185" s="57" t="str">
        <f t="shared" si="2"/>
        <v/>
      </c>
      <c r="K185" s="57" t="str">
        <f t="shared" si="3"/>
        <v/>
      </c>
      <c r="L185" s="57" t="str">
        <f t="array" ref="L185">IF($A185="","",INDEX('主表 Stock_Transaction_Log'!$P:$P,$A185))</f>
        <v/>
      </c>
      <c r="M185" s="57" t="str">
        <f>IF($A185="","",IF($H185&lt;=0,0,SUMIFS('主表 Stock_Transaction_Log'!$K$2:$K1000,'主表 Stock_Transaction_Log'!$C$2:$C1000,"Prepared",'主表 Stock_Transaction_Log'!$L$2:$L1000,$B185,'主表 Stock_Transaction_Log'!$F$2:$F1000,$C185,'主表 Stock_Transaction_Log'!$G$2:$G1000,$D185,'主表 Stock_Transaction_Log'!$P$2:$P1000,$L185)))</f>
        <v/>
      </c>
      <c r="N185" s="57"/>
      <c r="O185" s="57" t="str">
        <f t="shared" si="4"/>
        <v/>
      </c>
      <c r="P185" s="57" t="str">
        <f t="shared" si="5"/>
        <v/>
      </c>
      <c r="Q185" s="57" t="str">
        <f t="shared" si="9"/>
        <v/>
      </c>
      <c r="R185" s="57" t="str">
        <f t="shared" si="7"/>
        <v/>
      </c>
      <c r="S185" s="57" t="str">
        <f t="shared" si="8"/>
        <v/>
      </c>
      <c r="T185" s="58"/>
      <c r="U185" s="58"/>
      <c r="V185" s="58"/>
      <c r="W185" s="58"/>
      <c r="X185" s="58"/>
      <c r="Y185" s="58"/>
      <c r="Z185" s="58"/>
      <c r="AA185" s="58"/>
    </row>
    <row r="186">
      <c r="A186" s="57" t="str">
        <f>IF('主表 Stock_Transaction_Log'!$T186="","",IF(COUNTIF('主表 Stock_Transaction_Log'!$T$2:$T186,'主表 Stock_Transaction_Log'!$T186)=1,ROW('主表 Stock_Transaction_Log'!$T186),""))</f>
        <v/>
      </c>
      <c r="B186" s="57" t="str">
        <f t="array" ref="B186">IF($A186="","",INDEX('主表 Stock_Transaction_Log'!$Q:$Q,$A186))</f>
        <v/>
      </c>
      <c r="C186" s="57" t="str">
        <f t="array" ref="C186">IF($A186="","",IF(INDEX('主表 Stock_Transaction_Log'!$F:$F,$A186)=0,"",INDEX('主表 Stock_Transaction_Log'!$F:$F,$A186)))</f>
        <v/>
      </c>
      <c r="D186" s="57" t="str">
        <f t="array" ref="D186">IF($A186="","",INDEX('主表 Stock_Transaction_Log'!$G:$G,$A186))</f>
        <v/>
      </c>
      <c r="E186" s="57" t="str">
        <f t="array" ref="E186">IF($A186="","",INDEX('主表 Stock_Transaction_Log'!$H:$H,$A186))</f>
        <v/>
      </c>
      <c r="F186" s="57" t="str">
        <f t="array" ref="F186">IF($A186="","",INDEX('主表 Stock_Transaction_Log'!$I:$I,$A186))</f>
        <v/>
      </c>
      <c r="G186" s="57" t="str">
        <f t="array" ref="G186">IF($A186="","",IF(INDEX('主表 Stock_Transaction_Log'!$R:$R,$A186)=0,"",INDEX('主表 Stock_Transaction_Log'!$R:$R,$A186)))</f>
        <v/>
      </c>
      <c r="H186" s="57" t="str">
        <f t="array" ref="H186">IF($A186="","",SUMIF('主表 Stock_Transaction_Log'!$T:$T,INDEX('主表 Stock_Transaction_Log'!$T:$T,$A186),'主表 Stock_Transaction_Log'!$S:$S)+SUMIF('主表 Stock_Transaction_Log'!$AB:$AB,INDEX('主表 Stock_Transaction_Log'!$T:$T,$A186),'主表 Stock_Transaction_Log'!$AC:$AC))</f>
        <v/>
      </c>
      <c r="I186" s="57" t="str">
        <f t="shared" si="1"/>
        <v/>
      </c>
      <c r="J186" s="57" t="str">
        <f t="shared" si="2"/>
        <v/>
      </c>
      <c r="K186" s="57" t="str">
        <f t="shared" si="3"/>
        <v/>
      </c>
      <c r="L186" s="57" t="str">
        <f t="array" ref="L186">IF($A186="","",INDEX('主表 Stock_Transaction_Log'!$P:$P,$A186))</f>
        <v/>
      </c>
      <c r="M186" s="57" t="str">
        <f>IF($A186="","",IF($H186&lt;=0,0,SUMIFS('主表 Stock_Transaction_Log'!$K$2:$K1000,'主表 Stock_Transaction_Log'!$C$2:$C1000,"Prepared",'主表 Stock_Transaction_Log'!$L$2:$L1000,$B186,'主表 Stock_Transaction_Log'!$F$2:$F1000,$C186,'主表 Stock_Transaction_Log'!$G$2:$G1000,$D186,'主表 Stock_Transaction_Log'!$P$2:$P1000,$L186)))</f>
        <v/>
      </c>
      <c r="N186" s="57"/>
      <c r="O186" s="57" t="str">
        <f t="shared" si="4"/>
        <v/>
      </c>
      <c r="P186" s="57" t="str">
        <f t="shared" si="5"/>
        <v/>
      </c>
      <c r="Q186" s="57" t="str">
        <f t="shared" si="9"/>
        <v/>
      </c>
      <c r="R186" s="57" t="str">
        <f t="shared" si="7"/>
        <v/>
      </c>
      <c r="S186" s="57" t="str">
        <f t="shared" si="8"/>
        <v/>
      </c>
      <c r="T186" s="58"/>
      <c r="U186" s="58"/>
      <c r="V186" s="58"/>
      <c r="W186" s="58"/>
      <c r="X186" s="58"/>
      <c r="Y186" s="58"/>
      <c r="Z186" s="58"/>
      <c r="AA186" s="58"/>
    </row>
    <row r="187">
      <c r="A187" s="57">
        <f>IF('主表 Stock_Transaction_Log'!$T187="","",IF(COUNTIF('主表 Stock_Transaction_Log'!$T$2:$T187,'主表 Stock_Transaction_Log'!$T187)=1,ROW('主表 Stock_Transaction_Log'!$T187),""))</f>
        <v>187</v>
      </c>
      <c r="B187" s="57" t="str">
        <f t="array" ref="B187">IF($A187="","",INDEX('主表 Stock_Transaction_Log'!$Q:$Q,$A187))</f>
        <v>FLEX-01</v>
      </c>
      <c r="C187" s="57" t="str">
        <f t="array" ref="C187">IF($A187="","",IF(INDEX('主表 Stock_Transaction_Log'!$F:$F,$A187)=0,"",INDEX('主表 Stock_Transaction_Log'!$F:$F,$A187)))</f>
        <v/>
      </c>
      <c r="D187" s="57" t="str">
        <f t="array" ref="D187">IF($A187="","",INDEX('主表 Stock_Transaction_Log'!$G:$G,$A187))</f>
        <v>97-223-00065-00</v>
      </c>
      <c r="E187" s="57" t="str">
        <f t="array" ref="E187">IF($A187="","",INDEX('主表 Stock_Transaction_Log'!$H:$H,$A187))</f>
        <v>EQ4800-S</v>
      </c>
      <c r="F187" s="57" t="str">
        <f t="array" ref="F187">IF($A187="","",INDEX('主表 Stock_Transaction_Log'!$I:$I,$A187))</f>
        <v>Product</v>
      </c>
      <c r="G187" s="57" t="str">
        <f t="array" ref="G187">IF($A187="","",IF(INDEX('主表 Stock_Transaction_Log'!$R:$R,$A187)=0,"",INDEX('主表 Stock_Transaction_Log'!$R:$R,$A187)))</f>
        <v/>
      </c>
      <c r="H187" s="57">
        <f t="array" ref="H187">IF($A187="","",SUMIF('主表 Stock_Transaction_Log'!$T:$T,INDEX('主表 Stock_Transaction_Log'!$T:$T,$A187),'主表 Stock_Transaction_Log'!$S:$S)+SUMIF('主表 Stock_Transaction_Log'!$AB:$AB,INDEX('主表 Stock_Transaction_Log'!$T:$T,$A187),'主表 Stock_Transaction_Log'!$AC:$AC))</f>
        <v>1</v>
      </c>
      <c r="I187" s="57" t="str">
        <f t="shared" si="1"/>
        <v>In Stock / 在库</v>
      </c>
      <c r="J187" s="57" t="str">
        <f t="shared" si="2"/>
        <v>Stock line / 库存明细</v>
      </c>
      <c r="K187" s="57" t="b">
        <f t="shared" si="3"/>
        <v>1</v>
      </c>
      <c r="L187" s="57" t="str">
        <f t="array" ref="L187">IF($A187="","",INDEX('主表 Stock_Transaction_Log'!$P:$P,$A187))</f>
        <v>Repair_Good / 维修良品</v>
      </c>
      <c r="M187" s="57">
        <f>IF($A187="","",IF($H187&lt;=0,0,SUMIFS('主表 Stock_Transaction_Log'!$K$2:$K1000,'主表 Stock_Transaction_Log'!$C$2:$C1000,"Prepared",'主表 Stock_Transaction_Log'!$L$2:$L1000,$B187,'主表 Stock_Transaction_Log'!$F$2:$F1000,$C187,'主表 Stock_Transaction_Log'!$G$2:$G1000,$D187,'主表 Stock_Transaction_Log'!$P$2:$P1000,$L187)))</f>
        <v>0</v>
      </c>
      <c r="N187" s="57"/>
      <c r="O187" s="57" t="str">
        <f t="shared" si="4"/>
        <v/>
      </c>
      <c r="P187" s="57" t="str">
        <f t="shared" si="5"/>
        <v/>
      </c>
      <c r="Q187" s="57" t="str">
        <f t="shared" si="9"/>
        <v/>
      </c>
      <c r="R187" s="57" t="str">
        <f t="shared" si="7"/>
        <v/>
      </c>
      <c r="S187" s="57" t="str">
        <f t="shared" si="8"/>
        <v/>
      </c>
      <c r="T187" s="58"/>
      <c r="U187" s="58"/>
      <c r="V187" s="58"/>
      <c r="W187" s="58"/>
      <c r="X187" s="58"/>
      <c r="Y187" s="58"/>
      <c r="Z187" s="58"/>
      <c r="AA187" s="58"/>
    </row>
    <row r="188">
      <c r="A188" s="57" t="str">
        <f>IF('主表 Stock_Transaction_Log'!$T188="","",IF(COUNTIF('主表 Stock_Transaction_Log'!$T$2:$T188,'主表 Stock_Transaction_Log'!$T188)=1,ROW('主表 Stock_Transaction_Log'!$T188),""))</f>
        <v/>
      </c>
      <c r="B188" s="57" t="str">
        <f t="array" ref="B188">IF($A188="","",INDEX('主表 Stock_Transaction_Log'!$Q:$Q,$A188))</f>
        <v/>
      </c>
      <c r="C188" s="57" t="str">
        <f t="array" ref="C188">IF($A188="","",IF(INDEX('主表 Stock_Transaction_Log'!$F:$F,$A188)=0,"",INDEX('主表 Stock_Transaction_Log'!$F:$F,$A188)))</f>
        <v/>
      </c>
      <c r="D188" s="57" t="str">
        <f t="array" ref="D188">IF($A188="","",INDEX('主表 Stock_Transaction_Log'!$G:$G,$A188))</f>
        <v/>
      </c>
      <c r="E188" s="57" t="str">
        <f t="array" ref="E188">IF($A188="","",INDEX('主表 Stock_Transaction_Log'!$H:$H,$A188))</f>
        <v/>
      </c>
      <c r="F188" s="57" t="str">
        <f t="array" ref="F188">IF($A188="","",INDEX('主表 Stock_Transaction_Log'!$I:$I,$A188))</f>
        <v/>
      </c>
      <c r="G188" s="57" t="str">
        <f t="array" ref="G188">IF($A188="","",IF(INDEX('主表 Stock_Transaction_Log'!$R:$R,$A188)=0,"",INDEX('主表 Stock_Transaction_Log'!$R:$R,$A188)))</f>
        <v/>
      </c>
      <c r="H188" s="57" t="str">
        <f t="array" ref="H188">IF($A188="","",SUMIF('主表 Stock_Transaction_Log'!$T:$T,INDEX('主表 Stock_Transaction_Log'!$T:$T,$A188),'主表 Stock_Transaction_Log'!$S:$S)+SUMIF('主表 Stock_Transaction_Log'!$AB:$AB,INDEX('主表 Stock_Transaction_Log'!$T:$T,$A188),'主表 Stock_Transaction_Log'!$AC:$AC))</f>
        <v/>
      </c>
      <c r="I188" s="57" t="str">
        <f t="shared" si="1"/>
        <v/>
      </c>
      <c r="J188" s="57" t="str">
        <f t="shared" si="2"/>
        <v/>
      </c>
      <c r="K188" s="57" t="str">
        <f t="shared" si="3"/>
        <v/>
      </c>
      <c r="L188" s="57" t="str">
        <f t="array" ref="L188">IF($A188="","",INDEX('主表 Stock_Transaction_Log'!$P:$P,$A188))</f>
        <v/>
      </c>
      <c r="M188" s="57" t="str">
        <f>IF($A188="","",IF($H188&lt;=0,0,SUMIFS('主表 Stock_Transaction_Log'!$K$2:$K1000,'主表 Stock_Transaction_Log'!$C$2:$C1000,"Prepared",'主表 Stock_Transaction_Log'!$L$2:$L1000,$B188,'主表 Stock_Transaction_Log'!$F$2:$F1000,$C188,'主表 Stock_Transaction_Log'!$G$2:$G1000,$D188,'主表 Stock_Transaction_Log'!$P$2:$P1000,$L188)))</f>
        <v/>
      </c>
      <c r="N188" s="57"/>
      <c r="O188" s="57" t="str">
        <f t="shared" si="4"/>
        <v/>
      </c>
      <c r="P188" s="57" t="str">
        <f t="shared" si="5"/>
        <v/>
      </c>
      <c r="Q188" s="57" t="str">
        <f t="shared" si="9"/>
        <v/>
      </c>
      <c r="R188" s="57" t="str">
        <f t="shared" si="7"/>
        <v/>
      </c>
      <c r="S188" s="57" t="str">
        <f t="shared" si="8"/>
        <v/>
      </c>
      <c r="T188" s="58"/>
      <c r="U188" s="58"/>
      <c r="V188" s="58"/>
      <c r="W188" s="58"/>
      <c r="X188" s="58"/>
      <c r="Y188" s="58"/>
      <c r="Z188" s="58"/>
      <c r="AA188" s="58"/>
    </row>
    <row r="189">
      <c r="A189" s="57" t="str">
        <f>IF('主表 Stock_Transaction_Log'!$T189="","",IF(COUNTIF('主表 Stock_Transaction_Log'!$T$2:$T189,'主表 Stock_Transaction_Log'!$T189)=1,ROW('主表 Stock_Transaction_Log'!$T189),""))</f>
        <v/>
      </c>
      <c r="B189" s="57" t="str">
        <f t="array" ref="B189">IF($A189="","",INDEX('主表 Stock_Transaction_Log'!$Q:$Q,$A189))</f>
        <v/>
      </c>
      <c r="C189" s="57" t="str">
        <f t="array" ref="C189">IF($A189="","",IF(INDEX('主表 Stock_Transaction_Log'!$F:$F,$A189)=0,"",INDEX('主表 Stock_Transaction_Log'!$F:$F,$A189)))</f>
        <v/>
      </c>
      <c r="D189" s="57" t="str">
        <f t="array" ref="D189">IF($A189="","",INDEX('主表 Stock_Transaction_Log'!$G:$G,$A189))</f>
        <v/>
      </c>
      <c r="E189" s="57" t="str">
        <f t="array" ref="E189">IF($A189="","",INDEX('主表 Stock_Transaction_Log'!$H:$H,$A189))</f>
        <v/>
      </c>
      <c r="F189" s="57" t="str">
        <f t="array" ref="F189">IF($A189="","",INDEX('主表 Stock_Transaction_Log'!$I:$I,$A189))</f>
        <v/>
      </c>
      <c r="G189" s="57" t="str">
        <f t="array" ref="G189">IF($A189="","",IF(INDEX('主表 Stock_Transaction_Log'!$R:$R,$A189)=0,"",INDEX('主表 Stock_Transaction_Log'!$R:$R,$A189)))</f>
        <v/>
      </c>
      <c r="H189" s="57" t="str">
        <f t="array" ref="H189">IF($A189="","",SUMIF('主表 Stock_Transaction_Log'!$T:$T,INDEX('主表 Stock_Transaction_Log'!$T:$T,$A189),'主表 Stock_Transaction_Log'!$S:$S)+SUMIF('主表 Stock_Transaction_Log'!$AB:$AB,INDEX('主表 Stock_Transaction_Log'!$T:$T,$A189),'主表 Stock_Transaction_Log'!$AC:$AC))</f>
        <v/>
      </c>
      <c r="I189" s="57" t="str">
        <f t="shared" si="1"/>
        <v/>
      </c>
      <c r="J189" s="57" t="str">
        <f t="shared" si="2"/>
        <v/>
      </c>
      <c r="K189" s="57" t="str">
        <f t="shared" si="3"/>
        <v/>
      </c>
      <c r="L189" s="57" t="str">
        <f t="array" ref="L189">IF($A189="","",INDEX('主表 Stock_Transaction_Log'!$P:$P,$A189))</f>
        <v/>
      </c>
      <c r="M189" s="57" t="str">
        <f>IF($A189="","",IF($H189&lt;=0,0,SUMIFS('主表 Stock_Transaction_Log'!$K$2:$K1000,'主表 Stock_Transaction_Log'!$C$2:$C1000,"Prepared",'主表 Stock_Transaction_Log'!$L$2:$L1000,$B189,'主表 Stock_Transaction_Log'!$F$2:$F1000,$C189,'主表 Stock_Transaction_Log'!$G$2:$G1000,$D189,'主表 Stock_Transaction_Log'!$P$2:$P1000,$L189)))</f>
        <v/>
      </c>
      <c r="N189" s="57"/>
      <c r="O189" s="57" t="str">
        <f t="shared" si="4"/>
        <v/>
      </c>
      <c r="P189" s="57" t="str">
        <f t="shared" si="5"/>
        <v/>
      </c>
      <c r="Q189" s="57" t="str">
        <f t="shared" si="9"/>
        <v/>
      </c>
      <c r="R189" s="57" t="str">
        <f t="shared" si="7"/>
        <v/>
      </c>
      <c r="S189" s="57" t="str">
        <f t="shared" si="8"/>
        <v/>
      </c>
      <c r="T189" s="58"/>
      <c r="U189" s="58"/>
      <c r="V189" s="58"/>
      <c r="W189" s="58"/>
      <c r="X189" s="58"/>
      <c r="Y189" s="58"/>
      <c r="Z189" s="58"/>
      <c r="AA189" s="58"/>
    </row>
    <row r="190">
      <c r="A190" s="57">
        <f>IF('主表 Stock_Transaction_Log'!$T190="","",IF(COUNTIF('主表 Stock_Transaction_Log'!$T$2:$T190,'主表 Stock_Transaction_Log'!$T190)=1,ROW('主表 Stock_Transaction_Log'!$T190),""))</f>
        <v>190</v>
      </c>
      <c r="B190" s="57" t="str">
        <f t="array" ref="B190">IF($A190="","",INDEX('主表 Stock_Transaction_Log'!$Q:$Q,$A190))</f>
        <v>FLEX-01</v>
      </c>
      <c r="C190" s="57" t="str">
        <f t="array" ref="C190">IF($A190="","",IF(INDEX('主表 Stock_Transaction_Log'!$F:$F,$A190)=0,"",INDEX('主表 Stock_Transaction_Log'!$F:$F,$A190)))</f>
        <v/>
      </c>
      <c r="D190" s="57" t="str">
        <f t="array" ref="D190">IF($A190="","",INDEX('主表 Stock_Transaction_Log'!$G:$G,$A190))</f>
        <v>97-229-00020-00</v>
      </c>
      <c r="E190" s="57" t="str">
        <f t="array" ref="E190">IF($A190="","",INDEX('主表 Stock_Transaction_Log'!$H:$H,$A190))</f>
        <v>CQ6-M</v>
      </c>
      <c r="F190" s="57" t="str">
        <f t="array" ref="F190">IF($A190="","",INDEX('主表 Stock_Transaction_Log'!$I:$I,$A190))</f>
        <v>Product</v>
      </c>
      <c r="G190" s="57" t="str">
        <f t="array" ref="G190">IF($A190="","",IF(INDEX('主表 Stock_Transaction_Log'!$R:$R,$A190)=0,"",INDEX('主表 Stock_Transaction_Log'!$R:$R,$A190)))</f>
        <v/>
      </c>
      <c r="H190" s="57">
        <f t="array" ref="H190">IF($A190="","",SUMIF('主表 Stock_Transaction_Log'!$T:$T,INDEX('主表 Stock_Transaction_Log'!$T:$T,$A190),'主表 Stock_Transaction_Log'!$S:$S)+SUMIF('主表 Stock_Transaction_Log'!$AB:$AB,INDEX('主表 Stock_Transaction_Log'!$T:$T,$A190),'主表 Stock_Transaction_Log'!$AC:$AC))</f>
        <v>1</v>
      </c>
      <c r="I190" s="57" t="str">
        <f t="shared" si="1"/>
        <v>In Stock / 在库</v>
      </c>
      <c r="J190" s="57" t="str">
        <f t="shared" si="2"/>
        <v>Stock line / 库存明细</v>
      </c>
      <c r="K190" s="57" t="b">
        <f t="shared" si="3"/>
        <v>1</v>
      </c>
      <c r="L190" s="57" t="str">
        <f t="array" ref="L190">IF($A190="","",INDEX('主表 Stock_Transaction_Log'!$P:$P,$A190))</f>
        <v>Repair_Good / 维修良品</v>
      </c>
      <c r="M190" s="57">
        <f>IF($A190="","",IF($H190&lt;=0,0,SUMIFS('主表 Stock_Transaction_Log'!$K$2:$K1000,'主表 Stock_Transaction_Log'!$C$2:$C1000,"Prepared",'主表 Stock_Transaction_Log'!$L$2:$L1000,$B190,'主表 Stock_Transaction_Log'!$F$2:$F1000,$C190,'主表 Stock_Transaction_Log'!$G$2:$G1000,$D190,'主表 Stock_Transaction_Log'!$P$2:$P1000,$L190)))</f>
        <v>0</v>
      </c>
      <c r="N190" s="57"/>
      <c r="O190" s="57" t="str">
        <f t="shared" si="4"/>
        <v/>
      </c>
      <c r="P190" s="57" t="str">
        <f t="shared" si="5"/>
        <v/>
      </c>
      <c r="Q190" s="57" t="str">
        <f t="shared" si="9"/>
        <v/>
      </c>
      <c r="R190" s="57" t="str">
        <f t="shared" si="7"/>
        <v/>
      </c>
      <c r="S190" s="57" t="str">
        <f t="shared" si="8"/>
        <v/>
      </c>
      <c r="T190" s="58"/>
      <c r="U190" s="58"/>
      <c r="V190" s="58"/>
      <c r="W190" s="58"/>
      <c r="X190" s="58"/>
      <c r="Y190" s="58"/>
      <c r="Z190" s="58"/>
      <c r="AA190" s="58"/>
    </row>
    <row r="191">
      <c r="A191" s="57">
        <f>IF('主表 Stock_Transaction_Log'!$T191="","",IF(COUNTIF('主表 Stock_Transaction_Log'!$T$2:$T191,'主表 Stock_Transaction_Log'!$T191)=1,ROW('主表 Stock_Transaction_Log'!$T191),""))</f>
        <v>191</v>
      </c>
      <c r="B191" s="57" t="str">
        <f t="array" ref="B191">IF($A191="","",INDEX('主表 Stock_Transaction_Log'!$Q:$Q,$A191))</f>
        <v>FLEX-01</v>
      </c>
      <c r="C191" s="57" t="str">
        <f t="array" ref="C191">IF($A191="","",IF(INDEX('主表 Stock_Transaction_Log'!$F:$F,$A191)=0,"",INDEX('主表 Stock_Transaction_Log'!$F:$F,$A191)))</f>
        <v/>
      </c>
      <c r="D191" s="57" t="str">
        <f t="array" ref="D191">IF($A191="","",INDEX('主表 Stock_Transaction_Log'!$G:$G,$A191))</f>
        <v>97-229-00012-00</v>
      </c>
      <c r="E191" s="57" t="str">
        <f t="array" ref="E191">IF($A191="","",INDEX('主表 Stock_Transaction_Log'!$H:$H,$A191))</f>
        <v>CQ6-M</v>
      </c>
      <c r="F191" s="57" t="str">
        <f t="array" ref="F191">IF($A191="","",INDEX('主表 Stock_Transaction_Log'!$I:$I,$A191))</f>
        <v>Product</v>
      </c>
      <c r="G191" s="57" t="str">
        <f t="array" ref="G191">IF($A191="","",IF(INDEX('主表 Stock_Transaction_Log'!$R:$R,$A191)=0,"",INDEX('主表 Stock_Transaction_Log'!$R:$R,$A191)))</f>
        <v/>
      </c>
      <c r="H191" s="57">
        <f t="array" ref="H191">IF($A191="","",SUMIF('主表 Stock_Transaction_Log'!$T:$T,INDEX('主表 Stock_Transaction_Log'!$T:$T,$A191),'主表 Stock_Transaction_Log'!$S:$S)+SUMIF('主表 Stock_Transaction_Log'!$AB:$AB,INDEX('主表 Stock_Transaction_Log'!$T:$T,$A191),'主表 Stock_Transaction_Log'!$AC:$AC))</f>
        <v>3</v>
      </c>
      <c r="I191" s="57" t="str">
        <f t="shared" si="1"/>
        <v>In Stock / 在库</v>
      </c>
      <c r="J191" s="57" t="str">
        <f t="shared" si="2"/>
        <v>Stock line / 库存明细</v>
      </c>
      <c r="K191" s="57" t="b">
        <f t="shared" si="3"/>
        <v>1</v>
      </c>
      <c r="L191" s="57" t="str">
        <f t="array" ref="L191">IF($A191="","",INDEX('主表 Stock_Transaction_Log'!$P:$P,$A191))</f>
        <v>Repair_Good / 维修良品</v>
      </c>
      <c r="M191" s="57">
        <f>IF($A191="","",IF($H191&lt;=0,0,SUMIFS('主表 Stock_Transaction_Log'!$K$2:$K1000,'主表 Stock_Transaction_Log'!$C$2:$C1000,"Prepared",'主表 Stock_Transaction_Log'!$L$2:$L1000,$B191,'主表 Stock_Transaction_Log'!$F$2:$F1000,$C191,'主表 Stock_Transaction_Log'!$G$2:$G1000,$D191,'主表 Stock_Transaction_Log'!$P$2:$P1000,$L191)))</f>
        <v>0</v>
      </c>
      <c r="N191" s="57"/>
      <c r="O191" s="57" t="str">
        <f t="shared" si="4"/>
        <v/>
      </c>
      <c r="P191" s="57" t="str">
        <f t="shared" si="5"/>
        <v/>
      </c>
      <c r="Q191" s="57" t="str">
        <f t="shared" si="9"/>
        <v/>
      </c>
      <c r="R191" s="57" t="str">
        <f t="shared" si="7"/>
        <v/>
      </c>
      <c r="S191" s="57" t="str">
        <f t="shared" si="8"/>
        <v/>
      </c>
      <c r="T191" s="58"/>
      <c r="U191" s="58"/>
      <c r="V191" s="58"/>
      <c r="W191" s="58"/>
      <c r="X191" s="58"/>
      <c r="Y191" s="58"/>
      <c r="Z191" s="58"/>
      <c r="AA191" s="58"/>
    </row>
    <row r="192">
      <c r="A192" s="57" t="str">
        <f>IF('主表 Stock_Transaction_Log'!$T192="","",IF(COUNTIF('主表 Stock_Transaction_Log'!$T$2:$T192,'主表 Stock_Transaction_Log'!$T192)=1,ROW('主表 Stock_Transaction_Log'!$T192),""))</f>
        <v/>
      </c>
      <c r="B192" s="57" t="str">
        <f t="array" ref="B192">IF($A192="","",INDEX('主表 Stock_Transaction_Log'!$Q:$Q,$A192))</f>
        <v/>
      </c>
      <c r="C192" s="57" t="str">
        <f t="array" ref="C192">IF($A192="","",IF(INDEX('主表 Stock_Transaction_Log'!$F:$F,$A192)=0,"",INDEX('主表 Stock_Transaction_Log'!$F:$F,$A192)))</f>
        <v/>
      </c>
      <c r="D192" s="57" t="str">
        <f t="array" ref="D192">IF($A192="","",INDEX('主表 Stock_Transaction_Log'!$G:$G,$A192))</f>
        <v/>
      </c>
      <c r="E192" s="57" t="str">
        <f t="array" ref="E192">IF($A192="","",INDEX('主表 Stock_Transaction_Log'!$H:$H,$A192))</f>
        <v/>
      </c>
      <c r="F192" s="57" t="str">
        <f t="array" ref="F192">IF($A192="","",INDEX('主表 Stock_Transaction_Log'!$I:$I,$A192))</f>
        <v/>
      </c>
      <c r="G192" s="57" t="str">
        <f t="array" ref="G192">IF($A192="","",IF(INDEX('主表 Stock_Transaction_Log'!$R:$R,$A192)=0,"",INDEX('主表 Stock_Transaction_Log'!$R:$R,$A192)))</f>
        <v/>
      </c>
      <c r="H192" s="57" t="str">
        <f t="array" ref="H192">IF($A192="","",SUMIF('主表 Stock_Transaction_Log'!$T:$T,INDEX('主表 Stock_Transaction_Log'!$T:$T,$A192),'主表 Stock_Transaction_Log'!$S:$S)+SUMIF('主表 Stock_Transaction_Log'!$AB:$AB,INDEX('主表 Stock_Transaction_Log'!$T:$T,$A192),'主表 Stock_Transaction_Log'!$AC:$AC))</f>
        <v/>
      </c>
      <c r="I192" s="57" t="str">
        <f t="shared" si="1"/>
        <v/>
      </c>
      <c r="J192" s="57" t="str">
        <f t="shared" si="2"/>
        <v/>
      </c>
      <c r="K192" s="57" t="str">
        <f t="shared" si="3"/>
        <v/>
      </c>
      <c r="L192" s="57" t="str">
        <f t="array" ref="L192">IF($A192="","",INDEX('主表 Stock_Transaction_Log'!$P:$P,$A192))</f>
        <v/>
      </c>
      <c r="M192" s="57" t="str">
        <f>IF($A192="","",IF($H192&lt;=0,0,SUMIFS('主表 Stock_Transaction_Log'!$K$2:$K1000,'主表 Stock_Transaction_Log'!$C$2:$C1000,"Prepared",'主表 Stock_Transaction_Log'!$L$2:$L1000,$B192,'主表 Stock_Transaction_Log'!$F$2:$F1000,$C192,'主表 Stock_Transaction_Log'!$G$2:$G1000,$D192,'主表 Stock_Transaction_Log'!$P$2:$P1000,$L192)))</f>
        <v/>
      </c>
      <c r="N192" s="57"/>
      <c r="O192" s="57" t="str">
        <f t="shared" si="4"/>
        <v/>
      </c>
      <c r="P192" s="57" t="str">
        <f t="shared" si="5"/>
        <v/>
      </c>
      <c r="Q192" s="57" t="str">
        <f t="shared" si="9"/>
        <v/>
      </c>
      <c r="R192" s="57" t="str">
        <f t="shared" si="7"/>
        <v/>
      </c>
      <c r="S192" s="57" t="str">
        <f t="shared" si="8"/>
        <v/>
      </c>
      <c r="T192" s="58"/>
      <c r="U192" s="58"/>
      <c r="V192" s="58"/>
      <c r="W192" s="58"/>
      <c r="X192" s="58"/>
      <c r="Y192" s="58"/>
      <c r="Z192" s="58"/>
      <c r="AA192" s="58"/>
    </row>
    <row r="193">
      <c r="A193" s="57" t="str">
        <f>IF('主表 Stock_Transaction_Log'!$T193="","",IF(COUNTIF('主表 Stock_Transaction_Log'!$T$2:$T193,'主表 Stock_Transaction_Log'!$T193)=1,ROW('主表 Stock_Transaction_Log'!$T193),""))</f>
        <v/>
      </c>
      <c r="B193" s="57" t="str">
        <f t="array" ref="B193">IF($A193="","",INDEX('主表 Stock_Transaction_Log'!$Q:$Q,$A193))</f>
        <v/>
      </c>
      <c r="C193" s="57" t="str">
        <f t="array" ref="C193">IF($A193="","",IF(INDEX('主表 Stock_Transaction_Log'!$F:$F,$A193)=0,"",INDEX('主表 Stock_Transaction_Log'!$F:$F,$A193)))</f>
        <v/>
      </c>
      <c r="D193" s="57" t="str">
        <f t="array" ref="D193">IF($A193="","",INDEX('主表 Stock_Transaction_Log'!$G:$G,$A193))</f>
        <v/>
      </c>
      <c r="E193" s="57" t="str">
        <f t="array" ref="E193">IF($A193="","",INDEX('主表 Stock_Transaction_Log'!$H:$H,$A193))</f>
        <v/>
      </c>
      <c r="F193" s="57" t="str">
        <f t="array" ref="F193">IF($A193="","",INDEX('主表 Stock_Transaction_Log'!$I:$I,$A193))</f>
        <v/>
      </c>
      <c r="G193" s="57" t="str">
        <f t="array" ref="G193">IF($A193="","",IF(INDEX('主表 Stock_Transaction_Log'!$R:$R,$A193)=0,"",INDEX('主表 Stock_Transaction_Log'!$R:$R,$A193)))</f>
        <v/>
      </c>
      <c r="H193" s="57" t="str">
        <f t="array" ref="H193">IF($A193="","",SUMIF('主表 Stock_Transaction_Log'!$T:$T,INDEX('主表 Stock_Transaction_Log'!$T:$T,$A193),'主表 Stock_Transaction_Log'!$S:$S)+SUMIF('主表 Stock_Transaction_Log'!$AB:$AB,INDEX('主表 Stock_Transaction_Log'!$T:$T,$A193),'主表 Stock_Transaction_Log'!$AC:$AC))</f>
        <v/>
      </c>
      <c r="I193" s="57" t="str">
        <f t="shared" si="1"/>
        <v/>
      </c>
      <c r="J193" s="57" t="str">
        <f t="shared" si="2"/>
        <v/>
      </c>
      <c r="K193" s="57" t="str">
        <f t="shared" si="3"/>
        <v/>
      </c>
      <c r="L193" s="57" t="str">
        <f t="array" ref="L193">IF($A193="","",INDEX('主表 Stock_Transaction_Log'!$P:$P,$A193))</f>
        <v/>
      </c>
      <c r="M193" s="57" t="str">
        <f>IF($A193="","",IF($H193&lt;=0,0,SUMIFS('主表 Stock_Transaction_Log'!$K$2:$K1000,'主表 Stock_Transaction_Log'!$C$2:$C1000,"Prepared",'主表 Stock_Transaction_Log'!$L$2:$L1000,$B193,'主表 Stock_Transaction_Log'!$F$2:$F1000,$C193,'主表 Stock_Transaction_Log'!$G$2:$G1000,$D193,'主表 Stock_Transaction_Log'!$P$2:$P1000,$L193)))</f>
        <v/>
      </c>
      <c r="N193" s="57"/>
      <c r="O193" s="57" t="str">
        <f t="shared" si="4"/>
        <v/>
      </c>
      <c r="P193" s="57" t="str">
        <f t="shared" si="5"/>
        <v/>
      </c>
      <c r="Q193" s="57" t="str">
        <f t="shared" si="9"/>
        <v/>
      </c>
      <c r="R193" s="57" t="str">
        <f t="shared" si="7"/>
        <v/>
      </c>
      <c r="S193" s="57" t="str">
        <f t="shared" si="8"/>
        <v/>
      </c>
      <c r="T193" s="58"/>
      <c r="U193" s="58"/>
      <c r="V193" s="58"/>
      <c r="W193" s="58"/>
      <c r="X193" s="58"/>
      <c r="Y193" s="58"/>
      <c r="Z193" s="58"/>
      <c r="AA193" s="58"/>
    </row>
    <row r="194">
      <c r="A194" s="57" t="str">
        <f>IF('主表 Stock_Transaction_Log'!$T194="","",IF(COUNTIF('主表 Stock_Transaction_Log'!$T$2:$T194,'主表 Stock_Transaction_Log'!$T194)=1,ROW('主表 Stock_Transaction_Log'!$T194),""))</f>
        <v/>
      </c>
      <c r="B194" s="57" t="str">
        <f t="array" ref="B194">IF($A194="","",INDEX('主表 Stock_Transaction_Log'!$Q:$Q,$A194))</f>
        <v/>
      </c>
      <c r="C194" s="57" t="str">
        <f t="array" ref="C194">IF($A194="","",IF(INDEX('主表 Stock_Transaction_Log'!$F:$F,$A194)=0,"",INDEX('主表 Stock_Transaction_Log'!$F:$F,$A194)))</f>
        <v/>
      </c>
      <c r="D194" s="57" t="str">
        <f t="array" ref="D194">IF($A194="","",INDEX('主表 Stock_Transaction_Log'!$G:$G,$A194))</f>
        <v/>
      </c>
      <c r="E194" s="57" t="str">
        <f t="array" ref="E194">IF($A194="","",INDEX('主表 Stock_Transaction_Log'!$H:$H,$A194))</f>
        <v/>
      </c>
      <c r="F194" s="57" t="str">
        <f t="array" ref="F194">IF($A194="","",INDEX('主表 Stock_Transaction_Log'!$I:$I,$A194))</f>
        <v/>
      </c>
      <c r="G194" s="57" t="str">
        <f t="array" ref="G194">IF($A194="","",IF(INDEX('主表 Stock_Transaction_Log'!$R:$R,$A194)=0,"",INDEX('主表 Stock_Transaction_Log'!$R:$R,$A194)))</f>
        <v/>
      </c>
      <c r="H194" s="57" t="str">
        <f t="array" ref="H194">IF($A194="","",SUMIF('主表 Stock_Transaction_Log'!$T:$T,INDEX('主表 Stock_Transaction_Log'!$T:$T,$A194),'主表 Stock_Transaction_Log'!$S:$S)+SUMIF('主表 Stock_Transaction_Log'!$AB:$AB,INDEX('主表 Stock_Transaction_Log'!$T:$T,$A194),'主表 Stock_Transaction_Log'!$AC:$AC))</f>
        <v/>
      </c>
      <c r="I194" s="57" t="str">
        <f t="shared" si="1"/>
        <v/>
      </c>
      <c r="J194" s="57" t="str">
        <f t="shared" si="2"/>
        <v/>
      </c>
      <c r="K194" s="57" t="str">
        <f t="shared" si="3"/>
        <v/>
      </c>
      <c r="L194" s="57" t="str">
        <f t="array" ref="L194">IF($A194="","",INDEX('主表 Stock_Transaction_Log'!$P:$P,$A194))</f>
        <v/>
      </c>
      <c r="M194" s="57" t="str">
        <f>IF($A194="","",IF($H194&lt;=0,0,SUMIFS('主表 Stock_Transaction_Log'!$K$2:$K1000,'主表 Stock_Transaction_Log'!$C$2:$C1000,"Prepared",'主表 Stock_Transaction_Log'!$L$2:$L1000,$B194,'主表 Stock_Transaction_Log'!$F$2:$F1000,$C194,'主表 Stock_Transaction_Log'!$G$2:$G1000,$D194,'主表 Stock_Transaction_Log'!$P$2:$P1000,$L194)))</f>
        <v/>
      </c>
      <c r="N194" s="57"/>
      <c r="O194" s="57" t="str">
        <f t="shared" si="4"/>
        <v/>
      </c>
      <c r="P194" s="57" t="str">
        <f t="shared" si="5"/>
        <v/>
      </c>
      <c r="Q194" s="57" t="str">
        <f t="shared" si="9"/>
        <v/>
      </c>
      <c r="R194" s="57" t="str">
        <f t="shared" si="7"/>
        <v/>
      </c>
      <c r="S194" s="57" t="str">
        <f t="shared" si="8"/>
        <v/>
      </c>
      <c r="T194" s="58"/>
      <c r="U194" s="58"/>
      <c r="V194" s="58"/>
      <c r="W194" s="58"/>
      <c r="X194" s="58"/>
      <c r="Y194" s="58"/>
      <c r="Z194" s="58"/>
      <c r="AA194" s="58"/>
    </row>
    <row r="195">
      <c r="A195" s="57" t="str">
        <f>IF('主表 Stock_Transaction_Log'!$T195="","",IF(COUNTIF('主表 Stock_Transaction_Log'!$T$2:$T195,'主表 Stock_Transaction_Log'!$T195)=1,ROW('主表 Stock_Transaction_Log'!$T195),""))</f>
        <v/>
      </c>
      <c r="B195" s="57" t="str">
        <f t="array" ref="B195">IF($A195="","",INDEX('主表 Stock_Transaction_Log'!$Q:$Q,$A195))</f>
        <v/>
      </c>
      <c r="C195" s="57" t="str">
        <f t="array" ref="C195">IF($A195="","",IF(INDEX('主表 Stock_Transaction_Log'!$F:$F,$A195)=0,"",INDEX('主表 Stock_Transaction_Log'!$F:$F,$A195)))</f>
        <v/>
      </c>
      <c r="D195" s="57" t="str">
        <f t="array" ref="D195">IF($A195="","",INDEX('主表 Stock_Transaction_Log'!$G:$G,$A195))</f>
        <v/>
      </c>
      <c r="E195" s="57" t="str">
        <f t="array" ref="E195">IF($A195="","",INDEX('主表 Stock_Transaction_Log'!$H:$H,$A195))</f>
        <v/>
      </c>
      <c r="F195" s="57" t="str">
        <f t="array" ref="F195">IF($A195="","",INDEX('主表 Stock_Transaction_Log'!$I:$I,$A195))</f>
        <v/>
      </c>
      <c r="G195" s="57" t="str">
        <f t="array" ref="G195">IF($A195="","",IF(INDEX('主表 Stock_Transaction_Log'!$R:$R,$A195)=0,"",INDEX('主表 Stock_Transaction_Log'!$R:$R,$A195)))</f>
        <v/>
      </c>
      <c r="H195" s="57" t="str">
        <f t="array" ref="H195">IF($A195="","",SUMIF('主表 Stock_Transaction_Log'!$T:$T,INDEX('主表 Stock_Transaction_Log'!$T:$T,$A195),'主表 Stock_Transaction_Log'!$S:$S)+SUMIF('主表 Stock_Transaction_Log'!$AB:$AB,INDEX('主表 Stock_Transaction_Log'!$T:$T,$A195),'主表 Stock_Transaction_Log'!$AC:$AC))</f>
        <v/>
      </c>
      <c r="I195" s="57" t="str">
        <f t="shared" si="1"/>
        <v/>
      </c>
      <c r="J195" s="57" t="str">
        <f t="shared" si="2"/>
        <v/>
      </c>
      <c r="K195" s="57" t="str">
        <f t="shared" si="3"/>
        <v/>
      </c>
      <c r="L195" s="57" t="str">
        <f t="array" ref="L195">IF($A195="","",INDEX('主表 Stock_Transaction_Log'!$P:$P,$A195))</f>
        <v/>
      </c>
      <c r="M195" s="57" t="str">
        <f>IF($A195="","",IF($H195&lt;=0,0,SUMIFS('主表 Stock_Transaction_Log'!$K$2:$K1000,'主表 Stock_Transaction_Log'!$C$2:$C1000,"Prepared",'主表 Stock_Transaction_Log'!$L$2:$L1000,$B195,'主表 Stock_Transaction_Log'!$F$2:$F1000,$C195,'主表 Stock_Transaction_Log'!$G$2:$G1000,$D195,'主表 Stock_Transaction_Log'!$P$2:$P1000,$L195)))</f>
        <v/>
      </c>
      <c r="N195" s="57"/>
      <c r="O195" s="57" t="str">
        <f t="shared" si="4"/>
        <v/>
      </c>
      <c r="P195" s="57" t="str">
        <f t="shared" si="5"/>
        <v/>
      </c>
      <c r="Q195" s="57" t="str">
        <f t="shared" si="9"/>
        <v/>
      </c>
      <c r="R195" s="57" t="str">
        <f t="shared" si="7"/>
        <v/>
      </c>
      <c r="S195" s="57" t="str">
        <f t="shared" si="8"/>
        <v/>
      </c>
      <c r="T195" s="58"/>
      <c r="U195" s="58"/>
      <c r="V195" s="58"/>
      <c r="W195" s="58"/>
      <c r="X195" s="58"/>
      <c r="Y195" s="58"/>
      <c r="Z195" s="58"/>
      <c r="AA195" s="58"/>
    </row>
    <row r="196">
      <c r="A196" s="57" t="str">
        <f>IF('主表 Stock_Transaction_Log'!$T196="","",IF(COUNTIF('主表 Stock_Transaction_Log'!$T$2:$T196,'主表 Stock_Transaction_Log'!$T196)=1,ROW('主表 Stock_Transaction_Log'!$T196),""))</f>
        <v/>
      </c>
      <c r="B196" s="57" t="str">
        <f t="array" ref="B196">IF($A196="","",INDEX('主表 Stock_Transaction_Log'!$Q:$Q,$A196))</f>
        <v/>
      </c>
      <c r="C196" s="57" t="str">
        <f t="array" ref="C196">IF($A196="","",IF(INDEX('主表 Stock_Transaction_Log'!$F:$F,$A196)=0,"",INDEX('主表 Stock_Transaction_Log'!$F:$F,$A196)))</f>
        <v/>
      </c>
      <c r="D196" s="57" t="str">
        <f t="array" ref="D196">IF($A196="","",INDEX('主表 Stock_Transaction_Log'!$G:$G,$A196))</f>
        <v/>
      </c>
      <c r="E196" s="57" t="str">
        <f t="array" ref="E196">IF($A196="","",INDEX('主表 Stock_Transaction_Log'!$H:$H,$A196))</f>
        <v/>
      </c>
      <c r="F196" s="57" t="str">
        <f t="array" ref="F196">IF($A196="","",INDEX('主表 Stock_Transaction_Log'!$I:$I,$A196))</f>
        <v/>
      </c>
      <c r="G196" s="57" t="str">
        <f t="array" ref="G196">IF($A196="","",IF(INDEX('主表 Stock_Transaction_Log'!$R:$R,$A196)=0,"",INDEX('主表 Stock_Transaction_Log'!$R:$R,$A196)))</f>
        <v/>
      </c>
      <c r="H196" s="57" t="str">
        <f t="array" ref="H196">IF($A196="","",SUMIF('主表 Stock_Transaction_Log'!$T:$T,INDEX('主表 Stock_Transaction_Log'!$T:$T,$A196),'主表 Stock_Transaction_Log'!$S:$S)+SUMIF('主表 Stock_Transaction_Log'!$AB:$AB,INDEX('主表 Stock_Transaction_Log'!$T:$T,$A196),'主表 Stock_Transaction_Log'!$AC:$AC))</f>
        <v/>
      </c>
      <c r="I196" s="57" t="str">
        <f t="shared" si="1"/>
        <v/>
      </c>
      <c r="J196" s="57" t="str">
        <f t="shared" si="2"/>
        <v/>
      </c>
      <c r="K196" s="57" t="str">
        <f t="shared" si="3"/>
        <v/>
      </c>
      <c r="L196" s="57" t="str">
        <f t="array" ref="L196">IF($A196="","",INDEX('主表 Stock_Transaction_Log'!$P:$P,$A196))</f>
        <v/>
      </c>
      <c r="M196" s="57" t="str">
        <f>IF($A196="","",IF($H196&lt;=0,0,SUMIFS('主表 Stock_Transaction_Log'!$K$2:$K1000,'主表 Stock_Transaction_Log'!$C$2:$C1000,"Prepared",'主表 Stock_Transaction_Log'!$L$2:$L1000,$B196,'主表 Stock_Transaction_Log'!$F$2:$F1000,$C196,'主表 Stock_Transaction_Log'!$G$2:$G1000,$D196,'主表 Stock_Transaction_Log'!$P$2:$P1000,$L196)))</f>
        <v/>
      </c>
      <c r="N196" s="57"/>
      <c r="O196" s="57" t="str">
        <f t="shared" si="4"/>
        <v/>
      </c>
      <c r="P196" s="57" t="str">
        <f t="shared" si="5"/>
        <v/>
      </c>
      <c r="Q196" s="57" t="str">
        <f t="shared" si="9"/>
        <v/>
      </c>
      <c r="R196" s="57" t="str">
        <f t="shared" si="7"/>
        <v/>
      </c>
      <c r="S196" s="57" t="str">
        <f t="shared" si="8"/>
        <v/>
      </c>
      <c r="T196" s="58"/>
      <c r="U196" s="58"/>
      <c r="V196" s="58"/>
      <c r="W196" s="58"/>
      <c r="X196" s="58"/>
      <c r="Y196" s="58"/>
      <c r="Z196" s="58"/>
      <c r="AA196" s="58"/>
    </row>
    <row r="197">
      <c r="A197" s="57" t="str">
        <f>IF('主表 Stock_Transaction_Log'!$T197="","",IF(COUNTIF('主表 Stock_Transaction_Log'!$T$2:$T197,'主表 Stock_Transaction_Log'!$T197)=1,ROW('主表 Stock_Transaction_Log'!$T197),""))</f>
        <v/>
      </c>
      <c r="B197" s="57" t="str">
        <f t="array" ref="B197">IF($A197="","",INDEX('主表 Stock_Transaction_Log'!$Q:$Q,$A197))</f>
        <v/>
      </c>
      <c r="C197" s="57" t="str">
        <f t="array" ref="C197">IF($A197="","",IF(INDEX('主表 Stock_Transaction_Log'!$F:$F,$A197)=0,"",INDEX('主表 Stock_Transaction_Log'!$F:$F,$A197)))</f>
        <v/>
      </c>
      <c r="D197" s="57" t="str">
        <f t="array" ref="D197">IF($A197="","",INDEX('主表 Stock_Transaction_Log'!$G:$G,$A197))</f>
        <v/>
      </c>
      <c r="E197" s="57" t="str">
        <f t="array" ref="E197">IF($A197="","",INDEX('主表 Stock_Transaction_Log'!$H:$H,$A197))</f>
        <v/>
      </c>
      <c r="F197" s="57" t="str">
        <f t="array" ref="F197">IF($A197="","",INDEX('主表 Stock_Transaction_Log'!$I:$I,$A197))</f>
        <v/>
      </c>
      <c r="G197" s="57" t="str">
        <f t="array" ref="G197">IF($A197="","",IF(INDEX('主表 Stock_Transaction_Log'!$R:$R,$A197)=0,"",INDEX('主表 Stock_Transaction_Log'!$R:$R,$A197)))</f>
        <v/>
      </c>
      <c r="H197" s="57" t="str">
        <f t="array" ref="H197">IF($A197="","",SUMIF('主表 Stock_Transaction_Log'!$T:$T,INDEX('主表 Stock_Transaction_Log'!$T:$T,$A197),'主表 Stock_Transaction_Log'!$S:$S)+SUMIF('主表 Stock_Transaction_Log'!$AB:$AB,INDEX('主表 Stock_Transaction_Log'!$T:$T,$A197),'主表 Stock_Transaction_Log'!$AC:$AC))</f>
        <v/>
      </c>
      <c r="I197" s="57" t="str">
        <f t="shared" si="1"/>
        <v/>
      </c>
      <c r="J197" s="57" t="str">
        <f t="shared" si="2"/>
        <v/>
      </c>
      <c r="K197" s="57" t="str">
        <f t="shared" si="3"/>
        <v/>
      </c>
      <c r="L197" s="57" t="str">
        <f t="array" ref="L197">IF($A197="","",INDEX('主表 Stock_Transaction_Log'!$P:$P,$A197))</f>
        <v/>
      </c>
      <c r="M197" s="57" t="str">
        <f>IF($A197="","",IF($H197&lt;=0,0,SUMIFS('主表 Stock_Transaction_Log'!$K$2:$K1000,'主表 Stock_Transaction_Log'!$C$2:$C1000,"Prepared",'主表 Stock_Transaction_Log'!$L$2:$L1000,$B197,'主表 Stock_Transaction_Log'!$F$2:$F1000,$C197,'主表 Stock_Transaction_Log'!$G$2:$G1000,$D197,'主表 Stock_Transaction_Log'!$P$2:$P1000,$L197)))</f>
        <v/>
      </c>
      <c r="N197" s="57"/>
      <c r="O197" s="57" t="str">
        <f t="shared" si="4"/>
        <v/>
      </c>
      <c r="P197" s="57" t="str">
        <f t="shared" si="5"/>
        <v/>
      </c>
      <c r="Q197" s="57" t="str">
        <f t="shared" si="9"/>
        <v/>
      </c>
      <c r="R197" s="57" t="str">
        <f t="shared" si="7"/>
        <v/>
      </c>
      <c r="S197" s="57" t="str">
        <f t="shared" si="8"/>
        <v/>
      </c>
      <c r="T197" s="58"/>
      <c r="U197" s="58"/>
      <c r="V197" s="58"/>
      <c r="W197" s="58"/>
      <c r="X197" s="58"/>
      <c r="Y197" s="58"/>
      <c r="Z197" s="58"/>
      <c r="AA197" s="58"/>
    </row>
    <row r="198">
      <c r="A198" s="57" t="str">
        <f>IF('主表 Stock_Transaction_Log'!$T198="","",IF(COUNTIF('主表 Stock_Transaction_Log'!$T$2:$T198,'主表 Stock_Transaction_Log'!$T198)=1,ROW('主表 Stock_Transaction_Log'!$T198),""))</f>
        <v/>
      </c>
      <c r="B198" s="57" t="str">
        <f t="array" ref="B198">IF($A198="","",INDEX('主表 Stock_Transaction_Log'!$Q:$Q,$A198))</f>
        <v/>
      </c>
      <c r="C198" s="57" t="str">
        <f t="array" ref="C198">IF($A198="","",IF(INDEX('主表 Stock_Transaction_Log'!$F:$F,$A198)=0,"",INDEX('主表 Stock_Transaction_Log'!$F:$F,$A198)))</f>
        <v/>
      </c>
      <c r="D198" s="57" t="str">
        <f t="array" ref="D198">IF($A198="","",INDEX('主表 Stock_Transaction_Log'!$G:$G,$A198))</f>
        <v/>
      </c>
      <c r="E198" s="57" t="str">
        <f t="array" ref="E198">IF($A198="","",INDEX('主表 Stock_Transaction_Log'!$H:$H,$A198))</f>
        <v/>
      </c>
      <c r="F198" s="57" t="str">
        <f t="array" ref="F198">IF($A198="","",INDEX('主表 Stock_Transaction_Log'!$I:$I,$A198))</f>
        <v/>
      </c>
      <c r="G198" s="57" t="str">
        <f t="array" ref="G198">IF($A198="","",IF(INDEX('主表 Stock_Transaction_Log'!$R:$R,$A198)=0,"",INDEX('主表 Stock_Transaction_Log'!$R:$R,$A198)))</f>
        <v/>
      </c>
      <c r="H198" s="57" t="str">
        <f t="array" ref="H198">IF($A198="","",SUMIF('主表 Stock_Transaction_Log'!$T:$T,INDEX('主表 Stock_Transaction_Log'!$T:$T,$A198),'主表 Stock_Transaction_Log'!$S:$S)+SUMIF('主表 Stock_Transaction_Log'!$AB:$AB,INDEX('主表 Stock_Transaction_Log'!$T:$T,$A198),'主表 Stock_Transaction_Log'!$AC:$AC))</f>
        <v/>
      </c>
      <c r="I198" s="57" t="str">
        <f t="shared" si="1"/>
        <v/>
      </c>
      <c r="J198" s="57" t="str">
        <f t="shared" si="2"/>
        <v/>
      </c>
      <c r="K198" s="57" t="str">
        <f t="shared" si="3"/>
        <v/>
      </c>
      <c r="L198" s="57" t="str">
        <f t="array" ref="L198">IF($A198="","",INDEX('主表 Stock_Transaction_Log'!$P:$P,$A198))</f>
        <v/>
      </c>
      <c r="M198" s="57" t="str">
        <f>IF($A198="","",IF($H198&lt;=0,0,SUMIFS('主表 Stock_Transaction_Log'!$K$2:$K1000,'主表 Stock_Transaction_Log'!$C$2:$C1000,"Prepared",'主表 Stock_Transaction_Log'!$L$2:$L1000,$B198,'主表 Stock_Transaction_Log'!$F$2:$F1000,$C198,'主表 Stock_Transaction_Log'!$G$2:$G1000,$D198,'主表 Stock_Transaction_Log'!$P$2:$P1000,$L198)))</f>
        <v/>
      </c>
      <c r="N198" s="57"/>
      <c r="O198" s="57" t="str">
        <f t="shared" si="4"/>
        <v/>
      </c>
      <c r="P198" s="57" t="str">
        <f t="shared" si="5"/>
        <v/>
      </c>
      <c r="Q198" s="57" t="str">
        <f t="shared" si="9"/>
        <v/>
      </c>
      <c r="R198" s="57" t="str">
        <f t="shared" si="7"/>
        <v/>
      </c>
      <c r="S198" s="57" t="str">
        <f t="shared" si="8"/>
        <v/>
      </c>
      <c r="T198" s="58"/>
      <c r="U198" s="58"/>
      <c r="V198" s="58"/>
      <c r="W198" s="58"/>
      <c r="X198" s="58"/>
      <c r="Y198" s="58"/>
      <c r="Z198" s="58"/>
      <c r="AA198" s="58"/>
    </row>
    <row r="199">
      <c r="A199" s="57" t="str">
        <f>IF('主表 Stock_Transaction_Log'!$T199="","",IF(COUNTIF('主表 Stock_Transaction_Log'!$T$2:$T199,'主表 Stock_Transaction_Log'!$T199)=1,ROW('主表 Stock_Transaction_Log'!$T199),""))</f>
        <v/>
      </c>
      <c r="B199" s="57" t="str">
        <f t="array" ref="B199">IF($A199="","",INDEX('主表 Stock_Transaction_Log'!$Q:$Q,$A199))</f>
        <v/>
      </c>
      <c r="C199" s="57" t="str">
        <f t="array" ref="C199">IF($A199="","",IF(INDEX('主表 Stock_Transaction_Log'!$F:$F,$A199)=0,"",INDEX('主表 Stock_Transaction_Log'!$F:$F,$A199)))</f>
        <v/>
      </c>
      <c r="D199" s="57" t="str">
        <f t="array" ref="D199">IF($A199="","",INDEX('主表 Stock_Transaction_Log'!$G:$G,$A199))</f>
        <v/>
      </c>
      <c r="E199" s="57" t="str">
        <f t="array" ref="E199">IF($A199="","",INDEX('主表 Stock_Transaction_Log'!$H:$H,$A199))</f>
        <v/>
      </c>
      <c r="F199" s="57" t="str">
        <f t="array" ref="F199">IF($A199="","",INDEX('主表 Stock_Transaction_Log'!$I:$I,$A199))</f>
        <v/>
      </c>
      <c r="G199" s="57" t="str">
        <f t="array" ref="G199">IF($A199="","",IF(INDEX('主表 Stock_Transaction_Log'!$R:$R,$A199)=0,"",INDEX('主表 Stock_Transaction_Log'!$R:$R,$A199)))</f>
        <v/>
      </c>
      <c r="H199" s="57" t="str">
        <f t="array" ref="H199">IF($A199="","",SUMIF('主表 Stock_Transaction_Log'!$T:$T,INDEX('主表 Stock_Transaction_Log'!$T:$T,$A199),'主表 Stock_Transaction_Log'!$S:$S)+SUMIF('主表 Stock_Transaction_Log'!$AB:$AB,INDEX('主表 Stock_Transaction_Log'!$T:$T,$A199),'主表 Stock_Transaction_Log'!$AC:$AC))</f>
        <v/>
      </c>
      <c r="I199" s="57" t="str">
        <f t="shared" si="1"/>
        <v/>
      </c>
      <c r="J199" s="57" t="str">
        <f t="shared" si="2"/>
        <v/>
      </c>
      <c r="K199" s="57" t="str">
        <f t="shared" si="3"/>
        <v/>
      </c>
      <c r="L199" s="57" t="str">
        <f t="array" ref="L199">IF($A199="","",INDEX('主表 Stock_Transaction_Log'!$P:$P,$A199))</f>
        <v/>
      </c>
      <c r="M199" s="57" t="str">
        <f>IF($A199="","",IF($H199&lt;=0,0,SUMIFS('主表 Stock_Transaction_Log'!$K$2:$K1000,'主表 Stock_Transaction_Log'!$C$2:$C1000,"Prepared",'主表 Stock_Transaction_Log'!$L$2:$L1000,$B199,'主表 Stock_Transaction_Log'!$F$2:$F1000,$C199,'主表 Stock_Transaction_Log'!$G$2:$G1000,$D199,'主表 Stock_Transaction_Log'!$P$2:$P1000,$L199)))</f>
        <v/>
      </c>
      <c r="N199" s="57"/>
      <c r="O199" s="57" t="str">
        <f t="shared" si="4"/>
        <v/>
      </c>
      <c r="P199" s="57" t="str">
        <f t="shared" si="5"/>
        <v/>
      </c>
      <c r="Q199" s="57" t="str">
        <f t="shared" si="9"/>
        <v/>
      </c>
      <c r="R199" s="57" t="str">
        <f t="shared" si="7"/>
        <v/>
      </c>
      <c r="S199" s="57" t="str">
        <f t="shared" si="8"/>
        <v/>
      </c>
      <c r="T199" s="58"/>
      <c r="U199" s="58"/>
      <c r="V199" s="58"/>
      <c r="W199" s="58"/>
      <c r="X199" s="58"/>
      <c r="Y199" s="58"/>
      <c r="Z199" s="58"/>
      <c r="AA199" s="58"/>
    </row>
    <row r="200">
      <c r="A200" s="57" t="str">
        <f>IF('主表 Stock_Transaction_Log'!$T200="","",IF(COUNTIF('主表 Stock_Transaction_Log'!$T$2:$T200,'主表 Stock_Transaction_Log'!$T200)=1,ROW('主表 Stock_Transaction_Log'!$T200),""))</f>
        <v/>
      </c>
      <c r="B200" s="57" t="str">
        <f t="array" ref="B200">IF($A200="","",INDEX('主表 Stock_Transaction_Log'!$Q:$Q,$A200))</f>
        <v/>
      </c>
      <c r="C200" s="57" t="str">
        <f t="array" ref="C200">IF($A200="","",IF(INDEX('主表 Stock_Transaction_Log'!$F:$F,$A200)=0,"",INDEX('主表 Stock_Transaction_Log'!$F:$F,$A200)))</f>
        <v/>
      </c>
      <c r="D200" s="57" t="str">
        <f t="array" ref="D200">IF($A200="","",INDEX('主表 Stock_Transaction_Log'!$G:$G,$A200))</f>
        <v/>
      </c>
      <c r="E200" s="57" t="str">
        <f t="array" ref="E200">IF($A200="","",INDEX('主表 Stock_Transaction_Log'!$H:$H,$A200))</f>
        <v/>
      </c>
      <c r="F200" s="57" t="str">
        <f t="array" ref="F200">IF($A200="","",INDEX('主表 Stock_Transaction_Log'!$I:$I,$A200))</f>
        <v/>
      </c>
      <c r="G200" s="57" t="str">
        <f t="array" ref="G200">IF($A200="","",IF(INDEX('主表 Stock_Transaction_Log'!$R:$R,$A200)=0,"",INDEX('主表 Stock_Transaction_Log'!$R:$R,$A200)))</f>
        <v/>
      </c>
      <c r="H200" s="57" t="str">
        <f t="array" ref="H200">IF($A200="","",SUMIF('主表 Stock_Transaction_Log'!$T:$T,INDEX('主表 Stock_Transaction_Log'!$T:$T,$A200),'主表 Stock_Transaction_Log'!$S:$S)+SUMIF('主表 Stock_Transaction_Log'!$AB:$AB,INDEX('主表 Stock_Transaction_Log'!$T:$T,$A200),'主表 Stock_Transaction_Log'!$AC:$AC))</f>
        <v/>
      </c>
      <c r="I200" s="57" t="str">
        <f t="shared" si="1"/>
        <v/>
      </c>
      <c r="J200" s="57" t="str">
        <f t="shared" si="2"/>
        <v/>
      </c>
      <c r="K200" s="57" t="str">
        <f t="shared" si="3"/>
        <v/>
      </c>
      <c r="L200" s="57" t="str">
        <f t="array" ref="L200">IF($A200="","",INDEX('主表 Stock_Transaction_Log'!$P:$P,$A200))</f>
        <v/>
      </c>
      <c r="M200" s="57" t="str">
        <f>IF($A200="","",IF($H200&lt;=0,0,SUMIFS('主表 Stock_Transaction_Log'!$K$2:$K1000,'主表 Stock_Transaction_Log'!$C$2:$C1000,"Prepared",'主表 Stock_Transaction_Log'!$L$2:$L1000,$B200,'主表 Stock_Transaction_Log'!$F$2:$F1000,$C200,'主表 Stock_Transaction_Log'!$G$2:$G1000,$D200,'主表 Stock_Transaction_Log'!$P$2:$P1000,$L200)))</f>
        <v/>
      </c>
      <c r="N200" s="57"/>
      <c r="O200" s="57" t="str">
        <f t="shared" si="4"/>
        <v/>
      </c>
      <c r="P200" s="57" t="str">
        <f t="shared" si="5"/>
        <v/>
      </c>
      <c r="Q200" s="57" t="str">
        <f t="shared" si="9"/>
        <v/>
      </c>
      <c r="R200" s="57" t="str">
        <f t="shared" si="7"/>
        <v/>
      </c>
      <c r="S200" s="57" t="str">
        <f t="shared" si="8"/>
        <v/>
      </c>
      <c r="T200" s="58"/>
      <c r="U200" s="58"/>
      <c r="V200" s="58"/>
      <c r="W200" s="58"/>
      <c r="X200" s="58"/>
      <c r="Y200" s="58"/>
      <c r="Z200" s="58"/>
      <c r="AA200" s="58"/>
    </row>
    <row r="201">
      <c r="A201" s="172" t="str">
        <f>IF('主表 Stock_Transaction_Log'!$T201="","",IF(COUNTIF('主表 Stock_Transaction_Log'!$T$2:$T201,'主表 Stock_Transaction_Log'!$T201)=1,ROW('主表 Stock_Transaction_Log'!$T201),""))</f>
        <v/>
      </c>
      <c r="B201" s="172" t="str">
        <f t="array" ref="B201">IF($A201="","",INDEX('主表 Stock_Transaction_Log'!$Q:$Q,$A201))</f>
        <v/>
      </c>
      <c r="C201" s="172" t="str">
        <f t="array" ref="C201">IF($A201="","",IF(INDEX('主表 Stock_Transaction_Log'!$F:$F,$A201)=0,"",INDEX('主表 Stock_Transaction_Log'!$F:$F,$A201)))</f>
        <v/>
      </c>
      <c r="D201" s="172" t="str">
        <f t="array" ref="D201">IF($A201="","",INDEX('主表 Stock_Transaction_Log'!$G:$G,$A201))</f>
        <v/>
      </c>
      <c r="E201" s="172" t="str">
        <f t="array" ref="E201">IF($A201="","",INDEX('主表 Stock_Transaction_Log'!$H:$H,$A201))</f>
        <v/>
      </c>
      <c r="F201" s="172" t="str">
        <f t="array" ref="F201">IF($A201="","",INDEX('主表 Stock_Transaction_Log'!$I:$I,$A201))</f>
        <v/>
      </c>
      <c r="G201" s="172" t="str">
        <f t="array" ref="G201">IF($A201="","",IF(INDEX('主表 Stock_Transaction_Log'!$R:$R,$A201)=0,"",INDEX('主表 Stock_Transaction_Log'!$R:$R,$A201)))</f>
        <v/>
      </c>
      <c r="H201" s="172" t="str">
        <f t="array" ref="H201">IF($A201="","",SUMIF('主表 Stock_Transaction_Log'!$T:$T,INDEX('主表 Stock_Transaction_Log'!$T:$T,$A201),'主表 Stock_Transaction_Log'!$S:$S)+SUMIF('主表 Stock_Transaction_Log'!$AB:$AB,INDEX('主表 Stock_Transaction_Log'!$T:$T,$A201),'主表 Stock_Transaction_Log'!$AC:$AC))</f>
        <v/>
      </c>
      <c r="I201" s="172" t="str">
        <f t="shared" si="1"/>
        <v/>
      </c>
      <c r="J201" s="172" t="str">
        <f t="shared" si="2"/>
        <v/>
      </c>
      <c r="K201" s="172" t="str">
        <f t="shared" si="3"/>
        <v/>
      </c>
      <c r="L201" s="172" t="str">
        <f t="array" ref="L201">IF($A201="","",INDEX('主表 Stock_Transaction_Log'!$P:$P,$A201))</f>
        <v/>
      </c>
      <c r="M201" s="57" t="str">
        <f>IF($A201="","",IF($H201&lt;=0,0,SUMIFS('主表 Stock_Transaction_Log'!$K$2:$K1000,'主表 Stock_Transaction_Log'!$C$2:$C1000,"Prepared",'主表 Stock_Transaction_Log'!$L$2:$L1000,$B201,'主表 Stock_Transaction_Log'!$F$2:$F1000,$C201,'主表 Stock_Transaction_Log'!$G$2:$G1000,$D201,'主表 Stock_Transaction_Log'!$P$2:$P1000,$L201)))</f>
        <v/>
      </c>
      <c r="N201" s="172"/>
      <c r="O201" s="172" t="str">
        <f t="shared" si="4"/>
        <v/>
      </c>
      <c r="P201" s="172" t="str">
        <f t="shared" si="5"/>
        <v/>
      </c>
      <c r="Q201" s="172" t="str">
        <f t="shared" si="9"/>
        <v/>
      </c>
      <c r="R201" s="172" t="str">
        <f t="shared" si="7"/>
        <v/>
      </c>
      <c r="S201" s="172" t="str">
        <f t="shared" si="8"/>
        <v/>
      </c>
    </row>
    <row r="202">
      <c r="A202" s="172" t="str">
        <f>IF('主表 Stock_Transaction_Log'!$T202="","",IF(COUNTIF('主表 Stock_Transaction_Log'!$T$2:$T202,'主表 Stock_Transaction_Log'!$T202)=1,ROW('主表 Stock_Transaction_Log'!$T202),""))</f>
        <v/>
      </c>
      <c r="B202" s="172" t="str">
        <f t="array" ref="B202">IF($A202="","",INDEX('主表 Stock_Transaction_Log'!$Q:$Q,$A202))</f>
        <v/>
      </c>
      <c r="C202" s="172" t="str">
        <f t="array" ref="C202">IF($A202="","",IF(INDEX('主表 Stock_Transaction_Log'!$F:$F,$A202)=0,"",INDEX('主表 Stock_Transaction_Log'!$F:$F,$A202)))</f>
        <v/>
      </c>
      <c r="D202" s="172" t="str">
        <f t="array" ref="D202">IF($A202="","",INDEX('主表 Stock_Transaction_Log'!$G:$G,$A202))</f>
        <v/>
      </c>
      <c r="E202" s="172" t="str">
        <f t="array" ref="E202">IF($A202="","",INDEX('主表 Stock_Transaction_Log'!$H:$H,$A202))</f>
        <v/>
      </c>
      <c r="F202" s="172" t="str">
        <f t="array" ref="F202">IF($A202="","",INDEX('主表 Stock_Transaction_Log'!$I:$I,$A202))</f>
        <v/>
      </c>
      <c r="G202" s="172" t="str">
        <f t="array" ref="G202">IF($A202="","",IF(INDEX('主表 Stock_Transaction_Log'!$R:$R,$A202)=0,"",INDEX('主表 Stock_Transaction_Log'!$R:$R,$A202)))</f>
        <v/>
      </c>
      <c r="H202" s="172" t="str">
        <f t="array" ref="H202">IF($A202="","",SUMIF('主表 Stock_Transaction_Log'!$T:$T,INDEX('主表 Stock_Transaction_Log'!$T:$T,$A202),'主表 Stock_Transaction_Log'!$S:$S)+SUMIF('主表 Stock_Transaction_Log'!$AB:$AB,INDEX('主表 Stock_Transaction_Log'!$T:$T,$A202),'主表 Stock_Transaction_Log'!$AC:$AC))</f>
        <v/>
      </c>
      <c r="I202" s="172" t="str">
        <f t="shared" si="1"/>
        <v/>
      </c>
      <c r="J202" s="172" t="str">
        <f t="shared" si="2"/>
        <v/>
      </c>
      <c r="K202" s="172" t="str">
        <f t="shared" si="3"/>
        <v/>
      </c>
      <c r="L202" s="172" t="str">
        <f t="array" ref="L202">IF($A202="","",INDEX('主表 Stock_Transaction_Log'!$P:$P,$A202))</f>
        <v/>
      </c>
      <c r="M202" s="57" t="str">
        <f>IF($A202="","",IF($H202&lt;=0,0,SUMIFS('主表 Stock_Transaction_Log'!$K$2:$K1000,'主表 Stock_Transaction_Log'!$C$2:$C1000,"Prepared",'主表 Stock_Transaction_Log'!$L$2:$L1000,$B202,'主表 Stock_Transaction_Log'!$F$2:$F1000,$C202,'主表 Stock_Transaction_Log'!$G$2:$G1000,$D202,'主表 Stock_Transaction_Log'!$P$2:$P1000,$L202)))</f>
        <v/>
      </c>
      <c r="N202" s="172"/>
      <c r="O202" s="172" t="str">
        <f t="shared" si="4"/>
        <v/>
      </c>
      <c r="P202" s="172" t="str">
        <f t="shared" si="5"/>
        <v/>
      </c>
      <c r="Q202" s="172" t="str">
        <f t="shared" si="9"/>
        <v/>
      </c>
      <c r="R202" s="172" t="str">
        <f t="shared" si="7"/>
        <v/>
      </c>
      <c r="S202" s="172" t="str">
        <f t="shared" si="8"/>
        <v/>
      </c>
    </row>
    <row r="203">
      <c r="A203" s="172" t="str">
        <f>IF('主表 Stock_Transaction_Log'!$T203="","",IF(COUNTIF('主表 Stock_Transaction_Log'!$T$2:$T203,'主表 Stock_Transaction_Log'!$T203)=1,ROW('主表 Stock_Transaction_Log'!$T203),""))</f>
        <v/>
      </c>
      <c r="B203" s="172" t="str">
        <f t="array" ref="B203">IF($A203="","",INDEX('主表 Stock_Transaction_Log'!$Q:$Q,$A203))</f>
        <v/>
      </c>
      <c r="C203" s="172" t="str">
        <f t="array" ref="C203">IF($A203="","",IF(INDEX('主表 Stock_Transaction_Log'!$F:$F,$A203)=0,"",INDEX('主表 Stock_Transaction_Log'!$F:$F,$A203)))</f>
        <v/>
      </c>
      <c r="D203" s="172" t="str">
        <f t="array" ref="D203">IF($A203="","",INDEX('主表 Stock_Transaction_Log'!$G:$G,$A203))</f>
        <v/>
      </c>
      <c r="E203" s="172" t="str">
        <f t="array" ref="E203">IF($A203="","",INDEX('主表 Stock_Transaction_Log'!$H:$H,$A203))</f>
        <v/>
      </c>
      <c r="F203" s="172" t="str">
        <f t="array" ref="F203">IF($A203="","",INDEX('主表 Stock_Transaction_Log'!$I:$I,$A203))</f>
        <v/>
      </c>
      <c r="G203" s="172" t="str">
        <f t="array" ref="G203">IF($A203="","",IF(INDEX('主表 Stock_Transaction_Log'!$R:$R,$A203)=0,"",INDEX('主表 Stock_Transaction_Log'!$R:$R,$A203)))</f>
        <v/>
      </c>
      <c r="H203" s="172" t="str">
        <f t="array" ref="H203">IF($A203="","",SUMIF('主表 Stock_Transaction_Log'!$T:$T,INDEX('主表 Stock_Transaction_Log'!$T:$T,$A203),'主表 Stock_Transaction_Log'!$S:$S)+SUMIF('主表 Stock_Transaction_Log'!$AB:$AB,INDEX('主表 Stock_Transaction_Log'!$T:$T,$A203),'主表 Stock_Transaction_Log'!$AC:$AC))</f>
        <v/>
      </c>
      <c r="I203" s="172" t="str">
        <f t="shared" si="1"/>
        <v/>
      </c>
      <c r="J203" s="172" t="str">
        <f t="shared" si="2"/>
        <v/>
      </c>
      <c r="K203" s="172" t="str">
        <f t="shared" si="3"/>
        <v/>
      </c>
      <c r="L203" s="172" t="str">
        <f t="array" ref="L203">IF($A203="","",INDEX('主表 Stock_Transaction_Log'!$P:$P,$A203))</f>
        <v/>
      </c>
      <c r="M203" s="57" t="str">
        <f>IF($A203="","",IF($H203&lt;=0,0,SUMIFS('主表 Stock_Transaction_Log'!$K$2:$K1000,'主表 Stock_Transaction_Log'!$C$2:$C1000,"Prepared",'主表 Stock_Transaction_Log'!$L$2:$L1000,$B203,'主表 Stock_Transaction_Log'!$F$2:$F1000,$C203,'主表 Stock_Transaction_Log'!$G$2:$G1000,$D203,'主表 Stock_Transaction_Log'!$P$2:$P1000,$L203)))</f>
        <v/>
      </c>
      <c r="N203" s="172"/>
      <c r="O203" s="172" t="str">
        <f t="shared" si="4"/>
        <v/>
      </c>
      <c r="P203" s="172" t="str">
        <f t="shared" si="5"/>
        <v/>
      </c>
      <c r="Q203" s="172" t="str">
        <f t="shared" si="9"/>
        <v/>
      </c>
      <c r="R203" s="172" t="str">
        <f t="shared" si="7"/>
        <v/>
      </c>
      <c r="S203" s="172" t="str">
        <f t="shared" si="8"/>
        <v/>
      </c>
    </row>
    <row r="204">
      <c r="A204" s="172" t="str">
        <f>IF('主表 Stock_Transaction_Log'!$T204="","",IF(COUNTIF('主表 Stock_Transaction_Log'!$T$2:$T204,'主表 Stock_Transaction_Log'!$T204)=1,ROW('主表 Stock_Transaction_Log'!$T204),""))</f>
        <v/>
      </c>
      <c r="B204" s="172" t="str">
        <f t="array" ref="B204">IF($A204="","",INDEX('主表 Stock_Transaction_Log'!$Q:$Q,$A204))</f>
        <v/>
      </c>
      <c r="C204" s="172" t="str">
        <f t="array" ref="C204">IF($A204="","",IF(INDEX('主表 Stock_Transaction_Log'!$F:$F,$A204)=0,"",INDEX('主表 Stock_Transaction_Log'!$F:$F,$A204)))</f>
        <v/>
      </c>
      <c r="D204" s="172" t="str">
        <f t="array" ref="D204">IF($A204="","",INDEX('主表 Stock_Transaction_Log'!$G:$G,$A204))</f>
        <v/>
      </c>
      <c r="E204" s="172" t="str">
        <f t="array" ref="E204">IF($A204="","",INDEX('主表 Stock_Transaction_Log'!$H:$H,$A204))</f>
        <v/>
      </c>
      <c r="F204" s="172" t="str">
        <f t="array" ref="F204">IF($A204="","",INDEX('主表 Stock_Transaction_Log'!$I:$I,$A204))</f>
        <v/>
      </c>
      <c r="G204" s="172" t="str">
        <f t="array" ref="G204">IF($A204="","",IF(INDEX('主表 Stock_Transaction_Log'!$R:$R,$A204)=0,"",INDEX('主表 Stock_Transaction_Log'!$R:$R,$A204)))</f>
        <v/>
      </c>
      <c r="H204" s="172" t="str">
        <f t="array" ref="H204">IF($A204="","",SUMIF('主表 Stock_Transaction_Log'!$T:$T,INDEX('主表 Stock_Transaction_Log'!$T:$T,$A204),'主表 Stock_Transaction_Log'!$S:$S)+SUMIF('主表 Stock_Transaction_Log'!$AB:$AB,INDEX('主表 Stock_Transaction_Log'!$T:$T,$A204),'主表 Stock_Transaction_Log'!$AC:$AC))</f>
        <v/>
      </c>
      <c r="I204" s="172" t="str">
        <f t="shared" si="1"/>
        <v/>
      </c>
      <c r="J204" s="172" t="str">
        <f t="shared" si="2"/>
        <v/>
      </c>
      <c r="K204" s="172" t="str">
        <f t="shared" si="3"/>
        <v/>
      </c>
      <c r="L204" s="172" t="str">
        <f t="array" ref="L204">IF($A204="","",INDEX('主表 Stock_Transaction_Log'!$P:$P,$A204))</f>
        <v/>
      </c>
      <c r="M204" s="57" t="str">
        <f>IF($A204="","",IF($H204&lt;=0,0,SUMIFS('主表 Stock_Transaction_Log'!$K$2:$K1000,'主表 Stock_Transaction_Log'!$C$2:$C1000,"Prepared",'主表 Stock_Transaction_Log'!$L$2:$L1000,$B204,'主表 Stock_Transaction_Log'!$F$2:$F1000,$C204,'主表 Stock_Transaction_Log'!$G$2:$G1000,$D204,'主表 Stock_Transaction_Log'!$P$2:$P1000,$L204)))</f>
        <v/>
      </c>
      <c r="N204" s="172"/>
      <c r="O204" s="172" t="str">
        <f t="shared" si="4"/>
        <v/>
      </c>
      <c r="P204" s="172" t="str">
        <f t="shared" si="5"/>
        <v/>
      </c>
      <c r="Q204" s="172" t="str">
        <f t="shared" si="9"/>
        <v/>
      </c>
      <c r="R204" s="172" t="str">
        <f t="shared" si="7"/>
        <v/>
      </c>
      <c r="S204" s="172" t="str">
        <f t="shared" si="8"/>
        <v/>
      </c>
    </row>
    <row r="205">
      <c r="A205" s="172" t="str">
        <f>IF('主表 Stock_Transaction_Log'!$T205="","",IF(COUNTIF('主表 Stock_Transaction_Log'!$T$2:$T205,'主表 Stock_Transaction_Log'!$T205)=1,ROW('主表 Stock_Transaction_Log'!$T205),""))</f>
        <v/>
      </c>
      <c r="B205" s="172" t="str">
        <f t="array" ref="B205">IF($A205="","",INDEX('主表 Stock_Transaction_Log'!$Q:$Q,$A205))</f>
        <v/>
      </c>
      <c r="C205" s="172" t="str">
        <f t="array" ref="C205">IF($A205="","",IF(INDEX('主表 Stock_Transaction_Log'!$F:$F,$A205)=0,"",INDEX('主表 Stock_Transaction_Log'!$F:$F,$A205)))</f>
        <v/>
      </c>
      <c r="D205" s="172" t="str">
        <f t="array" ref="D205">IF($A205="","",INDEX('主表 Stock_Transaction_Log'!$G:$G,$A205))</f>
        <v/>
      </c>
      <c r="E205" s="172" t="str">
        <f t="array" ref="E205">IF($A205="","",INDEX('主表 Stock_Transaction_Log'!$H:$H,$A205))</f>
        <v/>
      </c>
      <c r="F205" s="172" t="str">
        <f t="array" ref="F205">IF($A205="","",INDEX('主表 Stock_Transaction_Log'!$I:$I,$A205))</f>
        <v/>
      </c>
      <c r="G205" s="172" t="str">
        <f t="array" ref="G205">IF($A205="","",IF(INDEX('主表 Stock_Transaction_Log'!$R:$R,$A205)=0,"",INDEX('主表 Stock_Transaction_Log'!$R:$R,$A205)))</f>
        <v/>
      </c>
      <c r="H205" s="172" t="str">
        <f t="array" ref="H205">IF($A205="","",SUMIF('主表 Stock_Transaction_Log'!$T:$T,INDEX('主表 Stock_Transaction_Log'!$T:$T,$A205),'主表 Stock_Transaction_Log'!$S:$S)+SUMIF('主表 Stock_Transaction_Log'!$AB:$AB,INDEX('主表 Stock_Transaction_Log'!$T:$T,$A205),'主表 Stock_Transaction_Log'!$AC:$AC))</f>
        <v/>
      </c>
      <c r="I205" s="172" t="str">
        <f t="shared" si="1"/>
        <v/>
      </c>
      <c r="J205" s="172" t="str">
        <f t="shared" si="2"/>
        <v/>
      </c>
      <c r="K205" s="172" t="str">
        <f t="shared" si="3"/>
        <v/>
      </c>
      <c r="L205" s="172" t="str">
        <f t="array" ref="L205">IF($A205="","",INDEX('主表 Stock_Transaction_Log'!$P:$P,$A205))</f>
        <v/>
      </c>
      <c r="M205" s="57" t="str">
        <f>IF($A205="","",IF($H205&lt;=0,0,SUMIFS('主表 Stock_Transaction_Log'!$K$2:$K1000,'主表 Stock_Transaction_Log'!$C$2:$C1000,"Prepared",'主表 Stock_Transaction_Log'!$L$2:$L1000,$B205,'主表 Stock_Transaction_Log'!$F$2:$F1000,$C205,'主表 Stock_Transaction_Log'!$G$2:$G1000,$D205,'主表 Stock_Transaction_Log'!$P$2:$P1000,$L205)))</f>
        <v/>
      </c>
      <c r="N205" s="172"/>
      <c r="O205" s="172" t="str">
        <f t="shared" si="4"/>
        <v/>
      </c>
      <c r="P205" s="172" t="str">
        <f t="shared" si="5"/>
        <v/>
      </c>
      <c r="Q205" s="172" t="str">
        <f t="shared" si="9"/>
        <v/>
      </c>
      <c r="R205" s="172" t="str">
        <f t="shared" si="7"/>
        <v/>
      </c>
      <c r="S205" s="172" t="str">
        <f t="shared" si="8"/>
        <v/>
      </c>
    </row>
    <row r="206">
      <c r="A206" s="172" t="str">
        <f>IF('主表 Stock_Transaction_Log'!$T206="","",IF(COUNTIF('主表 Stock_Transaction_Log'!$T$2:$T206,'主表 Stock_Transaction_Log'!$T206)=1,ROW('主表 Stock_Transaction_Log'!$T206),""))</f>
        <v/>
      </c>
      <c r="B206" s="172" t="str">
        <f t="array" ref="B206">IF($A206="","",INDEX('主表 Stock_Transaction_Log'!$Q:$Q,$A206))</f>
        <v/>
      </c>
      <c r="C206" s="172" t="str">
        <f t="array" ref="C206">IF($A206="","",IF(INDEX('主表 Stock_Transaction_Log'!$F:$F,$A206)=0,"",INDEX('主表 Stock_Transaction_Log'!$F:$F,$A206)))</f>
        <v/>
      </c>
      <c r="D206" s="172" t="str">
        <f t="array" ref="D206">IF($A206="","",INDEX('主表 Stock_Transaction_Log'!$G:$G,$A206))</f>
        <v/>
      </c>
      <c r="E206" s="172" t="str">
        <f t="array" ref="E206">IF($A206="","",INDEX('主表 Stock_Transaction_Log'!$H:$H,$A206))</f>
        <v/>
      </c>
      <c r="F206" s="172" t="str">
        <f t="array" ref="F206">IF($A206="","",INDEX('主表 Stock_Transaction_Log'!$I:$I,$A206))</f>
        <v/>
      </c>
      <c r="G206" s="172" t="str">
        <f t="array" ref="G206">IF($A206="","",IF(INDEX('主表 Stock_Transaction_Log'!$R:$R,$A206)=0,"",INDEX('主表 Stock_Transaction_Log'!$R:$R,$A206)))</f>
        <v/>
      </c>
      <c r="H206" s="172" t="str">
        <f t="array" ref="H206">IF($A206="","",SUMIF('主表 Stock_Transaction_Log'!$T:$T,INDEX('主表 Stock_Transaction_Log'!$T:$T,$A206),'主表 Stock_Transaction_Log'!$S:$S)+SUMIF('主表 Stock_Transaction_Log'!$AB:$AB,INDEX('主表 Stock_Transaction_Log'!$T:$T,$A206),'主表 Stock_Transaction_Log'!$AC:$AC))</f>
        <v/>
      </c>
      <c r="I206" s="172" t="str">
        <f t="shared" si="1"/>
        <v/>
      </c>
      <c r="J206" s="172" t="str">
        <f t="shared" si="2"/>
        <v/>
      </c>
      <c r="K206" s="172" t="str">
        <f t="shared" si="3"/>
        <v/>
      </c>
      <c r="L206" s="172" t="str">
        <f t="array" ref="L206">IF($A206="","",INDEX('主表 Stock_Transaction_Log'!$P:$P,$A206))</f>
        <v/>
      </c>
      <c r="M206" s="57" t="str">
        <f>IF($A206="","",IF($H206&lt;=0,0,SUMIFS('主表 Stock_Transaction_Log'!$K$2:$K1000,'主表 Stock_Transaction_Log'!$C$2:$C1000,"Prepared",'主表 Stock_Transaction_Log'!$L$2:$L1000,$B206,'主表 Stock_Transaction_Log'!$F$2:$F1000,$C206,'主表 Stock_Transaction_Log'!$G$2:$G1000,$D206,'主表 Stock_Transaction_Log'!$P$2:$P1000,$L206)))</f>
        <v/>
      </c>
      <c r="N206" s="172"/>
      <c r="O206" s="172" t="str">
        <f t="shared" si="4"/>
        <v/>
      </c>
      <c r="P206" s="172" t="str">
        <f t="shared" si="5"/>
        <v/>
      </c>
      <c r="Q206" s="172" t="str">
        <f t="shared" si="9"/>
        <v/>
      </c>
      <c r="R206" s="172" t="str">
        <f t="shared" si="7"/>
        <v/>
      </c>
      <c r="S206" s="172" t="str">
        <f t="shared" si="8"/>
        <v/>
      </c>
    </row>
    <row r="207">
      <c r="A207" s="172" t="str">
        <f>IF('主表 Stock_Transaction_Log'!$T207="","",IF(COUNTIF('主表 Stock_Transaction_Log'!$T$2:$T207,'主表 Stock_Transaction_Log'!$T207)=1,ROW('主表 Stock_Transaction_Log'!$T207),""))</f>
        <v/>
      </c>
      <c r="B207" s="172" t="str">
        <f t="array" ref="B207">IF($A207="","",INDEX('主表 Stock_Transaction_Log'!$Q:$Q,$A207))</f>
        <v/>
      </c>
      <c r="C207" s="172" t="str">
        <f t="array" ref="C207">IF($A207="","",IF(INDEX('主表 Stock_Transaction_Log'!$F:$F,$A207)=0,"",INDEX('主表 Stock_Transaction_Log'!$F:$F,$A207)))</f>
        <v/>
      </c>
      <c r="D207" s="172" t="str">
        <f t="array" ref="D207">IF($A207="","",INDEX('主表 Stock_Transaction_Log'!$G:$G,$A207))</f>
        <v/>
      </c>
      <c r="E207" s="172" t="str">
        <f t="array" ref="E207">IF($A207="","",INDEX('主表 Stock_Transaction_Log'!$H:$H,$A207))</f>
        <v/>
      </c>
      <c r="F207" s="172" t="str">
        <f t="array" ref="F207">IF($A207="","",INDEX('主表 Stock_Transaction_Log'!$I:$I,$A207))</f>
        <v/>
      </c>
      <c r="G207" s="172" t="str">
        <f t="array" ref="G207">IF($A207="","",IF(INDEX('主表 Stock_Transaction_Log'!$R:$R,$A207)=0,"",INDEX('主表 Stock_Transaction_Log'!$R:$R,$A207)))</f>
        <v/>
      </c>
      <c r="H207" s="172" t="str">
        <f t="array" ref="H207">IF($A207="","",SUMIF('主表 Stock_Transaction_Log'!$T:$T,INDEX('主表 Stock_Transaction_Log'!$T:$T,$A207),'主表 Stock_Transaction_Log'!$S:$S)+SUMIF('主表 Stock_Transaction_Log'!$AB:$AB,INDEX('主表 Stock_Transaction_Log'!$T:$T,$A207),'主表 Stock_Transaction_Log'!$AC:$AC))</f>
        <v/>
      </c>
      <c r="I207" s="172" t="str">
        <f t="shared" si="1"/>
        <v/>
      </c>
      <c r="J207" s="172" t="str">
        <f t="shared" si="2"/>
        <v/>
      </c>
      <c r="K207" s="172" t="str">
        <f t="shared" si="3"/>
        <v/>
      </c>
      <c r="L207" s="172" t="str">
        <f t="array" ref="L207">IF($A207="","",INDEX('主表 Stock_Transaction_Log'!$P:$P,$A207))</f>
        <v/>
      </c>
      <c r="M207" s="57" t="str">
        <f>IF($A207="","",IF($H207&lt;=0,0,SUMIFS('主表 Stock_Transaction_Log'!$K$2:$K1000,'主表 Stock_Transaction_Log'!$C$2:$C1000,"Prepared",'主表 Stock_Transaction_Log'!$L$2:$L1000,$B207,'主表 Stock_Transaction_Log'!$F$2:$F1000,$C207,'主表 Stock_Transaction_Log'!$G$2:$G1000,$D207,'主表 Stock_Transaction_Log'!$P$2:$P1000,$L207)))</f>
        <v/>
      </c>
      <c r="N207" s="172"/>
      <c r="O207" s="172" t="str">
        <f t="shared" si="4"/>
        <v/>
      </c>
      <c r="P207" s="172" t="str">
        <f t="shared" si="5"/>
        <v/>
      </c>
      <c r="Q207" s="172" t="str">
        <f t="shared" si="9"/>
        <v/>
      </c>
      <c r="R207" s="172" t="str">
        <f t="shared" si="7"/>
        <v/>
      </c>
      <c r="S207" s="172" t="str">
        <f t="shared" si="8"/>
        <v/>
      </c>
    </row>
    <row r="208">
      <c r="A208" s="172" t="str">
        <f>IF('主表 Stock_Transaction_Log'!$T208="","",IF(COUNTIF('主表 Stock_Transaction_Log'!$T$2:$T208,'主表 Stock_Transaction_Log'!$T208)=1,ROW('主表 Stock_Transaction_Log'!$T208),""))</f>
        <v/>
      </c>
      <c r="B208" s="172" t="str">
        <f t="array" ref="B208">IF($A208="","",INDEX('主表 Stock_Transaction_Log'!$Q:$Q,$A208))</f>
        <v/>
      </c>
      <c r="C208" s="172" t="str">
        <f t="array" ref="C208">IF($A208="","",IF(INDEX('主表 Stock_Transaction_Log'!$F:$F,$A208)=0,"",INDEX('主表 Stock_Transaction_Log'!$F:$F,$A208)))</f>
        <v/>
      </c>
      <c r="D208" s="172" t="str">
        <f t="array" ref="D208">IF($A208="","",INDEX('主表 Stock_Transaction_Log'!$G:$G,$A208))</f>
        <v/>
      </c>
      <c r="E208" s="172" t="str">
        <f t="array" ref="E208">IF($A208="","",INDEX('主表 Stock_Transaction_Log'!$H:$H,$A208))</f>
        <v/>
      </c>
      <c r="F208" s="172" t="str">
        <f t="array" ref="F208">IF($A208="","",INDEX('主表 Stock_Transaction_Log'!$I:$I,$A208))</f>
        <v/>
      </c>
      <c r="G208" s="172" t="str">
        <f t="array" ref="G208">IF($A208="","",IF(INDEX('主表 Stock_Transaction_Log'!$R:$R,$A208)=0,"",INDEX('主表 Stock_Transaction_Log'!$R:$R,$A208)))</f>
        <v/>
      </c>
      <c r="H208" s="172" t="str">
        <f t="array" ref="H208">IF($A208="","",SUMIF('主表 Stock_Transaction_Log'!$T:$T,INDEX('主表 Stock_Transaction_Log'!$T:$T,$A208),'主表 Stock_Transaction_Log'!$S:$S)+SUMIF('主表 Stock_Transaction_Log'!$AB:$AB,INDEX('主表 Stock_Transaction_Log'!$T:$T,$A208),'主表 Stock_Transaction_Log'!$AC:$AC))</f>
        <v/>
      </c>
      <c r="I208" s="172" t="str">
        <f t="shared" si="1"/>
        <v/>
      </c>
      <c r="J208" s="172" t="str">
        <f t="shared" si="2"/>
        <v/>
      </c>
      <c r="K208" s="172" t="str">
        <f t="shared" si="3"/>
        <v/>
      </c>
      <c r="L208" s="172" t="str">
        <f t="array" ref="L208">IF($A208="","",INDEX('主表 Stock_Transaction_Log'!$P:$P,$A208))</f>
        <v/>
      </c>
      <c r="M208" s="57" t="str">
        <f>IF($A208="","",IF($H208&lt;=0,0,SUMIFS('主表 Stock_Transaction_Log'!$K$2:$K1000,'主表 Stock_Transaction_Log'!$C$2:$C1000,"Prepared",'主表 Stock_Transaction_Log'!$L$2:$L1000,$B208,'主表 Stock_Transaction_Log'!$F$2:$F1000,$C208,'主表 Stock_Transaction_Log'!$G$2:$G1000,$D208,'主表 Stock_Transaction_Log'!$P$2:$P1000,$L208)))</f>
        <v/>
      </c>
      <c r="N208" s="172"/>
      <c r="O208" s="172" t="str">
        <f t="shared" si="4"/>
        <v/>
      </c>
      <c r="P208" s="172" t="str">
        <f t="shared" si="5"/>
        <v/>
      </c>
      <c r="Q208" s="172" t="str">
        <f t="shared" si="9"/>
        <v/>
      </c>
      <c r="R208" s="172" t="str">
        <f t="shared" si="7"/>
        <v/>
      </c>
      <c r="S208" s="172" t="str">
        <f t="shared" si="8"/>
        <v/>
      </c>
    </row>
    <row r="209">
      <c r="A209" s="172" t="str">
        <f>IF('主表 Stock_Transaction_Log'!$T209="","",IF(COUNTIF('主表 Stock_Transaction_Log'!$T$2:$T209,'主表 Stock_Transaction_Log'!$T209)=1,ROW('主表 Stock_Transaction_Log'!$T209),""))</f>
        <v/>
      </c>
      <c r="B209" s="172" t="str">
        <f t="array" ref="B209">IF($A209="","",INDEX('主表 Stock_Transaction_Log'!$Q:$Q,$A209))</f>
        <v/>
      </c>
      <c r="C209" s="172" t="str">
        <f t="array" ref="C209">IF($A209="","",IF(INDEX('主表 Stock_Transaction_Log'!$F:$F,$A209)=0,"",INDEX('主表 Stock_Transaction_Log'!$F:$F,$A209)))</f>
        <v/>
      </c>
      <c r="D209" s="172" t="str">
        <f t="array" ref="D209">IF($A209="","",INDEX('主表 Stock_Transaction_Log'!$G:$G,$A209))</f>
        <v/>
      </c>
      <c r="E209" s="172" t="str">
        <f t="array" ref="E209">IF($A209="","",INDEX('主表 Stock_Transaction_Log'!$H:$H,$A209))</f>
        <v/>
      </c>
      <c r="F209" s="172" t="str">
        <f t="array" ref="F209">IF($A209="","",INDEX('主表 Stock_Transaction_Log'!$I:$I,$A209))</f>
        <v/>
      </c>
      <c r="G209" s="172" t="str">
        <f t="array" ref="G209">IF($A209="","",IF(INDEX('主表 Stock_Transaction_Log'!$R:$R,$A209)=0,"",INDEX('主表 Stock_Transaction_Log'!$R:$R,$A209)))</f>
        <v/>
      </c>
      <c r="H209" s="172" t="str">
        <f t="array" ref="H209">IF($A209="","",SUMIF('主表 Stock_Transaction_Log'!$T:$T,INDEX('主表 Stock_Transaction_Log'!$T:$T,$A209),'主表 Stock_Transaction_Log'!$S:$S)+SUMIF('主表 Stock_Transaction_Log'!$AB:$AB,INDEX('主表 Stock_Transaction_Log'!$T:$T,$A209),'主表 Stock_Transaction_Log'!$AC:$AC))</f>
        <v/>
      </c>
      <c r="I209" s="172" t="str">
        <f t="shared" si="1"/>
        <v/>
      </c>
      <c r="J209" s="172" t="str">
        <f t="shared" si="2"/>
        <v/>
      </c>
      <c r="K209" s="172" t="str">
        <f t="shared" si="3"/>
        <v/>
      </c>
      <c r="L209" s="172" t="str">
        <f t="array" ref="L209">IF($A209="","",INDEX('主表 Stock_Transaction_Log'!$P:$P,$A209))</f>
        <v/>
      </c>
      <c r="M209" s="57" t="str">
        <f>IF($A209="","",IF($H209&lt;=0,0,SUMIFS('主表 Stock_Transaction_Log'!$K$2:$K1000,'主表 Stock_Transaction_Log'!$C$2:$C1000,"Prepared",'主表 Stock_Transaction_Log'!$L$2:$L1000,$B209,'主表 Stock_Transaction_Log'!$F$2:$F1000,$C209,'主表 Stock_Transaction_Log'!$G$2:$G1000,$D209,'主表 Stock_Transaction_Log'!$P$2:$P1000,$L209)))</f>
        <v/>
      </c>
      <c r="N209" s="172"/>
      <c r="O209" s="172" t="str">
        <f t="shared" si="4"/>
        <v/>
      </c>
      <c r="P209" s="172" t="str">
        <f t="shared" si="5"/>
        <v/>
      </c>
      <c r="Q209" s="172" t="str">
        <f t="shared" si="9"/>
        <v/>
      </c>
      <c r="R209" s="172" t="str">
        <f t="shared" si="7"/>
        <v/>
      </c>
      <c r="S209" s="172" t="str">
        <f t="shared" si="8"/>
        <v/>
      </c>
    </row>
    <row r="210">
      <c r="A210" s="172" t="str">
        <f>IF('主表 Stock_Transaction_Log'!$T210="","",IF(COUNTIF('主表 Stock_Transaction_Log'!$T$2:$T210,'主表 Stock_Transaction_Log'!$T210)=1,ROW('主表 Stock_Transaction_Log'!$T210),""))</f>
        <v/>
      </c>
      <c r="B210" s="172" t="str">
        <f t="array" ref="B210">IF($A210="","",INDEX('主表 Stock_Transaction_Log'!$Q:$Q,$A210))</f>
        <v/>
      </c>
      <c r="C210" s="172" t="str">
        <f t="array" ref="C210">IF($A210="","",IF(INDEX('主表 Stock_Transaction_Log'!$F:$F,$A210)=0,"",INDEX('主表 Stock_Transaction_Log'!$F:$F,$A210)))</f>
        <v/>
      </c>
      <c r="D210" s="172" t="str">
        <f t="array" ref="D210">IF($A210="","",INDEX('主表 Stock_Transaction_Log'!$G:$G,$A210))</f>
        <v/>
      </c>
      <c r="E210" s="172" t="str">
        <f t="array" ref="E210">IF($A210="","",INDEX('主表 Stock_Transaction_Log'!$H:$H,$A210))</f>
        <v/>
      </c>
      <c r="F210" s="172" t="str">
        <f t="array" ref="F210">IF($A210="","",INDEX('主表 Stock_Transaction_Log'!$I:$I,$A210))</f>
        <v/>
      </c>
      <c r="G210" s="172" t="str">
        <f t="array" ref="G210">IF($A210="","",IF(INDEX('主表 Stock_Transaction_Log'!$R:$R,$A210)=0,"",INDEX('主表 Stock_Transaction_Log'!$R:$R,$A210)))</f>
        <v/>
      </c>
      <c r="H210" s="172" t="str">
        <f t="array" ref="H210">IF($A210="","",SUMIF('主表 Stock_Transaction_Log'!$T:$T,INDEX('主表 Stock_Transaction_Log'!$T:$T,$A210),'主表 Stock_Transaction_Log'!$S:$S)+SUMIF('主表 Stock_Transaction_Log'!$AB:$AB,INDEX('主表 Stock_Transaction_Log'!$T:$T,$A210),'主表 Stock_Transaction_Log'!$AC:$AC))</f>
        <v/>
      </c>
      <c r="I210" s="172" t="str">
        <f t="shared" si="1"/>
        <v/>
      </c>
      <c r="J210" s="172" t="str">
        <f t="shared" si="2"/>
        <v/>
      </c>
      <c r="K210" s="172" t="str">
        <f t="shared" si="3"/>
        <v/>
      </c>
      <c r="L210" s="172" t="str">
        <f t="array" ref="L210">IF($A210="","",INDEX('主表 Stock_Transaction_Log'!$P:$P,$A210))</f>
        <v/>
      </c>
      <c r="M210" s="57" t="str">
        <f>IF($A210="","",IF($H210&lt;=0,0,SUMIFS('主表 Stock_Transaction_Log'!$K$2:$K1000,'主表 Stock_Transaction_Log'!$C$2:$C1000,"Prepared",'主表 Stock_Transaction_Log'!$L$2:$L1000,$B210,'主表 Stock_Transaction_Log'!$F$2:$F1000,$C210,'主表 Stock_Transaction_Log'!$G$2:$G1000,$D210,'主表 Stock_Transaction_Log'!$P$2:$P1000,$L210)))</f>
        <v/>
      </c>
      <c r="N210" s="172"/>
      <c r="O210" s="172" t="str">
        <f t="shared" si="4"/>
        <v/>
      </c>
      <c r="P210" s="172" t="str">
        <f t="shared" si="5"/>
        <v/>
      </c>
      <c r="Q210" s="172" t="str">
        <f t="shared" si="9"/>
        <v/>
      </c>
      <c r="R210" s="172" t="str">
        <f t="shared" si="7"/>
        <v/>
      </c>
      <c r="S210" s="172" t="str">
        <f t="shared" si="8"/>
        <v/>
      </c>
    </row>
    <row r="211">
      <c r="A211" s="172" t="str">
        <f>IF('主表 Stock_Transaction_Log'!$T211="","",IF(COUNTIF('主表 Stock_Transaction_Log'!$T$2:$T211,'主表 Stock_Transaction_Log'!$T211)=1,ROW('主表 Stock_Transaction_Log'!$T211),""))</f>
        <v/>
      </c>
      <c r="B211" s="172" t="str">
        <f t="array" ref="B211">IF($A211="","",INDEX('主表 Stock_Transaction_Log'!$Q:$Q,$A211))</f>
        <v/>
      </c>
      <c r="C211" s="172" t="str">
        <f t="array" ref="C211">IF($A211="","",IF(INDEX('主表 Stock_Transaction_Log'!$F:$F,$A211)=0,"",INDEX('主表 Stock_Transaction_Log'!$F:$F,$A211)))</f>
        <v/>
      </c>
      <c r="D211" s="172" t="str">
        <f t="array" ref="D211">IF($A211="","",INDEX('主表 Stock_Transaction_Log'!$G:$G,$A211))</f>
        <v/>
      </c>
      <c r="E211" s="172" t="str">
        <f t="array" ref="E211">IF($A211="","",INDEX('主表 Stock_Transaction_Log'!$H:$H,$A211))</f>
        <v/>
      </c>
      <c r="F211" s="172" t="str">
        <f t="array" ref="F211">IF($A211="","",INDEX('主表 Stock_Transaction_Log'!$I:$I,$A211))</f>
        <v/>
      </c>
      <c r="G211" s="172" t="str">
        <f t="array" ref="G211">IF($A211="","",IF(INDEX('主表 Stock_Transaction_Log'!$R:$R,$A211)=0,"",INDEX('主表 Stock_Transaction_Log'!$R:$R,$A211)))</f>
        <v/>
      </c>
      <c r="H211" s="172" t="str">
        <f t="array" ref="H211">IF($A211="","",SUMIF('主表 Stock_Transaction_Log'!$T:$T,INDEX('主表 Stock_Transaction_Log'!$T:$T,$A211),'主表 Stock_Transaction_Log'!$S:$S)+SUMIF('主表 Stock_Transaction_Log'!$AB:$AB,INDEX('主表 Stock_Transaction_Log'!$T:$T,$A211),'主表 Stock_Transaction_Log'!$AC:$AC))</f>
        <v/>
      </c>
      <c r="I211" s="172" t="str">
        <f t="shared" si="1"/>
        <v/>
      </c>
      <c r="J211" s="172" t="str">
        <f t="shared" si="2"/>
        <v/>
      </c>
      <c r="K211" s="172" t="str">
        <f t="shared" si="3"/>
        <v/>
      </c>
      <c r="L211" s="172" t="str">
        <f t="array" ref="L211">IF($A211="","",INDEX('主表 Stock_Transaction_Log'!$P:$P,$A211))</f>
        <v/>
      </c>
      <c r="M211" s="57" t="str">
        <f>IF($A211="","",IF($H211&lt;=0,0,SUMIFS('主表 Stock_Transaction_Log'!$K$2:$K1000,'主表 Stock_Transaction_Log'!$C$2:$C1000,"Prepared",'主表 Stock_Transaction_Log'!$L$2:$L1000,$B211,'主表 Stock_Transaction_Log'!$F$2:$F1000,$C211,'主表 Stock_Transaction_Log'!$G$2:$G1000,$D211,'主表 Stock_Transaction_Log'!$P$2:$P1000,$L211)))</f>
        <v/>
      </c>
      <c r="N211" s="172"/>
      <c r="O211" s="172" t="str">
        <f t="shared" si="4"/>
        <v/>
      </c>
      <c r="P211" s="172" t="str">
        <f t="shared" si="5"/>
        <v/>
      </c>
      <c r="Q211" s="172" t="str">
        <f t="shared" si="9"/>
        <v/>
      </c>
      <c r="R211" s="172" t="str">
        <f t="shared" si="7"/>
        <v/>
      </c>
      <c r="S211" s="172" t="str">
        <f t="shared" si="8"/>
        <v/>
      </c>
    </row>
    <row r="212">
      <c r="A212" s="172" t="str">
        <f>IF('主表 Stock_Transaction_Log'!$T212="","",IF(COUNTIF('主表 Stock_Transaction_Log'!$T$2:$T212,'主表 Stock_Transaction_Log'!$T212)=1,ROW('主表 Stock_Transaction_Log'!$T212),""))</f>
        <v/>
      </c>
      <c r="B212" s="172" t="str">
        <f t="array" ref="B212">IF($A212="","",INDEX('主表 Stock_Transaction_Log'!$Q:$Q,$A212))</f>
        <v/>
      </c>
      <c r="C212" s="172" t="str">
        <f t="array" ref="C212">IF($A212="","",IF(INDEX('主表 Stock_Transaction_Log'!$F:$F,$A212)=0,"",INDEX('主表 Stock_Transaction_Log'!$F:$F,$A212)))</f>
        <v/>
      </c>
      <c r="D212" s="172" t="str">
        <f t="array" ref="D212">IF($A212="","",INDEX('主表 Stock_Transaction_Log'!$G:$G,$A212))</f>
        <v/>
      </c>
      <c r="E212" s="172" t="str">
        <f t="array" ref="E212">IF($A212="","",INDEX('主表 Stock_Transaction_Log'!$H:$H,$A212))</f>
        <v/>
      </c>
      <c r="F212" s="172" t="str">
        <f t="array" ref="F212">IF($A212="","",INDEX('主表 Stock_Transaction_Log'!$I:$I,$A212))</f>
        <v/>
      </c>
      <c r="G212" s="172" t="str">
        <f t="array" ref="G212">IF($A212="","",IF(INDEX('主表 Stock_Transaction_Log'!$R:$R,$A212)=0,"",INDEX('主表 Stock_Transaction_Log'!$R:$R,$A212)))</f>
        <v/>
      </c>
      <c r="H212" s="172" t="str">
        <f t="array" ref="H212">IF($A212="","",SUMIF('主表 Stock_Transaction_Log'!$T:$T,INDEX('主表 Stock_Transaction_Log'!$T:$T,$A212),'主表 Stock_Transaction_Log'!$S:$S)+SUMIF('主表 Stock_Transaction_Log'!$AB:$AB,INDEX('主表 Stock_Transaction_Log'!$T:$T,$A212),'主表 Stock_Transaction_Log'!$AC:$AC))</f>
        <v/>
      </c>
      <c r="I212" s="172" t="str">
        <f t="shared" si="1"/>
        <v/>
      </c>
      <c r="J212" s="172" t="str">
        <f t="shared" si="2"/>
        <v/>
      </c>
      <c r="K212" s="172" t="str">
        <f t="shared" si="3"/>
        <v/>
      </c>
      <c r="L212" s="172" t="str">
        <f t="array" ref="L212">IF($A212="","",INDEX('主表 Stock_Transaction_Log'!$P:$P,$A212))</f>
        <v/>
      </c>
      <c r="M212" s="57" t="str">
        <f>IF($A212="","",IF($H212&lt;=0,0,SUMIFS('主表 Stock_Transaction_Log'!$K$2:$K1000,'主表 Stock_Transaction_Log'!$C$2:$C1000,"Prepared",'主表 Stock_Transaction_Log'!$L$2:$L1000,$B212,'主表 Stock_Transaction_Log'!$F$2:$F1000,$C212,'主表 Stock_Transaction_Log'!$G$2:$G1000,$D212,'主表 Stock_Transaction_Log'!$P$2:$P1000,$L212)))</f>
        <v/>
      </c>
      <c r="N212" s="172"/>
      <c r="O212" s="172" t="str">
        <f t="shared" si="4"/>
        <v/>
      </c>
      <c r="P212" s="172" t="str">
        <f t="shared" si="5"/>
        <v/>
      </c>
      <c r="Q212" s="172" t="str">
        <f t="shared" si="9"/>
        <v/>
      </c>
      <c r="R212" s="172" t="str">
        <f t="shared" si="7"/>
        <v/>
      </c>
      <c r="S212" s="172" t="str">
        <f t="shared" si="8"/>
        <v/>
      </c>
    </row>
    <row r="213">
      <c r="A213" s="172" t="str">
        <f>IF('主表 Stock_Transaction_Log'!$T213="","",IF(COUNTIF('主表 Stock_Transaction_Log'!$T$2:$T213,'主表 Stock_Transaction_Log'!$T213)=1,ROW('主表 Stock_Transaction_Log'!$T213),""))</f>
        <v/>
      </c>
      <c r="B213" s="172" t="str">
        <f t="array" ref="B213">IF($A213="","",INDEX('主表 Stock_Transaction_Log'!$Q:$Q,$A213))</f>
        <v/>
      </c>
      <c r="C213" s="172" t="str">
        <f t="array" ref="C213">IF($A213="","",IF(INDEX('主表 Stock_Transaction_Log'!$F:$F,$A213)=0,"",INDEX('主表 Stock_Transaction_Log'!$F:$F,$A213)))</f>
        <v/>
      </c>
      <c r="D213" s="172" t="str">
        <f t="array" ref="D213">IF($A213="","",INDEX('主表 Stock_Transaction_Log'!$G:$G,$A213))</f>
        <v/>
      </c>
      <c r="E213" s="172" t="str">
        <f t="array" ref="E213">IF($A213="","",INDEX('主表 Stock_Transaction_Log'!$H:$H,$A213))</f>
        <v/>
      </c>
      <c r="F213" s="172" t="str">
        <f t="array" ref="F213">IF($A213="","",INDEX('主表 Stock_Transaction_Log'!$I:$I,$A213))</f>
        <v/>
      </c>
      <c r="G213" s="172" t="str">
        <f t="array" ref="G213">IF($A213="","",IF(INDEX('主表 Stock_Transaction_Log'!$R:$R,$A213)=0,"",INDEX('主表 Stock_Transaction_Log'!$R:$R,$A213)))</f>
        <v/>
      </c>
      <c r="H213" s="172" t="str">
        <f t="array" ref="H213">IF($A213="","",SUMIF('主表 Stock_Transaction_Log'!$T:$T,INDEX('主表 Stock_Transaction_Log'!$T:$T,$A213),'主表 Stock_Transaction_Log'!$S:$S)+SUMIF('主表 Stock_Transaction_Log'!$AB:$AB,INDEX('主表 Stock_Transaction_Log'!$T:$T,$A213),'主表 Stock_Transaction_Log'!$AC:$AC))</f>
        <v/>
      </c>
      <c r="I213" s="172" t="str">
        <f t="shared" si="1"/>
        <v/>
      </c>
      <c r="J213" s="172" t="str">
        <f t="shared" si="2"/>
        <v/>
      </c>
      <c r="K213" s="172" t="str">
        <f t="shared" si="3"/>
        <v/>
      </c>
      <c r="L213" s="172" t="str">
        <f t="array" ref="L213">IF($A213="","",INDEX('主表 Stock_Transaction_Log'!$P:$P,$A213))</f>
        <v/>
      </c>
      <c r="M213" s="57" t="str">
        <f>IF($A213="","",IF($H213&lt;=0,0,SUMIFS('主表 Stock_Transaction_Log'!$K$2:$K1000,'主表 Stock_Transaction_Log'!$C$2:$C1000,"Prepared",'主表 Stock_Transaction_Log'!$L$2:$L1000,$B213,'主表 Stock_Transaction_Log'!$F$2:$F1000,$C213,'主表 Stock_Transaction_Log'!$G$2:$G1000,$D213,'主表 Stock_Transaction_Log'!$P$2:$P1000,$L213)))</f>
        <v/>
      </c>
      <c r="N213" s="172"/>
      <c r="O213" s="172" t="str">
        <f t="shared" si="4"/>
        <v/>
      </c>
      <c r="P213" s="172" t="str">
        <f t="shared" si="5"/>
        <v/>
      </c>
      <c r="Q213" s="172" t="str">
        <f t="shared" si="9"/>
        <v/>
      </c>
      <c r="R213" s="172" t="str">
        <f t="shared" si="7"/>
        <v/>
      </c>
      <c r="S213" s="172" t="str">
        <f t="shared" si="8"/>
        <v/>
      </c>
    </row>
    <row r="214">
      <c r="A214" s="172" t="str">
        <f>IF('主表 Stock_Transaction_Log'!$T214="","",IF(COUNTIF('主表 Stock_Transaction_Log'!$T$2:$T214,'主表 Stock_Transaction_Log'!$T214)=1,ROW('主表 Stock_Transaction_Log'!$T214),""))</f>
        <v/>
      </c>
      <c r="B214" s="172" t="str">
        <f t="array" ref="B214">IF($A214="","",INDEX('主表 Stock_Transaction_Log'!$Q:$Q,$A214))</f>
        <v/>
      </c>
      <c r="C214" s="172" t="str">
        <f t="array" ref="C214">IF($A214="","",IF(INDEX('主表 Stock_Transaction_Log'!$F:$F,$A214)=0,"",INDEX('主表 Stock_Transaction_Log'!$F:$F,$A214)))</f>
        <v/>
      </c>
      <c r="D214" s="172" t="str">
        <f t="array" ref="D214">IF($A214="","",INDEX('主表 Stock_Transaction_Log'!$G:$G,$A214))</f>
        <v/>
      </c>
      <c r="E214" s="172" t="str">
        <f t="array" ref="E214">IF($A214="","",INDEX('主表 Stock_Transaction_Log'!$H:$H,$A214))</f>
        <v/>
      </c>
      <c r="F214" s="172" t="str">
        <f t="array" ref="F214">IF($A214="","",INDEX('主表 Stock_Transaction_Log'!$I:$I,$A214))</f>
        <v/>
      </c>
      <c r="G214" s="172" t="str">
        <f t="array" ref="G214">IF($A214="","",IF(INDEX('主表 Stock_Transaction_Log'!$R:$R,$A214)=0,"",INDEX('主表 Stock_Transaction_Log'!$R:$R,$A214)))</f>
        <v/>
      </c>
      <c r="H214" s="172" t="str">
        <f t="array" ref="H214">IF($A214="","",SUMIF('主表 Stock_Transaction_Log'!$T:$T,INDEX('主表 Stock_Transaction_Log'!$T:$T,$A214),'主表 Stock_Transaction_Log'!$S:$S)+SUMIF('主表 Stock_Transaction_Log'!$AB:$AB,INDEX('主表 Stock_Transaction_Log'!$T:$T,$A214),'主表 Stock_Transaction_Log'!$AC:$AC))</f>
        <v/>
      </c>
      <c r="I214" s="172" t="str">
        <f t="shared" si="1"/>
        <v/>
      </c>
      <c r="J214" s="172" t="str">
        <f t="shared" si="2"/>
        <v/>
      </c>
      <c r="K214" s="172" t="str">
        <f t="shared" si="3"/>
        <v/>
      </c>
      <c r="L214" s="172" t="str">
        <f t="array" ref="L214">IF($A214="","",INDEX('主表 Stock_Transaction_Log'!$P:$P,$A214))</f>
        <v/>
      </c>
      <c r="M214" s="57" t="str">
        <f>IF($A214="","",IF($H214&lt;=0,0,SUMIFS('主表 Stock_Transaction_Log'!$K$2:$K1000,'主表 Stock_Transaction_Log'!$C$2:$C1000,"Prepared",'主表 Stock_Transaction_Log'!$L$2:$L1000,$B214,'主表 Stock_Transaction_Log'!$F$2:$F1000,$C214,'主表 Stock_Transaction_Log'!$G$2:$G1000,$D214,'主表 Stock_Transaction_Log'!$P$2:$P1000,$L214)))</f>
        <v/>
      </c>
      <c r="N214" s="172"/>
      <c r="O214" s="172" t="str">
        <f t="shared" si="4"/>
        <v/>
      </c>
      <c r="P214" s="172" t="str">
        <f t="shared" si="5"/>
        <v/>
      </c>
      <c r="Q214" s="172" t="str">
        <f t="shared" si="9"/>
        <v/>
      </c>
      <c r="R214" s="172" t="str">
        <f t="shared" si="7"/>
        <v/>
      </c>
      <c r="S214" s="172" t="str">
        <f t="shared" si="8"/>
        <v/>
      </c>
    </row>
    <row r="215">
      <c r="A215" s="172" t="str">
        <f>IF('主表 Stock_Transaction_Log'!$T215="","",IF(COUNTIF('主表 Stock_Transaction_Log'!$T$2:$T215,'主表 Stock_Transaction_Log'!$T215)=1,ROW('主表 Stock_Transaction_Log'!$T215),""))</f>
        <v/>
      </c>
      <c r="B215" s="172" t="str">
        <f t="array" ref="B215">IF($A215="","",INDEX('主表 Stock_Transaction_Log'!$Q:$Q,$A215))</f>
        <v/>
      </c>
      <c r="C215" s="172" t="str">
        <f t="array" ref="C215">IF($A215="","",IF(INDEX('主表 Stock_Transaction_Log'!$F:$F,$A215)=0,"",INDEX('主表 Stock_Transaction_Log'!$F:$F,$A215)))</f>
        <v/>
      </c>
      <c r="D215" s="172" t="str">
        <f t="array" ref="D215">IF($A215="","",INDEX('主表 Stock_Transaction_Log'!$G:$G,$A215))</f>
        <v/>
      </c>
      <c r="E215" s="172" t="str">
        <f t="array" ref="E215">IF($A215="","",INDEX('主表 Stock_Transaction_Log'!$H:$H,$A215))</f>
        <v/>
      </c>
      <c r="F215" s="172" t="str">
        <f t="array" ref="F215">IF($A215="","",INDEX('主表 Stock_Transaction_Log'!$I:$I,$A215))</f>
        <v/>
      </c>
      <c r="G215" s="172" t="str">
        <f t="array" ref="G215">IF($A215="","",IF(INDEX('主表 Stock_Transaction_Log'!$R:$R,$A215)=0,"",INDEX('主表 Stock_Transaction_Log'!$R:$R,$A215)))</f>
        <v/>
      </c>
      <c r="H215" s="172" t="str">
        <f t="array" ref="H215">IF($A215="","",SUMIF('主表 Stock_Transaction_Log'!$T:$T,INDEX('主表 Stock_Transaction_Log'!$T:$T,$A215),'主表 Stock_Transaction_Log'!$S:$S)+SUMIF('主表 Stock_Transaction_Log'!$AB:$AB,INDEX('主表 Stock_Transaction_Log'!$T:$T,$A215),'主表 Stock_Transaction_Log'!$AC:$AC))</f>
        <v/>
      </c>
      <c r="I215" s="172" t="str">
        <f t="shared" si="1"/>
        <v/>
      </c>
      <c r="J215" s="172" t="str">
        <f t="shared" si="2"/>
        <v/>
      </c>
      <c r="K215" s="172" t="str">
        <f t="shared" si="3"/>
        <v/>
      </c>
      <c r="L215" s="172" t="str">
        <f t="array" ref="L215">IF($A215="","",INDEX('主表 Stock_Transaction_Log'!$P:$P,$A215))</f>
        <v/>
      </c>
      <c r="M215" s="57" t="str">
        <f>IF($A215="","",IF($H215&lt;=0,0,SUMIFS('主表 Stock_Transaction_Log'!$K$2:$K1000,'主表 Stock_Transaction_Log'!$C$2:$C1000,"Prepared",'主表 Stock_Transaction_Log'!$L$2:$L1000,$B215,'主表 Stock_Transaction_Log'!$F$2:$F1000,$C215,'主表 Stock_Transaction_Log'!$G$2:$G1000,$D215,'主表 Stock_Transaction_Log'!$P$2:$P1000,$L215)))</f>
        <v/>
      </c>
      <c r="N215" s="172"/>
      <c r="O215" s="172" t="str">
        <f t="shared" si="4"/>
        <v/>
      </c>
      <c r="P215" s="172" t="str">
        <f t="shared" si="5"/>
        <v/>
      </c>
      <c r="Q215" s="172" t="str">
        <f t="shared" si="9"/>
        <v/>
      </c>
      <c r="R215" s="172" t="str">
        <f t="shared" si="7"/>
        <v/>
      </c>
      <c r="S215" s="172" t="str">
        <f t="shared" si="8"/>
        <v/>
      </c>
    </row>
    <row r="216">
      <c r="A216" s="172" t="str">
        <f>IF('主表 Stock_Transaction_Log'!$T216="","",IF(COUNTIF('主表 Stock_Transaction_Log'!$T$2:$T216,'主表 Stock_Transaction_Log'!$T216)=1,ROW('主表 Stock_Transaction_Log'!$T216),""))</f>
        <v/>
      </c>
      <c r="B216" s="172" t="str">
        <f t="array" ref="B216">IF($A216="","",INDEX('主表 Stock_Transaction_Log'!$Q:$Q,$A216))</f>
        <v/>
      </c>
      <c r="C216" s="172" t="str">
        <f t="array" ref="C216">IF($A216="","",IF(INDEX('主表 Stock_Transaction_Log'!$F:$F,$A216)=0,"",INDEX('主表 Stock_Transaction_Log'!$F:$F,$A216)))</f>
        <v/>
      </c>
      <c r="D216" s="172" t="str">
        <f t="array" ref="D216">IF($A216="","",INDEX('主表 Stock_Transaction_Log'!$G:$G,$A216))</f>
        <v/>
      </c>
      <c r="E216" s="172" t="str">
        <f t="array" ref="E216">IF($A216="","",INDEX('主表 Stock_Transaction_Log'!$H:$H,$A216))</f>
        <v/>
      </c>
      <c r="F216" s="172" t="str">
        <f t="array" ref="F216">IF($A216="","",INDEX('主表 Stock_Transaction_Log'!$I:$I,$A216))</f>
        <v/>
      </c>
      <c r="G216" s="172" t="str">
        <f t="array" ref="G216">IF($A216="","",IF(INDEX('主表 Stock_Transaction_Log'!$R:$R,$A216)=0,"",INDEX('主表 Stock_Transaction_Log'!$R:$R,$A216)))</f>
        <v/>
      </c>
      <c r="H216" s="172" t="str">
        <f t="array" ref="H216">IF($A216="","",SUMIF('主表 Stock_Transaction_Log'!$T:$T,INDEX('主表 Stock_Transaction_Log'!$T:$T,$A216),'主表 Stock_Transaction_Log'!$S:$S)+SUMIF('主表 Stock_Transaction_Log'!$AB:$AB,INDEX('主表 Stock_Transaction_Log'!$T:$T,$A216),'主表 Stock_Transaction_Log'!$AC:$AC))</f>
        <v/>
      </c>
      <c r="I216" s="172" t="str">
        <f t="shared" si="1"/>
        <v/>
      </c>
      <c r="J216" s="172" t="str">
        <f t="shared" si="2"/>
        <v/>
      </c>
      <c r="K216" s="172" t="str">
        <f t="shared" si="3"/>
        <v/>
      </c>
      <c r="L216" s="172" t="str">
        <f t="array" ref="L216">IF($A216="","",INDEX('主表 Stock_Transaction_Log'!$P:$P,$A216))</f>
        <v/>
      </c>
      <c r="M216" s="57" t="str">
        <f>IF($A216="","",IF($H216&lt;=0,0,SUMIFS('主表 Stock_Transaction_Log'!$K$2:$K1000,'主表 Stock_Transaction_Log'!$C$2:$C1000,"Prepared",'主表 Stock_Transaction_Log'!$L$2:$L1000,$B216,'主表 Stock_Transaction_Log'!$F$2:$F1000,$C216,'主表 Stock_Transaction_Log'!$G$2:$G1000,$D216,'主表 Stock_Transaction_Log'!$P$2:$P1000,$L216)))</f>
        <v/>
      </c>
      <c r="N216" s="172"/>
      <c r="O216" s="172" t="str">
        <f t="shared" si="4"/>
        <v/>
      </c>
      <c r="P216" s="172" t="str">
        <f t="shared" si="5"/>
        <v/>
      </c>
      <c r="Q216" s="172" t="str">
        <f t="shared" si="9"/>
        <v/>
      </c>
      <c r="R216" s="172" t="str">
        <f t="shared" si="7"/>
        <v/>
      </c>
      <c r="S216" s="172" t="str">
        <f t="shared" si="8"/>
        <v/>
      </c>
    </row>
    <row r="217">
      <c r="A217" s="172" t="str">
        <f>IF('主表 Stock_Transaction_Log'!$T217="","",IF(COUNTIF('主表 Stock_Transaction_Log'!$T$2:$T217,'主表 Stock_Transaction_Log'!$T217)=1,ROW('主表 Stock_Transaction_Log'!$T217),""))</f>
        <v/>
      </c>
      <c r="B217" s="172" t="str">
        <f t="array" ref="B217">IF($A217="","",INDEX('主表 Stock_Transaction_Log'!$Q:$Q,$A217))</f>
        <v/>
      </c>
      <c r="C217" s="172" t="str">
        <f t="array" ref="C217">IF($A217="","",IF(INDEX('主表 Stock_Transaction_Log'!$F:$F,$A217)=0,"",INDEX('主表 Stock_Transaction_Log'!$F:$F,$A217)))</f>
        <v/>
      </c>
      <c r="D217" s="172" t="str">
        <f t="array" ref="D217">IF($A217="","",INDEX('主表 Stock_Transaction_Log'!$G:$G,$A217))</f>
        <v/>
      </c>
      <c r="E217" s="172" t="str">
        <f t="array" ref="E217">IF($A217="","",INDEX('主表 Stock_Transaction_Log'!$H:$H,$A217))</f>
        <v/>
      </c>
      <c r="F217" s="172" t="str">
        <f t="array" ref="F217">IF($A217="","",INDEX('主表 Stock_Transaction_Log'!$I:$I,$A217))</f>
        <v/>
      </c>
      <c r="G217" s="172" t="str">
        <f t="array" ref="G217">IF($A217="","",IF(INDEX('主表 Stock_Transaction_Log'!$R:$R,$A217)=0,"",INDEX('主表 Stock_Transaction_Log'!$R:$R,$A217)))</f>
        <v/>
      </c>
      <c r="H217" s="172" t="str">
        <f t="array" ref="H217">IF($A217="","",SUMIF('主表 Stock_Transaction_Log'!$T:$T,INDEX('主表 Stock_Transaction_Log'!$T:$T,$A217),'主表 Stock_Transaction_Log'!$S:$S)+SUMIF('主表 Stock_Transaction_Log'!$AB:$AB,INDEX('主表 Stock_Transaction_Log'!$T:$T,$A217),'主表 Stock_Transaction_Log'!$AC:$AC))</f>
        <v/>
      </c>
      <c r="I217" s="172" t="str">
        <f t="shared" si="1"/>
        <v/>
      </c>
      <c r="J217" s="172" t="str">
        <f t="shared" si="2"/>
        <v/>
      </c>
      <c r="K217" s="172" t="str">
        <f t="shared" si="3"/>
        <v/>
      </c>
      <c r="L217" s="172" t="str">
        <f t="array" ref="L217">IF($A217="","",INDEX('主表 Stock_Transaction_Log'!$P:$P,$A217))</f>
        <v/>
      </c>
      <c r="M217" s="57" t="str">
        <f>IF($A217="","",IF($H217&lt;=0,0,SUMIFS('主表 Stock_Transaction_Log'!$K$2:$K1000,'主表 Stock_Transaction_Log'!$C$2:$C1000,"Prepared",'主表 Stock_Transaction_Log'!$L$2:$L1000,$B217,'主表 Stock_Transaction_Log'!$F$2:$F1000,$C217,'主表 Stock_Transaction_Log'!$G$2:$G1000,$D217,'主表 Stock_Transaction_Log'!$P$2:$P1000,$L217)))</f>
        <v/>
      </c>
      <c r="N217" s="172"/>
      <c r="O217" s="172" t="str">
        <f t="shared" si="4"/>
        <v/>
      </c>
      <c r="P217" s="172" t="str">
        <f t="shared" si="5"/>
        <v/>
      </c>
      <c r="Q217" s="172" t="str">
        <f t="shared" si="9"/>
        <v/>
      </c>
      <c r="R217" s="172" t="str">
        <f t="shared" si="7"/>
        <v/>
      </c>
      <c r="S217" s="172" t="str">
        <f t="shared" si="8"/>
        <v/>
      </c>
    </row>
    <row r="218">
      <c r="A218" s="172" t="str">
        <f>IF('主表 Stock_Transaction_Log'!$T218="","",IF(COUNTIF('主表 Stock_Transaction_Log'!$T$2:$T218,'主表 Stock_Transaction_Log'!$T218)=1,ROW('主表 Stock_Transaction_Log'!$T218),""))</f>
        <v/>
      </c>
      <c r="B218" s="172" t="str">
        <f t="array" ref="B218">IF($A218="","",INDEX('主表 Stock_Transaction_Log'!$Q:$Q,$A218))</f>
        <v/>
      </c>
      <c r="C218" s="172" t="str">
        <f t="array" ref="C218">IF($A218="","",IF(INDEX('主表 Stock_Transaction_Log'!$F:$F,$A218)=0,"",INDEX('主表 Stock_Transaction_Log'!$F:$F,$A218)))</f>
        <v/>
      </c>
      <c r="D218" s="172" t="str">
        <f t="array" ref="D218">IF($A218="","",INDEX('主表 Stock_Transaction_Log'!$G:$G,$A218))</f>
        <v/>
      </c>
      <c r="E218" s="172" t="str">
        <f t="array" ref="E218">IF($A218="","",INDEX('主表 Stock_Transaction_Log'!$H:$H,$A218))</f>
        <v/>
      </c>
      <c r="F218" s="172" t="str">
        <f t="array" ref="F218">IF($A218="","",INDEX('主表 Stock_Transaction_Log'!$I:$I,$A218))</f>
        <v/>
      </c>
      <c r="G218" s="172" t="str">
        <f t="array" ref="G218">IF($A218="","",IF(INDEX('主表 Stock_Transaction_Log'!$R:$R,$A218)=0,"",INDEX('主表 Stock_Transaction_Log'!$R:$R,$A218)))</f>
        <v/>
      </c>
      <c r="H218" s="172" t="str">
        <f t="array" ref="H218">IF($A218="","",SUMIF('主表 Stock_Transaction_Log'!$T:$T,INDEX('主表 Stock_Transaction_Log'!$T:$T,$A218),'主表 Stock_Transaction_Log'!$S:$S)+SUMIF('主表 Stock_Transaction_Log'!$AB:$AB,INDEX('主表 Stock_Transaction_Log'!$T:$T,$A218),'主表 Stock_Transaction_Log'!$AC:$AC))</f>
        <v/>
      </c>
      <c r="I218" s="172" t="str">
        <f t="shared" si="1"/>
        <v/>
      </c>
      <c r="J218" s="172" t="str">
        <f t="shared" si="2"/>
        <v/>
      </c>
      <c r="K218" s="172" t="str">
        <f t="shared" si="3"/>
        <v/>
      </c>
      <c r="L218" s="172" t="str">
        <f t="array" ref="L218">IF($A218="","",INDEX('主表 Stock_Transaction_Log'!$P:$P,$A218))</f>
        <v/>
      </c>
      <c r="M218" s="57" t="str">
        <f>IF($A218="","",IF($H218&lt;=0,0,SUMIFS('主表 Stock_Transaction_Log'!$K$2:$K1000,'主表 Stock_Transaction_Log'!$C$2:$C1000,"Prepared",'主表 Stock_Transaction_Log'!$L$2:$L1000,$B218,'主表 Stock_Transaction_Log'!$F$2:$F1000,$C218,'主表 Stock_Transaction_Log'!$G$2:$G1000,$D218,'主表 Stock_Transaction_Log'!$P$2:$P1000,$L218)))</f>
        <v/>
      </c>
      <c r="N218" s="172"/>
      <c r="O218" s="172" t="str">
        <f t="shared" si="4"/>
        <v/>
      </c>
      <c r="P218" s="172" t="str">
        <f t="shared" si="5"/>
        <v/>
      </c>
      <c r="Q218" s="172" t="str">
        <f t="shared" si="9"/>
        <v/>
      </c>
      <c r="R218" s="172" t="str">
        <f t="shared" si="7"/>
        <v/>
      </c>
      <c r="S218" s="172" t="str">
        <f t="shared" si="8"/>
        <v/>
      </c>
    </row>
    <row r="219">
      <c r="A219" s="172" t="str">
        <f>IF('主表 Stock_Transaction_Log'!$T219="","",IF(COUNTIF('主表 Stock_Transaction_Log'!$T$2:$T219,'主表 Stock_Transaction_Log'!$T219)=1,ROW('主表 Stock_Transaction_Log'!$T219),""))</f>
        <v/>
      </c>
      <c r="B219" s="172" t="str">
        <f t="array" ref="B219">IF($A219="","",INDEX('主表 Stock_Transaction_Log'!$Q:$Q,$A219))</f>
        <v/>
      </c>
      <c r="C219" s="172" t="str">
        <f t="array" ref="C219">IF($A219="","",IF(INDEX('主表 Stock_Transaction_Log'!$F:$F,$A219)=0,"",INDEX('主表 Stock_Transaction_Log'!$F:$F,$A219)))</f>
        <v/>
      </c>
      <c r="D219" s="172" t="str">
        <f t="array" ref="D219">IF($A219="","",INDEX('主表 Stock_Transaction_Log'!$G:$G,$A219))</f>
        <v/>
      </c>
      <c r="E219" s="172" t="str">
        <f t="array" ref="E219">IF($A219="","",INDEX('主表 Stock_Transaction_Log'!$H:$H,$A219))</f>
        <v/>
      </c>
      <c r="F219" s="172" t="str">
        <f t="array" ref="F219">IF($A219="","",INDEX('主表 Stock_Transaction_Log'!$I:$I,$A219))</f>
        <v/>
      </c>
      <c r="G219" s="172" t="str">
        <f t="array" ref="G219">IF($A219="","",IF(INDEX('主表 Stock_Transaction_Log'!$R:$R,$A219)=0,"",INDEX('主表 Stock_Transaction_Log'!$R:$R,$A219)))</f>
        <v/>
      </c>
      <c r="H219" s="172" t="str">
        <f t="array" ref="H219">IF($A219="","",SUMIF('主表 Stock_Transaction_Log'!$T:$T,INDEX('主表 Stock_Transaction_Log'!$T:$T,$A219),'主表 Stock_Transaction_Log'!$S:$S)+SUMIF('主表 Stock_Transaction_Log'!$AB:$AB,INDEX('主表 Stock_Transaction_Log'!$T:$T,$A219),'主表 Stock_Transaction_Log'!$AC:$AC))</f>
        <v/>
      </c>
      <c r="I219" s="172" t="str">
        <f t="shared" si="1"/>
        <v/>
      </c>
      <c r="J219" s="172" t="str">
        <f t="shared" si="2"/>
        <v/>
      </c>
      <c r="K219" s="172" t="str">
        <f t="shared" si="3"/>
        <v/>
      </c>
      <c r="L219" s="172" t="str">
        <f t="array" ref="L219">IF($A219="","",INDEX('主表 Stock_Transaction_Log'!$P:$P,$A219))</f>
        <v/>
      </c>
      <c r="M219" s="57" t="str">
        <f>IF($A219="","",IF($H219&lt;=0,0,SUMIFS('主表 Stock_Transaction_Log'!$K$2:$K1000,'主表 Stock_Transaction_Log'!$C$2:$C1000,"Prepared",'主表 Stock_Transaction_Log'!$L$2:$L1000,$B219,'主表 Stock_Transaction_Log'!$F$2:$F1000,$C219,'主表 Stock_Transaction_Log'!$G$2:$G1000,$D219,'主表 Stock_Transaction_Log'!$P$2:$P1000,$L219)))</f>
        <v/>
      </c>
      <c r="N219" s="172"/>
      <c r="O219" s="172" t="str">
        <f t="shared" si="4"/>
        <v/>
      </c>
      <c r="P219" s="172" t="str">
        <f t="shared" si="5"/>
        <v/>
      </c>
      <c r="Q219" s="172" t="str">
        <f t="shared" si="9"/>
        <v/>
      </c>
      <c r="R219" s="172" t="str">
        <f t="shared" si="7"/>
        <v/>
      </c>
      <c r="S219" s="172" t="str">
        <f t="shared" si="8"/>
        <v/>
      </c>
    </row>
    <row r="220">
      <c r="A220" s="172" t="str">
        <f>IF('主表 Stock_Transaction_Log'!$T220="","",IF(COUNTIF('主表 Stock_Transaction_Log'!$T$2:$T220,'主表 Stock_Transaction_Log'!$T220)=1,ROW('主表 Stock_Transaction_Log'!$T220),""))</f>
        <v/>
      </c>
      <c r="B220" s="172" t="str">
        <f t="array" ref="B220">IF($A220="","",INDEX('主表 Stock_Transaction_Log'!$Q:$Q,$A220))</f>
        <v/>
      </c>
      <c r="C220" s="172" t="str">
        <f t="array" ref="C220">IF($A220="","",IF(INDEX('主表 Stock_Transaction_Log'!$F:$F,$A220)=0,"",INDEX('主表 Stock_Transaction_Log'!$F:$F,$A220)))</f>
        <v/>
      </c>
      <c r="D220" s="172" t="str">
        <f t="array" ref="D220">IF($A220="","",INDEX('主表 Stock_Transaction_Log'!$G:$G,$A220))</f>
        <v/>
      </c>
      <c r="E220" s="172" t="str">
        <f t="array" ref="E220">IF($A220="","",INDEX('主表 Stock_Transaction_Log'!$H:$H,$A220))</f>
        <v/>
      </c>
      <c r="F220" s="172" t="str">
        <f t="array" ref="F220">IF($A220="","",INDEX('主表 Stock_Transaction_Log'!$I:$I,$A220))</f>
        <v/>
      </c>
      <c r="G220" s="172" t="str">
        <f t="array" ref="G220">IF($A220="","",IF(INDEX('主表 Stock_Transaction_Log'!$R:$R,$A220)=0,"",INDEX('主表 Stock_Transaction_Log'!$R:$R,$A220)))</f>
        <v/>
      </c>
      <c r="H220" s="172" t="str">
        <f t="array" ref="H220">IF($A220="","",SUMIF('主表 Stock_Transaction_Log'!$T:$T,INDEX('主表 Stock_Transaction_Log'!$T:$T,$A220),'主表 Stock_Transaction_Log'!$S:$S)+SUMIF('主表 Stock_Transaction_Log'!$AB:$AB,INDEX('主表 Stock_Transaction_Log'!$T:$T,$A220),'主表 Stock_Transaction_Log'!$AC:$AC))</f>
        <v/>
      </c>
      <c r="I220" s="172" t="str">
        <f t="shared" si="1"/>
        <v/>
      </c>
      <c r="J220" s="172" t="str">
        <f t="shared" si="2"/>
        <v/>
      </c>
      <c r="K220" s="172" t="str">
        <f t="shared" si="3"/>
        <v/>
      </c>
      <c r="L220" s="172" t="str">
        <f t="array" ref="L220">IF($A220="","",INDEX('主表 Stock_Transaction_Log'!$P:$P,$A220))</f>
        <v/>
      </c>
      <c r="M220" s="57" t="str">
        <f>IF($A220="","",IF($H220&lt;=0,0,SUMIFS('主表 Stock_Transaction_Log'!$K$2:$K1000,'主表 Stock_Transaction_Log'!$C$2:$C1000,"Prepared",'主表 Stock_Transaction_Log'!$L$2:$L1000,$B220,'主表 Stock_Transaction_Log'!$F$2:$F1000,$C220,'主表 Stock_Transaction_Log'!$G$2:$G1000,$D220,'主表 Stock_Transaction_Log'!$P$2:$P1000,$L220)))</f>
        <v/>
      </c>
      <c r="N220" s="172"/>
      <c r="O220" s="172" t="str">
        <f t="shared" si="4"/>
        <v/>
      </c>
      <c r="P220" s="172" t="str">
        <f t="shared" si="5"/>
        <v/>
      </c>
      <c r="Q220" s="172" t="str">
        <f t="shared" si="9"/>
        <v/>
      </c>
      <c r="R220" s="172" t="str">
        <f t="shared" si="7"/>
        <v/>
      </c>
      <c r="S220" s="172" t="str">
        <f t="shared" si="8"/>
        <v/>
      </c>
    </row>
    <row r="221">
      <c r="A221" s="172" t="str">
        <f>IF('主表 Stock_Transaction_Log'!$T221="","",IF(COUNTIF('主表 Stock_Transaction_Log'!$T$2:$T221,'主表 Stock_Transaction_Log'!$T221)=1,ROW('主表 Stock_Transaction_Log'!$T221),""))</f>
        <v/>
      </c>
      <c r="B221" s="172" t="str">
        <f t="array" ref="B221">IF($A221="","",INDEX('主表 Stock_Transaction_Log'!$Q:$Q,$A221))</f>
        <v/>
      </c>
      <c r="C221" s="172" t="str">
        <f t="array" ref="C221">IF($A221="","",IF(INDEX('主表 Stock_Transaction_Log'!$F:$F,$A221)=0,"",INDEX('主表 Stock_Transaction_Log'!$F:$F,$A221)))</f>
        <v/>
      </c>
      <c r="D221" s="172" t="str">
        <f t="array" ref="D221">IF($A221="","",INDEX('主表 Stock_Transaction_Log'!$G:$G,$A221))</f>
        <v/>
      </c>
      <c r="E221" s="172" t="str">
        <f t="array" ref="E221">IF($A221="","",INDEX('主表 Stock_Transaction_Log'!$H:$H,$A221))</f>
        <v/>
      </c>
      <c r="F221" s="172" t="str">
        <f t="array" ref="F221">IF($A221="","",INDEX('主表 Stock_Transaction_Log'!$I:$I,$A221))</f>
        <v/>
      </c>
      <c r="G221" s="172" t="str">
        <f t="array" ref="G221">IF($A221="","",IF(INDEX('主表 Stock_Transaction_Log'!$R:$R,$A221)=0,"",INDEX('主表 Stock_Transaction_Log'!$R:$R,$A221)))</f>
        <v/>
      </c>
      <c r="H221" s="172" t="str">
        <f t="array" ref="H221">IF($A221="","",SUMIF('主表 Stock_Transaction_Log'!$T:$T,INDEX('主表 Stock_Transaction_Log'!$T:$T,$A221),'主表 Stock_Transaction_Log'!$S:$S)+SUMIF('主表 Stock_Transaction_Log'!$AB:$AB,INDEX('主表 Stock_Transaction_Log'!$T:$T,$A221),'主表 Stock_Transaction_Log'!$AC:$AC))</f>
        <v/>
      </c>
      <c r="I221" s="172" t="str">
        <f t="shared" si="1"/>
        <v/>
      </c>
      <c r="J221" s="172" t="str">
        <f t="shared" si="2"/>
        <v/>
      </c>
      <c r="K221" s="172" t="str">
        <f t="shared" si="3"/>
        <v/>
      </c>
      <c r="L221" s="172" t="str">
        <f t="array" ref="L221">IF($A221="","",INDEX('主表 Stock_Transaction_Log'!$P:$P,$A221))</f>
        <v/>
      </c>
      <c r="M221" s="57" t="str">
        <f>IF($A221="","",IF($H221&lt;=0,0,SUMIFS('主表 Stock_Transaction_Log'!$K$2:$K1000,'主表 Stock_Transaction_Log'!$C$2:$C1000,"Prepared",'主表 Stock_Transaction_Log'!$L$2:$L1000,$B221,'主表 Stock_Transaction_Log'!$F$2:$F1000,$C221,'主表 Stock_Transaction_Log'!$G$2:$G1000,$D221,'主表 Stock_Transaction_Log'!$P$2:$P1000,$L221)))</f>
        <v/>
      </c>
      <c r="N221" s="172"/>
      <c r="O221" s="172" t="str">
        <f t="shared" si="4"/>
        <v/>
      </c>
      <c r="P221" s="172" t="str">
        <f t="shared" si="5"/>
        <v/>
      </c>
      <c r="Q221" s="172" t="str">
        <f t="shared" si="9"/>
        <v/>
      </c>
      <c r="R221" s="172" t="str">
        <f t="shared" si="7"/>
        <v/>
      </c>
      <c r="S221" s="172" t="str">
        <f t="shared" si="8"/>
        <v/>
      </c>
    </row>
    <row r="222">
      <c r="A222" s="172" t="str">
        <f>IF('主表 Stock_Transaction_Log'!$T222="","",IF(COUNTIF('主表 Stock_Transaction_Log'!$T$2:$T222,'主表 Stock_Transaction_Log'!$T222)=1,ROW('主表 Stock_Transaction_Log'!$T222),""))</f>
        <v/>
      </c>
      <c r="B222" s="172" t="str">
        <f t="array" ref="B222">IF($A222="","",INDEX('主表 Stock_Transaction_Log'!$Q:$Q,$A222))</f>
        <v/>
      </c>
      <c r="C222" s="172" t="str">
        <f t="array" ref="C222">IF($A222="","",IF(INDEX('主表 Stock_Transaction_Log'!$F:$F,$A222)=0,"",INDEX('主表 Stock_Transaction_Log'!$F:$F,$A222)))</f>
        <v/>
      </c>
      <c r="D222" s="172" t="str">
        <f t="array" ref="D222">IF($A222="","",INDEX('主表 Stock_Transaction_Log'!$G:$G,$A222))</f>
        <v/>
      </c>
      <c r="E222" s="172" t="str">
        <f t="array" ref="E222">IF($A222="","",INDEX('主表 Stock_Transaction_Log'!$H:$H,$A222))</f>
        <v/>
      </c>
      <c r="F222" s="172" t="str">
        <f t="array" ref="F222">IF($A222="","",INDEX('主表 Stock_Transaction_Log'!$I:$I,$A222))</f>
        <v/>
      </c>
      <c r="G222" s="172" t="str">
        <f t="array" ref="G222">IF($A222="","",IF(INDEX('主表 Stock_Transaction_Log'!$R:$R,$A222)=0,"",INDEX('主表 Stock_Transaction_Log'!$R:$R,$A222)))</f>
        <v/>
      </c>
      <c r="H222" s="172" t="str">
        <f t="array" ref="H222">IF($A222="","",SUMIF('主表 Stock_Transaction_Log'!$T:$T,INDEX('主表 Stock_Transaction_Log'!$T:$T,$A222),'主表 Stock_Transaction_Log'!$S:$S)+SUMIF('主表 Stock_Transaction_Log'!$AB:$AB,INDEX('主表 Stock_Transaction_Log'!$T:$T,$A222),'主表 Stock_Transaction_Log'!$AC:$AC))</f>
        <v/>
      </c>
      <c r="I222" s="172" t="str">
        <f t="shared" si="1"/>
        <v/>
      </c>
      <c r="J222" s="172" t="str">
        <f t="shared" si="2"/>
        <v/>
      </c>
      <c r="K222" s="172" t="str">
        <f t="shared" si="3"/>
        <v/>
      </c>
      <c r="L222" s="172" t="str">
        <f t="array" ref="L222">IF($A222="","",INDEX('主表 Stock_Transaction_Log'!$P:$P,$A222))</f>
        <v/>
      </c>
      <c r="M222" s="57" t="str">
        <f>IF($A222="","",IF($H222&lt;=0,0,SUMIFS('主表 Stock_Transaction_Log'!$K$2:$K1000,'主表 Stock_Transaction_Log'!$C$2:$C1000,"Prepared",'主表 Stock_Transaction_Log'!$L$2:$L1000,$B222,'主表 Stock_Transaction_Log'!$F$2:$F1000,$C222,'主表 Stock_Transaction_Log'!$G$2:$G1000,$D222,'主表 Stock_Transaction_Log'!$P$2:$P1000,$L222)))</f>
        <v/>
      </c>
      <c r="N222" s="172"/>
      <c r="O222" s="172" t="str">
        <f t="shared" si="4"/>
        <v/>
      </c>
      <c r="P222" s="172" t="str">
        <f t="shared" si="5"/>
        <v/>
      </c>
      <c r="Q222" s="172" t="str">
        <f t="shared" si="9"/>
        <v/>
      </c>
      <c r="R222" s="172" t="str">
        <f t="shared" si="7"/>
        <v/>
      </c>
      <c r="S222" s="172" t="str">
        <f t="shared" si="8"/>
        <v/>
      </c>
    </row>
    <row r="223">
      <c r="A223" s="172" t="str">
        <f>IF('主表 Stock_Transaction_Log'!$T223="","",IF(COUNTIF('主表 Stock_Transaction_Log'!$T$2:$T223,'主表 Stock_Transaction_Log'!$T223)=1,ROW('主表 Stock_Transaction_Log'!$T223),""))</f>
        <v/>
      </c>
      <c r="B223" s="172" t="str">
        <f t="array" ref="B223">IF($A223="","",INDEX('主表 Stock_Transaction_Log'!$Q:$Q,$A223))</f>
        <v/>
      </c>
      <c r="C223" s="172" t="str">
        <f t="array" ref="C223">IF($A223="","",IF(INDEX('主表 Stock_Transaction_Log'!$F:$F,$A223)=0,"",INDEX('主表 Stock_Transaction_Log'!$F:$F,$A223)))</f>
        <v/>
      </c>
      <c r="D223" s="172" t="str">
        <f t="array" ref="D223">IF($A223="","",INDEX('主表 Stock_Transaction_Log'!$G:$G,$A223))</f>
        <v/>
      </c>
      <c r="E223" s="172" t="str">
        <f t="array" ref="E223">IF($A223="","",INDEX('主表 Stock_Transaction_Log'!$H:$H,$A223))</f>
        <v/>
      </c>
      <c r="F223" s="172" t="str">
        <f t="array" ref="F223">IF($A223="","",INDEX('主表 Stock_Transaction_Log'!$I:$I,$A223))</f>
        <v/>
      </c>
      <c r="G223" s="172" t="str">
        <f t="array" ref="G223">IF($A223="","",IF(INDEX('主表 Stock_Transaction_Log'!$R:$R,$A223)=0,"",INDEX('主表 Stock_Transaction_Log'!$R:$R,$A223)))</f>
        <v/>
      </c>
      <c r="H223" s="172" t="str">
        <f t="array" ref="H223">IF($A223="","",SUMIF('主表 Stock_Transaction_Log'!$T:$T,INDEX('主表 Stock_Transaction_Log'!$T:$T,$A223),'主表 Stock_Transaction_Log'!$S:$S)+SUMIF('主表 Stock_Transaction_Log'!$AB:$AB,INDEX('主表 Stock_Transaction_Log'!$T:$T,$A223),'主表 Stock_Transaction_Log'!$AC:$AC))</f>
        <v/>
      </c>
      <c r="I223" s="172" t="str">
        <f t="shared" si="1"/>
        <v/>
      </c>
      <c r="J223" s="172" t="str">
        <f t="shared" si="2"/>
        <v/>
      </c>
      <c r="K223" s="172" t="str">
        <f t="shared" si="3"/>
        <v/>
      </c>
      <c r="L223" s="172" t="str">
        <f t="array" ref="L223">IF($A223="","",INDEX('主表 Stock_Transaction_Log'!$P:$P,$A223))</f>
        <v/>
      </c>
      <c r="M223" s="57" t="str">
        <f>IF($A223="","",IF($H223&lt;=0,0,SUMIFS('主表 Stock_Transaction_Log'!$K$2:$K1000,'主表 Stock_Transaction_Log'!$C$2:$C1000,"Prepared",'主表 Stock_Transaction_Log'!$L$2:$L1000,$B223,'主表 Stock_Transaction_Log'!$F$2:$F1000,$C223,'主表 Stock_Transaction_Log'!$G$2:$G1000,$D223,'主表 Stock_Transaction_Log'!$P$2:$P1000,$L223)))</f>
        <v/>
      </c>
      <c r="N223" s="172"/>
      <c r="O223" s="172" t="str">
        <f t="shared" si="4"/>
        <v/>
      </c>
      <c r="P223" s="172" t="str">
        <f t="shared" si="5"/>
        <v/>
      </c>
      <c r="Q223" s="172" t="str">
        <f t="shared" si="9"/>
        <v/>
      </c>
      <c r="R223" s="172" t="str">
        <f t="shared" si="7"/>
        <v/>
      </c>
      <c r="S223" s="172" t="str">
        <f t="shared" si="8"/>
        <v/>
      </c>
    </row>
    <row r="224">
      <c r="A224" s="172" t="str">
        <f>IF('主表 Stock_Transaction_Log'!$T224="","",IF(COUNTIF('主表 Stock_Transaction_Log'!$T$2:$T224,'主表 Stock_Transaction_Log'!$T224)=1,ROW('主表 Stock_Transaction_Log'!$T224),""))</f>
        <v/>
      </c>
      <c r="B224" s="172" t="str">
        <f t="array" ref="B224">IF($A224="","",INDEX('主表 Stock_Transaction_Log'!$Q:$Q,$A224))</f>
        <v/>
      </c>
      <c r="C224" s="172" t="str">
        <f t="array" ref="C224">IF($A224="","",IF(INDEX('主表 Stock_Transaction_Log'!$F:$F,$A224)=0,"",INDEX('主表 Stock_Transaction_Log'!$F:$F,$A224)))</f>
        <v/>
      </c>
      <c r="D224" s="172" t="str">
        <f t="array" ref="D224">IF($A224="","",INDEX('主表 Stock_Transaction_Log'!$G:$G,$A224))</f>
        <v/>
      </c>
      <c r="E224" s="172" t="str">
        <f t="array" ref="E224">IF($A224="","",INDEX('主表 Stock_Transaction_Log'!$H:$H,$A224))</f>
        <v/>
      </c>
      <c r="F224" s="172" t="str">
        <f t="array" ref="F224">IF($A224="","",INDEX('主表 Stock_Transaction_Log'!$I:$I,$A224))</f>
        <v/>
      </c>
      <c r="G224" s="172" t="str">
        <f t="array" ref="G224">IF($A224="","",IF(INDEX('主表 Stock_Transaction_Log'!$R:$R,$A224)=0,"",INDEX('主表 Stock_Transaction_Log'!$R:$R,$A224)))</f>
        <v/>
      </c>
      <c r="H224" s="172" t="str">
        <f t="array" ref="H224">IF($A224="","",SUMIF('主表 Stock_Transaction_Log'!$T:$T,INDEX('主表 Stock_Transaction_Log'!$T:$T,$A224),'主表 Stock_Transaction_Log'!$S:$S)+SUMIF('主表 Stock_Transaction_Log'!$AB:$AB,INDEX('主表 Stock_Transaction_Log'!$T:$T,$A224),'主表 Stock_Transaction_Log'!$AC:$AC))</f>
        <v/>
      </c>
      <c r="I224" s="172" t="str">
        <f t="shared" si="1"/>
        <v/>
      </c>
      <c r="J224" s="172" t="str">
        <f t="shared" si="2"/>
        <v/>
      </c>
      <c r="K224" s="172" t="str">
        <f t="shared" si="3"/>
        <v/>
      </c>
      <c r="L224" s="172" t="str">
        <f t="array" ref="L224">IF($A224="","",INDEX('主表 Stock_Transaction_Log'!$P:$P,$A224))</f>
        <v/>
      </c>
      <c r="M224" s="57" t="str">
        <f>IF($A224="","",IF($H224&lt;=0,0,SUMIFS('主表 Stock_Transaction_Log'!$K$2:$K1000,'主表 Stock_Transaction_Log'!$C$2:$C1000,"Prepared",'主表 Stock_Transaction_Log'!$L$2:$L1000,$B224,'主表 Stock_Transaction_Log'!$F$2:$F1000,$C224,'主表 Stock_Transaction_Log'!$G$2:$G1000,$D224,'主表 Stock_Transaction_Log'!$P$2:$P1000,$L224)))</f>
        <v/>
      </c>
      <c r="N224" s="172"/>
      <c r="O224" s="172" t="str">
        <f t="shared" si="4"/>
        <v/>
      </c>
      <c r="P224" s="172" t="str">
        <f t="shared" si="5"/>
        <v/>
      </c>
      <c r="Q224" s="172" t="str">
        <f t="shared" si="9"/>
        <v/>
      </c>
      <c r="R224" s="172" t="str">
        <f t="shared" si="7"/>
        <v/>
      </c>
      <c r="S224" s="172" t="str">
        <f t="shared" si="8"/>
        <v/>
      </c>
    </row>
    <row r="225">
      <c r="A225" s="172" t="str">
        <f>IF('主表 Stock_Transaction_Log'!$T225="","",IF(COUNTIF('主表 Stock_Transaction_Log'!$T$2:$T225,'主表 Stock_Transaction_Log'!$T225)=1,ROW('主表 Stock_Transaction_Log'!$T225),""))</f>
        <v/>
      </c>
      <c r="B225" s="172" t="str">
        <f t="array" ref="B225">IF($A225="","",INDEX('主表 Stock_Transaction_Log'!$Q:$Q,$A225))</f>
        <v/>
      </c>
      <c r="C225" s="172" t="str">
        <f t="array" ref="C225">IF($A225="","",IF(INDEX('主表 Stock_Transaction_Log'!$F:$F,$A225)=0,"",INDEX('主表 Stock_Transaction_Log'!$F:$F,$A225)))</f>
        <v/>
      </c>
      <c r="D225" s="172" t="str">
        <f t="array" ref="D225">IF($A225="","",INDEX('主表 Stock_Transaction_Log'!$G:$G,$A225))</f>
        <v/>
      </c>
      <c r="E225" s="172" t="str">
        <f t="array" ref="E225">IF($A225="","",INDEX('主表 Stock_Transaction_Log'!$H:$H,$A225))</f>
        <v/>
      </c>
      <c r="F225" s="172" t="str">
        <f t="array" ref="F225">IF($A225="","",INDEX('主表 Stock_Transaction_Log'!$I:$I,$A225))</f>
        <v/>
      </c>
      <c r="G225" s="172" t="str">
        <f t="array" ref="G225">IF($A225="","",IF(INDEX('主表 Stock_Transaction_Log'!$R:$R,$A225)=0,"",INDEX('主表 Stock_Transaction_Log'!$R:$R,$A225)))</f>
        <v/>
      </c>
      <c r="H225" s="172" t="str">
        <f t="array" ref="H225">IF($A225="","",SUMIF('主表 Stock_Transaction_Log'!$T:$T,INDEX('主表 Stock_Transaction_Log'!$T:$T,$A225),'主表 Stock_Transaction_Log'!$S:$S)+SUMIF('主表 Stock_Transaction_Log'!$AB:$AB,INDEX('主表 Stock_Transaction_Log'!$T:$T,$A225),'主表 Stock_Transaction_Log'!$AC:$AC))</f>
        <v/>
      </c>
      <c r="I225" s="172" t="str">
        <f t="shared" si="1"/>
        <v/>
      </c>
      <c r="J225" s="172" t="str">
        <f t="shared" si="2"/>
        <v/>
      </c>
      <c r="K225" s="172" t="str">
        <f t="shared" si="3"/>
        <v/>
      </c>
      <c r="L225" s="172" t="str">
        <f t="array" ref="L225">IF($A225="","",INDEX('主表 Stock_Transaction_Log'!$P:$P,$A225))</f>
        <v/>
      </c>
      <c r="M225" s="57" t="str">
        <f>IF($A225="","",IF($H225&lt;=0,0,SUMIFS('主表 Stock_Transaction_Log'!$K$2:$K1000,'主表 Stock_Transaction_Log'!$C$2:$C1000,"Prepared",'主表 Stock_Transaction_Log'!$L$2:$L1000,$B225,'主表 Stock_Transaction_Log'!$F$2:$F1000,$C225,'主表 Stock_Transaction_Log'!$G$2:$G1000,$D225,'主表 Stock_Transaction_Log'!$P$2:$P1000,$L225)))</f>
        <v/>
      </c>
      <c r="N225" s="172"/>
      <c r="O225" s="172" t="str">
        <f t="shared" si="4"/>
        <v/>
      </c>
      <c r="P225" s="172" t="str">
        <f t="shared" si="5"/>
        <v/>
      </c>
      <c r="Q225" s="172" t="str">
        <f t="shared" si="9"/>
        <v/>
      </c>
      <c r="R225" s="172" t="str">
        <f t="shared" si="7"/>
        <v/>
      </c>
      <c r="S225" s="172" t="str">
        <f t="shared" si="8"/>
        <v/>
      </c>
    </row>
    <row r="226">
      <c r="A226" s="172" t="str">
        <f>IF('主表 Stock_Transaction_Log'!$T226="","",IF(COUNTIF('主表 Stock_Transaction_Log'!$T$2:$T226,'主表 Stock_Transaction_Log'!$T226)=1,ROW('主表 Stock_Transaction_Log'!$T226),""))</f>
        <v/>
      </c>
      <c r="B226" s="172" t="str">
        <f t="array" ref="B226">IF($A226="","",INDEX('主表 Stock_Transaction_Log'!$Q:$Q,$A226))</f>
        <v/>
      </c>
      <c r="C226" s="172" t="str">
        <f t="array" ref="C226">IF($A226="","",IF(INDEX('主表 Stock_Transaction_Log'!$F:$F,$A226)=0,"",INDEX('主表 Stock_Transaction_Log'!$F:$F,$A226)))</f>
        <v/>
      </c>
      <c r="D226" s="172" t="str">
        <f t="array" ref="D226">IF($A226="","",INDEX('主表 Stock_Transaction_Log'!$G:$G,$A226))</f>
        <v/>
      </c>
      <c r="E226" s="172" t="str">
        <f t="array" ref="E226">IF($A226="","",INDEX('主表 Stock_Transaction_Log'!$H:$H,$A226))</f>
        <v/>
      </c>
      <c r="F226" s="172" t="str">
        <f t="array" ref="F226">IF($A226="","",INDEX('主表 Stock_Transaction_Log'!$I:$I,$A226))</f>
        <v/>
      </c>
      <c r="G226" s="172" t="str">
        <f t="array" ref="G226">IF($A226="","",IF(INDEX('主表 Stock_Transaction_Log'!$R:$R,$A226)=0,"",INDEX('主表 Stock_Transaction_Log'!$R:$R,$A226)))</f>
        <v/>
      </c>
      <c r="H226" s="172" t="str">
        <f t="array" ref="H226">IF($A226="","",SUMIF('主表 Stock_Transaction_Log'!$T:$T,INDEX('主表 Stock_Transaction_Log'!$T:$T,$A226),'主表 Stock_Transaction_Log'!$S:$S)+SUMIF('主表 Stock_Transaction_Log'!$AB:$AB,INDEX('主表 Stock_Transaction_Log'!$T:$T,$A226),'主表 Stock_Transaction_Log'!$AC:$AC))</f>
        <v/>
      </c>
      <c r="I226" s="172" t="str">
        <f t="shared" si="1"/>
        <v/>
      </c>
      <c r="J226" s="172" t="str">
        <f t="shared" si="2"/>
        <v/>
      </c>
      <c r="K226" s="172" t="str">
        <f t="shared" si="3"/>
        <v/>
      </c>
      <c r="L226" s="172" t="str">
        <f t="array" ref="L226">IF($A226="","",INDEX('主表 Stock_Transaction_Log'!$P:$P,$A226))</f>
        <v/>
      </c>
      <c r="M226" s="57" t="str">
        <f>IF($A226="","",IF($H226&lt;=0,0,SUMIFS('主表 Stock_Transaction_Log'!$K$2:$K1000,'主表 Stock_Transaction_Log'!$C$2:$C1000,"Prepared",'主表 Stock_Transaction_Log'!$L$2:$L1000,$B226,'主表 Stock_Transaction_Log'!$F$2:$F1000,$C226,'主表 Stock_Transaction_Log'!$G$2:$G1000,$D226,'主表 Stock_Transaction_Log'!$P$2:$P1000,$L226)))</f>
        <v/>
      </c>
      <c r="N226" s="172"/>
      <c r="O226" s="172" t="str">
        <f t="shared" si="4"/>
        <v/>
      </c>
      <c r="P226" s="172" t="str">
        <f t="shared" si="5"/>
        <v/>
      </c>
      <c r="Q226" s="172" t="str">
        <f t="shared" si="9"/>
        <v/>
      </c>
      <c r="R226" s="172" t="str">
        <f t="shared" si="7"/>
        <v/>
      </c>
      <c r="S226" s="172" t="str">
        <f t="shared" si="8"/>
        <v/>
      </c>
    </row>
    <row r="227">
      <c r="A227" s="172" t="str">
        <f>IF('主表 Stock_Transaction_Log'!$T227="","",IF(COUNTIF('主表 Stock_Transaction_Log'!$T$2:$T227,'主表 Stock_Transaction_Log'!$T227)=1,ROW('主表 Stock_Transaction_Log'!$T227),""))</f>
        <v/>
      </c>
      <c r="B227" s="172" t="str">
        <f t="array" ref="B227">IF($A227="","",INDEX('主表 Stock_Transaction_Log'!$Q:$Q,$A227))</f>
        <v/>
      </c>
      <c r="C227" s="172" t="str">
        <f t="array" ref="C227">IF($A227="","",IF(INDEX('主表 Stock_Transaction_Log'!$F:$F,$A227)=0,"",INDEX('主表 Stock_Transaction_Log'!$F:$F,$A227)))</f>
        <v/>
      </c>
      <c r="D227" s="172" t="str">
        <f t="array" ref="D227">IF($A227="","",INDEX('主表 Stock_Transaction_Log'!$G:$G,$A227))</f>
        <v/>
      </c>
      <c r="E227" s="172" t="str">
        <f t="array" ref="E227">IF($A227="","",INDEX('主表 Stock_Transaction_Log'!$H:$H,$A227))</f>
        <v/>
      </c>
      <c r="F227" s="172" t="str">
        <f t="array" ref="F227">IF($A227="","",INDEX('主表 Stock_Transaction_Log'!$I:$I,$A227))</f>
        <v/>
      </c>
      <c r="G227" s="172" t="str">
        <f t="array" ref="G227">IF($A227="","",IF(INDEX('主表 Stock_Transaction_Log'!$R:$R,$A227)=0,"",INDEX('主表 Stock_Transaction_Log'!$R:$R,$A227)))</f>
        <v/>
      </c>
      <c r="H227" s="172" t="str">
        <f t="array" ref="H227">IF($A227="","",SUMIF('主表 Stock_Transaction_Log'!$T:$T,INDEX('主表 Stock_Transaction_Log'!$T:$T,$A227),'主表 Stock_Transaction_Log'!$S:$S)+SUMIF('主表 Stock_Transaction_Log'!$AB:$AB,INDEX('主表 Stock_Transaction_Log'!$T:$T,$A227),'主表 Stock_Transaction_Log'!$AC:$AC))</f>
        <v/>
      </c>
      <c r="I227" s="172" t="str">
        <f t="shared" si="1"/>
        <v/>
      </c>
      <c r="J227" s="172" t="str">
        <f t="shared" si="2"/>
        <v/>
      </c>
      <c r="K227" s="172" t="str">
        <f t="shared" si="3"/>
        <v/>
      </c>
      <c r="L227" s="172" t="str">
        <f t="array" ref="L227">IF($A227="","",INDEX('主表 Stock_Transaction_Log'!$P:$P,$A227))</f>
        <v/>
      </c>
      <c r="M227" s="57" t="str">
        <f>IF($A227="","",IF($H227&lt;=0,0,SUMIFS('主表 Stock_Transaction_Log'!$K$2:$K1000,'主表 Stock_Transaction_Log'!$C$2:$C1000,"Prepared",'主表 Stock_Transaction_Log'!$L$2:$L1000,$B227,'主表 Stock_Transaction_Log'!$F$2:$F1000,$C227,'主表 Stock_Transaction_Log'!$G$2:$G1000,$D227,'主表 Stock_Transaction_Log'!$P$2:$P1000,$L227)))</f>
        <v/>
      </c>
      <c r="N227" s="172"/>
      <c r="O227" s="172" t="str">
        <f t="shared" si="4"/>
        <v/>
      </c>
      <c r="P227" s="172" t="str">
        <f t="shared" si="5"/>
        <v/>
      </c>
      <c r="Q227" s="172" t="str">
        <f t="shared" si="9"/>
        <v/>
      </c>
      <c r="R227" s="172" t="str">
        <f t="shared" si="7"/>
        <v/>
      </c>
      <c r="S227" s="172" t="str">
        <f t="shared" si="8"/>
        <v/>
      </c>
    </row>
    <row r="228">
      <c r="A228" s="172" t="str">
        <f>IF('主表 Stock_Transaction_Log'!$T228="","",IF(COUNTIF('主表 Stock_Transaction_Log'!$T$2:$T228,'主表 Stock_Transaction_Log'!$T228)=1,ROW('主表 Stock_Transaction_Log'!$T228),""))</f>
        <v/>
      </c>
      <c r="B228" s="172" t="str">
        <f t="array" ref="B228">IF($A228="","",INDEX('主表 Stock_Transaction_Log'!$Q:$Q,$A228))</f>
        <v/>
      </c>
      <c r="C228" s="172" t="str">
        <f t="array" ref="C228">IF($A228="","",IF(INDEX('主表 Stock_Transaction_Log'!$F:$F,$A228)=0,"",INDEX('主表 Stock_Transaction_Log'!$F:$F,$A228)))</f>
        <v/>
      </c>
      <c r="D228" s="172" t="str">
        <f t="array" ref="D228">IF($A228="","",INDEX('主表 Stock_Transaction_Log'!$G:$G,$A228))</f>
        <v/>
      </c>
      <c r="E228" s="172" t="str">
        <f t="array" ref="E228">IF($A228="","",INDEX('主表 Stock_Transaction_Log'!$H:$H,$A228))</f>
        <v/>
      </c>
      <c r="F228" s="172" t="str">
        <f t="array" ref="F228">IF($A228="","",INDEX('主表 Stock_Transaction_Log'!$I:$I,$A228))</f>
        <v/>
      </c>
      <c r="G228" s="172" t="str">
        <f t="array" ref="G228">IF($A228="","",IF(INDEX('主表 Stock_Transaction_Log'!$R:$R,$A228)=0,"",INDEX('主表 Stock_Transaction_Log'!$R:$R,$A228)))</f>
        <v/>
      </c>
      <c r="H228" s="172" t="str">
        <f t="array" ref="H228">IF($A228="","",SUMIF('主表 Stock_Transaction_Log'!$T:$T,INDEX('主表 Stock_Transaction_Log'!$T:$T,$A228),'主表 Stock_Transaction_Log'!$S:$S)+SUMIF('主表 Stock_Transaction_Log'!$AB:$AB,INDEX('主表 Stock_Transaction_Log'!$T:$T,$A228),'主表 Stock_Transaction_Log'!$AC:$AC))</f>
        <v/>
      </c>
      <c r="I228" s="172" t="str">
        <f t="shared" si="1"/>
        <v/>
      </c>
      <c r="J228" s="172" t="str">
        <f t="shared" si="2"/>
        <v/>
      </c>
      <c r="K228" s="172" t="str">
        <f t="shared" si="3"/>
        <v/>
      </c>
      <c r="L228" s="172" t="str">
        <f t="array" ref="L228">IF($A228="","",INDEX('主表 Stock_Transaction_Log'!$P:$P,$A228))</f>
        <v/>
      </c>
      <c r="M228" s="57" t="str">
        <f>IF($A228="","",IF($H228&lt;=0,0,SUMIFS('主表 Stock_Transaction_Log'!$K$2:$K1000,'主表 Stock_Transaction_Log'!$C$2:$C1000,"Prepared",'主表 Stock_Transaction_Log'!$L$2:$L1000,$B228,'主表 Stock_Transaction_Log'!$F$2:$F1000,$C228,'主表 Stock_Transaction_Log'!$G$2:$G1000,$D228,'主表 Stock_Transaction_Log'!$P$2:$P1000,$L228)))</f>
        <v/>
      </c>
      <c r="N228" s="172"/>
      <c r="O228" s="172" t="str">
        <f t="shared" si="4"/>
        <v/>
      </c>
      <c r="P228" s="172" t="str">
        <f t="shared" si="5"/>
        <v/>
      </c>
      <c r="Q228" s="172" t="str">
        <f t="shared" si="9"/>
        <v/>
      </c>
      <c r="R228" s="172" t="str">
        <f t="shared" si="7"/>
        <v/>
      </c>
      <c r="S228" s="172" t="str">
        <f t="shared" si="8"/>
        <v/>
      </c>
    </row>
    <row r="229">
      <c r="A229" s="172" t="str">
        <f>IF('主表 Stock_Transaction_Log'!$T229="","",IF(COUNTIF('主表 Stock_Transaction_Log'!$T$2:$T229,'主表 Stock_Transaction_Log'!$T229)=1,ROW('主表 Stock_Transaction_Log'!$T229),""))</f>
        <v/>
      </c>
      <c r="B229" s="172" t="str">
        <f t="array" ref="B229">IF($A229="","",INDEX('主表 Stock_Transaction_Log'!$Q:$Q,$A229))</f>
        <v/>
      </c>
      <c r="C229" s="172" t="str">
        <f t="array" ref="C229">IF($A229="","",IF(INDEX('主表 Stock_Transaction_Log'!$F:$F,$A229)=0,"",INDEX('主表 Stock_Transaction_Log'!$F:$F,$A229)))</f>
        <v/>
      </c>
      <c r="D229" s="172" t="str">
        <f t="array" ref="D229">IF($A229="","",INDEX('主表 Stock_Transaction_Log'!$G:$G,$A229))</f>
        <v/>
      </c>
      <c r="E229" s="172" t="str">
        <f t="array" ref="E229">IF($A229="","",INDEX('主表 Stock_Transaction_Log'!$H:$H,$A229))</f>
        <v/>
      </c>
      <c r="F229" s="172" t="str">
        <f t="array" ref="F229">IF($A229="","",INDEX('主表 Stock_Transaction_Log'!$I:$I,$A229))</f>
        <v/>
      </c>
      <c r="G229" s="172" t="str">
        <f t="array" ref="G229">IF($A229="","",IF(INDEX('主表 Stock_Transaction_Log'!$R:$R,$A229)=0,"",INDEX('主表 Stock_Transaction_Log'!$R:$R,$A229)))</f>
        <v/>
      </c>
      <c r="H229" s="172" t="str">
        <f t="array" ref="H229">IF($A229="","",SUMIF('主表 Stock_Transaction_Log'!$T:$T,INDEX('主表 Stock_Transaction_Log'!$T:$T,$A229),'主表 Stock_Transaction_Log'!$S:$S)+SUMIF('主表 Stock_Transaction_Log'!$AB:$AB,INDEX('主表 Stock_Transaction_Log'!$T:$T,$A229),'主表 Stock_Transaction_Log'!$AC:$AC))</f>
        <v/>
      </c>
      <c r="I229" s="172" t="str">
        <f t="shared" si="1"/>
        <v/>
      </c>
      <c r="J229" s="172" t="str">
        <f t="shared" si="2"/>
        <v/>
      </c>
      <c r="K229" s="172" t="str">
        <f t="shared" si="3"/>
        <v/>
      </c>
      <c r="L229" s="172" t="str">
        <f t="array" ref="L229">IF($A229="","",INDEX('主表 Stock_Transaction_Log'!$P:$P,$A229))</f>
        <v/>
      </c>
      <c r="M229" s="57" t="str">
        <f>IF($A229="","",IF($H229&lt;=0,0,SUMIFS('主表 Stock_Transaction_Log'!$K$2:$K1000,'主表 Stock_Transaction_Log'!$C$2:$C1000,"Prepared",'主表 Stock_Transaction_Log'!$L$2:$L1000,$B229,'主表 Stock_Transaction_Log'!$F$2:$F1000,$C229,'主表 Stock_Transaction_Log'!$G$2:$G1000,$D229,'主表 Stock_Transaction_Log'!$P$2:$P1000,$L229)))</f>
        <v/>
      </c>
      <c r="N229" s="172"/>
      <c r="O229" s="172" t="str">
        <f t="shared" si="4"/>
        <v/>
      </c>
      <c r="P229" s="172" t="str">
        <f t="shared" si="5"/>
        <v/>
      </c>
      <c r="Q229" s="172" t="str">
        <f t="shared" si="9"/>
        <v/>
      </c>
      <c r="R229" s="172" t="str">
        <f t="shared" si="7"/>
        <v/>
      </c>
      <c r="S229" s="172" t="str">
        <f t="shared" si="8"/>
        <v/>
      </c>
    </row>
    <row r="230">
      <c r="A230" s="172" t="str">
        <f>IF('主表 Stock_Transaction_Log'!$T230="","",IF(COUNTIF('主表 Stock_Transaction_Log'!$T$2:$T230,'主表 Stock_Transaction_Log'!$T230)=1,ROW('主表 Stock_Transaction_Log'!$T230),""))</f>
        <v/>
      </c>
      <c r="B230" s="172" t="str">
        <f t="array" ref="B230">IF($A230="","",INDEX('主表 Stock_Transaction_Log'!$Q:$Q,$A230))</f>
        <v/>
      </c>
      <c r="C230" s="172" t="str">
        <f t="array" ref="C230">IF($A230="","",IF(INDEX('主表 Stock_Transaction_Log'!$F:$F,$A230)=0,"",INDEX('主表 Stock_Transaction_Log'!$F:$F,$A230)))</f>
        <v/>
      </c>
      <c r="D230" s="172" t="str">
        <f t="array" ref="D230">IF($A230="","",INDEX('主表 Stock_Transaction_Log'!$G:$G,$A230))</f>
        <v/>
      </c>
      <c r="E230" s="172" t="str">
        <f t="array" ref="E230">IF($A230="","",INDEX('主表 Stock_Transaction_Log'!$H:$H,$A230))</f>
        <v/>
      </c>
      <c r="F230" s="172" t="str">
        <f t="array" ref="F230">IF($A230="","",INDEX('主表 Stock_Transaction_Log'!$I:$I,$A230))</f>
        <v/>
      </c>
      <c r="G230" s="172" t="str">
        <f t="array" ref="G230">IF($A230="","",IF(INDEX('主表 Stock_Transaction_Log'!$R:$R,$A230)=0,"",INDEX('主表 Stock_Transaction_Log'!$R:$R,$A230)))</f>
        <v/>
      </c>
      <c r="H230" s="172" t="str">
        <f t="array" ref="H230">IF($A230="","",SUMIF('主表 Stock_Transaction_Log'!$T:$T,INDEX('主表 Stock_Transaction_Log'!$T:$T,$A230),'主表 Stock_Transaction_Log'!$S:$S)+SUMIF('主表 Stock_Transaction_Log'!$AB:$AB,INDEX('主表 Stock_Transaction_Log'!$T:$T,$A230),'主表 Stock_Transaction_Log'!$AC:$AC))</f>
        <v/>
      </c>
      <c r="I230" s="172" t="str">
        <f t="shared" si="1"/>
        <v/>
      </c>
      <c r="J230" s="172" t="str">
        <f t="shared" si="2"/>
        <v/>
      </c>
      <c r="K230" s="172" t="str">
        <f t="shared" si="3"/>
        <v/>
      </c>
      <c r="L230" s="172" t="str">
        <f t="array" ref="L230">IF($A230="","",INDEX('主表 Stock_Transaction_Log'!$P:$P,$A230))</f>
        <v/>
      </c>
      <c r="M230" s="57" t="str">
        <f>IF($A230="","",IF($H230&lt;=0,0,SUMIFS('主表 Stock_Transaction_Log'!$K$2:$K1000,'主表 Stock_Transaction_Log'!$C$2:$C1000,"Prepared",'主表 Stock_Transaction_Log'!$L$2:$L1000,$B230,'主表 Stock_Transaction_Log'!$F$2:$F1000,$C230,'主表 Stock_Transaction_Log'!$G$2:$G1000,$D230,'主表 Stock_Transaction_Log'!$P$2:$P1000,$L230)))</f>
        <v/>
      </c>
      <c r="N230" s="172"/>
      <c r="O230" s="172" t="str">
        <f t="shared" si="4"/>
        <v/>
      </c>
      <c r="P230" s="172" t="str">
        <f t="shared" si="5"/>
        <v/>
      </c>
      <c r="Q230" s="172" t="str">
        <f t="shared" si="9"/>
        <v/>
      </c>
      <c r="R230" s="172" t="str">
        <f t="shared" si="7"/>
        <v/>
      </c>
      <c r="S230" s="172" t="str">
        <f t="shared" si="8"/>
        <v/>
      </c>
    </row>
    <row r="231">
      <c r="A231" s="172" t="str">
        <f>IF('主表 Stock_Transaction_Log'!$T231="","",IF(COUNTIF('主表 Stock_Transaction_Log'!$T$2:$T231,'主表 Stock_Transaction_Log'!$T231)=1,ROW('主表 Stock_Transaction_Log'!$T231),""))</f>
        <v/>
      </c>
      <c r="B231" s="172" t="str">
        <f t="array" ref="B231">IF($A231="","",INDEX('主表 Stock_Transaction_Log'!$Q:$Q,$A231))</f>
        <v/>
      </c>
      <c r="C231" s="172" t="str">
        <f t="array" ref="C231">IF($A231="","",IF(INDEX('主表 Stock_Transaction_Log'!$F:$F,$A231)=0,"",INDEX('主表 Stock_Transaction_Log'!$F:$F,$A231)))</f>
        <v/>
      </c>
      <c r="D231" s="172" t="str">
        <f t="array" ref="D231">IF($A231="","",INDEX('主表 Stock_Transaction_Log'!$G:$G,$A231))</f>
        <v/>
      </c>
      <c r="E231" s="172" t="str">
        <f t="array" ref="E231">IF($A231="","",INDEX('主表 Stock_Transaction_Log'!$H:$H,$A231))</f>
        <v/>
      </c>
      <c r="F231" s="172" t="str">
        <f t="array" ref="F231">IF($A231="","",INDEX('主表 Stock_Transaction_Log'!$I:$I,$A231))</f>
        <v/>
      </c>
      <c r="G231" s="172" t="str">
        <f t="array" ref="G231">IF($A231="","",IF(INDEX('主表 Stock_Transaction_Log'!$R:$R,$A231)=0,"",INDEX('主表 Stock_Transaction_Log'!$R:$R,$A231)))</f>
        <v/>
      </c>
      <c r="H231" s="172" t="str">
        <f t="array" ref="H231">IF($A231="","",SUMIF('主表 Stock_Transaction_Log'!$T:$T,INDEX('主表 Stock_Transaction_Log'!$T:$T,$A231),'主表 Stock_Transaction_Log'!$S:$S)+SUMIF('主表 Stock_Transaction_Log'!$AB:$AB,INDEX('主表 Stock_Transaction_Log'!$T:$T,$A231),'主表 Stock_Transaction_Log'!$AC:$AC))</f>
        <v/>
      </c>
      <c r="I231" s="172" t="str">
        <f t="shared" si="1"/>
        <v/>
      </c>
      <c r="J231" s="172" t="str">
        <f t="shared" si="2"/>
        <v/>
      </c>
      <c r="K231" s="172" t="str">
        <f t="shared" si="3"/>
        <v/>
      </c>
      <c r="L231" s="172" t="str">
        <f t="array" ref="L231">IF($A231="","",INDEX('主表 Stock_Transaction_Log'!$P:$P,$A231))</f>
        <v/>
      </c>
      <c r="M231" s="57" t="str">
        <f>IF($A231="","",IF($H231&lt;=0,0,SUMIFS('主表 Stock_Transaction_Log'!$K$2:$K1000,'主表 Stock_Transaction_Log'!$C$2:$C1000,"Prepared",'主表 Stock_Transaction_Log'!$L$2:$L1000,$B231,'主表 Stock_Transaction_Log'!$F$2:$F1000,$C231,'主表 Stock_Transaction_Log'!$G$2:$G1000,$D231,'主表 Stock_Transaction_Log'!$P$2:$P1000,$L231)))</f>
        <v/>
      </c>
      <c r="N231" s="172"/>
      <c r="O231" s="172" t="str">
        <f t="shared" si="4"/>
        <v/>
      </c>
      <c r="P231" s="172" t="str">
        <f t="shared" si="5"/>
        <v/>
      </c>
      <c r="Q231" s="172" t="str">
        <f t="shared" si="9"/>
        <v/>
      </c>
      <c r="R231" s="172" t="str">
        <f t="shared" si="7"/>
        <v/>
      </c>
      <c r="S231" s="172" t="str">
        <f t="shared" si="8"/>
        <v/>
      </c>
    </row>
    <row r="232">
      <c r="A232" s="172" t="str">
        <f>IF('主表 Stock_Transaction_Log'!$T232="","",IF(COUNTIF('主表 Stock_Transaction_Log'!$T$2:$T232,'主表 Stock_Transaction_Log'!$T232)=1,ROW('主表 Stock_Transaction_Log'!$T232),""))</f>
        <v/>
      </c>
      <c r="B232" s="172" t="str">
        <f t="array" ref="B232">IF($A232="","",INDEX('主表 Stock_Transaction_Log'!$Q:$Q,$A232))</f>
        <v/>
      </c>
      <c r="C232" s="172" t="str">
        <f t="array" ref="C232">IF($A232="","",IF(INDEX('主表 Stock_Transaction_Log'!$F:$F,$A232)=0,"",INDEX('主表 Stock_Transaction_Log'!$F:$F,$A232)))</f>
        <v/>
      </c>
      <c r="D232" s="172" t="str">
        <f t="array" ref="D232">IF($A232="","",INDEX('主表 Stock_Transaction_Log'!$G:$G,$A232))</f>
        <v/>
      </c>
      <c r="E232" s="172" t="str">
        <f t="array" ref="E232">IF($A232="","",INDEX('主表 Stock_Transaction_Log'!$H:$H,$A232))</f>
        <v/>
      </c>
      <c r="F232" s="172" t="str">
        <f t="array" ref="F232">IF($A232="","",INDEX('主表 Stock_Transaction_Log'!$I:$I,$A232))</f>
        <v/>
      </c>
      <c r="G232" s="172" t="str">
        <f t="array" ref="G232">IF($A232="","",IF(INDEX('主表 Stock_Transaction_Log'!$R:$R,$A232)=0,"",INDEX('主表 Stock_Transaction_Log'!$R:$R,$A232)))</f>
        <v/>
      </c>
      <c r="H232" s="172" t="str">
        <f t="array" ref="H232">IF($A232="","",SUMIF('主表 Stock_Transaction_Log'!$T:$T,INDEX('主表 Stock_Transaction_Log'!$T:$T,$A232),'主表 Stock_Transaction_Log'!$S:$S)+SUMIF('主表 Stock_Transaction_Log'!$AB:$AB,INDEX('主表 Stock_Transaction_Log'!$T:$T,$A232),'主表 Stock_Transaction_Log'!$AC:$AC))</f>
        <v/>
      </c>
      <c r="I232" s="172" t="str">
        <f t="shared" si="1"/>
        <v/>
      </c>
      <c r="J232" s="172" t="str">
        <f t="shared" si="2"/>
        <v/>
      </c>
      <c r="K232" s="172" t="str">
        <f t="shared" si="3"/>
        <v/>
      </c>
      <c r="L232" s="172" t="str">
        <f t="array" ref="L232">IF($A232="","",INDEX('主表 Stock_Transaction_Log'!$P:$P,$A232))</f>
        <v/>
      </c>
      <c r="M232" s="57" t="str">
        <f>IF($A232="","",IF($H232&lt;=0,0,SUMIFS('主表 Stock_Transaction_Log'!$K$2:$K1000,'主表 Stock_Transaction_Log'!$C$2:$C1000,"Prepared",'主表 Stock_Transaction_Log'!$L$2:$L1000,$B232,'主表 Stock_Transaction_Log'!$F$2:$F1000,$C232,'主表 Stock_Transaction_Log'!$G$2:$G1000,$D232,'主表 Stock_Transaction_Log'!$P$2:$P1000,$L232)))</f>
        <v/>
      </c>
      <c r="N232" s="172"/>
      <c r="O232" s="172" t="str">
        <f t="shared" si="4"/>
        <v/>
      </c>
      <c r="P232" s="172" t="str">
        <f t="shared" si="5"/>
        <v/>
      </c>
      <c r="Q232" s="172" t="str">
        <f t="shared" si="9"/>
        <v/>
      </c>
      <c r="R232" s="172" t="str">
        <f t="shared" si="7"/>
        <v/>
      </c>
      <c r="S232" s="172" t="str">
        <f t="shared" si="8"/>
        <v/>
      </c>
    </row>
    <row r="233">
      <c r="A233" s="172" t="str">
        <f>IF('主表 Stock_Transaction_Log'!$T233="","",IF(COUNTIF('主表 Stock_Transaction_Log'!$T$2:$T233,'主表 Stock_Transaction_Log'!$T233)=1,ROW('主表 Stock_Transaction_Log'!$T233),""))</f>
        <v/>
      </c>
      <c r="B233" s="172" t="str">
        <f t="array" ref="B233">IF($A233="","",INDEX('主表 Stock_Transaction_Log'!$Q:$Q,$A233))</f>
        <v/>
      </c>
      <c r="C233" s="172" t="str">
        <f t="array" ref="C233">IF($A233="","",IF(INDEX('主表 Stock_Transaction_Log'!$F:$F,$A233)=0,"",INDEX('主表 Stock_Transaction_Log'!$F:$F,$A233)))</f>
        <v/>
      </c>
      <c r="D233" s="172" t="str">
        <f t="array" ref="D233">IF($A233="","",INDEX('主表 Stock_Transaction_Log'!$G:$G,$A233))</f>
        <v/>
      </c>
      <c r="E233" s="172" t="str">
        <f t="array" ref="E233">IF($A233="","",INDEX('主表 Stock_Transaction_Log'!$H:$H,$A233))</f>
        <v/>
      </c>
      <c r="F233" s="172" t="str">
        <f t="array" ref="F233">IF($A233="","",INDEX('主表 Stock_Transaction_Log'!$I:$I,$A233))</f>
        <v/>
      </c>
      <c r="G233" s="172" t="str">
        <f t="array" ref="G233">IF($A233="","",IF(INDEX('主表 Stock_Transaction_Log'!$R:$R,$A233)=0,"",INDEX('主表 Stock_Transaction_Log'!$R:$R,$A233)))</f>
        <v/>
      </c>
      <c r="H233" s="172" t="str">
        <f t="array" ref="H233">IF($A233="","",SUMIF('主表 Stock_Transaction_Log'!$T:$T,INDEX('主表 Stock_Transaction_Log'!$T:$T,$A233),'主表 Stock_Transaction_Log'!$S:$S)+SUMIF('主表 Stock_Transaction_Log'!$AB:$AB,INDEX('主表 Stock_Transaction_Log'!$T:$T,$A233),'主表 Stock_Transaction_Log'!$AC:$AC))</f>
        <v/>
      </c>
      <c r="I233" s="172" t="str">
        <f t="shared" si="1"/>
        <v/>
      </c>
      <c r="J233" s="172" t="str">
        <f t="shared" si="2"/>
        <v/>
      </c>
      <c r="K233" s="172" t="str">
        <f t="shared" si="3"/>
        <v/>
      </c>
      <c r="L233" s="172" t="str">
        <f t="array" ref="L233">IF($A233="","",INDEX('主表 Stock_Transaction_Log'!$P:$P,$A233))</f>
        <v/>
      </c>
      <c r="M233" s="57" t="str">
        <f>IF($A233="","",IF($H233&lt;=0,0,SUMIFS('主表 Stock_Transaction_Log'!$K$2:$K1000,'主表 Stock_Transaction_Log'!$C$2:$C1000,"Prepared",'主表 Stock_Transaction_Log'!$L$2:$L1000,$B233,'主表 Stock_Transaction_Log'!$F$2:$F1000,$C233,'主表 Stock_Transaction_Log'!$G$2:$G1000,$D233,'主表 Stock_Transaction_Log'!$P$2:$P1000,$L233)))</f>
        <v/>
      </c>
      <c r="N233" s="172"/>
      <c r="O233" s="172" t="str">
        <f t="shared" si="4"/>
        <v/>
      </c>
      <c r="P233" s="172" t="str">
        <f t="shared" si="5"/>
        <v/>
      </c>
      <c r="Q233" s="172" t="str">
        <f t="shared" si="9"/>
        <v/>
      </c>
      <c r="R233" s="172" t="str">
        <f t="shared" si="7"/>
        <v/>
      </c>
      <c r="S233" s="172" t="str">
        <f t="shared" si="8"/>
        <v/>
      </c>
    </row>
    <row r="234">
      <c r="A234" s="172" t="str">
        <f>IF('主表 Stock_Transaction_Log'!$T234="","",IF(COUNTIF('主表 Stock_Transaction_Log'!$T$2:$T234,'主表 Stock_Transaction_Log'!$T234)=1,ROW('主表 Stock_Transaction_Log'!$T234),""))</f>
        <v/>
      </c>
      <c r="B234" s="172" t="str">
        <f t="array" ref="B234">IF($A234="","",INDEX('主表 Stock_Transaction_Log'!$Q:$Q,$A234))</f>
        <v/>
      </c>
      <c r="C234" s="172" t="str">
        <f t="array" ref="C234">IF($A234="","",IF(INDEX('主表 Stock_Transaction_Log'!$F:$F,$A234)=0,"",INDEX('主表 Stock_Transaction_Log'!$F:$F,$A234)))</f>
        <v/>
      </c>
      <c r="D234" s="172" t="str">
        <f t="array" ref="D234">IF($A234="","",INDEX('主表 Stock_Transaction_Log'!$G:$G,$A234))</f>
        <v/>
      </c>
      <c r="E234" s="172" t="str">
        <f t="array" ref="E234">IF($A234="","",INDEX('主表 Stock_Transaction_Log'!$H:$H,$A234))</f>
        <v/>
      </c>
      <c r="F234" s="172" t="str">
        <f t="array" ref="F234">IF($A234="","",INDEX('主表 Stock_Transaction_Log'!$I:$I,$A234))</f>
        <v/>
      </c>
      <c r="G234" s="172" t="str">
        <f t="array" ref="G234">IF($A234="","",IF(INDEX('主表 Stock_Transaction_Log'!$R:$R,$A234)=0,"",INDEX('主表 Stock_Transaction_Log'!$R:$R,$A234)))</f>
        <v/>
      </c>
      <c r="H234" s="172" t="str">
        <f t="array" ref="H234">IF($A234="","",SUMIF('主表 Stock_Transaction_Log'!$T:$T,INDEX('主表 Stock_Transaction_Log'!$T:$T,$A234),'主表 Stock_Transaction_Log'!$S:$S)+SUMIF('主表 Stock_Transaction_Log'!$AB:$AB,INDEX('主表 Stock_Transaction_Log'!$T:$T,$A234),'主表 Stock_Transaction_Log'!$AC:$AC))</f>
        <v/>
      </c>
      <c r="I234" s="172" t="str">
        <f t="shared" si="1"/>
        <v/>
      </c>
      <c r="J234" s="172" t="str">
        <f t="shared" si="2"/>
        <v/>
      </c>
      <c r="K234" s="172" t="str">
        <f t="shared" si="3"/>
        <v/>
      </c>
      <c r="L234" s="172" t="str">
        <f t="array" ref="L234">IF($A234="","",INDEX('主表 Stock_Transaction_Log'!$P:$P,$A234))</f>
        <v/>
      </c>
      <c r="M234" s="57" t="str">
        <f>IF($A234="","",IF($H234&lt;=0,0,SUMIFS('主表 Stock_Transaction_Log'!$K$2:$K1000,'主表 Stock_Transaction_Log'!$C$2:$C1000,"Prepared",'主表 Stock_Transaction_Log'!$L$2:$L1000,$B234,'主表 Stock_Transaction_Log'!$F$2:$F1000,$C234,'主表 Stock_Transaction_Log'!$G$2:$G1000,$D234,'主表 Stock_Transaction_Log'!$P$2:$P1000,$L234)))</f>
        <v/>
      </c>
      <c r="N234" s="172"/>
      <c r="O234" s="172" t="str">
        <f t="shared" si="4"/>
        <v/>
      </c>
      <c r="P234" s="172" t="str">
        <f t="shared" si="5"/>
        <v/>
      </c>
      <c r="Q234" s="172" t="str">
        <f t="shared" si="9"/>
        <v/>
      </c>
      <c r="R234" s="172" t="str">
        <f t="shared" si="7"/>
        <v/>
      </c>
      <c r="S234" s="172" t="str">
        <f t="shared" si="8"/>
        <v/>
      </c>
    </row>
    <row r="235">
      <c r="A235" s="172" t="str">
        <f>IF('主表 Stock_Transaction_Log'!$T235="","",IF(COUNTIF('主表 Stock_Transaction_Log'!$T$2:$T235,'主表 Stock_Transaction_Log'!$T235)=1,ROW('主表 Stock_Transaction_Log'!$T235),""))</f>
        <v/>
      </c>
      <c r="B235" s="172" t="str">
        <f t="array" ref="B235">IF($A235="","",INDEX('主表 Stock_Transaction_Log'!$Q:$Q,$A235))</f>
        <v/>
      </c>
      <c r="C235" s="172" t="str">
        <f t="array" ref="C235">IF($A235="","",IF(INDEX('主表 Stock_Transaction_Log'!$F:$F,$A235)=0,"",INDEX('主表 Stock_Transaction_Log'!$F:$F,$A235)))</f>
        <v/>
      </c>
      <c r="D235" s="172" t="str">
        <f t="array" ref="D235">IF($A235="","",INDEX('主表 Stock_Transaction_Log'!$G:$G,$A235))</f>
        <v/>
      </c>
      <c r="E235" s="172" t="str">
        <f t="array" ref="E235">IF($A235="","",INDEX('主表 Stock_Transaction_Log'!$H:$H,$A235))</f>
        <v/>
      </c>
      <c r="F235" s="172" t="str">
        <f t="array" ref="F235">IF($A235="","",INDEX('主表 Stock_Transaction_Log'!$I:$I,$A235))</f>
        <v/>
      </c>
      <c r="G235" s="172" t="str">
        <f t="array" ref="G235">IF($A235="","",IF(INDEX('主表 Stock_Transaction_Log'!$R:$R,$A235)=0,"",INDEX('主表 Stock_Transaction_Log'!$R:$R,$A235)))</f>
        <v/>
      </c>
      <c r="H235" s="172" t="str">
        <f t="array" ref="H235">IF($A235="","",SUMIF('主表 Stock_Transaction_Log'!$T:$T,INDEX('主表 Stock_Transaction_Log'!$T:$T,$A235),'主表 Stock_Transaction_Log'!$S:$S)+SUMIF('主表 Stock_Transaction_Log'!$AB:$AB,INDEX('主表 Stock_Transaction_Log'!$T:$T,$A235),'主表 Stock_Transaction_Log'!$AC:$AC))</f>
        <v/>
      </c>
      <c r="I235" s="172" t="str">
        <f t="shared" si="1"/>
        <v/>
      </c>
      <c r="J235" s="172" t="str">
        <f t="shared" si="2"/>
        <v/>
      </c>
      <c r="K235" s="172" t="str">
        <f t="shared" si="3"/>
        <v/>
      </c>
      <c r="L235" s="172" t="str">
        <f t="array" ref="L235">IF($A235="","",INDEX('主表 Stock_Transaction_Log'!$P:$P,$A235))</f>
        <v/>
      </c>
      <c r="M235" s="57" t="str">
        <f>IF($A235="","",IF($H235&lt;=0,0,SUMIFS('主表 Stock_Transaction_Log'!$K$2:$K1000,'主表 Stock_Transaction_Log'!$C$2:$C1000,"Prepared",'主表 Stock_Transaction_Log'!$L$2:$L1000,$B235,'主表 Stock_Transaction_Log'!$F$2:$F1000,$C235,'主表 Stock_Transaction_Log'!$G$2:$G1000,$D235,'主表 Stock_Transaction_Log'!$P$2:$P1000,$L235)))</f>
        <v/>
      </c>
      <c r="N235" s="172"/>
      <c r="O235" s="172" t="str">
        <f t="shared" si="4"/>
        <v/>
      </c>
      <c r="P235" s="172" t="str">
        <f t="shared" si="5"/>
        <v/>
      </c>
      <c r="Q235" s="172" t="str">
        <f t="shared" si="9"/>
        <v/>
      </c>
      <c r="R235" s="172" t="str">
        <f t="shared" si="7"/>
        <v/>
      </c>
      <c r="S235" s="172" t="str">
        <f t="shared" si="8"/>
        <v/>
      </c>
    </row>
    <row r="236">
      <c r="A236" s="172" t="str">
        <f>IF('主表 Stock_Transaction_Log'!$T236="","",IF(COUNTIF('主表 Stock_Transaction_Log'!$T$2:$T236,'主表 Stock_Transaction_Log'!$T236)=1,ROW('主表 Stock_Transaction_Log'!$T236),""))</f>
        <v/>
      </c>
      <c r="B236" s="172" t="str">
        <f t="array" ref="B236">IF($A236="","",INDEX('主表 Stock_Transaction_Log'!$Q:$Q,$A236))</f>
        <v/>
      </c>
      <c r="C236" s="172" t="str">
        <f t="array" ref="C236">IF($A236="","",IF(INDEX('主表 Stock_Transaction_Log'!$F:$F,$A236)=0,"",INDEX('主表 Stock_Transaction_Log'!$F:$F,$A236)))</f>
        <v/>
      </c>
      <c r="D236" s="172" t="str">
        <f t="array" ref="D236">IF($A236="","",INDEX('主表 Stock_Transaction_Log'!$G:$G,$A236))</f>
        <v/>
      </c>
      <c r="E236" s="172" t="str">
        <f t="array" ref="E236">IF($A236="","",INDEX('主表 Stock_Transaction_Log'!$H:$H,$A236))</f>
        <v/>
      </c>
      <c r="F236" s="172" t="str">
        <f t="array" ref="F236">IF($A236="","",INDEX('主表 Stock_Transaction_Log'!$I:$I,$A236))</f>
        <v/>
      </c>
      <c r="G236" s="172" t="str">
        <f t="array" ref="G236">IF($A236="","",IF(INDEX('主表 Stock_Transaction_Log'!$R:$R,$A236)=0,"",INDEX('主表 Stock_Transaction_Log'!$R:$R,$A236)))</f>
        <v/>
      </c>
      <c r="H236" s="172" t="str">
        <f t="array" ref="H236">IF($A236="","",SUMIF('主表 Stock_Transaction_Log'!$T:$T,INDEX('主表 Stock_Transaction_Log'!$T:$T,$A236),'主表 Stock_Transaction_Log'!$S:$S)+SUMIF('主表 Stock_Transaction_Log'!$AB:$AB,INDEX('主表 Stock_Transaction_Log'!$T:$T,$A236),'主表 Stock_Transaction_Log'!$AC:$AC))</f>
        <v/>
      </c>
      <c r="I236" s="172" t="str">
        <f t="shared" si="1"/>
        <v/>
      </c>
      <c r="J236" s="172" t="str">
        <f t="shared" si="2"/>
        <v/>
      </c>
      <c r="K236" s="172" t="str">
        <f t="shared" si="3"/>
        <v/>
      </c>
      <c r="L236" s="172" t="str">
        <f t="array" ref="L236">IF($A236="","",INDEX('主表 Stock_Transaction_Log'!$P:$P,$A236))</f>
        <v/>
      </c>
      <c r="M236" s="57" t="str">
        <f>IF($A236="","",IF($H236&lt;=0,0,SUMIFS('主表 Stock_Transaction_Log'!$K$2:$K1000,'主表 Stock_Transaction_Log'!$C$2:$C1000,"Prepared",'主表 Stock_Transaction_Log'!$L$2:$L1000,$B236,'主表 Stock_Transaction_Log'!$F$2:$F1000,$C236,'主表 Stock_Transaction_Log'!$G$2:$G1000,$D236,'主表 Stock_Transaction_Log'!$P$2:$P1000,$L236)))</f>
        <v/>
      </c>
      <c r="N236" s="172"/>
      <c r="O236" s="172" t="str">
        <f t="shared" si="4"/>
        <v/>
      </c>
      <c r="P236" s="172" t="str">
        <f t="shared" si="5"/>
        <v/>
      </c>
      <c r="Q236" s="172" t="str">
        <f t="shared" si="9"/>
        <v/>
      </c>
      <c r="R236" s="172" t="str">
        <f t="shared" si="7"/>
        <v/>
      </c>
      <c r="S236" s="172" t="str">
        <f t="shared" si="8"/>
        <v/>
      </c>
    </row>
    <row r="237">
      <c r="A237" s="172" t="str">
        <f>IF('主表 Stock_Transaction_Log'!$T237="","",IF(COUNTIF('主表 Stock_Transaction_Log'!$T$2:$T237,'主表 Stock_Transaction_Log'!$T237)=1,ROW('主表 Stock_Transaction_Log'!$T237),""))</f>
        <v/>
      </c>
      <c r="B237" s="172" t="str">
        <f t="array" ref="B237">IF($A237="","",INDEX('主表 Stock_Transaction_Log'!$Q:$Q,$A237))</f>
        <v/>
      </c>
      <c r="C237" s="172" t="str">
        <f t="array" ref="C237">IF($A237="","",IF(INDEX('主表 Stock_Transaction_Log'!$F:$F,$A237)=0,"",INDEX('主表 Stock_Transaction_Log'!$F:$F,$A237)))</f>
        <v/>
      </c>
      <c r="D237" s="172" t="str">
        <f t="array" ref="D237">IF($A237="","",INDEX('主表 Stock_Transaction_Log'!$G:$G,$A237))</f>
        <v/>
      </c>
      <c r="E237" s="172" t="str">
        <f t="array" ref="E237">IF($A237="","",INDEX('主表 Stock_Transaction_Log'!$H:$H,$A237))</f>
        <v/>
      </c>
      <c r="F237" s="172" t="str">
        <f t="array" ref="F237">IF($A237="","",INDEX('主表 Stock_Transaction_Log'!$I:$I,$A237))</f>
        <v/>
      </c>
      <c r="G237" s="172" t="str">
        <f t="array" ref="G237">IF($A237="","",IF(INDEX('主表 Stock_Transaction_Log'!$R:$R,$A237)=0,"",INDEX('主表 Stock_Transaction_Log'!$R:$R,$A237)))</f>
        <v/>
      </c>
      <c r="H237" s="172" t="str">
        <f t="array" ref="H237">IF($A237="","",SUMIF('主表 Stock_Transaction_Log'!$T:$T,INDEX('主表 Stock_Transaction_Log'!$T:$T,$A237),'主表 Stock_Transaction_Log'!$S:$S)+SUMIF('主表 Stock_Transaction_Log'!$AB:$AB,INDEX('主表 Stock_Transaction_Log'!$T:$T,$A237),'主表 Stock_Transaction_Log'!$AC:$AC))</f>
        <v/>
      </c>
      <c r="I237" s="172" t="str">
        <f t="shared" si="1"/>
        <v/>
      </c>
      <c r="J237" s="172" t="str">
        <f t="shared" si="2"/>
        <v/>
      </c>
      <c r="K237" s="172" t="str">
        <f t="shared" si="3"/>
        <v/>
      </c>
      <c r="L237" s="172" t="str">
        <f t="array" ref="L237">IF($A237="","",INDEX('主表 Stock_Transaction_Log'!$P:$P,$A237))</f>
        <v/>
      </c>
      <c r="M237" s="57" t="str">
        <f>IF($A237="","",IF($H237&lt;=0,0,SUMIFS('主表 Stock_Transaction_Log'!$K$2:$K1000,'主表 Stock_Transaction_Log'!$C$2:$C1000,"Prepared",'主表 Stock_Transaction_Log'!$L$2:$L1000,$B237,'主表 Stock_Transaction_Log'!$F$2:$F1000,$C237,'主表 Stock_Transaction_Log'!$G$2:$G1000,$D237,'主表 Stock_Transaction_Log'!$P$2:$P1000,$L237)))</f>
        <v/>
      </c>
      <c r="N237" s="172"/>
      <c r="O237" s="172" t="str">
        <f t="shared" si="4"/>
        <v/>
      </c>
      <c r="P237" s="172" t="str">
        <f t="shared" si="5"/>
        <v/>
      </c>
      <c r="Q237" s="172" t="str">
        <f t="shared" si="9"/>
        <v/>
      </c>
      <c r="R237" s="172" t="str">
        <f t="shared" si="7"/>
        <v/>
      </c>
      <c r="S237" s="172" t="str">
        <f t="shared" si="8"/>
        <v/>
      </c>
    </row>
    <row r="238">
      <c r="A238" s="172" t="str">
        <f>IF('主表 Stock_Transaction_Log'!$T238="","",IF(COUNTIF('主表 Stock_Transaction_Log'!$T$2:$T238,'主表 Stock_Transaction_Log'!$T238)=1,ROW('主表 Stock_Transaction_Log'!$T238),""))</f>
        <v/>
      </c>
      <c r="B238" s="172" t="str">
        <f t="array" ref="B238">IF($A238="","",INDEX('主表 Stock_Transaction_Log'!$Q:$Q,$A238))</f>
        <v/>
      </c>
      <c r="C238" s="172" t="str">
        <f t="array" ref="C238">IF($A238="","",IF(INDEX('主表 Stock_Transaction_Log'!$F:$F,$A238)=0,"",INDEX('主表 Stock_Transaction_Log'!$F:$F,$A238)))</f>
        <v/>
      </c>
      <c r="D238" s="172" t="str">
        <f t="array" ref="D238">IF($A238="","",INDEX('主表 Stock_Transaction_Log'!$G:$G,$A238))</f>
        <v/>
      </c>
      <c r="E238" s="172" t="str">
        <f t="array" ref="E238">IF($A238="","",INDEX('主表 Stock_Transaction_Log'!$H:$H,$A238))</f>
        <v/>
      </c>
      <c r="F238" s="172" t="str">
        <f t="array" ref="F238">IF($A238="","",INDEX('主表 Stock_Transaction_Log'!$I:$I,$A238))</f>
        <v/>
      </c>
      <c r="G238" s="172" t="str">
        <f t="array" ref="G238">IF($A238="","",IF(INDEX('主表 Stock_Transaction_Log'!$R:$R,$A238)=0,"",INDEX('主表 Stock_Transaction_Log'!$R:$R,$A238)))</f>
        <v/>
      </c>
      <c r="H238" s="172" t="str">
        <f t="array" ref="H238">IF($A238="","",SUMIF('主表 Stock_Transaction_Log'!$T:$T,INDEX('主表 Stock_Transaction_Log'!$T:$T,$A238),'主表 Stock_Transaction_Log'!$S:$S)+SUMIF('主表 Stock_Transaction_Log'!$AB:$AB,INDEX('主表 Stock_Transaction_Log'!$T:$T,$A238),'主表 Stock_Transaction_Log'!$AC:$AC))</f>
        <v/>
      </c>
      <c r="I238" s="172" t="str">
        <f t="shared" si="1"/>
        <v/>
      </c>
      <c r="J238" s="172" t="str">
        <f t="shared" si="2"/>
        <v/>
      </c>
      <c r="K238" s="172" t="str">
        <f t="shared" si="3"/>
        <v/>
      </c>
      <c r="L238" s="172" t="str">
        <f t="array" ref="L238">IF($A238="","",INDEX('主表 Stock_Transaction_Log'!$P:$P,$A238))</f>
        <v/>
      </c>
      <c r="M238" s="57" t="str">
        <f>IF($A238="","",IF($H238&lt;=0,0,SUMIFS('主表 Stock_Transaction_Log'!$K$2:$K1000,'主表 Stock_Transaction_Log'!$C$2:$C1000,"Prepared",'主表 Stock_Transaction_Log'!$L$2:$L1000,$B238,'主表 Stock_Transaction_Log'!$F$2:$F1000,$C238,'主表 Stock_Transaction_Log'!$G$2:$G1000,$D238,'主表 Stock_Transaction_Log'!$P$2:$P1000,$L238)))</f>
        <v/>
      </c>
      <c r="N238" s="172"/>
      <c r="O238" s="172" t="str">
        <f t="shared" si="4"/>
        <v/>
      </c>
      <c r="P238" s="172" t="str">
        <f t="shared" si="5"/>
        <v/>
      </c>
      <c r="Q238" s="172" t="str">
        <f t="shared" si="9"/>
        <v/>
      </c>
      <c r="R238" s="172" t="str">
        <f t="shared" si="7"/>
        <v/>
      </c>
      <c r="S238" s="172" t="str">
        <f t="shared" si="8"/>
        <v/>
      </c>
    </row>
    <row r="239">
      <c r="A239" s="172" t="str">
        <f>IF('主表 Stock_Transaction_Log'!$T239="","",IF(COUNTIF('主表 Stock_Transaction_Log'!$T$2:$T239,'主表 Stock_Transaction_Log'!$T239)=1,ROW('主表 Stock_Transaction_Log'!$T239),""))</f>
        <v/>
      </c>
      <c r="B239" s="172" t="str">
        <f t="array" ref="B239">IF($A239="","",INDEX('主表 Stock_Transaction_Log'!$Q:$Q,$A239))</f>
        <v/>
      </c>
      <c r="C239" s="172" t="str">
        <f t="array" ref="C239">IF($A239="","",IF(INDEX('主表 Stock_Transaction_Log'!$F:$F,$A239)=0,"",INDEX('主表 Stock_Transaction_Log'!$F:$F,$A239)))</f>
        <v/>
      </c>
      <c r="D239" s="172" t="str">
        <f t="array" ref="D239">IF($A239="","",INDEX('主表 Stock_Transaction_Log'!$G:$G,$A239))</f>
        <v/>
      </c>
      <c r="E239" s="172" t="str">
        <f t="array" ref="E239">IF($A239="","",INDEX('主表 Stock_Transaction_Log'!$H:$H,$A239))</f>
        <v/>
      </c>
      <c r="F239" s="172" t="str">
        <f t="array" ref="F239">IF($A239="","",INDEX('主表 Stock_Transaction_Log'!$I:$I,$A239))</f>
        <v/>
      </c>
      <c r="G239" s="172" t="str">
        <f t="array" ref="G239">IF($A239="","",IF(INDEX('主表 Stock_Transaction_Log'!$R:$R,$A239)=0,"",INDEX('主表 Stock_Transaction_Log'!$R:$R,$A239)))</f>
        <v/>
      </c>
      <c r="H239" s="172" t="str">
        <f t="array" ref="H239">IF($A239="","",SUMIF('主表 Stock_Transaction_Log'!$T:$T,INDEX('主表 Stock_Transaction_Log'!$T:$T,$A239),'主表 Stock_Transaction_Log'!$S:$S)+SUMIF('主表 Stock_Transaction_Log'!$AB:$AB,INDEX('主表 Stock_Transaction_Log'!$T:$T,$A239),'主表 Stock_Transaction_Log'!$AC:$AC))</f>
        <v/>
      </c>
      <c r="I239" s="172" t="str">
        <f t="shared" si="1"/>
        <v/>
      </c>
      <c r="J239" s="172" t="str">
        <f t="shared" si="2"/>
        <v/>
      </c>
      <c r="K239" s="172" t="str">
        <f t="shared" si="3"/>
        <v/>
      </c>
      <c r="L239" s="172" t="str">
        <f t="array" ref="L239">IF($A239="","",INDEX('主表 Stock_Transaction_Log'!$P:$P,$A239))</f>
        <v/>
      </c>
      <c r="M239" s="57" t="str">
        <f>IF($A239="","",IF($H239&lt;=0,0,SUMIFS('主表 Stock_Transaction_Log'!$K$2:$K1000,'主表 Stock_Transaction_Log'!$C$2:$C1000,"Prepared",'主表 Stock_Transaction_Log'!$L$2:$L1000,$B239,'主表 Stock_Transaction_Log'!$F$2:$F1000,$C239,'主表 Stock_Transaction_Log'!$G$2:$G1000,$D239,'主表 Stock_Transaction_Log'!$P$2:$P1000,$L239)))</f>
        <v/>
      </c>
      <c r="N239" s="172"/>
      <c r="O239" s="172" t="str">
        <f t="shared" si="4"/>
        <v/>
      </c>
      <c r="P239" s="172" t="str">
        <f t="shared" si="5"/>
        <v/>
      </c>
      <c r="Q239" s="172" t="str">
        <f t="shared" si="9"/>
        <v/>
      </c>
      <c r="R239" s="172" t="str">
        <f t="shared" si="7"/>
        <v/>
      </c>
      <c r="S239" s="172" t="str">
        <f t="shared" si="8"/>
        <v/>
      </c>
    </row>
    <row r="240">
      <c r="A240" s="172" t="str">
        <f>IF('主表 Stock_Transaction_Log'!$T240="","",IF(COUNTIF('主表 Stock_Transaction_Log'!$T$2:$T240,'主表 Stock_Transaction_Log'!$T240)=1,ROW('主表 Stock_Transaction_Log'!$T240),""))</f>
        <v/>
      </c>
      <c r="B240" s="172" t="str">
        <f t="array" ref="B240">IF($A240="","",INDEX('主表 Stock_Transaction_Log'!$Q:$Q,$A240))</f>
        <v/>
      </c>
      <c r="C240" s="172" t="str">
        <f t="array" ref="C240">IF($A240="","",IF(INDEX('主表 Stock_Transaction_Log'!$F:$F,$A240)=0,"",INDEX('主表 Stock_Transaction_Log'!$F:$F,$A240)))</f>
        <v/>
      </c>
      <c r="D240" s="172" t="str">
        <f t="array" ref="D240">IF($A240="","",INDEX('主表 Stock_Transaction_Log'!$G:$G,$A240))</f>
        <v/>
      </c>
      <c r="E240" s="172" t="str">
        <f t="array" ref="E240">IF($A240="","",INDEX('主表 Stock_Transaction_Log'!$H:$H,$A240))</f>
        <v/>
      </c>
      <c r="F240" s="172" t="str">
        <f t="array" ref="F240">IF($A240="","",INDEX('主表 Stock_Transaction_Log'!$I:$I,$A240))</f>
        <v/>
      </c>
      <c r="G240" s="172" t="str">
        <f t="array" ref="G240">IF($A240="","",IF(INDEX('主表 Stock_Transaction_Log'!$R:$R,$A240)=0,"",INDEX('主表 Stock_Transaction_Log'!$R:$R,$A240)))</f>
        <v/>
      </c>
      <c r="H240" s="172" t="str">
        <f t="array" ref="H240">IF($A240="","",SUMIF('主表 Stock_Transaction_Log'!$T:$T,INDEX('主表 Stock_Transaction_Log'!$T:$T,$A240),'主表 Stock_Transaction_Log'!$S:$S)+SUMIF('主表 Stock_Transaction_Log'!$AB:$AB,INDEX('主表 Stock_Transaction_Log'!$T:$T,$A240),'主表 Stock_Transaction_Log'!$AC:$AC))</f>
        <v/>
      </c>
      <c r="I240" s="172" t="str">
        <f t="shared" si="1"/>
        <v/>
      </c>
      <c r="J240" s="172" t="str">
        <f t="shared" si="2"/>
        <v/>
      </c>
      <c r="K240" s="172" t="str">
        <f t="shared" si="3"/>
        <v/>
      </c>
      <c r="L240" s="172" t="str">
        <f t="array" ref="L240">IF($A240="","",INDEX('主表 Stock_Transaction_Log'!$P:$P,$A240))</f>
        <v/>
      </c>
      <c r="M240" s="57" t="str">
        <f>IF($A240="","",IF($H240&lt;=0,0,SUMIFS('主表 Stock_Transaction_Log'!$K$2:$K1000,'主表 Stock_Transaction_Log'!$C$2:$C1000,"Prepared",'主表 Stock_Transaction_Log'!$L$2:$L1000,$B240,'主表 Stock_Transaction_Log'!$F$2:$F1000,$C240,'主表 Stock_Transaction_Log'!$G$2:$G1000,$D240,'主表 Stock_Transaction_Log'!$P$2:$P1000,$L240)))</f>
        <v/>
      </c>
      <c r="N240" s="172"/>
      <c r="O240" s="172" t="str">
        <f t="shared" si="4"/>
        <v/>
      </c>
      <c r="P240" s="172" t="str">
        <f t="shared" si="5"/>
        <v/>
      </c>
      <c r="Q240" s="172" t="str">
        <f t="shared" si="9"/>
        <v/>
      </c>
      <c r="R240" s="172" t="str">
        <f t="shared" si="7"/>
        <v/>
      </c>
      <c r="S240" s="172" t="str">
        <f t="shared" si="8"/>
        <v/>
      </c>
    </row>
    <row r="241">
      <c r="A241" s="172" t="str">
        <f>IF('主表 Stock_Transaction_Log'!$T241="","",IF(COUNTIF('主表 Stock_Transaction_Log'!$T$2:$T241,'主表 Stock_Transaction_Log'!$T241)=1,ROW('主表 Stock_Transaction_Log'!$T241),""))</f>
        <v/>
      </c>
      <c r="B241" s="172" t="str">
        <f t="array" ref="B241">IF($A241="","",INDEX('主表 Stock_Transaction_Log'!$Q:$Q,$A241))</f>
        <v/>
      </c>
      <c r="C241" s="172" t="str">
        <f t="array" ref="C241">IF($A241="","",IF(INDEX('主表 Stock_Transaction_Log'!$F:$F,$A241)=0,"",INDEX('主表 Stock_Transaction_Log'!$F:$F,$A241)))</f>
        <v/>
      </c>
      <c r="D241" s="172" t="str">
        <f t="array" ref="D241">IF($A241="","",INDEX('主表 Stock_Transaction_Log'!$G:$G,$A241))</f>
        <v/>
      </c>
      <c r="E241" s="172" t="str">
        <f t="array" ref="E241">IF($A241="","",INDEX('主表 Stock_Transaction_Log'!$H:$H,$A241))</f>
        <v/>
      </c>
      <c r="F241" s="172" t="str">
        <f t="array" ref="F241">IF($A241="","",INDEX('主表 Stock_Transaction_Log'!$I:$I,$A241))</f>
        <v/>
      </c>
      <c r="G241" s="172" t="str">
        <f t="array" ref="G241">IF($A241="","",IF(INDEX('主表 Stock_Transaction_Log'!$R:$R,$A241)=0,"",INDEX('主表 Stock_Transaction_Log'!$R:$R,$A241)))</f>
        <v/>
      </c>
      <c r="H241" s="172" t="str">
        <f t="array" ref="H241">IF($A241="","",SUMIF('主表 Stock_Transaction_Log'!$T:$T,INDEX('主表 Stock_Transaction_Log'!$T:$T,$A241),'主表 Stock_Transaction_Log'!$S:$S)+SUMIF('主表 Stock_Transaction_Log'!$AB:$AB,INDEX('主表 Stock_Transaction_Log'!$T:$T,$A241),'主表 Stock_Transaction_Log'!$AC:$AC))</f>
        <v/>
      </c>
      <c r="I241" s="172" t="str">
        <f t="shared" si="1"/>
        <v/>
      </c>
      <c r="J241" s="172" t="str">
        <f t="shared" si="2"/>
        <v/>
      </c>
      <c r="K241" s="172" t="str">
        <f t="shared" si="3"/>
        <v/>
      </c>
      <c r="L241" s="172" t="str">
        <f t="array" ref="L241">IF($A241="","",INDEX('主表 Stock_Transaction_Log'!$P:$P,$A241))</f>
        <v/>
      </c>
      <c r="M241" s="57" t="str">
        <f>IF($A241="","",IF($H241&lt;=0,0,SUMIFS('主表 Stock_Transaction_Log'!$K$2:$K1000,'主表 Stock_Transaction_Log'!$C$2:$C1000,"Prepared",'主表 Stock_Transaction_Log'!$L$2:$L1000,$B241,'主表 Stock_Transaction_Log'!$F$2:$F1000,$C241,'主表 Stock_Transaction_Log'!$G$2:$G1000,$D241,'主表 Stock_Transaction_Log'!$P$2:$P1000,$L241)))</f>
        <v/>
      </c>
      <c r="N241" s="172"/>
      <c r="O241" s="172" t="str">
        <f t="shared" si="4"/>
        <v/>
      </c>
      <c r="P241" s="172" t="str">
        <f t="shared" si="5"/>
        <v/>
      </c>
      <c r="Q241" s="172" t="str">
        <f t="shared" si="9"/>
        <v/>
      </c>
      <c r="R241" s="172" t="str">
        <f t="shared" si="7"/>
        <v/>
      </c>
      <c r="S241" s="172" t="str">
        <f t="shared" si="8"/>
        <v/>
      </c>
    </row>
    <row r="242">
      <c r="A242" s="172" t="str">
        <f>IF('主表 Stock_Transaction_Log'!$T242="","",IF(COUNTIF('主表 Stock_Transaction_Log'!$T$2:$T242,'主表 Stock_Transaction_Log'!$T242)=1,ROW('主表 Stock_Transaction_Log'!$T242),""))</f>
        <v/>
      </c>
      <c r="B242" s="172" t="str">
        <f t="array" ref="B242">IF($A242="","",INDEX('主表 Stock_Transaction_Log'!$Q:$Q,$A242))</f>
        <v/>
      </c>
      <c r="C242" s="172" t="str">
        <f t="array" ref="C242">IF($A242="","",IF(INDEX('主表 Stock_Transaction_Log'!$F:$F,$A242)=0,"",INDEX('主表 Stock_Transaction_Log'!$F:$F,$A242)))</f>
        <v/>
      </c>
      <c r="D242" s="172" t="str">
        <f t="array" ref="D242">IF($A242="","",INDEX('主表 Stock_Transaction_Log'!$G:$G,$A242))</f>
        <v/>
      </c>
      <c r="E242" s="172" t="str">
        <f t="array" ref="E242">IF($A242="","",INDEX('主表 Stock_Transaction_Log'!$H:$H,$A242))</f>
        <v/>
      </c>
      <c r="F242" s="172" t="str">
        <f t="array" ref="F242">IF($A242="","",INDEX('主表 Stock_Transaction_Log'!$I:$I,$A242))</f>
        <v/>
      </c>
      <c r="G242" s="172" t="str">
        <f t="array" ref="G242">IF($A242="","",IF(INDEX('主表 Stock_Transaction_Log'!$R:$R,$A242)=0,"",INDEX('主表 Stock_Transaction_Log'!$R:$R,$A242)))</f>
        <v/>
      </c>
      <c r="H242" s="172" t="str">
        <f t="array" ref="H242">IF($A242="","",SUMIF('主表 Stock_Transaction_Log'!$T:$T,INDEX('主表 Stock_Transaction_Log'!$T:$T,$A242),'主表 Stock_Transaction_Log'!$S:$S)+SUMIF('主表 Stock_Transaction_Log'!$AB:$AB,INDEX('主表 Stock_Transaction_Log'!$T:$T,$A242),'主表 Stock_Transaction_Log'!$AC:$AC))</f>
        <v/>
      </c>
      <c r="I242" s="172" t="str">
        <f t="shared" si="1"/>
        <v/>
      </c>
      <c r="J242" s="172" t="str">
        <f t="shared" si="2"/>
        <v/>
      </c>
      <c r="K242" s="172" t="str">
        <f t="shared" si="3"/>
        <v/>
      </c>
      <c r="L242" s="172" t="str">
        <f t="array" ref="L242">IF($A242="","",INDEX('主表 Stock_Transaction_Log'!$P:$P,$A242))</f>
        <v/>
      </c>
      <c r="M242" s="57" t="str">
        <f>IF($A242="","",IF($H242&lt;=0,0,SUMIFS('主表 Stock_Transaction_Log'!$K$2:$K1000,'主表 Stock_Transaction_Log'!$C$2:$C1000,"Prepared",'主表 Stock_Transaction_Log'!$L$2:$L1000,$B242,'主表 Stock_Transaction_Log'!$F$2:$F1000,$C242,'主表 Stock_Transaction_Log'!$G$2:$G1000,$D242,'主表 Stock_Transaction_Log'!$P$2:$P1000,$L242)))</f>
        <v/>
      </c>
      <c r="N242" s="172"/>
      <c r="O242" s="172" t="str">
        <f t="shared" si="4"/>
        <v/>
      </c>
      <c r="P242" s="172" t="str">
        <f t="shared" si="5"/>
        <v/>
      </c>
      <c r="Q242" s="172" t="str">
        <f t="shared" si="9"/>
        <v/>
      </c>
      <c r="R242" s="172" t="str">
        <f t="shared" si="7"/>
        <v/>
      </c>
      <c r="S242" s="172" t="str">
        <f t="shared" si="8"/>
        <v/>
      </c>
    </row>
    <row r="243">
      <c r="A243" s="172" t="str">
        <f>IF('主表 Stock_Transaction_Log'!$T243="","",IF(COUNTIF('主表 Stock_Transaction_Log'!$T$2:$T243,'主表 Stock_Transaction_Log'!$T243)=1,ROW('主表 Stock_Transaction_Log'!$T243),""))</f>
        <v/>
      </c>
      <c r="B243" s="172" t="str">
        <f t="array" ref="B243">IF($A243="","",INDEX('主表 Stock_Transaction_Log'!$Q:$Q,$A243))</f>
        <v/>
      </c>
      <c r="C243" s="172" t="str">
        <f t="array" ref="C243">IF($A243="","",IF(INDEX('主表 Stock_Transaction_Log'!$F:$F,$A243)=0,"",INDEX('主表 Stock_Transaction_Log'!$F:$F,$A243)))</f>
        <v/>
      </c>
      <c r="D243" s="172" t="str">
        <f t="array" ref="D243">IF($A243="","",INDEX('主表 Stock_Transaction_Log'!$G:$G,$A243))</f>
        <v/>
      </c>
      <c r="E243" s="172" t="str">
        <f t="array" ref="E243">IF($A243="","",INDEX('主表 Stock_Transaction_Log'!$H:$H,$A243))</f>
        <v/>
      </c>
      <c r="F243" s="172" t="str">
        <f t="array" ref="F243">IF($A243="","",INDEX('主表 Stock_Transaction_Log'!$I:$I,$A243))</f>
        <v/>
      </c>
      <c r="G243" s="172" t="str">
        <f t="array" ref="G243">IF($A243="","",IF(INDEX('主表 Stock_Transaction_Log'!$R:$R,$A243)=0,"",INDEX('主表 Stock_Transaction_Log'!$R:$R,$A243)))</f>
        <v/>
      </c>
      <c r="H243" s="172" t="str">
        <f t="array" ref="H243">IF($A243="","",SUMIF('主表 Stock_Transaction_Log'!$T:$T,INDEX('主表 Stock_Transaction_Log'!$T:$T,$A243),'主表 Stock_Transaction_Log'!$S:$S)+SUMIF('主表 Stock_Transaction_Log'!$AB:$AB,INDEX('主表 Stock_Transaction_Log'!$T:$T,$A243),'主表 Stock_Transaction_Log'!$AC:$AC))</f>
        <v/>
      </c>
      <c r="I243" s="172" t="str">
        <f t="shared" si="1"/>
        <v/>
      </c>
      <c r="J243" s="172" t="str">
        <f t="shared" si="2"/>
        <v/>
      </c>
      <c r="K243" s="172" t="str">
        <f t="shared" si="3"/>
        <v/>
      </c>
      <c r="L243" s="172" t="str">
        <f t="array" ref="L243">IF($A243="","",INDEX('主表 Stock_Transaction_Log'!$P:$P,$A243))</f>
        <v/>
      </c>
      <c r="M243" s="57" t="str">
        <f>IF($A243="","",IF($H243&lt;=0,0,SUMIFS('主表 Stock_Transaction_Log'!$K$2:$K1000,'主表 Stock_Transaction_Log'!$C$2:$C1000,"Prepared",'主表 Stock_Transaction_Log'!$L$2:$L1000,$B243,'主表 Stock_Transaction_Log'!$F$2:$F1000,$C243,'主表 Stock_Transaction_Log'!$G$2:$G1000,$D243,'主表 Stock_Transaction_Log'!$P$2:$P1000,$L243)))</f>
        <v/>
      </c>
      <c r="N243" s="172"/>
      <c r="O243" s="172" t="str">
        <f t="shared" si="4"/>
        <v/>
      </c>
      <c r="P243" s="172" t="str">
        <f t="shared" si="5"/>
        <v/>
      </c>
      <c r="Q243" s="172" t="str">
        <f t="shared" si="9"/>
        <v/>
      </c>
      <c r="R243" s="172" t="str">
        <f t="shared" si="7"/>
        <v/>
      </c>
      <c r="S243" s="172" t="str">
        <f t="shared" si="8"/>
        <v/>
      </c>
    </row>
    <row r="244">
      <c r="A244" s="172" t="str">
        <f>IF('主表 Stock_Transaction_Log'!$T244="","",IF(COUNTIF('主表 Stock_Transaction_Log'!$T$2:$T244,'主表 Stock_Transaction_Log'!$T244)=1,ROW('主表 Stock_Transaction_Log'!$T244),""))</f>
        <v/>
      </c>
      <c r="B244" s="172" t="str">
        <f t="array" ref="B244">IF($A244="","",INDEX('主表 Stock_Transaction_Log'!$Q:$Q,$A244))</f>
        <v/>
      </c>
      <c r="C244" s="172" t="str">
        <f t="array" ref="C244">IF($A244="","",IF(INDEX('主表 Stock_Transaction_Log'!$F:$F,$A244)=0,"",INDEX('主表 Stock_Transaction_Log'!$F:$F,$A244)))</f>
        <v/>
      </c>
      <c r="D244" s="172" t="str">
        <f t="array" ref="D244">IF($A244="","",INDEX('主表 Stock_Transaction_Log'!$G:$G,$A244))</f>
        <v/>
      </c>
      <c r="E244" s="172" t="str">
        <f t="array" ref="E244">IF($A244="","",INDEX('主表 Stock_Transaction_Log'!$H:$H,$A244))</f>
        <v/>
      </c>
      <c r="F244" s="172" t="str">
        <f t="array" ref="F244">IF($A244="","",INDEX('主表 Stock_Transaction_Log'!$I:$I,$A244))</f>
        <v/>
      </c>
      <c r="G244" s="172" t="str">
        <f t="array" ref="G244">IF($A244="","",IF(INDEX('主表 Stock_Transaction_Log'!$R:$R,$A244)=0,"",INDEX('主表 Stock_Transaction_Log'!$R:$R,$A244)))</f>
        <v/>
      </c>
      <c r="H244" s="172" t="str">
        <f t="array" ref="H244">IF($A244="","",SUMIF('主表 Stock_Transaction_Log'!$T:$T,INDEX('主表 Stock_Transaction_Log'!$T:$T,$A244),'主表 Stock_Transaction_Log'!$S:$S)+SUMIF('主表 Stock_Transaction_Log'!$AB:$AB,INDEX('主表 Stock_Transaction_Log'!$T:$T,$A244),'主表 Stock_Transaction_Log'!$AC:$AC))</f>
        <v/>
      </c>
      <c r="I244" s="172" t="str">
        <f t="shared" si="1"/>
        <v/>
      </c>
      <c r="J244" s="172" t="str">
        <f t="shared" si="2"/>
        <v/>
      </c>
      <c r="K244" s="172" t="str">
        <f t="shared" si="3"/>
        <v/>
      </c>
      <c r="L244" s="172" t="str">
        <f t="array" ref="L244">IF($A244="","",INDEX('主表 Stock_Transaction_Log'!$P:$P,$A244))</f>
        <v/>
      </c>
      <c r="M244" s="57" t="str">
        <f>IF($A244="","",IF($H244&lt;=0,0,SUMIFS('主表 Stock_Transaction_Log'!$K$2:$K1000,'主表 Stock_Transaction_Log'!$C$2:$C1000,"Prepared",'主表 Stock_Transaction_Log'!$L$2:$L1000,$B244,'主表 Stock_Transaction_Log'!$F$2:$F1000,$C244,'主表 Stock_Transaction_Log'!$G$2:$G1000,$D244,'主表 Stock_Transaction_Log'!$P$2:$P1000,$L244)))</f>
        <v/>
      </c>
      <c r="N244" s="172"/>
      <c r="O244" s="172" t="str">
        <f t="shared" si="4"/>
        <v/>
      </c>
      <c r="P244" s="172" t="str">
        <f t="shared" si="5"/>
        <v/>
      </c>
      <c r="Q244" s="172" t="str">
        <f t="shared" si="9"/>
        <v/>
      </c>
      <c r="R244" s="172" t="str">
        <f t="shared" si="7"/>
        <v/>
      </c>
      <c r="S244" s="172" t="str">
        <f t="shared" si="8"/>
        <v/>
      </c>
    </row>
    <row r="245">
      <c r="A245" s="172" t="str">
        <f>IF('主表 Stock_Transaction_Log'!$T245="","",IF(COUNTIF('主表 Stock_Transaction_Log'!$T$2:$T245,'主表 Stock_Transaction_Log'!$T245)=1,ROW('主表 Stock_Transaction_Log'!$T245),""))</f>
        <v/>
      </c>
      <c r="B245" s="172" t="str">
        <f t="array" ref="B245">IF($A245="","",INDEX('主表 Stock_Transaction_Log'!$Q:$Q,$A245))</f>
        <v/>
      </c>
      <c r="C245" s="172" t="str">
        <f t="array" ref="C245">IF($A245="","",IF(INDEX('主表 Stock_Transaction_Log'!$F:$F,$A245)=0,"",INDEX('主表 Stock_Transaction_Log'!$F:$F,$A245)))</f>
        <v/>
      </c>
      <c r="D245" s="172" t="str">
        <f t="array" ref="D245">IF($A245="","",INDEX('主表 Stock_Transaction_Log'!$G:$G,$A245))</f>
        <v/>
      </c>
      <c r="E245" s="172" t="str">
        <f t="array" ref="E245">IF($A245="","",INDEX('主表 Stock_Transaction_Log'!$H:$H,$A245))</f>
        <v/>
      </c>
      <c r="F245" s="172" t="str">
        <f t="array" ref="F245">IF($A245="","",INDEX('主表 Stock_Transaction_Log'!$I:$I,$A245))</f>
        <v/>
      </c>
      <c r="G245" s="172" t="str">
        <f t="array" ref="G245">IF($A245="","",IF(INDEX('主表 Stock_Transaction_Log'!$R:$R,$A245)=0,"",INDEX('主表 Stock_Transaction_Log'!$R:$R,$A245)))</f>
        <v/>
      </c>
      <c r="H245" s="172" t="str">
        <f t="array" ref="H245">IF($A245="","",SUMIF('主表 Stock_Transaction_Log'!$T:$T,INDEX('主表 Stock_Transaction_Log'!$T:$T,$A245),'主表 Stock_Transaction_Log'!$S:$S)+SUMIF('主表 Stock_Transaction_Log'!$AB:$AB,INDEX('主表 Stock_Transaction_Log'!$T:$T,$A245),'主表 Stock_Transaction_Log'!$AC:$AC))</f>
        <v/>
      </c>
      <c r="I245" s="172" t="str">
        <f t="shared" si="1"/>
        <v/>
      </c>
      <c r="J245" s="172" t="str">
        <f t="shared" si="2"/>
        <v/>
      </c>
      <c r="K245" s="172" t="str">
        <f t="shared" si="3"/>
        <v/>
      </c>
      <c r="L245" s="172" t="str">
        <f t="array" ref="L245">IF($A245="","",INDEX('主表 Stock_Transaction_Log'!$P:$P,$A245))</f>
        <v/>
      </c>
      <c r="M245" s="57" t="str">
        <f>IF($A245="","",IF($H245&lt;=0,0,SUMIFS('主表 Stock_Transaction_Log'!$K$2:$K1000,'主表 Stock_Transaction_Log'!$C$2:$C1000,"Prepared",'主表 Stock_Transaction_Log'!$L$2:$L1000,$B245,'主表 Stock_Transaction_Log'!$F$2:$F1000,$C245,'主表 Stock_Transaction_Log'!$G$2:$G1000,$D245,'主表 Stock_Transaction_Log'!$P$2:$P1000,$L245)))</f>
        <v/>
      </c>
      <c r="N245" s="172"/>
      <c r="O245" s="172" t="str">
        <f t="shared" si="4"/>
        <v/>
      </c>
      <c r="P245" s="172" t="str">
        <f t="shared" si="5"/>
        <v/>
      </c>
      <c r="Q245" s="172" t="str">
        <f t="shared" si="9"/>
        <v/>
      </c>
      <c r="R245" s="172" t="str">
        <f t="shared" si="7"/>
        <v/>
      </c>
      <c r="S245" s="172" t="str">
        <f t="shared" si="8"/>
        <v/>
      </c>
    </row>
    <row r="246">
      <c r="A246" s="172" t="str">
        <f>IF('主表 Stock_Transaction_Log'!$T246="","",IF(COUNTIF('主表 Stock_Transaction_Log'!$T$2:$T246,'主表 Stock_Transaction_Log'!$T246)=1,ROW('主表 Stock_Transaction_Log'!$T246),""))</f>
        <v/>
      </c>
      <c r="B246" s="172" t="str">
        <f t="array" ref="B246">IF($A246="","",INDEX('主表 Stock_Transaction_Log'!$Q:$Q,$A246))</f>
        <v/>
      </c>
      <c r="C246" s="172" t="str">
        <f t="array" ref="C246">IF($A246="","",IF(INDEX('主表 Stock_Transaction_Log'!$F:$F,$A246)=0,"",INDEX('主表 Stock_Transaction_Log'!$F:$F,$A246)))</f>
        <v/>
      </c>
      <c r="D246" s="172" t="str">
        <f t="array" ref="D246">IF($A246="","",INDEX('主表 Stock_Transaction_Log'!$G:$G,$A246))</f>
        <v/>
      </c>
      <c r="E246" s="172" t="str">
        <f t="array" ref="E246">IF($A246="","",INDEX('主表 Stock_Transaction_Log'!$H:$H,$A246))</f>
        <v/>
      </c>
      <c r="F246" s="172" t="str">
        <f t="array" ref="F246">IF($A246="","",INDEX('主表 Stock_Transaction_Log'!$I:$I,$A246))</f>
        <v/>
      </c>
      <c r="G246" s="172" t="str">
        <f t="array" ref="G246">IF($A246="","",IF(INDEX('主表 Stock_Transaction_Log'!$R:$R,$A246)=0,"",INDEX('主表 Stock_Transaction_Log'!$R:$R,$A246)))</f>
        <v/>
      </c>
      <c r="H246" s="172" t="str">
        <f t="array" ref="H246">IF($A246="","",SUMIF('主表 Stock_Transaction_Log'!$T:$T,INDEX('主表 Stock_Transaction_Log'!$T:$T,$A246),'主表 Stock_Transaction_Log'!$S:$S)+SUMIF('主表 Stock_Transaction_Log'!$AB:$AB,INDEX('主表 Stock_Transaction_Log'!$T:$T,$A246),'主表 Stock_Transaction_Log'!$AC:$AC))</f>
        <v/>
      </c>
      <c r="I246" s="172" t="str">
        <f t="shared" si="1"/>
        <v/>
      </c>
      <c r="J246" s="172" t="str">
        <f t="shared" si="2"/>
        <v/>
      </c>
      <c r="K246" s="172" t="str">
        <f t="shared" si="3"/>
        <v/>
      </c>
      <c r="L246" s="172" t="str">
        <f t="array" ref="L246">IF($A246="","",INDEX('主表 Stock_Transaction_Log'!$P:$P,$A246))</f>
        <v/>
      </c>
      <c r="M246" s="57" t="str">
        <f>IF($A246="","",IF($H246&lt;=0,0,SUMIFS('主表 Stock_Transaction_Log'!$K$2:$K1000,'主表 Stock_Transaction_Log'!$C$2:$C1000,"Prepared",'主表 Stock_Transaction_Log'!$L$2:$L1000,$B246,'主表 Stock_Transaction_Log'!$F$2:$F1000,$C246,'主表 Stock_Transaction_Log'!$G$2:$G1000,$D246,'主表 Stock_Transaction_Log'!$P$2:$P1000,$L246)))</f>
        <v/>
      </c>
      <c r="N246" s="172"/>
      <c r="O246" s="172" t="str">
        <f t="shared" si="4"/>
        <v/>
      </c>
      <c r="P246" s="172" t="str">
        <f t="shared" si="5"/>
        <v/>
      </c>
      <c r="Q246" s="172" t="str">
        <f t="shared" si="9"/>
        <v/>
      </c>
      <c r="R246" s="172" t="str">
        <f t="shared" si="7"/>
        <v/>
      </c>
      <c r="S246" s="172" t="str">
        <f t="shared" si="8"/>
        <v/>
      </c>
    </row>
    <row r="247">
      <c r="A247" s="172" t="str">
        <f>IF('主表 Stock_Transaction_Log'!$T247="","",IF(COUNTIF('主表 Stock_Transaction_Log'!$T$2:$T247,'主表 Stock_Transaction_Log'!$T247)=1,ROW('主表 Stock_Transaction_Log'!$T247),""))</f>
        <v/>
      </c>
      <c r="B247" s="172" t="str">
        <f t="array" ref="B247">IF($A247="","",INDEX('主表 Stock_Transaction_Log'!$Q:$Q,$A247))</f>
        <v/>
      </c>
      <c r="C247" s="172" t="str">
        <f t="array" ref="C247">IF($A247="","",IF(INDEX('主表 Stock_Transaction_Log'!$F:$F,$A247)=0,"",INDEX('主表 Stock_Transaction_Log'!$F:$F,$A247)))</f>
        <v/>
      </c>
      <c r="D247" s="172" t="str">
        <f t="array" ref="D247">IF($A247="","",INDEX('主表 Stock_Transaction_Log'!$G:$G,$A247))</f>
        <v/>
      </c>
      <c r="E247" s="172" t="str">
        <f t="array" ref="E247">IF($A247="","",INDEX('主表 Stock_Transaction_Log'!$H:$H,$A247))</f>
        <v/>
      </c>
      <c r="F247" s="172" t="str">
        <f t="array" ref="F247">IF($A247="","",INDEX('主表 Stock_Transaction_Log'!$I:$I,$A247))</f>
        <v/>
      </c>
      <c r="G247" s="172" t="str">
        <f t="array" ref="G247">IF($A247="","",IF(INDEX('主表 Stock_Transaction_Log'!$R:$R,$A247)=0,"",INDEX('主表 Stock_Transaction_Log'!$R:$R,$A247)))</f>
        <v/>
      </c>
      <c r="H247" s="172" t="str">
        <f t="array" ref="H247">IF($A247="","",SUMIF('主表 Stock_Transaction_Log'!$T:$T,INDEX('主表 Stock_Transaction_Log'!$T:$T,$A247),'主表 Stock_Transaction_Log'!$S:$S)+SUMIF('主表 Stock_Transaction_Log'!$AB:$AB,INDEX('主表 Stock_Transaction_Log'!$T:$T,$A247),'主表 Stock_Transaction_Log'!$AC:$AC))</f>
        <v/>
      </c>
      <c r="I247" s="172" t="str">
        <f t="shared" si="1"/>
        <v/>
      </c>
      <c r="J247" s="172" t="str">
        <f t="shared" si="2"/>
        <v/>
      </c>
      <c r="K247" s="172" t="str">
        <f t="shared" si="3"/>
        <v/>
      </c>
      <c r="L247" s="172" t="str">
        <f t="array" ref="L247">IF($A247="","",INDEX('主表 Stock_Transaction_Log'!$P:$P,$A247))</f>
        <v/>
      </c>
      <c r="M247" s="57" t="str">
        <f>IF($A247="","",IF($H247&lt;=0,0,SUMIFS('主表 Stock_Transaction_Log'!$K$2:$K1000,'主表 Stock_Transaction_Log'!$C$2:$C1000,"Prepared",'主表 Stock_Transaction_Log'!$L$2:$L1000,$B247,'主表 Stock_Transaction_Log'!$F$2:$F1000,$C247,'主表 Stock_Transaction_Log'!$G$2:$G1000,$D247,'主表 Stock_Transaction_Log'!$P$2:$P1000,$L247)))</f>
        <v/>
      </c>
      <c r="N247" s="172"/>
      <c r="O247" s="172" t="str">
        <f t="shared" si="4"/>
        <v/>
      </c>
      <c r="P247" s="172" t="str">
        <f t="shared" si="5"/>
        <v/>
      </c>
      <c r="Q247" s="172" t="str">
        <f t="shared" si="9"/>
        <v/>
      </c>
      <c r="R247" s="172" t="str">
        <f t="shared" si="7"/>
        <v/>
      </c>
      <c r="S247" s="172" t="str">
        <f t="shared" si="8"/>
        <v/>
      </c>
    </row>
    <row r="248">
      <c r="A248" s="172" t="str">
        <f>IF('主表 Stock_Transaction_Log'!$T248="","",IF(COUNTIF('主表 Stock_Transaction_Log'!$T$2:$T248,'主表 Stock_Transaction_Log'!$T248)=1,ROW('主表 Stock_Transaction_Log'!$T248),""))</f>
        <v/>
      </c>
      <c r="B248" s="172" t="str">
        <f t="array" ref="B248">IF($A248="","",INDEX('主表 Stock_Transaction_Log'!$Q:$Q,$A248))</f>
        <v/>
      </c>
      <c r="C248" s="172" t="str">
        <f t="array" ref="C248">IF($A248="","",IF(INDEX('主表 Stock_Transaction_Log'!$F:$F,$A248)=0,"",INDEX('主表 Stock_Transaction_Log'!$F:$F,$A248)))</f>
        <v/>
      </c>
      <c r="D248" s="172" t="str">
        <f t="array" ref="D248">IF($A248="","",INDEX('主表 Stock_Transaction_Log'!$G:$G,$A248))</f>
        <v/>
      </c>
      <c r="E248" s="172" t="str">
        <f t="array" ref="E248">IF($A248="","",INDEX('主表 Stock_Transaction_Log'!$H:$H,$A248))</f>
        <v/>
      </c>
      <c r="F248" s="172" t="str">
        <f t="array" ref="F248">IF($A248="","",INDEX('主表 Stock_Transaction_Log'!$I:$I,$A248))</f>
        <v/>
      </c>
      <c r="G248" s="172" t="str">
        <f t="array" ref="G248">IF($A248="","",IF(INDEX('主表 Stock_Transaction_Log'!$R:$R,$A248)=0,"",INDEX('主表 Stock_Transaction_Log'!$R:$R,$A248)))</f>
        <v/>
      </c>
      <c r="H248" s="172" t="str">
        <f t="array" ref="H248">IF($A248="","",SUMIF('主表 Stock_Transaction_Log'!$T:$T,INDEX('主表 Stock_Transaction_Log'!$T:$T,$A248),'主表 Stock_Transaction_Log'!$S:$S)+SUMIF('主表 Stock_Transaction_Log'!$AB:$AB,INDEX('主表 Stock_Transaction_Log'!$T:$T,$A248),'主表 Stock_Transaction_Log'!$AC:$AC))</f>
        <v/>
      </c>
      <c r="I248" s="172" t="str">
        <f t="shared" si="1"/>
        <v/>
      </c>
      <c r="J248" s="172" t="str">
        <f t="shared" si="2"/>
        <v/>
      </c>
      <c r="K248" s="172" t="str">
        <f t="shared" si="3"/>
        <v/>
      </c>
      <c r="L248" s="172" t="str">
        <f t="array" ref="L248">IF($A248="","",INDEX('主表 Stock_Transaction_Log'!$P:$P,$A248))</f>
        <v/>
      </c>
      <c r="M248" s="57" t="str">
        <f>IF($A248="","",IF($H248&lt;=0,0,SUMIFS('主表 Stock_Transaction_Log'!$K$2:$K1000,'主表 Stock_Transaction_Log'!$C$2:$C1000,"Prepared",'主表 Stock_Transaction_Log'!$L$2:$L1000,$B248,'主表 Stock_Transaction_Log'!$F$2:$F1000,$C248,'主表 Stock_Transaction_Log'!$G$2:$G1000,$D248,'主表 Stock_Transaction_Log'!$P$2:$P1000,$L248)))</f>
        <v/>
      </c>
      <c r="N248" s="172"/>
      <c r="O248" s="172" t="str">
        <f t="shared" si="4"/>
        <v/>
      </c>
      <c r="P248" s="172" t="str">
        <f t="shared" si="5"/>
        <v/>
      </c>
      <c r="Q248" s="172" t="str">
        <f t="shared" si="9"/>
        <v/>
      </c>
      <c r="R248" s="172" t="str">
        <f t="shared" si="7"/>
        <v/>
      </c>
      <c r="S248" s="172" t="str">
        <f t="shared" si="8"/>
        <v/>
      </c>
    </row>
    <row r="249">
      <c r="A249" s="172" t="str">
        <f>IF('主表 Stock_Transaction_Log'!$T249="","",IF(COUNTIF('主表 Stock_Transaction_Log'!$T$2:$T249,'主表 Stock_Transaction_Log'!$T249)=1,ROW('主表 Stock_Transaction_Log'!$T249),""))</f>
        <v/>
      </c>
      <c r="B249" s="172" t="str">
        <f t="array" ref="B249">IF($A249="","",INDEX('主表 Stock_Transaction_Log'!$Q:$Q,$A249))</f>
        <v/>
      </c>
      <c r="C249" s="172" t="str">
        <f t="array" ref="C249">IF($A249="","",IF(INDEX('主表 Stock_Transaction_Log'!$F:$F,$A249)=0,"",INDEX('主表 Stock_Transaction_Log'!$F:$F,$A249)))</f>
        <v/>
      </c>
      <c r="D249" s="172" t="str">
        <f t="array" ref="D249">IF($A249="","",INDEX('主表 Stock_Transaction_Log'!$G:$G,$A249))</f>
        <v/>
      </c>
      <c r="E249" s="172" t="str">
        <f t="array" ref="E249">IF($A249="","",INDEX('主表 Stock_Transaction_Log'!$H:$H,$A249))</f>
        <v/>
      </c>
      <c r="F249" s="172" t="str">
        <f t="array" ref="F249">IF($A249="","",INDEX('主表 Stock_Transaction_Log'!$I:$I,$A249))</f>
        <v/>
      </c>
      <c r="G249" s="172" t="str">
        <f t="array" ref="G249">IF($A249="","",IF(INDEX('主表 Stock_Transaction_Log'!$R:$R,$A249)=0,"",INDEX('主表 Stock_Transaction_Log'!$R:$R,$A249)))</f>
        <v/>
      </c>
      <c r="H249" s="172" t="str">
        <f t="array" ref="H249">IF($A249="","",SUMIF('主表 Stock_Transaction_Log'!$T:$T,INDEX('主表 Stock_Transaction_Log'!$T:$T,$A249),'主表 Stock_Transaction_Log'!$S:$S)+SUMIF('主表 Stock_Transaction_Log'!$AB:$AB,INDEX('主表 Stock_Transaction_Log'!$T:$T,$A249),'主表 Stock_Transaction_Log'!$AC:$AC))</f>
        <v/>
      </c>
      <c r="I249" s="172" t="str">
        <f t="shared" si="1"/>
        <v/>
      </c>
      <c r="J249" s="172" t="str">
        <f t="shared" si="2"/>
        <v/>
      </c>
      <c r="K249" s="172" t="str">
        <f t="shared" si="3"/>
        <v/>
      </c>
      <c r="L249" s="172" t="str">
        <f t="array" ref="L249">IF($A249="","",INDEX('主表 Stock_Transaction_Log'!$P:$P,$A249))</f>
        <v/>
      </c>
      <c r="M249" s="57" t="str">
        <f>IF($A249="","",IF($H249&lt;=0,0,SUMIFS('主表 Stock_Transaction_Log'!$K$2:$K1000,'主表 Stock_Transaction_Log'!$C$2:$C1000,"Prepared",'主表 Stock_Transaction_Log'!$L$2:$L1000,$B249,'主表 Stock_Transaction_Log'!$F$2:$F1000,$C249,'主表 Stock_Transaction_Log'!$G$2:$G1000,$D249,'主表 Stock_Transaction_Log'!$P$2:$P1000,$L249)))</f>
        <v/>
      </c>
      <c r="N249" s="172"/>
      <c r="O249" s="172" t="str">
        <f t="shared" si="4"/>
        <v/>
      </c>
      <c r="P249" s="172" t="str">
        <f t="shared" si="5"/>
        <v/>
      </c>
      <c r="Q249" s="172" t="str">
        <f t="shared" si="9"/>
        <v/>
      </c>
      <c r="R249" s="172" t="str">
        <f t="shared" si="7"/>
        <v/>
      </c>
      <c r="S249" s="172" t="str">
        <f t="shared" si="8"/>
        <v/>
      </c>
    </row>
    <row r="250">
      <c r="A250" s="172" t="str">
        <f>IF('主表 Stock_Transaction_Log'!$T250="","",IF(COUNTIF('主表 Stock_Transaction_Log'!$T$2:$T250,'主表 Stock_Transaction_Log'!$T250)=1,ROW('主表 Stock_Transaction_Log'!$T250),""))</f>
        <v/>
      </c>
      <c r="B250" s="172" t="str">
        <f t="array" ref="B250">IF($A250="","",INDEX('主表 Stock_Transaction_Log'!$Q:$Q,$A250))</f>
        <v/>
      </c>
      <c r="C250" s="172" t="str">
        <f t="array" ref="C250">IF($A250="","",IF(INDEX('主表 Stock_Transaction_Log'!$F:$F,$A250)=0,"",INDEX('主表 Stock_Transaction_Log'!$F:$F,$A250)))</f>
        <v/>
      </c>
      <c r="D250" s="172" t="str">
        <f t="array" ref="D250">IF($A250="","",INDEX('主表 Stock_Transaction_Log'!$G:$G,$A250))</f>
        <v/>
      </c>
      <c r="E250" s="172" t="str">
        <f t="array" ref="E250">IF($A250="","",INDEX('主表 Stock_Transaction_Log'!$H:$H,$A250))</f>
        <v/>
      </c>
      <c r="F250" s="172" t="str">
        <f t="array" ref="F250">IF($A250="","",INDEX('主表 Stock_Transaction_Log'!$I:$I,$A250))</f>
        <v/>
      </c>
      <c r="G250" s="172" t="str">
        <f t="array" ref="G250">IF($A250="","",IF(INDEX('主表 Stock_Transaction_Log'!$R:$R,$A250)=0,"",INDEX('主表 Stock_Transaction_Log'!$R:$R,$A250)))</f>
        <v/>
      </c>
      <c r="H250" s="172" t="str">
        <f t="array" ref="H250">IF($A250="","",SUMIF('主表 Stock_Transaction_Log'!$T:$T,INDEX('主表 Stock_Transaction_Log'!$T:$T,$A250),'主表 Stock_Transaction_Log'!$S:$S)+SUMIF('主表 Stock_Transaction_Log'!$AB:$AB,INDEX('主表 Stock_Transaction_Log'!$T:$T,$A250),'主表 Stock_Transaction_Log'!$AC:$AC))</f>
        <v/>
      </c>
      <c r="I250" s="172" t="str">
        <f t="shared" si="1"/>
        <v/>
      </c>
      <c r="J250" s="172" t="str">
        <f t="shared" si="2"/>
        <v/>
      </c>
      <c r="K250" s="172" t="str">
        <f t="shared" si="3"/>
        <v/>
      </c>
      <c r="L250" s="172" t="str">
        <f t="array" ref="L250">IF($A250="","",INDEX('主表 Stock_Transaction_Log'!$P:$P,$A250))</f>
        <v/>
      </c>
      <c r="M250" s="57" t="str">
        <f>IF($A250="","",IF($H250&lt;=0,0,SUMIFS('主表 Stock_Transaction_Log'!$K$2:$K1000,'主表 Stock_Transaction_Log'!$C$2:$C1000,"Prepared",'主表 Stock_Transaction_Log'!$L$2:$L1000,$B250,'主表 Stock_Transaction_Log'!$F$2:$F1000,$C250,'主表 Stock_Transaction_Log'!$G$2:$G1000,$D250,'主表 Stock_Transaction_Log'!$P$2:$P1000,$L250)))</f>
        <v/>
      </c>
      <c r="N250" s="172"/>
      <c r="O250" s="172" t="str">
        <f t="shared" si="4"/>
        <v/>
      </c>
      <c r="P250" s="172" t="str">
        <f t="shared" si="5"/>
        <v/>
      </c>
      <c r="Q250" s="172" t="str">
        <f t="shared" si="9"/>
        <v/>
      </c>
      <c r="R250" s="172" t="str">
        <f t="shared" si="7"/>
        <v/>
      </c>
      <c r="S250" s="172" t="str">
        <f t="shared" si="8"/>
        <v/>
      </c>
    </row>
    <row r="251">
      <c r="A251" s="172" t="str">
        <f>IF('主表 Stock_Transaction_Log'!$T251="","",IF(COUNTIF('主表 Stock_Transaction_Log'!$T$2:$T251,'主表 Stock_Transaction_Log'!$T251)=1,ROW('主表 Stock_Transaction_Log'!$T251),""))</f>
        <v/>
      </c>
      <c r="B251" s="172" t="str">
        <f t="array" ref="B251">IF($A251="","",INDEX('主表 Stock_Transaction_Log'!$Q:$Q,$A251))</f>
        <v/>
      </c>
      <c r="C251" s="172" t="str">
        <f t="array" ref="C251">IF($A251="","",IF(INDEX('主表 Stock_Transaction_Log'!$F:$F,$A251)=0,"",INDEX('主表 Stock_Transaction_Log'!$F:$F,$A251)))</f>
        <v/>
      </c>
      <c r="D251" s="172" t="str">
        <f t="array" ref="D251">IF($A251="","",INDEX('主表 Stock_Transaction_Log'!$G:$G,$A251))</f>
        <v/>
      </c>
      <c r="E251" s="172" t="str">
        <f t="array" ref="E251">IF($A251="","",INDEX('主表 Stock_Transaction_Log'!$H:$H,$A251))</f>
        <v/>
      </c>
      <c r="F251" s="172" t="str">
        <f t="array" ref="F251">IF($A251="","",INDEX('主表 Stock_Transaction_Log'!$I:$I,$A251))</f>
        <v/>
      </c>
      <c r="G251" s="172" t="str">
        <f t="array" ref="G251">IF($A251="","",IF(INDEX('主表 Stock_Transaction_Log'!$R:$R,$A251)=0,"",INDEX('主表 Stock_Transaction_Log'!$R:$R,$A251)))</f>
        <v/>
      </c>
      <c r="H251" s="172" t="str">
        <f t="array" ref="H251">IF($A251="","",SUMIF('主表 Stock_Transaction_Log'!$T:$T,INDEX('主表 Stock_Transaction_Log'!$T:$T,$A251),'主表 Stock_Transaction_Log'!$S:$S)+SUMIF('主表 Stock_Transaction_Log'!$AB:$AB,INDEX('主表 Stock_Transaction_Log'!$T:$T,$A251),'主表 Stock_Transaction_Log'!$AC:$AC))</f>
        <v/>
      </c>
      <c r="I251" s="172" t="str">
        <f t="shared" si="1"/>
        <v/>
      </c>
      <c r="J251" s="172" t="str">
        <f t="shared" si="2"/>
        <v/>
      </c>
      <c r="K251" s="172" t="str">
        <f t="shared" si="3"/>
        <v/>
      </c>
      <c r="L251" s="172" t="str">
        <f t="array" ref="L251">IF($A251="","",INDEX('主表 Stock_Transaction_Log'!$P:$P,$A251))</f>
        <v/>
      </c>
      <c r="M251" s="57" t="str">
        <f>IF($A251="","",IF($H251&lt;=0,0,SUMIFS('主表 Stock_Transaction_Log'!$K$2:$K1000,'主表 Stock_Transaction_Log'!$C$2:$C1000,"Prepared",'主表 Stock_Transaction_Log'!$L$2:$L1000,$B251,'主表 Stock_Transaction_Log'!$F$2:$F1000,$C251,'主表 Stock_Transaction_Log'!$G$2:$G1000,$D251,'主表 Stock_Transaction_Log'!$P$2:$P1000,$L251)))</f>
        <v/>
      </c>
      <c r="N251" s="172"/>
      <c r="O251" s="172" t="str">
        <f t="shared" si="4"/>
        <v/>
      </c>
      <c r="P251" s="172" t="str">
        <f t="shared" si="5"/>
        <v/>
      </c>
      <c r="Q251" s="172" t="str">
        <f t="shared" si="9"/>
        <v/>
      </c>
      <c r="R251" s="172" t="str">
        <f t="shared" si="7"/>
        <v/>
      </c>
      <c r="S251" s="172" t="str">
        <f t="shared" si="8"/>
        <v/>
      </c>
    </row>
    <row r="252">
      <c r="A252" s="172" t="str">
        <f>IF('主表 Stock_Transaction_Log'!$T252="","",IF(COUNTIF('主表 Stock_Transaction_Log'!$T$2:$T252,'主表 Stock_Transaction_Log'!$T252)=1,ROW('主表 Stock_Transaction_Log'!$T252),""))</f>
        <v/>
      </c>
      <c r="B252" s="172" t="str">
        <f t="array" ref="B252">IF($A252="","",INDEX('主表 Stock_Transaction_Log'!$Q:$Q,$A252))</f>
        <v/>
      </c>
      <c r="C252" s="172" t="str">
        <f t="array" ref="C252">IF($A252="","",IF(INDEX('主表 Stock_Transaction_Log'!$F:$F,$A252)=0,"",INDEX('主表 Stock_Transaction_Log'!$F:$F,$A252)))</f>
        <v/>
      </c>
      <c r="D252" s="172" t="str">
        <f t="array" ref="D252">IF($A252="","",INDEX('主表 Stock_Transaction_Log'!$G:$G,$A252))</f>
        <v/>
      </c>
      <c r="E252" s="172" t="str">
        <f t="array" ref="E252">IF($A252="","",INDEX('主表 Stock_Transaction_Log'!$H:$H,$A252))</f>
        <v/>
      </c>
      <c r="F252" s="172" t="str">
        <f t="array" ref="F252">IF($A252="","",INDEX('主表 Stock_Transaction_Log'!$I:$I,$A252))</f>
        <v/>
      </c>
      <c r="G252" s="172" t="str">
        <f t="array" ref="G252">IF($A252="","",IF(INDEX('主表 Stock_Transaction_Log'!$R:$R,$A252)=0,"",INDEX('主表 Stock_Transaction_Log'!$R:$R,$A252)))</f>
        <v/>
      </c>
      <c r="H252" s="172" t="str">
        <f t="array" ref="H252">IF($A252="","",SUMIF('主表 Stock_Transaction_Log'!$T:$T,INDEX('主表 Stock_Transaction_Log'!$T:$T,$A252),'主表 Stock_Transaction_Log'!$S:$S)+SUMIF('主表 Stock_Transaction_Log'!$AB:$AB,INDEX('主表 Stock_Transaction_Log'!$T:$T,$A252),'主表 Stock_Transaction_Log'!$AC:$AC))</f>
        <v/>
      </c>
      <c r="I252" s="172" t="str">
        <f t="shared" si="1"/>
        <v/>
      </c>
      <c r="J252" s="172" t="str">
        <f t="shared" si="2"/>
        <v/>
      </c>
      <c r="K252" s="172" t="str">
        <f t="shared" si="3"/>
        <v/>
      </c>
      <c r="L252" s="172" t="str">
        <f t="array" ref="L252">IF($A252="","",INDEX('主表 Stock_Transaction_Log'!$P:$P,$A252))</f>
        <v/>
      </c>
      <c r="M252" s="57" t="str">
        <f>IF($A252="","",IF($H252&lt;=0,0,SUMIFS('主表 Stock_Transaction_Log'!$K$2:$K1000,'主表 Stock_Transaction_Log'!$C$2:$C1000,"Prepared",'主表 Stock_Transaction_Log'!$L$2:$L1000,$B252,'主表 Stock_Transaction_Log'!$F$2:$F1000,$C252,'主表 Stock_Transaction_Log'!$G$2:$G1000,$D252,'主表 Stock_Transaction_Log'!$P$2:$P1000,$L252)))</f>
        <v/>
      </c>
      <c r="N252" s="172"/>
      <c r="O252" s="172" t="str">
        <f t="shared" si="4"/>
        <v/>
      </c>
      <c r="P252" s="172" t="str">
        <f t="shared" si="5"/>
        <v/>
      </c>
      <c r="Q252" s="172" t="str">
        <f t="shared" si="9"/>
        <v/>
      </c>
      <c r="R252" s="172" t="str">
        <f t="shared" si="7"/>
        <v/>
      </c>
      <c r="S252" s="172" t="str">
        <f t="shared" si="8"/>
        <v/>
      </c>
    </row>
    <row r="253">
      <c r="A253" s="172" t="str">
        <f>IF('主表 Stock_Transaction_Log'!$T253="","",IF(COUNTIF('主表 Stock_Transaction_Log'!$T$2:$T253,'主表 Stock_Transaction_Log'!$T253)=1,ROW('主表 Stock_Transaction_Log'!$T253),""))</f>
        <v/>
      </c>
      <c r="B253" s="172" t="str">
        <f t="array" ref="B253">IF($A253="","",INDEX('主表 Stock_Transaction_Log'!$Q:$Q,$A253))</f>
        <v/>
      </c>
      <c r="C253" s="172" t="str">
        <f t="array" ref="C253">IF($A253="","",IF(INDEX('主表 Stock_Transaction_Log'!$F:$F,$A253)=0,"",INDEX('主表 Stock_Transaction_Log'!$F:$F,$A253)))</f>
        <v/>
      </c>
      <c r="D253" s="172" t="str">
        <f t="array" ref="D253">IF($A253="","",INDEX('主表 Stock_Transaction_Log'!$G:$G,$A253))</f>
        <v/>
      </c>
      <c r="E253" s="172" t="str">
        <f t="array" ref="E253">IF($A253="","",INDEX('主表 Stock_Transaction_Log'!$H:$H,$A253))</f>
        <v/>
      </c>
      <c r="F253" s="172" t="str">
        <f t="array" ref="F253">IF($A253="","",INDEX('主表 Stock_Transaction_Log'!$I:$I,$A253))</f>
        <v/>
      </c>
      <c r="G253" s="172" t="str">
        <f t="array" ref="G253">IF($A253="","",IF(INDEX('主表 Stock_Transaction_Log'!$R:$R,$A253)=0,"",INDEX('主表 Stock_Transaction_Log'!$R:$R,$A253)))</f>
        <v/>
      </c>
      <c r="H253" s="172" t="str">
        <f t="array" ref="H253">IF($A253="","",SUMIF('主表 Stock_Transaction_Log'!$T:$T,INDEX('主表 Stock_Transaction_Log'!$T:$T,$A253),'主表 Stock_Transaction_Log'!$S:$S)+SUMIF('主表 Stock_Transaction_Log'!$AB:$AB,INDEX('主表 Stock_Transaction_Log'!$T:$T,$A253),'主表 Stock_Transaction_Log'!$AC:$AC))</f>
        <v/>
      </c>
      <c r="I253" s="172" t="str">
        <f t="shared" si="1"/>
        <v/>
      </c>
      <c r="J253" s="172" t="str">
        <f t="shared" si="2"/>
        <v/>
      </c>
      <c r="K253" s="172" t="str">
        <f t="shared" si="3"/>
        <v/>
      </c>
      <c r="L253" s="172" t="str">
        <f t="array" ref="L253">IF($A253="","",INDEX('主表 Stock_Transaction_Log'!$P:$P,$A253))</f>
        <v/>
      </c>
      <c r="M253" s="57" t="str">
        <f>IF($A253="","",IF($H253&lt;=0,0,SUMIFS('主表 Stock_Transaction_Log'!$K$2:$K1000,'主表 Stock_Transaction_Log'!$C$2:$C1000,"Prepared",'主表 Stock_Transaction_Log'!$L$2:$L1000,$B253,'主表 Stock_Transaction_Log'!$F$2:$F1000,$C253,'主表 Stock_Transaction_Log'!$G$2:$G1000,$D253,'主表 Stock_Transaction_Log'!$P$2:$P1000,$L253)))</f>
        <v/>
      </c>
      <c r="N253" s="172"/>
      <c r="O253" s="172" t="str">
        <f t="shared" si="4"/>
        <v/>
      </c>
      <c r="P253" s="172" t="str">
        <f t="shared" si="5"/>
        <v/>
      </c>
      <c r="Q253" s="172" t="str">
        <f t="shared" si="9"/>
        <v/>
      </c>
      <c r="R253" s="172" t="str">
        <f t="shared" si="7"/>
        <v/>
      </c>
      <c r="S253" s="172" t="str">
        <f t="shared" si="8"/>
        <v/>
      </c>
    </row>
    <row r="254">
      <c r="A254" s="172" t="str">
        <f>IF('主表 Stock_Transaction_Log'!$T254="","",IF(COUNTIF('主表 Stock_Transaction_Log'!$T$2:$T254,'主表 Stock_Transaction_Log'!$T254)=1,ROW('主表 Stock_Transaction_Log'!$T254),""))</f>
        <v/>
      </c>
      <c r="B254" s="172" t="str">
        <f t="array" ref="B254">IF($A254="","",INDEX('主表 Stock_Transaction_Log'!$Q:$Q,$A254))</f>
        <v/>
      </c>
      <c r="C254" s="172" t="str">
        <f t="array" ref="C254">IF($A254="","",IF(INDEX('主表 Stock_Transaction_Log'!$F:$F,$A254)=0,"",INDEX('主表 Stock_Transaction_Log'!$F:$F,$A254)))</f>
        <v/>
      </c>
      <c r="D254" s="172" t="str">
        <f t="array" ref="D254">IF($A254="","",INDEX('主表 Stock_Transaction_Log'!$G:$G,$A254))</f>
        <v/>
      </c>
      <c r="E254" s="172" t="str">
        <f t="array" ref="E254">IF($A254="","",INDEX('主表 Stock_Transaction_Log'!$H:$H,$A254))</f>
        <v/>
      </c>
      <c r="F254" s="172" t="str">
        <f t="array" ref="F254">IF($A254="","",INDEX('主表 Stock_Transaction_Log'!$I:$I,$A254))</f>
        <v/>
      </c>
      <c r="G254" s="172" t="str">
        <f t="array" ref="G254">IF($A254="","",IF(INDEX('主表 Stock_Transaction_Log'!$R:$R,$A254)=0,"",INDEX('主表 Stock_Transaction_Log'!$R:$R,$A254)))</f>
        <v/>
      </c>
      <c r="H254" s="172" t="str">
        <f t="array" ref="H254">IF($A254="","",SUMIF('主表 Stock_Transaction_Log'!$T:$T,INDEX('主表 Stock_Transaction_Log'!$T:$T,$A254),'主表 Stock_Transaction_Log'!$S:$S)+SUMIF('主表 Stock_Transaction_Log'!$AB:$AB,INDEX('主表 Stock_Transaction_Log'!$T:$T,$A254),'主表 Stock_Transaction_Log'!$AC:$AC))</f>
        <v/>
      </c>
      <c r="I254" s="172" t="str">
        <f t="shared" si="1"/>
        <v/>
      </c>
      <c r="J254" s="172" t="str">
        <f t="shared" si="2"/>
        <v/>
      </c>
      <c r="K254" s="172" t="str">
        <f t="shared" si="3"/>
        <v/>
      </c>
      <c r="L254" s="172" t="str">
        <f t="array" ref="L254">IF($A254="","",INDEX('主表 Stock_Transaction_Log'!$P:$P,$A254))</f>
        <v/>
      </c>
      <c r="M254" s="57" t="str">
        <f>IF($A254="","",IF($H254&lt;=0,0,SUMIFS('主表 Stock_Transaction_Log'!$K$2:$K1000,'主表 Stock_Transaction_Log'!$C$2:$C1000,"Prepared",'主表 Stock_Transaction_Log'!$L$2:$L1000,$B254,'主表 Stock_Transaction_Log'!$F$2:$F1000,$C254,'主表 Stock_Transaction_Log'!$G$2:$G1000,$D254,'主表 Stock_Transaction_Log'!$P$2:$P1000,$L254)))</f>
        <v/>
      </c>
      <c r="N254" s="172"/>
      <c r="O254" s="172" t="str">
        <f t="shared" si="4"/>
        <v/>
      </c>
      <c r="P254" s="172" t="str">
        <f t="shared" si="5"/>
        <v/>
      </c>
      <c r="Q254" s="172" t="str">
        <f t="shared" si="9"/>
        <v/>
      </c>
      <c r="R254" s="172" t="str">
        <f t="shared" si="7"/>
        <v/>
      </c>
      <c r="S254" s="172" t="str">
        <f t="shared" si="8"/>
        <v/>
      </c>
    </row>
    <row r="255">
      <c r="A255" s="172" t="str">
        <f>IF('主表 Stock_Transaction_Log'!$T255="","",IF(COUNTIF('主表 Stock_Transaction_Log'!$T$2:$T255,'主表 Stock_Transaction_Log'!$T255)=1,ROW('主表 Stock_Transaction_Log'!$T255),""))</f>
        <v/>
      </c>
      <c r="B255" s="172" t="str">
        <f t="array" ref="B255">IF($A255="","",INDEX('主表 Stock_Transaction_Log'!$Q:$Q,$A255))</f>
        <v/>
      </c>
      <c r="C255" s="172" t="str">
        <f t="array" ref="C255">IF($A255="","",IF(INDEX('主表 Stock_Transaction_Log'!$F:$F,$A255)=0,"",INDEX('主表 Stock_Transaction_Log'!$F:$F,$A255)))</f>
        <v/>
      </c>
      <c r="D255" s="172" t="str">
        <f t="array" ref="D255">IF($A255="","",INDEX('主表 Stock_Transaction_Log'!$G:$G,$A255))</f>
        <v/>
      </c>
      <c r="E255" s="172" t="str">
        <f t="array" ref="E255">IF($A255="","",INDEX('主表 Stock_Transaction_Log'!$H:$H,$A255))</f>
        <v/>
      </c>
      <c r="F255" s="172" t="str">
        <f t="array" ref="F255">IF($A255="","",INDEX('主表 Stock_Transaction_Log'!$I:$I,$A255))</f>
        <v/>
      </c>
      <c r="G255" s="172" t="str">
        <f t="array" ref="G255">IF($A255="","",IF(INDEX('主表 Stock_Transaction_Log'!$R:$R,$A255)=0,"",INDEX('主表 Stock_Transaction_Log'!$R:$R,$A255)))</f>
        <v/>
      </c>
      <c r="H255" s="172" t="str">
        <f t="array" ref="H255">IF($A255="","",SUMIF('主表 Stock_Transaction_Log'!$T:$T,INDEX('主表 Stock_Transaction_Log'!$T:$T,$A255),'主表 Stock_Transaction_Log'!$S:$S)+SUMIF('主表 Stock_Transaction_Log'!$AB:$AB,INDEX('主表 Stock_Transaction_Log'!$T:$T,$A255),'主表 Stock_Transaction_Log'!$AC:$AC))</f>
        <v/>
      </c>
      <c r="I255" s="172" t="str">
        <f t="shared" si="1"/>
        <v/>
      </c>
      <c r="J255" s="172" t="str">
        <f t="shared" si="2"/>
        <v/>
      </c>
      <c r="K255" s="172" t="str">
        <f t="shared" si="3"/>
        <v/>
      </c>
      <c r="L255" s="172" t="str">
        <f t="array" ref="L255">IF($A255="","",INDEX('主表 Stock_Transaction_Log'!$P:$P,$A255))</f>
        <v/>
      </c>
      <c r="M255" s="57" t="str">
        <f>IF($A255="","",IF($H255&lt;=0,0,SUMIFS('主表 Stock_Transaction_Log'!$K$2:$K1000,'主表 Stock_Transaction_Log'!$C$2:$C1000,"Prepared",'主表 Stock_Transaction_Log'!$L$2:$L1000,$B255,'主表 Stock_Transaction_Log'!$F$2:$F1000,$C255,'主表 Stock_Transaction_Log'!$G$2:$G1000,$D255,'主表 Stock_Transaction_Log'!$P$2:$P1000,$L255)))</f>
        <v/>
      </c>
      <c r="N255" s="172"/>
      <c r="O255" s="172" t="str">
        <f t="shared" si="4"/>
        <v/>
      </c>
      <c r="P255" s="172" t="str">
        <f t="shared" si="5"/>
        <v/>
      </c>
      <c r="Q255" s="172" t="str">
        <f t="shared" si="9"/>
        <v/>
      </c>
      <c r="R255" s="172" t="str">
        <f t="shared" si="7"/>
        <v/>
      </c>
      <c r="S255" s="172" t="str">
        <f t="shared" si="8"/>
        <v/>
      </c>
    </row>
    <row r="256">
      <c r="A256" s="172" t="str">
        <f>IF('主表 Stock_Transaction_Log'!$T256="","",IF(COUNTIF('主表 Stock_Transaction_Log'!$T$2:$T256,'主表 Stock_Transaction_Log'!$T256)=1,ROW('主表 Stock_Transaction_Log'!$T256),""))</f>
        <v/>
      </c>
      <c r="B256" s="172" t="str">
        <f t="array" ref="B256">IF($A256="","",INDEX('主表 Stock_Transaction_Log'!$Q:$Q,$A256))</f>
        <v/>
      </c>
      <c r="C256" s="172" t="str">
        <f t="array" ref="C256">IF($A256="","",IF(INDEX('主表 Stock_Transaction_Log'!$F:$F,$A256)=0,"",INDEX('主表 Stock_Transaction_Log'!$F:$F,$A256)))</f>
        <v/>
      </c>
      <c r="D256" s="172" t="str">
        <f t="array" ref="D256">IF($A256="","",INDEX('主表 Stock_Transaction_Log'!$G:$G,$A256))</f>
        <v/>
      </c>
      <c r="E256" s="172" t="str">
        <f t="array" ref="E256">IF($A256="","",INDEX('主表 Stock_Transaction_Log'!$H:$H,$A256))</f>
        <v/>
      </c>
      <c r="F256" s="172" t="str">
        <f t="array" ref="F256">IF($A256="","",INDEX('主表 Stock_Transaction_Log'!$I:$I,$A256))</f>
        <v/>
      </c>
      <c r="G256" s="172" t="str">
        <f t="array" ref="G256">IF($A256="","",IF(INDEX('主表 Stock_Transaction_Log'!$R:$R,$A256)=0,"",INDEX('主表 Stock_Transaction_Log'!$R:$R,$A256)))</f>
        <v/>
      </c>
      <c r="H256" s="172" t="str">
        <f t="array" ref="H256">IF($A256="","",SUMIF('主表 Stock_Transaction_Log'!$T:$T,INDEX('主表 Stock_Transaction_Log'!$T:$T,$A256),'主表 Stock_Transaction_Log'!$S:$S)+SUMIF('主表 Stock_Transaction_Log'!$AB:$AB,INDEX('主表 Stock_Transaction_Log'!$T:$T,$A256),'主表 Stock_Transaction_Log'!$AC:$AC))</f>
        <v/>
      </c>
      <c r="I256" s="172" t="str">
        <f t="shared" si="1"/>
        <v/>
      </c>
      <c r="J256" s="172" t="str">
        <f t="shared" si="2"/>
        <v/>
      </c>
      <c r="K256" s="172" t="str">
        <f t="shared" si="3"/>
        <v/>
      </c>
      <c r="L256" s="172" t="str">
        <f t="array" ref="L256">IF($A256="","",INDEX('主表 Stock_Transaction_Log'!$P:$P,$A256))</f>
        <v/>
      </c>
      <c r="M256" s="57" t="str">
        <f>IF($A256="","",IF($H256&lt;=0,0,SUMIFS('主表 Stock_Transaction_Log'!$K$2:$K1000,'主表 Stock_Transaction_Log'!$C$2:$C1000,"Prepared",'主表 Stock_Transaction_Log'!$L$2:$L1000,$B256,'主表 Stock_Transaction_Log'!$F$2:$F1000,$C256,'主表 Stock_Transaction_Log'!$G$2:$G1000,$D256,'主表 Stock_Transaction_Log'!$P$2:$P1000,$L256)))</f>
        <v/>
      </c>
      <c r="N256" s="172"/>
      <c r="O256" s="172" t="str">
        <f t="shared" si="4"/>
        <v/>
      </c>
      <c r="P256" s="172" t="str">
        <f t="shared" si="5"/>
        <v/>
      </c>
      <c r="Q256" s="172" t="str">
        <f t="shared" si="9"/>
        <v/>
      </c>
      <c r="R256" s="172" t="str">
        <f t="shared" si="7"/>
        <v/>
      </c>
      <c r="S256" s="172" t="str">
        <f t="shared" si="8"/>
        <v/>
      </c>
    </row>
    <row r="257">
      <c r="A257" s="172" t="str">
        <f>IF('主表 Stock_Transaction_Log'!$T257="","",IF(COUNTIF('主表 Stock_Transaction_Log'!$T$2:$T257,'主表 Stock_Transaction_Log'!$T257)=1,ROW('主表 Stock_Transaction_Log'!$T257),""))</f>
        <v/>
      </c>
      <c r="B257" s="172" t="str">
        <f t="array" ref="B257">IF($A257="","",INDEX('主表 Stock_Transaction_Log'!$Q:$Q,$A257))</f>
        <v/>
      </c>
      <c r="C257" s="172" t="str">
        <f t="array" ref="C257">IF($A257="","",IF(INDEX('主表 Stock_Transaction_Log'!$F:$F,$A257)=0,"",INDEX('主表 Stock_Transaction_Log'!$F:$F,$A257)))</f>
        <v/>
      </c>
      <c r="D257" s="172" t="str">
        <f t="array" ref="D257">IF($A257="","",INDEX('主表 Stock_Transaction_Log'!$G:$G,$A257))</f>
        <v/>
      </c>
      <c r="E257" s="172" t="str">
        <f t="array" ref="E257">IF($A257="","",INDEX('主表 Stock_Transaction_Log'!$H:$H,$A257))</f>
        <v/>
      </c>
      <c r="F257" s="172" t="str">
        <f t="array" ref="F257">IF($A257="","",INDEX('主表 Stock_Transaction_Log'!$I:$I,$A257))</f>
        <v/>
      </c>
      <c r="G257" s="172" t="str">
        <f t="array" ref="G257">IF($A257="","",IF(INDEX('主表 Stock_Transaction_Log'!$R:$R,$A257)=0,"",INDEX('主表 Stock_Transaction_Log'!$R:$R,$A257)))</f>
        <v/>
      </c>
      <c r="H257" s="172" t="str">
        <f t="array" ref="H257">IF($A257="","",SUMIF('主表 Stock_Transaction_Log'!$T:$T,INDEX('主表 Stock_Transaction_Log'!$T:$T,$A257),'主表 Stock_Transaction_Log'!$S:$S)+SUMIF('主表 Stock_Transaction_Log'!$AB:$AB,INDEX('主表 Stock_Transaction_Log'!$T:$T,$A257),'主表 Stock_Transaction_Log'!$AC:$AC))</f>
        <v/>
      </c>
      <c r="I257" s="172" t="str">
        <f t="shared" si="1"/>
        <v/>
      </c>
      <c r="J257" s="172" t="str">
        <f t="shared" si="2"/>
        <v/>
      </c>
      <c r="K257" s="172" t="str">
        <f t="shared" si="3"/>
        <v/>
      </c>
      <c r="L257" s="172" t="str">
        <f t="array" ref="L257">IF($A257="","",INDEX('主表 Stock_Transaction_Log'!$P:$P,$A257))</f>
        <v/>
      </c>
      <c r="M257" s="57" t="str">
        <f>IF($A257="","",IF($H257&lt;=0,0,SUMIFS('主表 Stock_Transaction_Log'!$K$2:$K1000,'主表 Stock_Transaction_Log'!$C$2:$C1000,"Prepared",'主表 Stock_Transaction_Log'!$L$2:$L1000,$B257,'主表 Stock_Transaction_Log'!$F$2:$F1000,$C257,'主表 Stock_Transaction_Log'!$G$2:$G1000,$D257,'主表 Stock_Transaction_Log'!$P$2:$P1000,$L257)))</f>
        <v/>
      </c>
      <c r="N257" s="172"/>
      <c r="O257" s="172" t="str">
        <f t="shared" si="4"/>
        <v/>
      </c>
      <c r="P257" s="172" t="str">
        <f t="shared" si="5"/>
        <v/>
      </c>
      <c r="Q257" s="172" t="str">
        <f t="shared" si="9"/>
        <v/>
      </c>
      <c r="R257" s="172" t="str">
        <f t="shared" si="7"/>
        <v/>
      </c>
      <c r="S257" s="172" t="str">
        <f t="shared" si="8"/>
        <v/>
      </c>
    </row>
    <row r="258">
      <c r="A258" s="172" t="str">
        <f>IF('主表 Stock_Transaction_Log'!$T258="","",IF(COUNTIF('主表 Stock_Transaction_Log'!$T$2:$T258,'主表 Stock_Transaction_Log'!$T258)=1,ROW('主表 Stock_Transaction_Log'!$T258),""))</f>
        <v/>
      </c>
      <c r="B258" s="172" t="str">
        <f t="array" ref="B258">IF($A258="","",INDEX('主表 Stock_Transaction_Log'!$Q:$Q,$A258))</f>
        <v/>
      </c>
      <c r="C258" s="172" t="str">
        <f t="array" ref="C258">IF($A258="","",IF(INDEX('主表 Stock_Transaction_Log'!$F:$F,$A258)=0,"",INDEX('主表 Stock_Transaction_Log'!$F:$F,$A258)))</f>
        <v/>
      </c>
      <c r="D258" s="172" t="str">
        <f t="array" ref="D258">IF($A258="","",INDEX('主表 Stock_Transaction_Log'!$G:$G,$A258))</f>
        <v/>
      </c>
      <c r="E258" s="172" t="str">
        <f t="array" ref="E258">IF($A258="","",INDEX('主表 Stock_Transaction_Log'!$H:$H,$A258))</f>
        <v/>
      </c>
      <c r="F258" s="172" t="str">
        <f t="array" ref="F258">IF($A258="","",INDEX('主表 Stock_Transaction_Log'!$I:$I,$A258))</f>
        <v/>
      </c>
      <c r="G258" s="172" t="str">
        <f t="array" ref="G258">IF($A258="","",IF(INDEX('主表 Stock_Transaction_Log'!$R:$R,$A258)=0,"",INDEX('主表 Stock_Transaction_Log'!$R:$R,$A258)))</f>
        <v/>
      </c>
      <c r="H258" s="172" t="str">
        <f t="array" ref="H258">IF($A258="","",SUMIF('主表 Stock_Transaction_Log'!$T:$T,INDEX('主表 Stock_Transaction_Log'!$T:$T,$A258),'主表 Stock_Transaction_Log'!$S:$S)+SUMIF('主表 Stock_Transaction_Log'!$AB:$AB,INDEX('主表 Stock_Transaction_Log'!$T:$T,$A258),'主表 Stock_Transaction_Log'!$AC:$AC))</f>
        <v/>
      </c>
      <c r="I258" s="172" t="str">
        <f t="shared" si="1"/>
        <v/>
      </c>
      <c r="J258" s="172" t="str">
        <f t="shared" si="2"/>
        <v/>
      </c>
      <c r="K258" s="172" t="str">
        <f t="shared" si="3"/>
        <v/>
      </c>
      <c r="L258" s="172" t="str">
        <f t="array" ref="L258">IF($A258="","",INDEX('主表 Stock_Transaction_Log'!$P:$P,$A258))</f>
        <v/>
      </c>
      <c r="M258" s="57" t="str">
        <f>IF($A258="","",IF($H258&lt;=0,0,SUMIFS('主表 Stock_Transaction_Log'!$K$2:$K1000,'主表 Stock_Transaction_Log'!$C$2:$C1000,"Prepared",'主表 Stock_Transaction_Log'!$L$2:$L1000,$B258,'主表 Stock_Transaction_Log'!$F$2:$F1000,$C258,'主表 Stock_Transaction_Log'!$G$2:$G1000,$D258,'主表 Stock_Transaction_Log'!$P$2:$P1000,$L258)))</f>
        <v/>
      </c>
      <c r="N258" s="172"/>
      <c r="O258" s="172" t="str">
        <f t="shared" si="4"/>
        <v/>
      </c>
      <c r="P258" s="172" t="str">
        <f t="shared" si="5"/>
        <v/>
      </c>
      <c r="Q258" s="172" t="str">
        <f t="shared" si="9"/>
        <v/>
      </c>
      <c r="R258" s="172" t="str">
        <f t="shared" si="7"/>
        <v/>
      </c>
      <c r="S258" s="172" t="str">
        <f t="shared" si="8"/>
        <v/>
      </c>
    </row>
    <row r="259">
      <c r="A259" s="172" t="str">
        <f>IF('主表 Stock_Transaction_Log'!$T259="","",IF(COUNTIF('主表 Stock_Transaction_Log'!$T$2:$T259,'主表 Stock_Transaction_Log'!$T259)=1,ROW('主表 Stock_Transaction_Log'!$T259),""))</f>
        <v/>
      </c>
      <c r="B259" s="172" t="str">
        <f t="array" ref="B259">IF($A259="","",INDEX('主表 Stock_Transaction_Log'!$Q:$Q,$A259))</f>
        <v/>
      </c>
      <c r="C259" s="172" t="str">
        <f t="array" ref="C259">IF($A259="","",IF(INDEX('主表 Stock_Transaction_Log'!$F:$F,$A259)=0,"",INDEX('主表 Stock_Transaction_Log'!$F:$F,$A259)))</f>
        <v/>
      </c>
      <c r="D259" s="172" t="str">
        <f t="array" ref="D259">IF($A259="","",INDEX('主表 Stock_Transaction_Log'!$G:$G,$A259))</f>
        <v/>
      </c>
      <c r="E259" s="172" t="str">
        <f t="array" ref="E259">IF($A259="","",INDEX('主表 Stock_Transaction_Log'!$H:$H,$A259))</f>
        <v/>
      </c>
      <c r="F259" s="172" t="str">
        <f t="array" ref="F259">IF($A259="","",INDEX('主表 Stock_Transaction_Log'!$I:$I,$A259))</f>
        <v/>
      </c>
      <c r="G259" s="172" t="str">
        <f t="array" ref="G259">IF($A259="","",IF(INDEX('主表 Stock_Transaction_Log'!$R:$R,$A259)=0,"",INDEX('主表 Stock_Transaction_Log'!$R:$R,$A259)))</f>
        <v/>
      </c>
      <c r="H259" s="172" t="str">
        <f t="array" ref="H259">IF($A259="","",SUMIF('主表 Stock_Transaction_Log'!$T:$T,INDEX('主表 Stock_Transaction_Log'!$T:$T,$A259),'主表 Stock_Transaction_Log'!$S:$S)+SUMIF('主表 Stock_Transaction_Log'!$AB:$AB,INDEX('主表 Stock_Transaction_Log'!$T:$T,$A259),'主表 Stock_Transaction_Log'!$AC:$AC))</f>
        <v/>
      </c>
      <c r="I259" s="172" t="str">
        <f t="shared" si="1"/>
        <v/>
      </c>
      <c r="J259" s="172" t="str">
        <f t="shared" si="2"/>
        <v/>
      </c>
      <c r="K259" s="172" t="str">
        <f t="shared" si="3"/>
        <v/>
      </c>
      <c r="L259" s="172" t="str">
        <f t="array" ref="L259">IF($A259="","",INDEX('主表 Stock_Transaction_Log'!$P:$P,$A259))</f>
        <v/>
      </c>
      <c r="M259" s="57" t="str">
        <f>IF($A259="","",IF($H259&lt;=0,0,SUMIFS('主表 Stock_Transaction_Log'!$K$2:$K1000,'主表 Stock_Transaction_Log'!$C$2:$C1000,"Prepared",'主表 Stock_Transaction_Log'!$L$2:$L1000,$B259,'主表 Stock_Transaction_Log'!$F$2:$F1000,$C259,'主表 Stock_Transaction_Log'!$G$2:$G1000,$D259,'主表 Stock_Transaction_Log'!$P$2:$P1000,$L259)))</f>
        <v/>
      </c>
      <c r="N259" s="172"/>
      <c r="O259" s="172" t="str">
        <f t="shared" si="4"/>
        <v/>
      </c>
      <c r="P259" s="172" t="str">
        <f t="shared" si="5"/>
        <v/>
      </c>
      <c r="Q259" s="172" t="str">
        <f t="shared" si="9"/>
        <v/>
      </c>
      <c r="R259" s="172" t="str">
        <f t="shared" si="7"/>
        <v/>
      </c>
      <c r="S259" s="172" t="str">
        <f t="shared" si="8"/>
        <v/>
      </c>
    </row>
    <row r="260">
      <c r="A260" s="172" t="str">
        <f>IF('主表 Stock_Transaction_Log'!$T260="","",IF(COUNTIF('主表 Stock_Transaction_Log'!$T$2:$T260,'主表 Stock_Transaction_Log'!$T260)=1,ROW('主表 Stock_Transaction_Log'!$T260),""))</f>
        <v/>
      </c>
      <c r="B260" s="172" t="str">
        <f t="array" ref="B260">IF($A260="","",INDEX('主表 Stock_Transaction_Log'!$Q:$Q,$A260))</f>
        <v/>
      </c>
      <c r="C260" s="172" t="str">
        <f t="array" ref="C260">IF($A260="","",IF(INDEX('主表 Stock_Transaction_Log'!$F:$F,$A260)=0,"",INDEX('主表 Stock_Transaction_Log'!$F:$F,$A260)))</f>
        <v/>
      </c>
      <c r="D260" s="172" t="str">
        <f t="array" ref="D260">IF($A260="","",INDEX('主表 Stock_Transaction_Log'!$G:$G,$A260))</f>
        <v/>
      </c>
      <c r="E260" s="172" t="str">
        <f t="array" ref="E260">IF($A260="","",INDEX('主表 Stock_Transaction_Log'!$H:$H,$A260))</f>
        <v/>
      </c>
      <c r="F260" s="172" t="str">
        <f t="array" ref="F260">IF($A260="","",INDEX('主表 Stock_Transaction_Log'!$I:$I,$A260))</f>
        <v/>
      </c>
      <c r="G260" s="172" t="str">
        <f t="array" ref="G260">IF($A260="","",IF(INDEX('主表 Stock_Transaction_Log'!$R:$R,$A260)=0,"",INDEX('主表 Stock_Transaction_Log'!$R:$R,$A260)))</f>
        <v/>
      </c>
      <c r="H260" s="172" t="str">
        <f t="array" ref="H260">IF($A260="","",SUMIF('主表 Stock_Transaction_Log'!$T:$T,INDEX('主表 Stock_Transaction_Log'!$T:$T,$A260),'主表 Stock_Transaction_Log'!$S:$S)+SUMIF('主表 Stock_Transaction_Log'!$AB:$AB,INDEX('主表 Stock_Transaction_Log'!$T:$T,$A260),'主表 Stock_Transaction_Log'!$AC:$AC))</f>
        <v/>
      </c>
      <c r="I260" s="172" t="str">
        <f t="shared" si="1"/>
        <v/>
      </c>
      <c r="J260" s="172" t="str">
        <f t="shared" si="2"/>
        <v/>
      </c>
      <c r="K260" s="172" t="str">
        <f t="shared" si="3"/>
        <v/>
      </c>
      <c r="L260" s="172" t="str">
        <f t="array" ref="L260">IF($A260="","",INDEX('主表 Stock_Transaction_Log'!$P:$P,$A260))</f>
        <v/>
      </c>
      <c r="M260" s="57" t="str">
        <f>IF($A260="","",IF($H260&lt;=0,0,SUMIFS('主表 Stock_Transaction_Log'!$K$2:$K1000,'主表 Stock_Transaction_Log'!$C$2:$C1000,"Prepared",'主表 Stock_Transaction_Log'!$L$2:$L1000,$B260,'主表 Stock_Transaction_Log'!$F$2:$F1000,$C260,'主表 Stock_Transaction_Log'!$G$2:$G1000,$D260,'主表 Stock_Transaction_Log'!$P$2:$P1000,$L260)))</f>
        <v/>
      </c>
      <c r="N260" s="172"/>
      <c r="O260" s="172" t="str">
        <f t="shared" si="4"/>
        <v/>
      </c>
      <c r="P260" s="172" t="str">
        <f t="shared" si="5"/>
        <v/>
      </c>
      <c r="Q260" s="172" t="str">
        <f t="shared" si="9"/>
        <v/>
      </c>
      <c r="R260" s="172" t="str">
        <f t="shared" si="7"/>
        <v/>
      </c>
      <c r="S260" s="172" t="str">
        <f t="shared" si="8"/>
        <v/>
      </c>
    </row>
    <row r="261">
      <c r="A261" s="172" t="str">
        <f>IF('主表 Stock_Transaction_Log'!$T261="","",IF(COUNTIF('主表 Stock_Transaction_Log'!$T$2:$T261,'主表 Stock_Transaction_Log'!$T261)=1,ROW('主表 Stock_Transaction_Log'!$T261),""))</f>
        <v/>
      </c>
      <c r="B261" s="172" t="str">
        <f t="array" ref="B261">IF($A261="","",INDEX('主表 Stock_Transaction_Log'!$Q:$Q,$A261))</f>
        <v/>
      </c>
      <c r="C261" s="172" t="str">
        <f t="array" ref="C261">IF($A261="","",IF(INDEX('主表 Stock_Transaction_Log'!$F:$F,$A261)=0,"",INDEX('主表 Stock_Transaction_Log'!$F:$F,$A261)))</f>
        <v/>
      </c>
      <c r="D261" s="172" t="str">
        <f t="array" ref="D261">IF($A261="","",INDEX('主表 Stock_Transaction_Log'!$G:$G,$A261))</f>
        <v/>
      </c>
      <c r="E261" s="172" t="str">
        <f t="array" ref="E261">IF($A261="","",INDEX('主表 Stock_Transaction_Log'!$H:$H,$A261))</f>
        <v/>
      </c>
      <c r="F261" s="172" t="str">
        <f t="array" ref="F261">IF($A261="","",INDEX('主表 Stock_Transaction_Log'!$I:$I,$A261))</f>
        <v/>
      </c>
      <c r="G261" s="172" t="str">
        <f t="array" ref="G261">IF($A261="","",IF(INDEX('主表 Stock_Transaction_Log'!$R:$R,$A261)=0,"",INDEX('主表 Stock_Transaction_Log'!$R:$R,$A261)))</f>
        <v/>
      </c>
      <c r="H261" s="172" t="str">
        <f t="array" ref="H261">IF($A261="","",SUMIF('主表 Stock_Transaction_Log'!$T:$T,INDEX('主表 Stock_Transaction_Log'!$T:$T,$A261),'主表 Stock_Transaction_Log'!$S:$S)+SUMIF('主表 Stock_Transaction_Log'!$AB:$AB,INDEX('主表 Stock_Transaction_Log'!$T:$T,$A261),'主表 Stock_Transaction_Log'!$AC:$AC))</f>
        <v/>
      </c>
      <c r="I261" s="172" t="str">
        <f t="shared" si="1"/>
        <v/>
      </c>
      <c r="J261" s="172" t="str">
        <f t="shared" si="2"/>
        <v/>
      </c>
      <c r="K261" s="172" t="str">
        <f t="shared" si="3"/>
        <v/>
      </c>
      <c r="L261" s="172" t="str">
        <f t="array" ref="L261">IF($A261="","",INDEX('主表 Stock_Transaction_Log'!$P:$P,$A261))</f>
        <v/>
      </c>
      <c r="M261" s="57" t="str">
        <f>IF($A261="","",IF($H261&lt;=0,0,SUMIFS('主表 Stock_Transaction_Log'!$K$2:$K1000,'主表 Stock_Transaction_Log'!$C$2:$C1000,"Prepared",'主表 Stock_Transaction_Log'!$L$2:$L1000,$B261,'主表 Stock_Transaction_Log'!$F$2:$F1000,$C261,'主表 Stock_Transaction_Log'!$G$2:$G1000,$D261,'主表 Stock_Transaction_Log'!$P$2:$P1000,$L261)))</f>
        <v/>
      </c>
      <c r="N261" s="172"/>
      <c r="O261" s="172" t="str">
        <f t="shared" si="4"/>
        <v/>
      </c>
      <c r="P261" s="172" t="str">
        <f t="shared" si="5"/>
        <v/>
      </c>
      <c r="Q261" s="172" t="str">
        <f t="shared" si="9"/>
        <v/>
      </c>
      <c r="R261" s="172" t="str">
        <f t="shared" si="7"/>
        <v/>
      </c>
      <c r="S261" s="172" t="str">
        <f t="shared" si="8"/>
        <v/>
      </c>
    </row>
    <row r="262">
      <c r="A262" s="172" t="str">
        <f>IF('主表 Stock_Transaction_Log'!$T262="","",IF(COUNTIF('主表 Stock_Transaction_Log'!$T$2:$T262,'主表 Stock_Transaction_Log'!$T262)=1,ROW('主表 Stock_Transaction_Log'!$T262),""))</f>
        <v/>
      </c>
      <c r="B262" s="172" t="str">
        <f t="array" ref="B262">IF($A262="","",INDEX('主表 Stock_Transaction_Log'!$Q:$Q,$A262))</f>
        <v/>
      </c>
      <c r="C262" s="172" t="str">
        <f t="array" ref="C262">IF($A262="","",IF(INDEX('主表 Stock_Transaction_Log'!$F:$F,$A262)=0,"",INDEX('主表 Stock_Transaction_Log'!$F:$F,$A262)))</f>
        <v/>
      </c>
      <c r="D262" s="172" t="str">
        <f t="array" ref="D262">IF($A262="","",INDEX('主表 Stock_Transaction_Log'!$G:$G,$A262))</f>
        <v/>
      </c>
      <c r="E262" s="172" t="str">
        <f t="array" ref="E262">IF($A262="","",INDEX('主表 Stock_Transaction_Log'!$H:$H,$A262))</f>
        <v/>
      </c>
      <c r="F262" s="172" t="str">
        <f t="array" ref="F262">IF($A262="","",INDEX('主表 Stock_Transaction_Log'!$I:$I,$A262))</f>
        <v/>
      </c>
      <c r="G262" s="172" t="str">
        <f t="array" ref="G262">IF($A262="","",IF(INDEX('主表 Stock_Transaction_Log'!$R:$R,$A262)=0,"",INDEX('主表 Stock_Transaction_Log'!$R:$R,$A262)))</f>
        <v/>
      </c>
      <c r="H262" s="172" t="str">
        <f t="array" ref="H262">IF($A262="","",SUMIF('主表 Stock_Transaction_Log'!$T:$T,INDEX('主表 Stock_Transaction_Log'!$T:$T,$A262),'主表 Stock_Transaction_Log'!$S:$S)+SUMIF('主表 Stock_Transaction_Log'!$AB:$AB,INDEX('主表 Stock_Transaction_Log'!$T:$T,$A262),'主表 Stock_Transaction_Log'!$AC:$AC))</f>
        <v/>
      </c>
      <c r="I262" s="172" t="str">
        <f t="shared" si="1"/>
        <v/>
      </c>
      <c r="J262" s="172" t="str">
        <f t="shared" si="2"/>
        <v/>
      </c>
      <c r="K262" s="172" t="str">
        <f t="shared" si="3"/>
        <v/>
      </c>
      <c r="L262" s="172" t="str">
        <f t="array" ref="L262">IF($A262="","",INDEX('主表 Stock_Transaction_Log'!$P:$P,$A262))</f>
        <v/>
      </c>
      <c r="M262" s="57" t="str">
        <f>IF($A262="","",IF($H262&lt;=0,0,SUMIFS('主表 Stock_Transaction_Log'!$K$2:$K1000,'主表 Stock_Transaction_Log'!$C$2:$C1000,"Prepared",'主表 Stock_Transaction_Log'!$L$2:$L1000,$B262,'主表 Stock_Transaction_Log'!$F$2:$F1000,$C262,'主表 Stock_Transaction_Log'!$G$2:$G1000,$D262,'主表 Stock_Transaction_Log'!$P$2:$P1000,$L262)))</f>
        <v/>
      </c>
      <c r="N262" s="172"/>
      <c r="O262" s="172" t="str">
        <f t="shared" si="4"/>
        <v/>
      </c>
      <c r="P262" s="172" t="str">
        <f t="shared" si="5"/>
        <v/>
      </c>
      <c r="Q262" s="172" t="str">
        <f t="shared" si="9"/>
        <v/>
      </c>
      <c r="R262" s="172" t="str">
        <f t="shared" si="7"/>
        <v/>
      </c>
      <c r="S262" s="172" t="str">
        <f t="shared" si="8"/>
        <v/>
      </c>
    </row>
    <row r="263">
      <c r="A263" s="172" t="str">
        <f>IF('主表 Stock_Transaction_Log'!$T263="","",IF(COUNTIF('主表 Stock_Transaction_Log'!$T$2:$T263,'主表 Stock_Transaction_Log'!$T263)=1,ROW('主表 Stock_Transaction_Log'!$T263),""))</f>
        <v/>
      </c>
      <c r="B263" s="172" t="str">
        <f t="array" ref="B263">IF($A263="","",INDEX('主表 Stock_Transaction_Log'!$Q:$Q,$A263))</f>
        <v/>
      </c>
      <c r="C263" s="172" t="str">
        <f t="array" ref="C263">IF($A263="","",IF(INDEX('主表 Stock_Transaction_Log'!$F:$F,$A263)=0,"",INDEX('主表 Stock_Transaction_Log'!$F:$F,$A263)))</f>
        <v/>
      </c>
      <c r="D263" s="172" t="str">
        <f t="array" ref="D263">IF($A263="","",INDEX('主表 Stock_Transaction_Log'!$G:$G,$A263))</f>
        <v/>
      </c>
      <c r="E263" s="172" t="str">
        <f t="array" ref="E263">IF($A263="","",INDEX('主表 Stock_Transaction_Log'!$H:$H,$A263))</f>
        <v/>
      </c>
      <c r="F263" s="172" t="str">
        <f t="array" ref="F263">IF($A263="","",INDEX('主表 Stock_Transaction_Log'!$I:$I,$A263))</f>
        <v/>
      </c>
      <c r="G263" s="172" t="str">
        <f t="array" ref="G263">IF($A263="","",IF(INDEX('主表 Stock_Transaction_Log'!$R:$R,$A263)=0,"",INDEX('主表 Stock_Transaction_Log'!$R:$R,$A263)))</f>
        <v/>
      </c>
      <c r="H263" s="172" t="str">
        <f t="array" ref="H263">IF($A263="","",SUMIF('主表 Stock_Transaction_Log'!$T:$T,INDEX('主表 Stock_Transaction_Log'!$T:$T,$A263),'主表 Stock_Transaction_Log'!$S:$S)+SUMIF('主表 Stock_Transaction_Log'!$AB:$AB,INDEX('主表 Stock_Transaction_Log'!$T:$T,$A263),'主表 Stock_Transaction_Log'!$AC:$AC))</f>
        <v/>
      </c>
      <c r="I263" s="172" t="str">
        <f t="shared" si="1"/>
        <v/>
      </c>
      <c r="J263" s="172" t="str">
        <f t="shared" si="2"/>
        <v/>
      </c>
      <c r="K263" s="172" t="str">
        <f t="shared" si="3"/>
        <v/>
      </c>
      <c r="L263" s="172" t="str">
        <f t="array" ref="L263">IF($A263="","",INDEX('主表 Stock_Transaction_Log'!$P:$P,$A263))</f>
        <v/>
      </c>
      <c r="M263" s="57" t="str">
        <f>IF($A263="","",IF($H263&lt;=0,0,SUMIFS('主表 Stock_Transaction_Log'!$K$2:$K1000,'主表 Stock_Transaction_Log'!$C$2:$C1000,"Prepared",'主表 Stock_Transaction_Log'!$L$2:$L1000,$B263,'主表 Stock_Transaction_Log'!$F$2:$F1000,$C263,'主表 Stock_Transaction_Log'!$G$2:$G1000,$D263,'主表 Stock_Transaction_Log'!$P$2:$P1000,$L263)))</f>
        <v/>
      </c>
      <c r="N263" s="172"/>
      <c r="O263" s="172" t="str">
        <f t="shared" si="4"/>
        <v/>
      </c>
      <c r="P263" s="172" t="str">
        <f t="shared" si="5"/>
        <v/>
      </c>
      <c r="Q263" s="172" t="str">
        <f t="shared" si="9"/>
        <v/>
      </c>
      <c r="R263" s="172" t="str">
        <f t="shared" si="7"/>
        <v/>
      </c>
      <c r="S263" s="172" t="str">
        <f t="shared" si="8"/>
        <v/>
      </c>
    </row>
    <row r="264">
      <c r="A264" s="172" t="str">
        <f>IF('主表 Stock_Transaction_Log'!$T264="","",IF(COUNTIF('主表 Stock_Transaction_Log'!$T$2:$T264,'主表 Stock_Transaction_Log'!$T264)=1,ROW('主表 Stock_Transaction_Log'!$T264),""))</f>
        <v/>
      </c>
      <c r="B264" s="172" t="str">
        <f t="array" ref="B264">IF($A264="","",INDEX('主表 Stock_Transaction_Log'!$Q:$Q,$A264))</f>
        <v/>
      </c>
      <c r="C264" s="172" t="str">
        <f t="array" ref="C264">IF($A264="","",IF(INDEX('主表 Stock_Transaction_Log'!$F:$F,$A264)=0,"",INDEX('主表 Stock_Transaction_Log'!$F:$F,$A264)))</f>
        <v/>
      </c>
      <c r="D264" s="172" t="str">
        <f t="array" ref="D264">IF($A264="","",INDEX('主表 Stock_Transaction_Log'!$G:$G,$A264))</f>
        <v/>
      </c>
      <c r="E264" s="172" t="str">
        <f t="array" ref="E264">IF($A264="","",INDEX('主表 Stock_Transaction_Log'!$H:$H,$A264))</f>
        <v/>
      </c>
      <c r="F264" s="172" t="str">
        <f t="array" ref="F264">IF($A264="","",INDEX('主表 Stock_Transaction_Log'!$I:$I,$A264))</f>
        <v/>
      </c>
      <c r="G264" s="172" t="str">
        <f t="array" ref="G264">IF($A264="","",IF(INDEX('主表 Stock_Transaction_Log'!$R:$R,$A264)=0,"",INDEX('主表 Stock_Transaction_Log'!$R:$R,$A264)))</f>
        <v/>
      </c>
      <c r="H264" s="172" t="str">
        <f t="array" ref="H264">IF($A264="","",SUMIF('主表 Stock_Transaction_Log'!$T:$T,INDEX('主表 Stock_Transaction_Log'!$T:$T,$A264),'主表 Stock_Transaction_Log'!$S:$S)+SUMIF('主表 Stock_Transaction_Log'!$AB:$AB,INDEX('主表 Stock_Transaction_Log'!$T:$T,$A264),'主表 Stock_Transaction_Log'!$AC:$AC))</f>
        <v/>
      </c>
      <c r="I264" s="172" t="str">
        <f t="shared" si="1"/>
        <v/>
      </c>
      <c r="J264" s="172" t="str">
        <f t="shared" si="2"/>
        <v/>
      </c>
      <c r="K264" s="172" t="str">
        <f t="shared" si="3"/>
        <v/>
      </c>
      <c r="L264" s="172" t="str">
        <f t="array" ref="L264">IF($A264="","",INDEX('主表 Stock_Transaction_Log'!$P:$P,$A264))</f>
        <v/>
      </c>
      <c r="M264" s="57" t="str">
        <f>IF($A264="","",IF($H264&lt;=0,0,SUMIFS('主表 Stock_Transaction_Log'!$K$2:$K1000,'主表 Stock_Transaction_Log'!$C$2:$C1000,"Prepared",'主表 Stock_Transaction_Log'!$L$2:$L1000,$B264,'主表 Stock_Transaction_Log'!$F$2:$F1000,$C264,'主表 Stock_Transaction_Log'!$G$2:$G1000,$D264,'主表 Stock_Transaction_Log'!$P$2:$P1000,$L264)))</f>
        <v/>
      </c>
      <c r="N264" s="172"/>
      <c r="O264" s="172" t="str">
        <f t="shared" si="4"/>
        <v/>
      </c>
      <c r="P264" s="172" t="str">
        <f t="shared" si="5"/>
        <v/>
      </c>
      <c r="Q264" s="172" t="str">
        <f t="shared" si="9"/>
        <v/>
      </c>
      <c r="R264" s="172" t="str">
        <f t="shared" si="7"/>
        <v/>
      </c>
      <c r="S264" s="172" t="str">
        <f t="shared" si="8"/>
        <v/>
      </c>
    </row>
    <row r="265">
      <c r="A265" s="172" t="str">
        <f>IF('主表 Stock_Transaction_Log'!$T265="","",IF(COUNTIF('主表 Stock_Transaction_Log'!$T$2:$T265,'主表 Stock_Transaction_Log'!$T265)=1,ROW('主表 Stock_Transaction_Log'!$T265),""))</f>
        <v/>
      </c>
      <c r="B265" s="172" t="str">
        <f t="array" ref="B265">IF($A265="","",INDEX('主表 Stock_Transaction_Log'!$Q:$Q,$A265))</f>
        <v/>
      </c>
      <c r="C265" s="172" t="str">
        <f t="array" ref="C265">IF($A265="","",IF(INDEX('主表 Stock_Transaction_Log'!$F:$F,$A265)=0,"",INDEX('主表 Stock_Transaction_Log'!$F:$F,$A265)))</f>
        <v/>
      </c>
      <c r="D265" s="172" t="str">
        <f t="array" ref="D265">IF($A265="","",INDEX('主表 Stock_Transaction_Log'!$G:$G,$A265))</f>
        <v/>
      </c>
      <c r="E265" s="172" t="str">
        <f t="array" ref="E265">IF($A265="","",INDEX('主表 Stock_Transaction_Log'!$H:$H,$A265))</f>
        <v/>
      </c>
      <c r="F265" s="172" t="str">
        <f t="array" ref="F265">IF($A265="","",INDEX('主表 Stock_Transaction_Log'!$I:$I,$A265))</f>
        <v/>
      </c>
      <c r="G265" s="172" t="str">
        <f t="array" ref="G265">IF($A265="","",IF(INDEX('主表 Stock_Transaction_Log'!$R:$R,$A265)=0,"",INDEX('主表 Stock_Transaction_Log'!$R:$R,$A265)))</f>
        <v/>
      </c>
      <c r="H265" s="172" t="str">
        <f t="array" ref="H265">IF($A265="","",SUMIF('主表 Stock_Transaction_Log'!$T:$T,INDEX('主表 Stock_Transaction_Log'!$T:$T,$A265),'主表 Stock_Transaction_Log'!$S:$S)+SUMIF('主表 Stock_Transaction_Log'!$AB:$AB,INDEX('主表 Stock_Transaction_Log'!$T:$T,$A265),'主表 Stock_Transaction_Log'!$AC:$AC))</f>
        <v/>
      </c>
      <c r="I265" s="172" t="str">
        <f t="shared" si="1"/>
        <v/>
      </c>
      <c r="J265" s="172" t="str">
        <f t="shared" si="2"/>
        <v/>
      </c>
      <c r="K265" s="172" t="str">
        <f t="shared" si="3"/>
        <v/>
      </c>
      <c r="L265" s="172" t="str">
        <f t="array" ref="L265">IF($A265="","",INDEX('主表 Stock_Transaction_Log'!$P:$P,$A265))</f>
        <v/>
      </c>
      <c r="M265" s="57" t="str">
        <f>IF($A265="","",IF($H265&lt;=0,0,SUMIFS('主表 Stock_Transaction_Log'!$K$2:$K1000,'主表 Stock_Transaction_Log'!$C$2:$C1000,"Prepared",'主表 Stock_Transaction_Log'!$L$2:$L1000,$B265,'主表 Stock_Transaction_Log'!$F$2:$F1000,$C265,'主表 Stock_Transaction_Log'!$G$2:$G1000,$D265,'主表 Stock_Transaction_Log'!$P$2:$P1000,$L265)))</f>
        <v/>
      </c>
      <c r="N265" s="172"/>
      <c r="O265" s="172" t="str">
        <f t="shared" si="4"/>
        <v/>
      </c>
      <c r="P265" s="172" t="str">
        <f t="shared" si="5"/>
        <v/>
      </c>
      <c r="Q265" s="172" t="str">
        <f t="shared" si="9"/>
        <v/>
      </c>
      <c r="R265" s="172" t="str">
        <f t="shared" si="7"/>
        <v/>
      </c>
      <c r="S265" s="172" t="str">
        <f t="shared" si="8"/>
        <v/>
      </c>
    </row>
    <row r="266">
      <c r="A266" s="172" t="str">
        <f>IF('主表 Stock_Transaction_Log'!$T266="","",IF(COUNTIF('主表 Stock_Transaction_Log'!$T$2:$T266,'主表 Stock_Transaction_Log'!$T266)=1,ROW('主表 Stock_Transaction_Log'!$T266),""))</f>
        <v/>
      </c>
      <c r="B266" s="172" t="str">
        <f t="array" ref="B266">IF($A266="","",INDEX('主表 Stock_Transaction_Log'!$Q:$Q,$A266))</f>
        <v/>
      </c>
      <c r="C266" s="172" t="str">
        <f t="array" ref="C266">IF($A266="","",IF(INDEX('主表 Stock_Transaction_Log'!$F:$F,$A266)=0,"",INDEX('主表 Stock_Transaction_Log'!$F:$F,$A266)))</f>
        <v/>
      </c>
      <c r="D266" s="172" t="str">
        <f t="array" ref="D266">IF($A266="","",INDEX('主表 Stock_Transaction_Log'!$G:$G,$A266))</f>
        <v/>
      </c>
      <c r="E266" s="172" t="str">
        <f t="array" ref="E266">IF($A266="","",INDEX('主表 Stock_Transaction_Log'!$H:$H,$A266))</f>
        <v/>
      </c>
      <c r="F266" s="172" t="str">
        <f t="array" ref="F266">IF($A266="","",INDEX('主表 Stock_Transaction_Log'!$I:$I,$A266))</f>
        <v/>
      </c>
      <c r="G266" s="172" t="str">
        <f t="array" ref="G266">IF($A266="","",IF(INDEX('主表 Stock_Transaction_Log'!$R:$R,$A266)=0,"",INDEX('主表 Stock_Transaction_Log'!$R:$R,$A266)))</f>
        <v/>
      </c>
      <c r="H266" s="172" t="str">
        <f t="array" ref="H266">IF($A266="","",SUMIF('主表 Stock_Transaction_Log'!$T:$T,INDEX('主表 Stock_Transaction_Log'!$T:$T,$A266),'主表 Stock_Transaction_Log'!$S:$S)+SUMIF('主表 Stock_Transaction_Log'!$AB:$AB,INDEX('主表 Stock_Transaction_Log'!$T:$T,$A266),'主表 Stock_Transaction_Log'!$AC:$AC))</f>
        <v/>
      </c>
      <c r="I266" s="172" t="str">
        <f t="shared" si="1"/>
        <v/>
      </c>
      <c r="J266" s="172" t="str">
        <f t="shared" si="2"/>
        <v/>
      </c>
      <c r="K266" s="172" t="str">
        <f t="shared" si="3"/>
        <v/>
      </c>
      <c r="L266" s="172" t="str">
        <f t="array" ref="L266">IF($A266="","",INDEX('主表 Stock_Transaction_Log'!$P:$P,$A266))</f>
        <v/>
      </c>
      <c r="M266" s="57" t="str">
        <f>IF($A266="","",IF($H266&lt;=0,0,SUMIFS('主表 Stock_Transaction_Log'!$K$2:$K1000,'主表 Stock_Transaction_Log'!$C$2:$C1000,"Prepared",'主表 Stock_Transaction_Log'!$L$2:$L1000,$B266,'主表 Stock_Transaction_Log'!$F$2:$F1000,$C266,'主表 Stock_Transaction_Log'!$G$2:$G1000,$D266,'主表 Stock_Transaction_Log'!$P$2:$P1000,$L266)))</f>
        <v/>
      </c>
      <c r="N266" s="172"/>
      <c r="O266" s="172" t="str">
        <f t="shared" si="4"/>
        <v/>
      </c>
      <c r="P266" s="172" t="str">
        <f t="shared" si="5"/>
        <v/>
      </c>
      <c r="Q266" s="172" t="str">
        <f t="shared" si="9"/>
        <v/>
      </c>
      <c r="R266" s="172" t="str">
        <f t="shared" si="7"/>
        <v/>
      </c>
      <c r="S266" s="172" t="str">
        <f t="shared" si="8"/>
        <v/>
      </c>
    </row>
    <row r="267">
      <c r="A267" s="172" t="str">
        <f>IF('主表 Stock_Transaction_Log'!$T267="","",IF(COUNTIF('主表 Stock_Transaction_Log'!$T$2:$T267,'主表 Stock_Transaction_Log'!$T267)=1,ROW('主表 Stock_Transaction_Log'!$T267),""))</f>
        <v/>
      </c>
      <c r="B267" s="172" t="str">
        <f t="array" ref="B267">IF($A267="","",INDEX('主表 Stock_Transaction_Log'!$Q:$Q,$A267))</f>
        <v/>
      </c>
      <c r="C267" s="172" t="str">
        <f t="array" ref="C267">IF($A267="","",IF(INDEX('主表 Stock_Transaction_Log'!$F:$F,$A267)=0,"",INDEX('主表 Stock_Transaction_Log'!$F:$F,$A267)))</f>
        <v/>
      </c>
      <c r="D267" s="172" t="str">
        <f t="array" ref="D267">IF($A267="","",INDEX('主表 Stock_Transaction_Log'!$G:$G,$A267))</f>
        <v/>
      </c>
      <c r="E267" s="172" t="str">
        <f t="array" ref="E267">IF($A267="","",INDEX('主表 Stock_Transaction_Log'!$H:$H,$A267))</f>
        <v/>
      </c>
      <c r="F267" s="172" t="str">
        <f t="array" ref="F267">IF($A267="","",INDEX('主表 Stock_Transaction_Log'!$I:$I,$A267))</f>
        <v/>
      </c>
      <c r="G267" s="172" t="str">
        <f t="array" ref="G267">IF($A267="","",IF(INDEX('主表 Stock_Transaction_Log'!$R:$R,$A267)=0,"",INDEX('主表 Stock_Transaction_Log'!$R:$R,$A267)))</f>
        <v/>
      </c>
      <c r="H267" s="172" t="str">
        <f t="array" ref="H267">IF($A267="","",SUMIF('主表 Stock_Transaction_Log'!$T:$T,INDEX('主表 Stock_Transaction_Log'!$T:$T,$A267),'主表 Stock_Transaction_Log'!$S:$S)+SUMIF('主表 Stock_Transaction_Log'!$AB:$AB,INDEX('主表 Stock_Transaction_Log'!$T:$T,$A267),'主表 Stock_Transaction_Log'!$AC:$AC))</f>
        <v/>
      </c>
      <c r="I267" s="172" t="str">
        <f t="shared" si="1"/>
        <v/>
      </c>
      <c r="J267" s="172" t="str">
        <f t="shared" si="2"/>
        <v/>
      </c>
      <c r="K267" s="172" t="str">
        <f t="shared" si="3"/>
        <v/>
      </c>
      <c r="L267" s="172" t="str">
        <f t="array" ref="L267">IF($A267="","",INDEX('主表 Stock_Transaction_Log'!$P:$P,$A267))</f>
        <v/>
      </c>
      <c r="M267" s="57" t="str">
        <f>IF($A267="","",IF($H267&lt;=0,0,SUMIFS('主表 Stock_Transaction_Log'!$K$2:$K1000,'主表 Stock_Transaction_Log'!$C$2:$C1000,"Prepared",'主表 Stock_Transaction_Log'!$L$2:$L1000,$B267,'主表 Stock_Transaction_Log'!$F$2:$F1000,$C267,'主表 Stock_Transaction_Log'!$G$2:$G1000,$D267,'主表 Stock_Transaction_Log'!$P$2:$P1000,$L267)))</f>
        <v/>
      </c>
      <c r="N267" s="172"/>
      <c r="O267" s="172" t="str">
        <f t="shared" si="4"/>
        <v/>
      </c>
      <c r="P267" s="172" t="str">
        <f t="shared" si="5"/>
        <v/>
      </c>
      <c r="Q267" s="172" t="str">
        <f t="shared" si="9"/>
        <v/>
      </c>
      <c r="R267" s="172" t="str">
        <f t="shared" si="7"/>
        <v/>
      </c>
      <c r="S267" s="172" t="str">
        <f t="shared" si="8"/>
        <v/>
      </c>
    </row>
    <row r="268">
      <c r="A268" s="172" t="str">
        <f>IF('主表 Stock_Transaction_Log'!$T268="","",IF(COUNTIF('主表 Stock_Transaction_Log'!$T$2:$T268,'主表 Stock_Transaction_Log'!$T268)=1,ROW('主表 Stock_Transaction_Log'!$T268),""))</f>
        <v/>
      </c>
      <c r="B268" s="172" t="str">
        <f t="array" ref="B268">IF($A268="","",INDEX('主表 Stock_Transaction_Log'!$Q:$Q,$A268))</f>
        <v/>
      </c>
      <c r="C268" s="172" t="str">
        <f t="array" ref="C268">IF($A268="","",IF(INDEX('主表 Stock_Transaction_Log'!$F:$F,$A268)=0,"",INDEX('主表 Stock_Transaction_Log'!$F:$F,$A268)))</f>
        <v/>
      </c>
      <c r="D268" s="172" t="str">
        <f t="array" ref="D268">IF($A268="","",INDEX('主表 Stock_Transaction_Log'!$G:$G,$A268))</f>
        <v/>
      </c>
      <c r="E268" s="172" t="str">
        <f t="array" ref="E268">IF($A268="","",INDEX('主表 Stock_Transaction_Log'!$H:$H,$A268))</f>
        <v/>
      </c>
      <c r="F268" s="172" t="str">
        <f t="array" ref="F268">IF($A268="","",INDEX('主表 Stock_Transaction_Log'!$I:$I,$A268))</f>
        <v/>
      </c>
      <c r="G268" s="172" t="str">
        <f t="array" ref="G268">IF($A268="","",IF(INDEX('主表 Stock_Transaction_Log'!$R:$R,$A268)=0,"",INDEX('主表 Stock_Transaction_Log'!$R:$R,$A268)))</f>
        <v/>
      </c>
      <c r="H268" s="172" t="str">
        <f t="array" ref="H268">IF($A268="","",SUMIF('主表 Stock_Transaction_Log'!$T:$T,INDEX('主表 Stock_Transaction_Log'!$T:$T,$A268),'主表 Stock_Transaction_Log'!$S:$S)+SUMIF('主表 Stock_Transaction_Log'!$AB:$AB,INDEX('主表 Stock_Transaction_Log'!$T:$T,$A268),'主表 Stock_Transaction_Log'!$AC:$AC))</f>
        <v/>
      </c>
      <c r="I268" s="172" t="str">
        <f t="shared" si="1"/>
        <v/>
      </c>
      <c r="J268" s="172" t="str">
        <f t="shared" si="2"/>
        <v/>
      </c>
      <c r="K268" s="172" t="str">
        <f t="shared" si="3"/>
        <v/>
      </c>
      <c r="L268" s="172" t="str">
        <f t="array" ref="L268">IF($A268="","",INDEX('主表 Stock_Transaction_Log'!$P:$P,$A268))</f>
        <v/>
      </c>
      <c r="M268" s="57" t="str">
        <f>IF($A268="","",IF($H268&lt;=0,0,SUMIFS('主表 Stock_Transaction_Log'!$K$2:$K1000,'主表 Stock_Transaction_Log'!$C$2:$C1000,"Prepared",'主表 Stock_Transaction_Log'!$L$2:$L1000,$B268,'主表 Stock_Transaction_Log'!$F$2:$F1000,$C268,'主表 Stock_Transaction_Log'!$G$2:$G1000,$D268,'主表 Stock_Transaction_Log'!$P$2:$P1000,$L268)))</f>
        <v/>
      </c>
      <c r="N268" s="172"/>
      <c r="O268" s="172" t="str">
        <f t="shared" si="4"/>
        <v/>
      </c>
      <c r="P268" s="172" t="str">
        <f t="shared" si="5"/>
        <v/>
      </c>
      <c r="Q268" s="172" t="str">
        <f t="shared" si="9"/>
        <v/>
      </c>
      <c r="R268" s="172" t="str">
        <f t="shared" si="7"/>
        <v/>
      </c>
      <c r="S268" s="172" t="str">
        <f t="shared" si="8"/>
        <v/>
      </c>
    </row>
    <row r="269">
      <c r="A269" s="172" t="str">
        <f>IF('主表 Stock_Transaction_Log'!$T269="","",IF(COUNTIF('主表 Stock_Transaction_Log'!$T$2:$T269,'主表 Stock_Transaction_Log'!$T269)=1,ROW('主表 Stock_Transaction_Log'!$T269),""))</f>
        <v/>
      </c>
      <c r="B269" s="172" t="str">
        <f t="array" ref="B269">IF($A269="","",INDEX('主表 Stock_Transaction_Log'!$Q:$Q,$A269))</f>
        <v/>
      </c>
      <c r="C269" s="172" t="str">
        <f t="array" ref="C269">IF($A269="","",IF(INDEX('主表 Stock_Transaction_Log'!$F:$F,$A269)=0,"",INDEX('主表 Stock_Transaction_Log'!$F:$F,$A269)))</f>
        <v/>
      </c>
      <c r="D269" s="172" t="str">
        <f t="array" ref="D269">IF($A269="","",INDEX('主表 Stock_Transaction_Log'!$G:$G,$A269))</f>
        <v/>
      </c>
      <c r="E269" s="172" t="str">
        <f t="array" ref="E269">IF($A269="","",INDEX('主表 Stock_Transaction_Log'!$H:$H,$A269))</f>
        <v/>
      </c>
      <c r="F269" s="172" t="str">
        <f t="array" ref="F269">IF($A269="","",INDEX('主表 Stock_Transaction_Log'!$I:$I,$A269))</f>
        <v/>
      </c>
      <c r="G269" s="172" t="str">
        <f t="array" ref="G269">IF($A269="","",IF(INDEX('主表 Stock_Transaction_Log'!$R:$R,$A269)=0,"",INDEX('主表 Stock_Transaction_Log'!$R:$R,$A269)))</f>
        <v/>
      </c>
      <c r="H269" s="172" t="str">
        <f t="array" ref="H269">IF($A269="","",SUMIF('主表 Stock_Transaction_Log'!$T:$T,INDEX('主表 Stock_Transaction_Log'!$T:$T,$A269),'主表 Stock_Transaction_Log'!$S:$S)+SUMIF('主表 Stock_Transaction_Log'!$AB:$AB,INDEX('主表 Stock_Transaction_Log'!$T:$T,$A269),'主表 Stock_Transaction_Log'!$AC:$AC))</f>
        <v/>
      </c>
      <c r="I269" s="172" t="str">
        <f t="shared" si="1"/>
        <v/>
      </c>
      <c r="J269" s="172" t="str">
        <f t="shared" si="2"/>
        <v/>
      </c>
      <c r="K269" s="172" t="str">
        <f t="shared" si="3"/>
        <v/>
      </c>
      <c r="L269" s="172" t="str">
        <f t="array" ref="L269">IF($A269="","",INDEX('主表 Stock_Transaction_Log'!$P:$P,$A269))</f>
        <v/>
      </c>
      <c r="M269" s="57" t="str">
        <f>IF($A269="","",IF($H269&lt;=0,0,SUMIFS('主表 Stock_Transaction_Log'!$K$2:$K1000,'主表 Stock_Transaction_Log'!$C$2:$C1000,"Prepared",'主表 Stock_Transaction_Log'!$L$2:$L1000,$B269,'主表 Stock_Transaction_Log'!$F$2:$F1000,$C269,'主表 Stock_Transaction_Log'!$G$2:$G1000,$D269,'主表 Stock_Transaction_Log'!$P$2:$P1000,$L269)))</f>
        <v/>
      </c>
      <c r="N269" s="172"/>
      <c r="O269" s="172" t="str">
        <f t="shared" si="4"/>
        <v/>
      </c>
      <c r="P269" s="172" t="str">
        <f t="shared" si="5"/>
        <v/>
      </c>
      <c r="Q269" s="172" t="str">
        <f t="shared" si="9"/>
        <v/>
      </c>
      <c r="R269" s="172" t="str">
        <f t="shared" si="7"/>
        <v/>
      </c>
      <c r="S269" s="172" t="str">
        <f t="shared" si="8"/>
        <v/>
      </c>
    </row>
    <row r="270">
      <c r="A270" s="172" t="str">
        <f>IF('主表 Stock_Transaction_Log'!$T270="","",IF(COUNTIF('主表 Stock_Transaction_Log'!$T$2:$T270,'主表 Stock_Transaction_Log'!$T270)=1,ROW('主表 Stock_Transaction_Log'!$T270),""))</f>
        <v/>
      </c>
      <c r="B270" s="172" t="str">
        <f t="array" ref="B270">IF($A270="","",INDEX('主表 Stock_Transaction_Log'!$Q:$Q,$A270))</f>
        <v/>
      </c>
      <c r="C270" s="172" t="str">
        <f t="array" ref="C270">IF($A270="","",IF(INDEX('主表 Stock_Transaction_Log'!$F:$F,$A270)=0,"",INDEX('主表 Stock_Transaction_Log'!$F:$F,$A270)))</f>
        <v/>
      </c>
      <c r="D270" s="172" t="str">
        <f t="array" ref="D270">IF($A270="","",INDEX('主表 Stock_Transaction_Log'!$G:$G,$A270))</f>
        <v/>
      </c>
      <c r="E270" s="172" t="str">
        <f t="array" ref="E270">IF($A270="","",INDEX('主表 Stock_Transaction_Log'!$H:$H,$A270))</f>
        <v/>
      </c>
      <c r="F270" s="172" t="str">
        <f t="array" ref="F270">IF($A270="","",INDEX('主表 Stock_Transaction_Log'!$I:$I,$A270))</f>
        <v/>
      </c>
      <c r="G270" s="172" t="str">
        <f t="array" ref="G270">IF($A270="","",IF(INDEX('主表 Stock_Transaction_Log'!$R:$R,$A270)=0,"",INDEX('主表 Stock_Transaction_Log'!$R:$R,$A270)))</f>
        <v/>
      </c>
      <c r="H270" s="172" t="str">
        <f t="array" ref="H270">IF($A270="","",SUMIF('主表 Stock_Transaction_Log'!$T:$T,INDEX('主表 Stock_Transaction_Log'!$T:$T,$A270),'主表 Stock_Transaction_Log'!$S:$S)+SUMIF('主表 Stock_Transaction_Log'!$AB:$AB,INDEX('主表 Stock_Transaction_Log'!$T:$T,$A270),'主表 Stock_Transaction_Log'!$AC:$AC))</f>
        <v/>
      </c>
      <c r="I270" s="172" t="str">
        <f t="shared" si="1"/>
        <v/>
      </c>
      <c r="J270" s="172" t="str">
        <f t="shared" si="2"/>
        <v/>
      </c>
      <c r="K270" s="172" t="str">
        <f t="shared" si="3"/>
        <v/>
      </c>
      <c r="L270" s="172" t="str">
        <f t="array" ref="L270">IF($A270="","",INDEX('主表 Stock_Transaction_Log'!$P:$P,$A270))</f>
        <v/>
      </c>
      <c r="M270" s="57" t="str">
        <f>IF($A270="","",IF($H270&lt;=0,0,SUMIFS('主表 Stock_Transaction_Log'!$K$2:$K1000,'主表 Stock_Transaction_Log'!$C$2:$C1000,"Prepared",'主表 Stock_Transaction_Log'!$L$2:$L1000,$B270,'主表 Stock_Transaction_Log'!$F$2:$F1000,$C270,'主表 Stock_Transaction_Log'!$G$2:$G1000,$D270,'主表 Stock_Transaction_Log'!$P$2:$P1000,$L270)))</f>
        <v/>
      </c>
      <c r="N270" s="172"/>
      <c r="O270" s="172" t="str">
        <f t="shared" si="4"/>
        <v/>
      </c>
      <c r="P270" s="172" t="str">
        <f t="shared" si="5"/>
        <v/>
      </c>
      <c r="Q270" s="172" t="str">
        <f t="shared" si="9"/>
        <v/>
      </c>
      <c r="R270" s="172" t="str">
        <f t="shared" si="7"/>
        <v/>
      </c>
      <c r="S270" s="172" t="str">
        <f t="shared" si="8"/>
        <v/>
      </c>
    </row>
    <row r="271">
      <c r="A271" s="172" t="str">
        <f>IF('主表 Stock_Transaction_Log'!$T271="","",IF(COUNTIF('主表 Stock_Transaction_Log'!$T$2:$T271,'主表 Stock_Transaction_Log'!$T271)=1,ROW('主表 Stock_Transaction_Log'!$T271),""))</f>
        <v/>
      </c>
      <c r="B271" s="172" t="str">
        <f t="array" ref="B271">IF($A271="","",INDEX('主表 Stock_Transaction_Log'!$Q:$Q,$A271))</f>
        <v/>
      </c>
      <c r="C271" s="172" t="str">
        <f t="array" ref="C271">IF($A271="","",IF(INDEX('主表 Stock_Transaction_Log'!$F:$F,$A271)=0,"",INDEX('主表 Stock_Transaction_Log'!$F:$F,$A271)))</f>
        <v/>
      </c>
      <c r="D271" s="172" t="str">
        <f t="array" ref="D271">IF($A271="","",INDEX('主表 Stock_Transaction_Log'!$G:$G,$A271))</f>
        <v/>
      </c>
      <c r="E271" s="172" t="str">
        <f t="array" ref="E271">IF($A271="","",INDEX('主表 Stock_Transaction_Log'!$H:$H,$A271))</f>
        <v/>
      </c>
      <c r="F271" s="172" t="str">
        <f t="array" ref="F271">IF($A271="","",INDEX('主表 Stock_Transaction_Log'!$I:$I,$A271))</f>
        <v/>
      </c>
      <c r="G271" s="172" t="str">
        <f t="array" ref="G271">IF($A271="","",IF(INDEX('主表 Stock_Transaction_Log'!$R:$R,$A271)=0,"",INDEX('主表 Stock_Transaction_Log'!$R:$R,$A271)))</f>
        <v/>
      </c>
      <c r="H271" s="172" t="str">
        <f t="array" ref="H271">IF($A271="","",SUMIF('主表 Stock_Transaction_Log'!$T:$T,INDEX('主表 Stock_Transaction_Log'!$T:$T,$A271),'主表 Stock_Transaction_Log'!$S:$S)+SUMIF('主表 Stock_Transaction_Log'!$AB:$AB,INDEX('主表 Stock_Transaction_Log'!$T:$T,$A271),'主表 Stock_Transaction_Log'!$AC:$AC))</f>
        <v/>
      </c>
      <c r="I271" s="172" t="str">
        <f t="shared" si="1"/>
        <v/>
      </c>
      <c r="J271" s="172" t="str">
        <f t="shared" si="2"/>
        <v/>
      </c>
      <c r="K271" s="172" t="str">
        <f t="shared" si="3"/>
        <v/>
      </c>
      <c r="L271" s="172" t="str">
        <f t="array" ref="L271">IF($A271="","",INDEX('主表 Stock_Transaction_Log'!$P:$P,$A271))</f>
        <v/>
      </c>
      <c r="M271" s="57" t="str">
        <f>IF($A271="","",IF($H271&lt;=0,0,SUMIFS('主表 Stock_Transaction_Log'!$K$2:$K1000,'主表 Stock_Transaction_Log'!$C$2:$C1000,"Prepared",'主表 Stock_Transaction_Log'!$L$2:$L1000,$B271,'主表 Stock_Transaction_Log'!$F$2:$F1000,$C271,'主表 Stock_Transaction_Log'!$G$2:$G1000,$D271,'主表 Stock_Transaction_Log'!$P$2:$P1000,$L271)))</f>
        <v/>
      </c>
      <c r="N271" s="172"/>
      <c r="O271" s="172" t="str">
        <f t="shared" si="4"/>
        <v/>
      </c>
      <c r="P271" s="172" t="str">
        <f t="shared" si="5"/>
        <v/>
      </c>
      <c r="Q271" s="172" t="str">
        <f t="shared" si="9"/>
        <v/>
      </c>
      <c r="R271" s="172" t="str">
        <f t="shared" si="7"/>
        <v/>
      </c>
      <c r="S271" s="172" t="str">
        <f t="shared" si="8"/>
        <v/>
      </c>
    </row>
    <row r="272">
      <c r="A272" s="172" t="str">
        <f>IF('主表 Stock_Transaction_Log'!$T272="","",IF(COUNTIF('主表 Stock_Transaction_Log'!$T$2:$T272,'主表 Stock_Transaction_Log'!$T272)=1,ROW('主表 Stock_Transaction_Log'!$T272),""))</f>
        <v/>
      </c>
      <c r="B272" s="172" t="str">
        <f t="array" ref="B272">IF($A272="","",INDEX('主表 Stock_Transaction_Log'!$Q:$Q,$A272))</f>
        <v/>
      </c>
      <c r="C272" s="172" t="str">
        <f t="array" ref="C272">IF($A272="","",IF(INDEX('主表 Stock_Transaction_Log'!$F:$F,$A272)=0,"",INDEX('主表 Stock_Transaction_Log'!$F:$F,$A272)))</f>
        <v/>
      </c>
      <c r="D272" s="172" t="str">
        <f t="array" ref="D272">IF($A272="","",INDEX('主表 Stock_Transaction_Log'!$G:$G,$A272))</f>
        <v/>
      </c>
      <c r="E272" s="172" t="str">
        <f t="array" ref="E272">IF($A272="","",INDEX('主表 Stock_Transaction_Log'!$H:$H,$A272))</f>
        <v/>
      </c>
      <c r="F272" s="172" t="str">
        <f t="array" ref="F272">IF($A272="","",INDEX('主表 Stock_Transaction_Log'!$I:$I,$A272))</f>
        <v/>
      </c>
      <c r="G272" s="172" t="str">
        <f t="array" ref="G272">IF($A272="","",IF(INDEX('主表 Stock_Transaction_Log'!$R:$R,$A272)=0,"",INDEX('主表 Stock_Transaction_Log'!$R:$R,$A272)))</f>
        <v/>
      </c>
      <c r="H272" s="172" t="str">
        <f t="array" ref="H272">IF($A272="","",SUMIF('主表 Stock_Transaction_Log'!$T:$T,INDEX('主表 Stock_Transaction_Log'!$T:$T,$A272),'主表 Stock_Transaction_Log'!$S:$S)+SUMIF('主表 Stock_Transaction_Log'!$AB:$AB,INDEX('主表 Stock_Transaction_Log'!$T:$T,$A272),'主表 Stock_Transaction_Log'!$AC:$AC))</f>
        <v/>
      </c>
      <c r="I272" s="172" t="str">
        <f t="shared" si="1"/>
        <v/>
      </c>
      <c r="J272" s="172" t="str">
        <f t="shared" si="2"/>
        <v/>
      </c>
      <c r="K272" s="172" t="str">
        <f t="shared" si="3"/>
        <v/>
      </c>
      <c r="L272" s="172" t="str">
        <f t="array" ref="L272">IF($A272="","",INDEX('主表 Stock_Transaction_Log'!$P:$P,$A272))</f>
        <v/>
      </c>
      <c r="M272" s="57" t="str">
        <f>IF($A272="","",IF($H272&lt;=0,0,SUMIFS('主表 Stock_Transaction_Log'!$K$2:$K1000,'主表 Stock_Transaction_Log'!$C$2:$C1000,"Prepared",'主表 Stock_Transaction_Log'!$L$2:$L1000,$B272,'主表 Stock_Transaction_Log'!$F$2:$F1000,$C272,'主表 Stock_Transaction_Log'!$G$2:$G1000,$D272,'主表 Stock_Transaction_Log'!$P$2:$P1000,$L272)))</f>
        <v/>
      </c>
      <c r="N272" s="172"/>
      <c r="O272" s="172" t="str">
        <f t="shared" si="4"/>
        <v/>
      </c>
      <c r="P272" s="172" t="str">
        <f t="shared" si="5"/>
        <v/>
      </c>
      <c r="Q272" s="172" t="str">
        <f t="shared" si="9"/>
        <v/>
      </c>
      <c r="R272" s="172" t="str">
        <f t="shared" si="7"/>
        <v/>
      </c>
      <c r="S272" s="172" t="str">
        <f t="shared" si="8"/>
        <v/>
      </c>
    </row>
    <row r="273">
      <c r="A273" s="172" t="str">
        <f>IF('主表 Stock_Transaction_Log'!$T273="","",IF(COUNTIF('主表 Stock_Transaction_Log'!$T$2:$T273,'主表 Stock_Transaction_Log'!$T273)=1,ROW('主表 Stock_Transaction_Log'!$T273),""))</f>
        <v/>
      </c>
      <c r="B273" s="172" t="str">
        <f t="array" ref="B273">IF($A273="","",INDEX('主表 Stock_Transaction_Log'!$Q:$Q,$A273))</f>
        <v/>
      </c>
      <c r="C273" s="172" t="str">
        <f t="array" ref="C273">IF($A273="","",IF(INDEX('主表 Stock_Transaction_Log'!$F:$F,$A273)=0,"",INDEX('主表 Stock_Transaction_Log'!$F:$F,$A273)))</f>
        <v/>
      </c>
      <c r="D273" s="172" t="str">
        <f t="array" ref="D273">IF($A273="","",INDEX('主表 Stock_Transaction_Log'!$G:$G,$A273))</f>
        <v/>
      </c>
      <c r="E273" s="172" t="str">
        <f t="array" ref="E273">IF($A273="","",INDEX('主表 Stock_Transaction_Log'!$H:$H,$A273))</f>
        <v/>
      </c>
      <c r="F273" s="172" t="str">
        <f t="array" ref="F273">IF($A273="","",INDEX('主表 Stock_Transaction_Log'!$I:$I,$A273))</f>
        <v/>
      </c>
      <c r="G273" s="172" t="str">
        <f t="array" ref="G273">IF($A273="","",IF(INDEX('主表 Stock_Transaction_Log'!$R:$R,$A273)=0,"",INDEX('主表 Stock_Transaction_Log'!$R:$R,$A273)))</f>
        <v/>
      </c>
      <c r="H273" s="172" t="str">
        <f t="array" ref="H273">IF($A273="","",SUMIF('主表 Stock_Transaction_Log'!$T:$T,INDEX('主表 Stock_Transaction_Log'!$T:$T,$A273),'主表 Stock_Transaction_Log'!$S:$S)+SUMIF('主表 Stock_Transaction_Log'!$AB:$AB,INDEX('主表 Stock_Transaction_Log'!$T:$T,$A273),'主表 Stock_Transaction_Log'!$AC:$AC))</f>
        <v/>
      </c>
      <c r="I273" s="172" t="str">
        <f t="shared" si="1"/>
        <v/>
      </c>
      <c r="J273" s="172" t="str">
        <f t="shared" si="2"/>
        <v/>
      </c>
      <c r="K273" s="172" t="str">
        <f t="shared" si="3"/>
        <v/>
      </c>
      <c r="L273" s="172" t="str">
        <f t="array" ref="L273">IF($A273="","",INDEX('主表 Stock_Transaction_Log'!$P:$P,$A273))</f>
        <v/>
      </c>
      <c r="M273" s="57" t="str">
        <f>IF($A273="","",IF($H273&lt;=0,0,SUMIFS('主表 Stock_Transaction_Log'!$K$2:$K1000,'主表 Stock_Transaction_Log'!$C$2:$C1000,"Prepared",'主表 Stock_Transaction_Log'!$L$2:$L1000,$B273,'主表 Stock_Transaction_Log'!$F$2:$F1000,$C273,'主表 Stock_Transaction_Log'!$G$2:$G1000,$D273,'主表 Stock_Transaction_Log'!$P$2:$P1000,$L273)))</f>
        <v/>
      </c>
      <c r="N273" s="172"/>
      <c r="O273" s="172" t="str">
        <f t="shared" si="4"/>
        <v/>
      </c>
      <c r="P273" s="172" t="str">
        <f t="shared" si="5"/>
        <v/>
      </c>
      <c r="Q273" s="172" t="str">
        <f t="shared" si="9"/>
        <v/>
      </c>
      <c r="R273" s="172" t="str">
        <f t="shared" si="7"/>
        <v/>
      </c>
      <c r="S273" s="172" t="str">
        <f t="shared" si="8"/>
        <v/>
      </c>
    </row>
    <row r="274">
      <c r="A274" s="172" t="str">
        <f>IF('主表 Stock_Transaction_Log'!$T274="","",IF(COUNTIF('主表 Stock_Transaction_Log'!$T$2:$T274,'主表 Stock_Transaction_Log'!$T274)=1,ROW('主表 Stock_Transaction_Log'!$T274),""))</f>
        <v/>
      </c>
      <c r="B274" s="172" t="str">
        <f t="array" ref="B274">IF($A274="","",INDEX('主表 Stock_Transaction_Log'!$Q:$Q,$A274))</f>
        <v/>
      </c>
      <c r="C274" s="172" t="str">
        <f t="array" ref="C274">IF($A274="","",IF(INDEX('主表 Stock_Transaction_Log'!$F:$F,$A274)=0,"",INDEX('主表 Stock_Transaction_Log'!$F:$F,$A274)))</f>
        <v/>
      </c>
      <c r="D274" s="172" t="str">
        <f t="array" ref="D274">IF($A274="","",INDEX('主表 Stock_Transaction_Log'!$G:$G,$A274))</f>
        <v/>
      </c>
      <c r="E274" s="172" t="str">
        <f t="array" ref="E274">IF($A274="","",INDEX('主表 Stock_Transaction_Log'!$H:$H,$A274))</f>
        <v/>
      </c>
      <c r="F274" s="172" t="str">
        <f t="array" ref="F274">IF($A274="","",INDEX('主表 Stock_Transaction_Log'!$I:$I,$A274))</f>
        <v/>
      </c>
      <c r="G274" s="172" t="str">
        <f t="array" ref="G274">IF($A274="","",IF(INDEX('主表 Stock_Transaction_Log'!$R:$R,$A274)=0,"",INDEX('主表 Stock_Transaction_Log'!$R:$R,$A274)))</f>
        <v/>
      </c>
      <c r="H274" s="172" t="str">
        <f t="array" ref="H274">IF($A274="","",SUMIF('主表 Stock_Transaction_Log'!$T:$T,INDEX('主表 Stock_Transaction_Log'!$T:$T,$A274),'主表 Stock_Transaction_Log'!$S:$S)+SUMIF('主表 Stock_Transaction_Log'!$AB:$AB,INDEX('主表 Stock_Transaction_Log'!$T:$T,$A274),'主表 Stock_Transaction_Log'!$AC:$AC))</f>
        <v/>
      </c>
      <c r="I274" s="172" t="str">
        <f t="shared" si="1"/>
        <v/>
      </c>
      <c r="J274" s="172" t="str">
        <f t="shared" si="2"/>
        <v/>
      </c>
      <c r="K274" s="172" t="str">
        <f t="shared" si="3"/>
        <v/>
      </c>
      <c r="L274" s="172" t="str">
        <f t="array" ref="L274">IF($A274="","",INDEX('主表 Stock_Transaction_Log'!$P:$P,$A274))</f>
        <v/>
      </c>
      <c r="M274" s="57" t="str">
        <f>IF($A274="","",IF($H274&lt;=0,0,SUMIFS('主表 Stock_Transaction_Log'!$K$2:$K1000,'主表 Stock_Transaction_Log'!$C$2:$C1000,"Prepared",'主表 Stock_Transaction_Log'!$L$2:$L1000,$B274,'主表 Stock_Transaction_Log'!$F$2:$F1000,$C274,'主表 Stock_Transaction_Log'!$G$2:$G1000,$D274,'主表 Stock_Transaction_Log'!$P$2:$P1000,$L274)))</f>
        <v/>
      </c>
      <c r="N274" s="172"/>
      <c r="O274" s="172" t="str">
        <f t="shared" si="4"/>
        <v/>
      </c>
      <c r="P274" s="172" t="str">
        <f t="shared" si="5"/>
        <v/>
      </c>
      <c r="Q274" s="172" t="str">
        <f t="shared" si="9"/>
        <v/>
      </c>
      <c r="R274" s="172" t="str">
        <f t="shared" si="7"/>
        <v/>
      </c>
      <c r="S274" s="172" t="str">
        <f t="shared" si="8"/>
        <v/>
      </c>
    </row>
    <row r="275">
      <c r="A275" s="172" t="str">
        <f>IF('主表 Stock_Transaction_Log'!$T275="","",IF(COUNTIF('主表 Stock_Transaction_Log'!$T$2:$T275,'主表 Stock_Transaction_Log'!$T275)=1,ROW('主表 Stock_Transaction_Log'!$T275),""))</f>
        <v/>
      </c>
      <c r="B275" s="172" t="str">
        <f t="array" ref="B275">IF($A275="","",INDEX('主表 Stock_Transaction_Log'!$Q:$Q,$A275))</f>
        <v/>
      </c>
      <c r="C275" s="172" t="str">
        <f t="array" ref="C275">IF($A275="","",IF(INDEX('主表 Stock_Transaction_Log'!$F:$F,$A275)=0,"",INDEX('主表 Stock_Transaction_Log'!$F:$F,$A275)))</f>
        <v/>
      </c>
      <c r="D275" s="172" t="str">
        <f t="array" ref="D275">IF($A275="","",INDEX('主表 Stock_Transaction_Log'!$G:$G,$A275))</f>
        <v/>
      </c>
      <c r="E275" s="172" t="str">
        <f t="array" ref="E275">IF($A275="","",INDEX('主表 Stock_Transaction_Log'!$H:$H,$A275))</f>
        <v/>
      </c>
      <c r="F275" s="172" t="str">
        <f t="array" ref="F275">IF($A275="","",INDEX('主表 Stock_Transaction_Log'!$I:$I,$A275))</f>
        <v/>
      </c>
      <c r="G275" s="172" t="str">
        <f t="array" ref="G275">IF($A275="","",IF(INDEX('主表 Stock_Transaction_Log'!$R:$R,$A275)=0,"",INDEX('主表 Stock_Transaction_Log'!$R:$R,$A275)))</f>
        <v/>
      </c>
      <c r="H275" s="172" t="str">
        <f t="array" ref="H275">IF($A275="","",SUMIF('主表 Stock_Transaction_Log'!$T:$T,INDEX('主表 Stock_Transaction_Log'!$T:$T,$A275),'主表 Stock_Transaction_Log'!$S:$S)+SUMIF('主表 Stock_Transaction_Log'!$AB:$AB,INDEX('主表 Stock_Transaction_Log'!$T:$T,$A275),'主表 Stock_Transaction_Log'!$AC:$AC))</f>
        <v/>
      </c>
      <c r="I275" s="172" t="str">
        <f t="shared" si="1"/>
        <v/>
      </c>
      <c r="J275" s="172" t="str">
        <f t="shared" si="2"/>
        <v/>
      </c>
      <c r="K275" s="172" t="str">
        <f t="shared" si="3"/>
        <v/>
      </c>
      <c r="L275" s="172" t="str">
        <f t="array" ref="L275">IF($A275="","",INDEX('主表 Stock_Transaction_Log'!$P:$P,$A275))</f>
        <v/>
      </c>
      <c r="M275" s="57" t="str">
        <f>IF($A275="","",IF($H275&lt;=0,0,SUMIFS('主表 Stock_Transaction_Log'!$K$2:$K1000,'主表 Stock_Transaction_Log'!$C$2:$C1000,"Prepared",'主表 Stock_Transaction_Log'!$L$2:$L1000,$B275,'主表 Stock_Transaction_Log'!$F$2:$F1000,$C275,'主表 Stock_Transaction_Log'!$G$2:$G1000,$D275,'主表 Stock_Transaction_Log'!$P$2:$P1000,$L275)))</f>
        <v/>
      </c>
      <c r="N275" s="172"/>
      <c r="O275" s="172" t="str">
        <f t="shared" si="4"/>
        <v/>
      </c>
      <c r="P275" s="172" t="str">
        <f t="shared" si="5"/>
        <v/>
      </c>
      <c r="Q275" s="172" t="str">
        <f t="shared" si="9"/>
        <v/>
      </c>
      <c r="R275" s="172" t="str">
        <f t="shared" si="7"/>
        <v/>
      </c>
      <c r="S275" s="172" t="str">
        <f t="shared" si="8"/>
        <v/>
      </c>
    </row>
    <row r="276">
      <c r="A276" s="172" t="str">
        <f>IF('主表 Stock_Transaction_Log'!$T276="","",IF(COUNTIF('主表 Stock_Transaction_Log'!$T$2:$T276,'主表 Stock_Transaction_Log'!$T276)=1,ROW('主表 Stock_Transaction_Log'!$T276),""))</f>
        <v/>
      </c>
      <c r="B276" s="172" t="str">
        <f t="array" ref="B276">IF($A276="","",INDEX('主表 Stock_Transaction_Log'!$Q:$Q,$A276))</f>
        <v/>
      </c>
      <c r="C276" s="172" t="str">
        <f t="array" ref="C276">IF($A276="","",IF(INDEX('主表 Stock_Transaction_Log'!$F:$F,$A276)=0,"",INDEX('主表 Stock_Transaction_Log'!$F:$F,$A276)))</f>
        <v/>
      </c>
      <c r="D276" s="172" t="str">
        <f t="array" ref="D276">IF($A276="","",INDEX('主表 Stock_Transaction_Log'!$G:$G,$A276))</f>
        <v/>
      </c>
      <c r="E276" s="172" t="str">
        <f t="array" ref="E276">IF($A276="","",INDEX('主表 Stock_Transaction_Log'!$H:$H,$A276))</f>
        <v/>
      </c>
      <c r="F276" s="172" t="str">
        <f t="array" ref="F276">IF($A276="","",INDEX('主表 Stock_Transaction_Log'!$I:$I,$A276))</f>
        <v/>
      </c>
      <c r="G276" s="172" t="str">
        <f t="array" ref="G276">IF($A276="","",IF(INDEX('主表 Stock_Transaction_Log'!$R:$R,$A276)=0,"",INDEX('主表 Stock_Transaction_Log'!$R:$R,$A276)))</f>
        <v/>
      </c>
      <c r="H276" s="172" t="str">
        <f t="array" ref="H276">IF($A276="","",SUMIF('主表 Stock_Transaction_Log'!$T:$T,INDEX('主表 Stock_Transaction_Log'!$T:$T,$A276),'主表 Stock_Transaction_Log'!$S:$S)+SUMIF('主表 Stock_Transaction_Log'!$AB:$AB,INDEX('主表 Stock_Transaction_Log'!$T:$T,$A276),'主表 Stock_Transaction_Log'!$AC:$AC))</f>
        <v/>
      </c>
      <c r="I276" s="172" t="str">
        <f t="shared" si="1"/>
        <v/>
      </c>
      <c r="J276" s="172" t="str">
        <f t="shared" si="2"/>
        <v/>
      </c>
      <c r="K276" s="172" t="str">
        <f t="shared" si="3"/>
        <v/>
      </c>
      <c r="L276" s="172" t="str">
        <f t="array" ref="L276">IF($A276="","",INDEX('主表 Stock_Transaction_Log'!$P:$P,$A276))</f>
        <v/>
      </c>
      <c r="M276" s="57" t="str">
        <f>IF($A276="","",IF($H276&lt;=0,0,SUMIFS('主表 Stock_Transaction_Log'!$K$2:$K1000,'主表 Stock_Transaction_Log'!$C$2:$C1000,"Prepared",'主表 Stock_Transaction_Log'!$L$2:$L1000,$B276,'主表 Stock_Transaction_Log'!$F$2:$F1000,$C276,'主表 Stock_Transaction_Log'!$G$2:$G1000,$D276,'主表 Stock_Transaction_Log'!$P$2:$P1000,$L276)))</f>
        <v/>
      </c>
      <c r="N276" s="172"/>
      <c r="O276" s="172" t="str">
        <f t="shared" si="4"/>
        <v/>
      </c>
      <c r="P276" s="172" t="str">
        <f t="shared" si="5"/>
        <v/>
      </c>
      <c r="Q276" s="172" t="str">
        <f t="shared" si="9"/>
        <v/>
      </c>
      <c r="R276" s="172" t="str">
        <f t="shared" si="7"/>
        <v/>
      </c>
      <c r="S276" s="172" t="str">
        <f t="shared" si="8"/>
        <v/>
      </c>
    </row>
    <row r="277">
      <c r="A277" s="172" t="str">
        <f>IF('主表 Stock_Transaction_Log'!$T277="","",IF(COUNTIF('主表 Stock_Transaction_Log'!$T$2:$T277,'主表 Stock_Transaction_Log'!$T277)=1,ROW('主表 Stock_Transaction_Log'!$T277),""))</f>
        <v/>
      </c>
      <c r="B277" s="172" t="str">
        <f t="array" ref="B277">IF($A277="","",INDEX('主表 Stock_Transaction_Log'!$Q:$Q,$A277))</f>
        <v/>
      </c>
      <c r="C277" s="172" t="str">
        <f t="array" ref="C277">IF($A277="","",IF(INDEX('主表 Stock_Transaction_Log'!$F:$F,$A277)=0,"",INDEX('主表 Stock_Transaction_Log'!$F:$F,$A277)))</f>
        <v/>
      </c>
      <c r="D277" s="172" t="str">
        <f t="array" ref="D277">IF($A277="","",INDEX('主表 Stock_Transaction_Log'!$G:$G,$A277))</f>
        <v/>
      </c>
      <c r="E277" s="172" t="str">
        <f t="array" ref="E277">IF($A277="","",INDEX('主表 Stock_Transaction_Log'!$H:$H,$A277))</f>
        <v/>
      </c>
      <c r="F277" s="172" t="str">
        <f t="array" ref="F277">IF($A277="","",INDEX('主表 Stock_Transaction_Log'!$I:$I,$A277))</f>
        <v/>
      </c>
      <c r="G277" s="172" t="str">
        <f t="array" ref="G277">IF($A277="","",IF(INDEX('主表 Stock_Transaction_Log'!$R:$R,$A277)=0,"",INDEX('主表 Stock_Transaction_Log'!$R:$R,$A277)))</f>
        <v/>
      </c>
      <c r="H277" s="172" t="str">
        <f t="array" ref="H277">IF($A277="","",SUMIF('主表 Stock_Transaction_Log'!$T:$T,INDEX('主表 Stock_Transaction_Log'!$T:$T,$A277),'主表 Stock_Transaction_Log'!$S:$S)+SUMIF('主表 Stock_Transaction_Log'!$AB:$AB,INDEX('主表 Stock_Transaction_Log'!$T:$T,$A277),'主表 Stock_Transaction_Log'!$AC:$AC))</f>
        <v/>
      </c>
      <c r="I277" s="172" t="str">
        <f t="shared" si="1"/>
        <v/>
      </c>
      <c r="J277" s="172" t="str">
        <f t="shared" si="2"/>
        <v/>
      </c>
      <c r="K277" s="172" t="str">
        <f t="shared" si="3"/>
        <v/>
      </c>
      <c r="L277" s="172" t="str">
        <f t="array" ref="L277">IF($A277="","",INDEX('主表 Stock_Transaction_Log'!$P:$P,$A277))</f>
        <v/>
      </c>
      <c r="M277" s="57" t="str">
        <f>IF($A277="","",IF($H277&lt;=0,0,SUMIFS('主表 Stock_Transaction_Log'!$K$2:$K1000,'主表 Stock_Transaction_Log'!$C$2:$C1000,"Prepared",'主表 Stock_Transaction_Log'!$L$2:$L1000,$B277,'主表 Stock_Transaction_Log'!$F$2:$F1000,$C277,'主表 Stock_Transaction_Log'!$G$2:$G1000,$D277,'主表 Stock_Transaction_Log'!$P$2:$P1000,$L277)))</f>
        <v/>
      </c>
      <c r="N277" s="172"/>
      <c r="O277" s="172" t="str">
        <f t="shared" si="4"/>
        <v/>
      </c>
      <c r="P277" s="172" t="str">
        <f t="shared" si="5"/>
        <v/>
      </c>
      <c r="Q277" s="172" t="str">
        <f t="shared" si="9"/>
        <v/>
      </c>
      <c r="R277" s="172" t="str">
        <f t="shared" si="7"/>
        <v/>
      </c>
      <c r="S277" s="172" t="str">
        <f t="shared" si="8"/>
        <v/>
      </c>
    </row>
    <row r="278">
      <c r="A278" s="172" t="str">
        <f>IF('主表 Stock_Transaction_Log'!$T278="","",IF(COUNTIF('主表 Stock_Transaction_Log'!$T$2:$T278,'主表 Stock_Transaction_Log'!$T278)=1,ROW('主表 Stock_Transaction_Log'!$T278),""))</f>
        <v/>
      </c>
      <c r="B278" s="172" t="str">
        <f t="array" ref="B278">IF($A278="","",INDEX('主表 Stock_Transaction_Log'!$Q:$Q,$A278))</f>
        <v/>
      </c>
      <c r="C278" s="172" t="str">
        <f t="array" ref="C278">IF($A278="","",IF(INDEX('主表 Stock_Transaction_Log'!$F:$F,$A278)=0,"",INDEX('主表 Stock_Transaction_Log'!$F:$F,$A278)))</f>
        <v/>
      </c>
      <c r="D278" s="172" t="str">
        <f t="array" ref="D278">IF($A278="","",INDEX('主表 Stock_Transaction_Log'!$G:$G,$A278))</f>
        <v/>
      </c>
      <c r="E278" s="172" t="str">
        <f t="array" ref="E278">IF($A278="","",INDEX('主表 Stock_Transaction_Log'!$H:$H,$A278))</f>
        <v/>
      </c>
      <c r="F278" s="172" t="str">
        <f t="array" ref="F278">IF($A278="","",INDEX('主表 Stock_Transaction_Log'!$I:$I,$A278))</f>
        <v/>
      </c>
      <c r="G278" s="172" t="str">
        <f t="array" ref="G278">IF($A278="","",IF(INDEX('主表 Stock_Transaction_Log'!$R:$R,$A278)=0,"",INDEX('主表 Stock_Transaction_Log'!$R:$R,$A278)))</f>
        <v/>
      </c>
      <c r="H278" s="172" t="str">
        <f t="array" ref="H278">IF($A278="","",SUMIF('主表 Stock_Transaction_Log'!$T:$T,INDEX('主表 Stock_Transaction_Log'!$T:$T,$A278),'主表 Stock_Transaction_Log'!$S:$S)+SUMIF('主表 Stock_Transaction_Log'!$AB:$AB,INDEX('主表 Stock_Transaction_Log'!$T:$T,$A278),'主表 Stock_Transaction_Log'!$AC:$AC))</f>
        <v/>
      </c>
      <c r="I278" s="172" t="str">
        <f t="shared" si="1"/>
        <v/>
      </c>
      <c r="J278" s="172" t="str">
        <f t="shared" si="2"/>
        <v/>
      </c>
      <c r="K278" s="172" t="str">
        <f t="shared" si="3"/>
        <v/>
      </c>
      <c r="L278" s="172" t="str">
        <f t="array" ref="L278">IF($A278="","",INDEX('主表 Stock_Transaction_Log'!$P:$P,$A278))</f>
        <v/>
      </c>
      <c r="M278" s="57" t="str">
        <f>IF($A278="","",IF($H278&lt;=0,0,SUMIFS('主表 Stock_Transaction_Log'!$K$2:$K1000,'主表 Stock_Transaction_Log'!$C$2:$C1000,"Prepared",'主表 Stock_Transaction_Log'!$L$2:$L1000,$B278,'主表 Stock_Transaction_Log'!$F$2:$F1000,$C278,'主表 Stock_Transaction_Log'!$G$2:$G1000,$D278,'主表 Stock_Transaction_Log'!$P$2:$P1000,$L278)))</f>
        <v/>
      </c>
      <c r="N278" s="172"/>
      <c r="O278" s="172" t="str">
        <f t="shared" si="4"/>
        <v/>
      </c>
      <c r="P278" s="172" t="str">
        <f t="shared" si="5"/>
        <v/>
      </c>
      <c r="Q278" s="172" t="str">
        <f t="shared" si="9"/>
        <v/>
      </c>
      <c r="R278" s="172" t="str">
        <f t="shared" si="7"/>
        <v/>
      </c>
      <c r="S278" s="172" t="str">
        <f t="shared" si="8"/>
        <v/>
      </c>
    </row>
    <row r="279">
      <c r="A279" s="172" t="str">
        <f>IF('主表 Stock_Transaction_Log'!$T279="","",IF(COUNTIF('主表 Stock_Transaction_Log'!$T$2:$T279,'主表 Stock_Transaction_Log'!$T279)=1,ROW('主表 Stock_Transaction_Log'!$T279),""))</f>
        <v/>
      </c>
      <c r="B279" s="172" t="str">
        <f t="array" ref="B279">IF($A279="","",INDEX('主表 Stock_Transaction_Log'!$Q:$Q,$A279))</f>
        <v/>
      </c>
      <c r="C279" s="172" t="str">
        <f t="array" ref="C279">IF($A279="","",IF(INDEX('主表 Stock_Transaction_Log'!$F:$F,$A279)=0,"",INDEX('主表 Stock_Transaction_Log'!$F:$F,$A279)))</f>
        <v/>
      </c>
      <c r="D279" s="172" t="str">
        <f t="array" ref="D279">IF($A279="","",INDEX('主表 Stock_Transaction_Log'!$G:$G,$A279))</f>
        <v/>
      </c>
      <c r="E279" s="172" t="str">
        <f t="array" ref="E279">IF($A279="","",INDEX('主表 Stock_Transaction_Log'!$H:$H,$A279))</f>
        <v/>
      </c>
      <c r="F279" s="172" t="str">
        <f t="array" ref="F279">IF($A279="","",INDEX('主表 Stock_Transaction_Log'!$I:$I,$A279))</f>
        <v/>
      </c>
      <c r="G279" s="172" t="str">
        <f t="array" ref="G279">IF($A279="","",IF(INDEX('主表 Stock_Transaction_Log'!$R:$R,$A279)=0,"",INDEX('主表 Stock_Transaction_Log'!$R:$R,$A279)))</f>
        <v/>
      </c>
      <c r="H279" s="172" t="str">
        <f t="array" ref="H279">IF($A279="","",SUMIF('主表 Stock_Transaction_Log'!$T:$T,INDEX('主表 Stock_Transaction_Log'!$T:$T,$A279),'主表 Stock_Transaction_Log'!$S:$S)+SUMIF('主表 Stock_Transaction_Log'!$AB:$AB,INDEX('主表 Stock_Transaction_Log'!$T:$T,$A279),'主表 Stock_Transaction_Log'!$AC:$AC))</f>
        <v/>
      </c>
      <c r="I279" s="172" t="str">
        <f t="shared" si="1"/>
        <v/>
      </c>
      <c r="J279" s="172" t="str">
        <f t="shared" si="2"/>
        <v/>
      </c>
      <c r="K279" s="172" t="str">
        <f t="shared" si="3"/>
        <v/>
      </c>
      <c r="L279" s="172" t="str">
        <f t="array" ref="L279">IF($A279="","",INDEX('主表 Stock_Transaction_Log'!$P:$P,$A279))</f>
        <v/>
      </c>
      <c r="M279" s="57" t="str">
        <f>IF($A279="","",IF($H279&lt;=0,0,SUMIFS('主表 Stock_Transaction_Log'!$K$2:$K1000,'主表 Stock_Transaction_Log'!$C$2:$C1000,"Prepared",'主表 Stock_Transaction_Log'!$L$2:$L1000,$B279,'主表 Stock_Transaction_Log'!$F$2:$F1000,$C279,'主表 Stock_Transaction_Log'!$G$2:$G1000,$D279,'主表 Stock_Transaction_Log'!$P$2:$P1000,$L279)))</f>
        <v/>
      </c>
      <c r="N279" s="172"/>
      <c r="O279" s="172" t="str">
        <f t="shared" si="4"/>
        <v/>
      </c>
      <c r="P279" s="172" t="str">
        <f t="shared" si="5"/>
        <v/>
      </c>
      <c r="Q279" s="172" t="str">
        <f t="shared" si="9"/>
        <v/>
      </c>
      <c r="R279" s="172" t="str">
        <f t="shared" si="7"/>
        <v/>
      </c>
      <c r="S279" s="172" t="str">
        <f t="shared" si="8"/>
        <v/>
      </c>
    </row>
    <row r="280">
      <c r="A280" s="172" t="str">
        <f>IF('主表 Stock_Transaction_Log'!$T280="","",IF(COUNTIF('主表 Stock_Transaction_Log'!$T$2:$T280,'主表 Stock_Transaction_Log'!$T280)=1,ROW('主表 Stock_Transaction_Log'!$T280),""))</f>
        <v/>
      </c>
      <c r="B280" s="172" t="str">
        <f t="array" ref="B280">IF($A280="","",INDEX('主表 Stock_Transaction_Log'!$Q:$Q,$A280))</f>
        <v/>
      </c>
      <c r="C280" s="172" t="str">
        <f t="array" ref="C280">IF($A280="","",IF(INDEX('主表 Stock_Transaction_Log'!$F:$F,$A280)=0,"",INDEX('主表 Stock_Transaction_Log'!$F:$F,$A280)))</f>
        <v/>
      </c>
      <c r="D280" s="172" t="str">
        <f t="array" ref="D280">IF($A280="","",INDEX('主表 Stock_Transaction_Log'!$G:$G,$A280))</f>
        <v/>
      </c>
      <c r="E280" s="172" t="str">
        <f t="array" ref="E280">IF($A280="","",INDEX('主表 Stock_Transaction_Log'!$H:$H,$A280))</f>
        <v/>
      </c>
      <c r="F280" s="172" t="str">
        <f t="array" ref="F280">IF($A280="","",INDEX('主表 Stock_Transaction_Log'!$I:$I,$A280))</f>
        <v/>
      </c>
      <c r="G280" s="172" t="str">
        <f t="array" ref="G280">IF($A280="","",IF(INDEX('主表 Stock_Transaction_Log'!$R:$R,$A280)=0,"",INDEX('主表 Stock_Transaction_Log'!$R:$R,$A280)))</f>
        <v/>
      </c>
      <c r="H280" s="172" t="str">
        <f t="array" ref="H280">IF($A280="","",SUMIF('主表 Stock_Transaction_Log'!$T:$T,INDEX('主表 Stock_Transaction_Log'!$T:$T,$A280),'主表 Stock_Transaction_Log'!$S:$S)+SUMIF('主表 Stock_Transaction_Log'!$AB:$AB,INDEX('主表 Stock_Transaction_Log'!$T:$T,$A280),'主表 Stock_Transaction_Log'!$AC:$AC))</f>
        <v/>
      </c>
      <c r="I280" s="172" t="str">
        <f t="shared" si="1"/>
        <v/>
      </c>
      <c r="J280" s="172" t="str">
        <f t="shared" si="2"/>
        <v/>
      </c>
      <c r="K280" s="172" t="str">
        <f t="shared" si="3"/>
        <v/>
      </c>
      <c r="L280" s="172" t="str">
        <f t="array" ref="L280">IF($A280="","",INDEX('主表 Stock_Transaction_Log'!$P:$P,$A280))</f>
        <v/>
      </c>
      <c r="M280" s="57" t="str">
        <f>IF($A280="","",IF($H280&lt;=0,0,SUMIFS('主表 Stock_Transaction_Log'!$K$2:$K1000,'主表 Stock_Transaction_Log'!$C$2:$C1000,"Prepared",'主表 Stock_Transaction_Log'!$L$2:$L1000,$B280,'主表 Stock_Transaction_Log'!$F$2:$F1000,$C280,'主表 Stock_Transaction_Log'!$G$2:$G1000,$D280,'主表 Stock_Transaction_Log'!$P$2:$P1000,$L280)))</f>
        <v/>
      </c>
      <c r="N280" s="172"/>
      <c r="O280" s="172" t="str">
        <f t="shared" si="4"/>
        <v/>
      </c>
      <c r="P280" s="172" t="str">
        <f t="shared" si="5"/>
        <v/>
      </c>
      <c r="Q280" s="172" t="str">
        <f t="shared" si="9"/>
        <v/>
      </c>
      <c r="R280" s="172" t="str">
        <f t="shared" si="7"/>
        <v/>
      </c>
      <c r="S280" s="172" t="str">
        <f t="shared" si="8"/>
        <v/>
      </c>
    </row>
    <row r="281">
      <c r="A281" s="172" t="str">
        <f>IF('主表 Stock_Transaction_Log'!$T281="","",IF(COUNTIF('主表 Stock_Transaction_Log'!$T$2:$T281,'主表 Stock_Transaction_Log'!$T281)=1,ROW('主表 Stock_Transaction_Log'!$T281),""))</f>
        <v/>
      </c>
      <c r="B281" s="172" t="str">
        <f t="array" ref="B281">IF($A281="","",INDEX('主表 Stock_Transaction_Log'!$Q:$Q,$A281))</f>
        <v/>
      </c>
      <c r="C281" s="172" t="str">
        <f t="array" ref="C281">IF($A281="","",IF(INDEX('主表 Stock_Transaction_Log'!$F:$F,$A281)=0,"",INDEX('主表 Stock_Transaction_Log'!$F:$F,$A281)))</f>
        <v/>
      </c>
      <c r="D281" s="172" t="str">
        <f t="array" ref="D281">IF($A281="","",INDEX('主表 Stock_Transaction_Log'!$G:$G,$A281))</f>
        <v/>
      </c>
      <c r="E281" s="172" t="str">
        <f t="array" ref="E281">IF($A281="","",INDEX('主表 Stock_Transaction_Log'!$H:$H,$A281))</f>
        <v/>
      </c>
      <c r="F281" s="172" t="str">
        <f t="array" ref="F281">IF($A281="","",INDEX('主表 Stock_Transaction_Log'!$I:$I,$A281))</f>
        <v/>
      </c>
      <c r="G281" s="172" t="str">
        <f t="array" ref="G281">IF($A281="","",IF(INDEX('主表 Stock_Transaction_Log'!$R:$R,$A281)=0,"",INDEX('主表 Stock_Transaction_Log'!$R:$R,$A281)))</f>
        <v/>
      </c>
      <c r="H281" s="172" t="str">
        <f t="array" ref="H281">IF($A281="","",SUMIF('主表 Stock_Transaction_Log'!$T:$T,INDEX('主表 Stock_Transaction_Log'!$T:$T,$A281),'主表 Stock_Transaction_Log'!$S:$S)+SUMIF('主表 Stock_Transaction_Log'!$AB:$AB,INDEX('主表 Stock_Transaction_Log'!$T:$T,$A281),'主表 Stock_Transaction_Log'!$AC:$AC))</f>
        <v/>
      </c>
      <c r="I281" s="172" t="str">
        <f t="shared" si="1"/>
        <v/>
      </c>
      <c r="J281" s="172" t="str">
        <f t="shared" si="2"/>
        <v/>
      </c>
      <c r="K281" s="172" t="str">
        <f t="shared" si="3"/>
        <v/>
      </c>
      <c r="L281" s="172" t="str">
        <f t="array" ref="L281">IF($A281="","",INDEX('主表 Stock_Transaction_Log'!$P:$P,$A281))</f>
        <v/>
      </c>
      <c r="M281" s="57" t="str">
        <f>IF($A281="","",IF($H281&lt;=0,0,SUMIFS('主表 Stock_Transaction_Log'!$K$2:$K1000,'主表 Stock_Transaction_Log'!$C$2:$C1000,"Prepared",'主表 Stock_Transaction_Log'!$L$2:$L1000,$B281,'主表 Stock_Transaction_Log'!$F$2:$F1000,$C281,'主表 Stock_Transaction_Log'!$G$2:$G1000,$D281,'主表 Stock_Transaction_Log'!$P$2:$P1000,$L281)))</f>
        <v/>
      </c>
      <c r="N281" s="172"/>
      <c r="O281" s="172" t="str">
        <f t="shared" si="4"/>
        <v/>
      </c>
      <c r="P281" s="172" t="str">
        <f t="shared" si="5"/>
        <v/>
      </c>
      <c r="Q281" s="172" t="str">
        <f t="shared" si="9"/>
        <v/>
      </c>
      <c r="R281" s="172" t="str">
        <f t="shared" si="7"/>
        <v/>
      </c>
      <c r="S281" s="172" t="str">
        <f t="shared" si="8"/>
        <v/>
      </c>
    </row>
    <row r="282">
      <c r="A282" s="172" t="str">
        <f>IF('主表 Stock_Transaction_Log'!$T282="","",IF(COUNTIF('主表 Stock_Transaction_Log'!$T$2:$T282,'主表 Stock_Transaction_Log'!$T282)=1,ROW('主表 Stock_Transaction_Log'!$T282),""))</f>
        <v/>
      </c>
      <c r="B282" s="172" t="str">
        <f t="array" ref="B282">IF($A282="","",INDEX('主表 Stock_Transaction_Log'!$Q:$Q,$A282))</f>
        <v/>
      </c>
      <c r="C282" s="172" t="str">
        <f t="array" ref="C282">IF($A282="","",IF(INDEX('主表 Stock_Transaction_Log'!$F:$F,$A282)=0,"",INDEX('主表 Stock_Transaction_Log'!$F:$F,$A282)))</f>
        <v/>
      </c>
      <c r="D282" s="172" t="str">
        <f t="array" ref="D282">IF($A282="","",INDEX('主表 Stock_Transaction_Log'!$G:$G,$A282))</f>
        <v/>
      </c>
      <c r="E282" s="172" t="str">
        <f t="array" ref="E282">IF($A282="","",INDEX('主表 Stock_Transaction_Log'!$H:$H,$A282))</f>
        <v/>
      </c>
      <c r="F282" s="172" t="str">
        <f t="array" ref="F282">IF($A282="","",INDEX('主表 Stock_Transaction_Log'!$I:$I,$A282))</f>
        <v/>
      </c>
      <c r="G282" s="172" t="str">
        <f t="array" ref="G282">IF($A282="","",IF(INDEX('主表 Stock_Transaction_Log'!$R:$R,$A282)=0,"",INDEX('主表 Stock_Transaction_Log'!$R:$R,$A282)))</f>
        <v/>
      </c>
      <c r="H282" s="172" t="str">
        <f t="array" ref="H282">IF($A282="","",SUMIF('主表 Stock_Transaction_Log'!$T:$T,INDEX('主表 Stock_Transaction_Log'!$T:$T,$A282),'主表 Stock_Transaction_Log'!$S:$S)+SUMIF('主表 Stock_Transaction_Log'!$AB:$AB,INDEX('主表 Stock_Transaction_Log'!$T:$T,$A282),'主表 Stock_Transaction_Log'!$AC:$AC))</f>
        <v/>
      </c>
      <c r="I282" s="172" t="str">
        <f t="shared" si="1"/>
        <v/>
      </c>
      <c r="J282" s="172" t="str">
        <f t="shared" si="2"/>
        <v/>
      </c>
      <c r="K282" s="172" t="str">
        <f t="shared" si="3"/>
        <v/>
      </c>
      <c r="L282" s="172" t="str">
        <f t="array" ref="L282">IF($A282="","",INDEX('主表 Stock_Transaction_Log'!$P:$P,$A282))</f>
        <v/>
      </c>
      <c r="M282" s="57" t="str">
        <f>IF($A282="","",IF($H282&lt;=0,0,SUMIFS('主表 Stock_Transaction_Log'!$K$2:$K1000,'主表 Stock_Transaction_Log'!$C$2:$C1000,"Prepared",'主表 Stock_Transaction_Log'!$L$2:$L1000,$B282,'主表 Stock_Transaction_Log'!$F$2:$F1000,$C282,'主表 Stock_Transaction_Log'!$G$2:$G1000,$D282,'主表 Stock_Transaction_Log'!$P$2:$P1000,$L282)))</f>
        <v/>
      </c>
      <c r="N282" s="172"/>
      <c r="O282" s="172" t="str">
        <f t="shared" si="4"/>
        <v/>
      </c>
      <c r="P282" s="172" t="str">
        <f t="shared" si="5"/>
        <v/>
      </c>
      <c r="Q282" s="172" t="str">
        <f t="shared" si="9"/>
        <v/>
      </c>
      <c r="R282" s="172" t="str">
        <f t="shared" si="7"/>
        <v/>
      </c>
      <c r="S282" s="172" t="str">
        <f t="shared" si="8"/>
        <v/>
      </c>
    </row>
    <row r="283">
      <c r="A283" s="172" t="str">
        <f>IF('主表 Stock_Transaction_Log'!$T283="","",IF(COUNTIF('主表 Stock_Transaction_Log'!$T$2:$T283,'主表 Stock_Transaction_Log'!$T283)=1,ROW('主表 Stock_Transaction_Log'!$T283),""))</f>
        <v/>
      </c>
      <c r="B283" s="172" t="str">
        <f t="array" ref="B283">IF($A283="","",INDEX('主表 Stock_Transaction_Log'!$Q:$Q,$A283))</f>
        <v/>
      </c>
      <c r="C283" s="172" t="str">
        <f t="array" ref="C283">IF($A283="","",IF(INDEX('主表 Stock_Transaction_Log'!$F:$F,$A283)=0,"",INDEX('主表 Stock_Transaction_Log'!$F:$F,$A283)))</f>
        <v/>
      </c>
      <c r="D283" s="172" t="str">
        <f t="array" ref="D283">IF($A283="","",INDEX('主表 Stock_Transaction_Log'!$G:$G,$A283))</f>
        <v/>
      </c>
      <c r="E283" s="172" t="str">
        <f t="array" ref="E283">IF($A283="","",INDEX('主表 Stock_Transaction_Log'!$H:$H,$A283))</f>
        <v/>
      </c>
      <c r="F283" s="172" t="str">
        <f t="array" ref="F283">IF($A283="","",INDEX('主表 Stock_Transaction_Log'!$I:$I,$A283))</f>
        <v/>
      </c>
      <c r="G283" s="172" t="str">
        <f t="array" ref="G283">IF($A283="","",IF(INDEX('主表 Stock_Transaction_Log'!$R:$R,$A283)=0,"",INDEX('主表 Stock_Transaction_Log'!$R:$R,$A283)))</f>
        <v/>
      </c>
      <c r="H283" s="172" t="str">
        <f t="array" ref="H283">IF($A283="","",SUMIF('主表 Stock_Transaction_Log'!$T:$T,INDEX('主表 Stock_Transaction_Log'!$T:$T,$A283),'主表 Stock_Transaction_Log'!$S:$S)+SUMIF('主表 Stock_Transaction_Log'!$AB:$AB,INDEX('主表 Stock_Transaction_Log'!$T:$T,$A283),'主表 Stock_Transaction_Log'!$AC:$AC))</f>
        <v/>
      </c>
      <c r="I283" s="172" t="str">
        <f t="shared" si="1"/>
        <v/>
      </c>
      <c r="J283" s="172" t="str">
        <f t="shared" si="2"/>
        <v/>
      </c>
      <c r="K283" s="172" t="str">
        <f t="shared" si="3"/>
        <v/>
      </c>
      <c r="L283" s="172" t="str">
        <f t="array" ref="L283">IF($A283="","",INDEX('主表 Stock_Transaction_Log'!$P:$P,$A283))</f>
        <v/>
      </c>
      <c r="M283" s="57" t="str">
        <f>IF($A283="","",IF($H283&lt;=0,0,SUMIFS('主表 Stock_Transaction_Log'!$K$2:$K1000,'主表 Stock_Transaction_Log'!$C$2:$C1000,"Prepared",'主表 Stock_Transaction_Log'!$L$2:$L1000,$B283,'主表 Stock_Transaction_Log'!$F$2:$F1000,$C283,'主表 Stock_Transaction_Log'!$G$2:$G1000,$D283,'主表 Stock_Transaction_Log'!$P$2:$P1000,$L283)))</f>
        <v/>
      </c>
      <c r="N283" s="172"/>
      <c r="O283" s="172" t="str">
        <f t="shared" si="4"/>
        <v/>
      </c>
      <c r="P283" s="172" t="str">
        <f t="shared" si="5"/>
        <v/>
      </c>
      <c r="Q283" s="172" t="str">
        <f t="shared" si="9"/>
        <v/>
      </c>
      <c r="R283" s="172" t="str">
        <f t="shared" si="7"/>
        <v/>
      </c>
      <c r="S283" s="172" t="str">
        <f t="shared" si="8"/>
        <v/>
      </c>
    </row>
    <row r="284">
      <c r="A284" s="172" t="str">
        <f>IF('主表 Stock_Transaction_Log'!$T284="","",IF(COUNTIF('主表 Stock_Transaction_Log'!$T$2:$T284,'主表 Stock_Transaction_Log'!$T284)=1,ROW('主表 Stock_Transaction_Log'!$T284),""))</f>
        <v/>
      </c>
      <c r="B284" s="172" t="str">
        <f t="array" ref="B284">IF($A284="","",INDEX('主表 Stock_Transaction_Log'!$Q:$Q,$A284))</f>
        <v/>
      </c>
      <c r="C284" s="172" t="str">
        <f t="array" ref="C284">IF($A284="","",IF(INDEX('主表 Stock_Transaction_Log'!$F:$F,$A284)=0,"",INDEX('主表 Stock_Transaction_Log'!$F:$F,$A284)))</f>
        <v/>
      </c>
      <c r="D284" s="172" t="str">
        <f t="array" ref="D284">IF($A284="","",INDEX('主表 Stock_Transaction_Log'!$G:$G,$A284))</f>
        <v/>
      </c>
      <c r="E284" s="172" t="str">
        <f t="array" ref="E284">IF($A284="","",INDEX('主表 Stock_Transaction_Log'!$H:$H,$A284))</f>
        <v/>
      </c>
      <c r="F284" s="172" t="str">
        <f t="array" ref="F284">IF($A284="","",INDEX('主表 Stock_Transaction_Log'!$I:$I,$A284))</f>
        <v/>
      </c>
      <c r="G284" s="172" t="str">
        <f t="array" ref="G284">IF($A284="","",IF(INDEX('主表 Stock_Transaction_Log'!$R:$R,$A284)=0,"",INDEX('主表 Stock_Transaction_Log'!$R:$R,$A284)))</f>
        <v/>
      </c>
      <c r="H284" s="172" t="str">
        <f t="array" ref="H284">IF($A284="","",SUMIF('主表 Stock_Transaction_Log'!$T:$T,INDEX('主表 Stock_Transaction_Log'!$T:$T,$A284),'主表 Stock_Transaction_Log'!$S:$S)+SUMIF('主表 Stock_Transaction_Log'!$AB:$AB,INDEX('主表 Stock_Transaction_Log'!$T:$T,$A284),'主表 Stock_Transaction_Log'!$AC:$AC))</f>
        <v/>
      </c>
      <c r="I284" s="172" t="str">
        <f t="shared" si="1"/>
        <v/>
      </c>
      <c r="J284" s="172" t="str">
        <f t="shared" si="2"/>
        <v/>
      </c>
      <c r="K284" s="172" t="str">
        <f t="shared" si="3"/>
        <v/>
      </c>
      <c r="L284" s="172" t="str">
        <f t="array" ref="L284">IF($A284="","",INDEX('主表 Stock_Transaction_Log'!$P:$P,$A284))</f>
        <v/>
      </c>
      <c r="M284" s="57" t="str">
        <f>IF($A284="","",IF($H284&lt;=0,0,SUMIFS('主表 Stock_Transaction_Log'!$K$2:$K1000,'主表 Stock_Transaction_Log'!$C$2:$C1000,"Prepared",'主表 Stock_Transaction_Log'!$L$2:$L1000,$B284,'主表 Stock_Transaction_Log'!$F$2:$F1000,$C284,'主表 Stock_Transaction_Log'!$G$2:$G1000,$D284,'主表 Stock_Transaction_Log'!$P$2:$P1000,$L284)))</f>
        <v/>
      </c>
      <c r="N284" s="172"/>
      <c r="O284" s="172" t="str">
        <f t="shared" si="4"/>
        <v/>
      </c>
      <c r="P284" s="172" t="str">
        <f t="shared" si="5"/>
        <v/>
      </c>
      <c r="Q284" s="172" t="str">
        <f t="shared" si="9"/>
        <v/>
      </c>
      <c r="R284" s="172" t="str">
        <f t="shared" si="7"/>
        <v/>
      </c>
      <c r="S284" s="172" t="str">
        <f t="shared" si="8"/>
        <v/>
      </c>
    </row>
    <row r="285">
      <c r="A285" s="172" t="str">
        <f>IF('主表 Stock_Transaction_Log'!$T285="","",IF(COUNTIF('主表 Stock_Transaction_Log'!$T$2:$T285,'主表 Stock_Transaction_Log'!$T285)=1,ROW('主表 Stock_Transaction_Log'!$T285),""))</f>
        <v/>
      </c>
      <c r="B285" s="172" t="str">
        <f t="array" ref="B285">IF($A285="","",INDEX('主表 Stock_Transaction_Log'!$Q:$Q,$A285))</f>
        <v/>
      </c>
      <c r="C285" s="172" t="str">
        <f t="array" ref="C285">IF($A285="","",IF(INDEX('主表 Stock_Transaction_Log'!$F:$F,$A285)=0,"",INDEX('主表 Stock_Transaction_Log'!$F:$F,$A285)))</f>
        <v/>
      </c>
      <c r="D285" s="172" t="str">
        <f t="array" ref="D285">IF($A285="","",INDEX('主表 Stock_Transaction_Log'!$G:$G,$A285))</f>
        <v/>
      </c>
      <c r="E285" s="172" t="str">
        <f t="array" ref="E285">IF($A285="","",INDEX('主表 Stock_Transaction_Log'!$H:$H,$A285))</f>
        <v/>
      </c>
      <c r="F285" s="172" t="str">
        <f t="array" ref="F285">IF($A285="","",INDEX('主表 Stock_Transaction_Log'!$I:$I,$A285))</f>
        <v/>
      </c>
      <c r="G285" s="172" t="str">
        <f t="array" ref="G285">IF($A285="","",IF(INDEX('主表 Stock_Transaction_Log'!$R:$R,$A285)=0,"",INDEX('主表 Stock_Transaction_Log'!$R:$R,$A285)))</f>
        <v/>
      </c>
      <c r="H285" s="172" t="str">
        <f t="array" ref="H285">IF($A285="","",SUMIF('主表 Stock_Transaction_Log'!$T:$T,INDEX('主表 Stock_Transaction_Log'!$T:$T,$A285),'主表 Stock_Transaction_Log'!$S:$S)+SUMIF('主表 Stock_Transaction_Log'!$AB:$AB,INDEX('主表 Stock_Transaction_Log'!$T:$T,$A285),'主表 Stock_Transaction_Log'!$AC:$AC))</f>
        <v/>
      </c>
      <c r="I285" s="172" t="str">
        <f t="shared" si="1"/>
        <v/>
      </c>
      <c r="J285" s="172" t="str">
        <f t="shared" si="2"/>
        <v/>
      </c>
      <c r="K285" s="172" t="str">
        <f t="shared" si="3"/>
        <v/>
      </c>
      <c r="L285" s="172" t="str">
        <f t="array" ref="L285">IF($A285="","",INDEX('主表 Stock_Transaction_Log'!$P:$P,$A285))</f>
        <v/>
      </c>
      <c r="M285" s="57" t="str">
        <f>IF($A285="","",IF($H285&lt;=0,0,SUMIFS('主表 Stock_Transaction_Log'!$K$2:$K1000,'主表 Stock_Transaction_Log'!$C$2:$C1000,"Prepared",'主表 Stock_Transaction_Log'!$L$2:$L1000,$B285,'主表 Stock_Transaction_Log'!$F$2:$F1000,$C285,'主表 Stock_Transaction_Log'!$G$2:$G1000,$D285,'主表 Stock_Transaction_Log'!$P$2:$P1000,$L285)))</f>
        <v/>
      </c>
      <c r="N285" s="172"/>
      <c r="O285" s="172" t="str">
        <f t="shared" si="4"/>
        <v/>
      </c>
      <c r="P285" s="172" t="str">
        <f t="shared" si="5"/>
        <v/>
      </c>
      <c r="Q285" s="172" t="str">
        <f t="shared" si="9"/>
        <v/>
      </c>
      <c r="R285" s="172" t="str">
        <f t="shared" si="7"/>
        <v/>
      </c>
      <c r="S285" s="172" t="str">
        <f t="shared" si="8"/>
        <v/>
      </c>
    </row>
    <row r="286">
      <c r="A286" s="172" t="str">
        <f>IF('主表 Stock_Transaction_Log'!$T286="","",IF(COUNTIF('主表 Stock_Transaction_Log'!$T$2:$T286,'主表 Stock_Transaction_Log'!$T286)=1,ROW('主表 Stock_Transaction_Log'!$T286),""))</f>
        <v/>
      </c>
      <c r="B286" s="172" t="str">
        <f t="array" ref="B286">IF($A286="","",INDEX('主表 Stock_Transaction_Log'!$Q:$Q,$A286))</f>
        <v/>
      </c>
      <c r="C286" s="172" t="str">
        <f t="array" ref="C286">IF($A286="","",IF(INDEX('主表 Stock_Transaction_Log'!$F:$F,$A286)=0,"",INDEX('主表 Stock_Transaction_Log'!$F:$F,$A286)))</f>
        <v/>
      </c>
      <c r="D286" s="172" t="str">
        <f t="array" ref="D286">IF($A286="","",INDEX('主表 Stock_Transaction_Log'!$G:$G,$A286))</f>
        <v/>
      </c>
      <c r="E286" s="172" t="str">
        <f t="array" ref="E286">IF($A286="","",INDEX('主表 Stock_Transaction_Log'!$H:$H,$A286))</f>
        <v/>
      </c>
      <c r="F286" s="172" t="str">
        <f t="array" ref="F286">IF($A286="","",INDEX('主表 Stock_Transaction_Log'!$I:$I,$A286))</f>
        <v/>
      </c>
      <c r="G286" s="172" t="str">
        <f t="array" ref="G286">IF($A286="","",IF(INDEX('主表 Stock_Transaction_Log'!$R:$R,$A286)=0,"",INDEX('主表 Stock_Transaction_Log'!$R:$R,$A286)))</f>
        <v/>
      </c>
      <c r="H286" s="172" t="str">
        <f t="array" ref="H286">IF($A286="","",SUMIF('主表 Stock_Transaction_Log'!$T:$T,INDEX('主表 Stock_Transaction_Log'!$T:$T,$A286),'主表 Stock_Transaction_Log'!$S:$S)+SUMIF('主表 Stock_Transaction_Log'!$AB:$AB,INDEX('主表 Stock_Transaction_Log'!$T:$T,$A286),'主表 Stock_Transaction_Log'!$AC:$AC))</f>
        <v/>
      </c>
      <c r="I286" s="172" t="str">
        <f t="shared" si="1"/>
        <v/>
      </c>
      <c r="J286" s="172" t="str">
        <f t="shared" si="2"/>
        <v/>
      </c>
      <c r="K286" s="172" t="str">
        <f t="shared" si="3"/>
        <v/>
      </c>
      <c r="L286" s="172" t="str">
        <f t="array" ref="L286">IF($A286="","",INDEX('主表 Stock_Transaction_Log'!$P:$P,$A286))</f>
        <v/>
      </c>
      <c r="M286" s="57" t="str">
        <f>IF($A286="","",IF($H286&lt;=0,0,SUMIFS('主表 Stock_Transaction_Log'!$K$2:$K1000,'主表 Stock_Transaction_Log'!$C$2:$C1000,"Prepared",'主表 Stock_Transaction_Log'!$L$2:$L1000,$B286,'主表 Stock_Transaction_Log'!$F$2:$F1000,$C286,'主表 Stock_Transaction_Log'!$G$2:$G1000,$D286,'主表 Stock_Transaction_Log'!$P$2:$P1000,$L286)))</f>
        <v/>
      </c>
      <c r="N286" s="172"/>
      <c r="O286" s="172" t="str">
        <f t="shared" si="4"/>
        <v/>
      </c>
      <c r="P286" s="172" t="str">
        <f t="shared" si="5"/>
        <v/>
      </c>
      <c r="Q286" s="172" t="str">
        <f t="shared" si="9"/>
        <v/>
      </c>
      <c r="R286" s="172" t="str">
        <f t="shared" si="7"/>
        <v/>
      </c>
      <c r="S286" s="172" t="str">
        <f t="shared" si="8"/>
        <v/>
      </c>
    </row>
    <row r="287">
      <c r="A287" s="172" t="str">
        <f>IF('主表 Stock_Transaction_Log'!$T287="","",IF(COUNTIF('主表 Stock_Transaction_Log'!$T$2:$T287,'主表 Stock_Transaction_Log'!$T287)=1,ROW('主表 Stock_Transaction_Log'!$T287),""))</f>
        <v/>
      </c>
      <c r="B287" s="172" t="str">
        <f t="array" ref="B287">IF($A287="","",INDEX('主表 Stock_Transaction_Log'!$Q:$Q,$A287))</f>
        <v/>
      </c>
      <c r="C287" s="172" t="str">
        <f t="array" ref="C287">IF($A287="","",IF(INDEX('主表 Stock_Transaction_Log'!$F:$F,$A287)=0,"",INDEX('主表 Stock_Transaction_Log'!$F:$F,$A287)))</f>
        <v/>
      </c>
      <c r="D287" s="172" t="str">
        <f t="array" ref="D287">IF($A287="","",INDEX('主表 Stock_Transaction_Log'!$G:$G,$A287))</f>
        <v/>
      </c>
      <c r="E287" s="172" t="str">
        <f t="array" ref="E287">IF($A287="","",INDEX('主表 Stock_Transaction_Log'!$H:$H,$A287))</f>
        <v/>
      </c>
      <c r="F287" s="172" t="str">
        <f t="array" ref="F287">IF($A287="","",INDEX('主表 Stock_Transaction_Log'!$I:$I,$A287))</f>
        <v/>
      </c>
      <c r="G287" s="172" t="str">
        <f t="array" ref="G287">IF($A287="","",IF(INDEX('主表 Stock_Transaction_Log'!$R:$R,$A287)=0,"",INDEX('主表 Stock_Transaction_Log'!$R:$R,$A287)))</f>
        <v/>
      </c>
      <c r="H287" s="172" t="str">
        <f t="array" ref="H287">IF($A287="","",SUMIF('主表 Stock_Transaction_Log'!$T:$T,INDEX('主表 Stock_Transaction_Log'!$T:$T,$A287),'主表 Stock_Transaction_Log'!$S:$S)+SUMIF('主表 Stock_Transaction_Log'!$AB:$AB,INDEX('主表 Stock_Transaction_Log'!$T:$T,$A287),'主表 Stock_Transaction_Log'!$AC:$AC))</f>
        <v/>
      </c>
      <c r="I287" s="172" t="str">
        <f t="shared" si="1"/>
        <v/>
      </c>
      <c r="J287" s="172" t="str">
        <f t="shared" si="2"/>
        <v/>
      </c>
      <c r="K287" s="172" t="str">
        <f t="shared" si="3"/>
        <v/>
      </c>
      <c r="L287" s="172" t="str">
        <f t="array" ref="L287">IF($A287="","",INDEX('主表 Stock_Transaction_Log'!$P:$P,$A287))</f>
        <v/>
      </c>
      <c r="M287" s="57" t="str">
        <f>IF($A287="","",IF($H287&lt;=0,0,SUMIFS('主表 Stock_Transaction_Log'!$K$2:$K1000,'主表 Stock_Transaction_Log'!$C$2:$C1000,"Prepared",'主表 Stock_Transaction_Log'!$L$2:$L1000,$B287,'主表 Stock_Transaction_Log'!$F$2:$F1000,$C287,'主表 Stock_Transaction_Log'!$G$2:$G1000,$D287,'主表 Stock_Transaction_Log'!$P$2:$P1000,$L287)))</f>
        <v/>
      </c>
      <c r="N287" s="172"/>
      <c r="O287" s="172" t="str">
        <f t="shared" si="4"/>
        <v/>
      </c>
      <c r="P287" s="172" t="str">
        <f t="shared" si="5"/>
        <v/>
      </c>
      <c r="Q287" s="172" t="str">
        <f t="shared" si="9"/>
        <v/>
      </c>
      <c r="R287" s="172" t="str">
        <f t="shared" si="7"/>
        <v/>
      </c>
      <c r="S287" s="172" t="str">
        <f t="shared" si="8"/>
        <v/>
      </c>
    </row>
    <row r="288">
      <c r="A288" s="172" t="str">
        <f>IF('主表 Stock_Transaction_Log'!$T288="","",IF(COUNTIF('主表 Stock_Transaction_Log'!$T$2:$T288,'主表 Stock_Transaction_Log'!$T288)=1,ROW('主表 Stock_Transaction_Log'!$T288),""))</f>
        <v/>
      </c>
      <c r="B288" s="172" t="str">
        <f t="array" ref="B288">IF($A288="","",INDEX('主表 Stock_Transaction_Log'!$Q:$Q,$A288))</f>
        <v/>
      </c>
      <c r="C288" s="172" t="str">
        <f t="array" ref="C288">IF($A288="","",IF(INDEX('主表 Stock_Transaction_Log'!$F:$F,$A288)=0,"",INDEX('主表 Stock_Transaction_Log'!$F:$F,$A288)))</f>
        <v/>
      </c>
      <c r="D288" s="172" t="str">
        <f t="array" ref="D288">IF($A288="","",INDEX('主表 Stock_Transaction_Log'!$G:$G,$A288))</f>
        <v/>
      </c>
      <c r="E288" s="172" t="str">
        <f t="array" ref="E288">IF($A288="","",INDEX('主表 Stock_Transaction_Log'!$H:$H,$A288))</f>
        <v/>
      </c>
      <c r="F288" s="172" t="str">
        <f t="array" ref="F288">IF($A288="","",INDEX('主表 Stock_Transaction_Log'!$I:$I,$A288))</f>
        <v/>
      </c>
      <c r="G288" s="172" t="str">
        <f t="array" ref="G288">IF($A288="","",IF(INDEX('主表 Stock_Transaction_Log'!$R:$R,$A288)=0,"",INDEX('主表 Stock_Transaction_Log'!$R:$R,$A288)))</f>
        <v/>
      </c>
      <c r="H288" s="172" t="str">
        <f t="array" ref="H288">IF($A288="","",SUMIF('主表 Stock_Transaction_Log'!$T:$T,INDEX('主表 Stock_Transaction_Log'!$T:$T,$A288),'主表 Stock_Transaction_Log'!$S:$S)+SUMIF('主表 Stock_Transaction_Log'!$AB:$AB,INDEX('主表 Stock_Transaction_Log'!$T:$T,$A288),'主表 Stock_Transaction_Log'!$AC:$AC))</f>
        <v/>
      </c>
      <c r="I288" s="172" t="str">
        <f t="shared" si="1"/>
        <v/>
      </c>
      <c r="J288" s="172" t="str">
        <f t="shared" si="2"/>
        <v/>
      </c>
      <c r="K288" s="172" t="str">
        <f t="shared" si="3"/>
        <v/>
      </c>
      <c r="L288" s="172" t="str">
        <f t="array" ref="L288">IF($A288="","",INDEX('主表 Stock_Transaction_Log'!$P:$P,$A288))</f>
        <v/>
      </c>
      <c r="M288" s="57" t="str">
        <f>IF($A288="","",IF($H288&lt;=0,0,SUMIFS('主表 Stock_Transaction_Log'!$K$2:$K1000,'主表 Stock_Transaction_Log'!$C$2:$C1000,"Prepared",'主表 Stock_Transaction_Log'!$L$2:$L1000,$B288,'主表 Stock_Transaction_Log'!$F$2:$F1000,$C288,'主表 Stock_Transaction_Log'!$G$2:$G1000,$D288,'主表 Stock_Transaction_Log'!$P$2:$P1000,$L288)))</f>
        <v/>
      </c>
      <c r="N288" s="172"/>
      <c r="O288" s="172" t="str">
        <f t="shared" si="4"/>
        <v/>
      </c>
      <c r="P288" s="172" t="str">
        <f t="shared" si="5"/>
        <v/>
      </c>
      <c r="Q288" s="172" t="str">
        <f t="shared" si="9"/>
        <v/>
      </c>
      <c r="R288" s="172" t="str">
        <f t="shared" si="7"/>
        <v/>
      </c>
      <c r="S288" s="172" t="str">
        <f t="shared" si="8"/>
        <v/>
      </c>
    </row>
    <row r="289">
      <c r="A289" s="172" t="str">
        <f>IF('主表 Stock_Transaction_Log'!$T289="","",IF(COUNTIF('主表 Stock_Transaction_Log'!$T$2:$T289,'主表 Stock_Transaction_Log'!$T289)=1,ROW('主表 Stock_Transaction_Log'!$T289),""))</f>
        <v/>
      </c>
      <c r="B289" s="172" t="str">
        <f t="array" ref="B289">IF($A289="","",INDEX('主表 Stock_Transaction_Log'!$Q:$Q,$A289))</f>
        <v/>
      </c>
      <c r="C289" s="172" t="str">
        <f t="array" ref="C289">IF($A289="","",IF(INDEX('主表 Stock_Transaction_Log'!$F:$F,$A289)=0,"",INDEX('主表 Stock_Transaction_Log'!$F:$F,$A289)))</f>
        <v/>
      </c>
      <c r="D289" s="172" t="str">
        <f t="array" ref="D289">IF($A289="","",INDEX('主表 Stock_Transaction_Log'!$G:$G,$A289))</f>
        <v/>
      </c>
      <c r="E289" s="172" t="str">
        <f t="array" ref="E289">IF($A289="","",INDEX('主表 Stock_Transaction_Log'!$H:$H,$A289))</f>
        <v/>
      </c>
      <c r="F289" s="172" t="str">
        <f t="array" ref="F289">IF($A289="","",INDEX('主表 Stock_Transaction_Log'!$I:$I,$A289))</f>
        <v/>
      </c>
      <c r="G289" s="172" t="str">
        <f t="array" ref="G289">IF($A289="","",IF(INDEX('主表 Stock_Transaction_Log'!$R:$R,$A289)=0,"",INDEX('主表 Stock_Transaction_Log'!$R:$R,$A289)))</f>
        <v/>
      </c>
      <c r="H289" s="172" t="str">
        <f t="array" ref="H289">IF($A289="","",SUMIF('主表 Stock_Transaction_Log'!$T:$T,INDEX('主表 Stock_Transaction_Log'!$T:$T,$A289),'主表 Stock_Transaction_Log'!$S:$S)+SUMIF('主表 Stock_Transaction_Log'!$AB:$AB,INDEX('主表 Stock_Transaction_Log'!$T:$T,$A289),'主表 Stock_Transaction_Log'!$AC:$AC))</f>
        <v/>
      </c>
      <c r="I289" s="172" t="str">
        <f t="shared" si="1"/>
        <v/>
      </c>
      <c r="J289" s="172" t="str">
        <f t="shared" si="2"/>
        <v/>
      </c>
      <c r="K289" s="172" t="str">
        <f t="shared" si="3"/>
        <v/>
      </c>
      <c r="L289" s="172" t="str">
        <f t="array" ref="L289">IF($A289="","",INDEX('主表 Stock_Transaction_Log'!$P:$P,$A289))</f>
        <v/>
      </c>
      <c r="M289" s="57" t="str">
        <f>IF($A289="","",IF($H289&lt;=0,0,SUMIFS('主表 Stock_Transaction_Log'!$K$2:$K1000,'主表 Stock_Transaction_Log'!$C$2:$C1000,"Prepared",'主表 Stock_Transaction_Log'!$L$2:$L1000,$B289,'主表 Stock_Transaction_Log'!$F$2:$F1000,$C289,'主表 Stock_Transaction_Log'!$G$2:$G1000,$D289,'主表 Stock_Transaction_Log'!$P$2:$P1000,$L289)))</f>
        <v/>
      </c>
      <c r="N289" s="172"/>
      <c r="O289" s="172" t="str">
        <f t="shared" si="4"/>
        <v/>
      </c>
      <c r="P289" s="172" t="str">
        <f t="shared" si="5"/>
        <v/>
      </c>
      <c r="Q289" s="172" t="str">
        <f t="shared" si="9"/>
        <v/>
      </c>
      <c r="R289" s="172" t="str">
        <f t="shared" si="7"/>
        <v/>
      </c>
      <c r="S289" s="172" t="str">
        <f t="shared" si="8"/>
        <v/>
      </c>
    </row>
    <row r="290">
      <c r="A290" s="172" t="str">
        <f>IF('主表 Stock_Transaction_Log'!$T290="","",IF(COUNTIF('主表 Stock_Transaction_Log'!$T$2:$T290,'主表 Stock_Transaction_Log'!$T290)=1,ROW('主表 Stock_Transaction_Log'!$T290),""))</f>
        <v/>
      </c>
      <c r="B290" s="172" t="str">
        <f t="array" ref="B290">IF($A290="","",INDEX('主表 Stock_Transaction_Log'!$Q:$Q,$A290))</f>
        <v/>
      </c>
      <c r="C290" s="172" t="str">
        <f t="array" ref="C290">IF($A290="","",IF(INDEX('主表 Stock_Transaction_Log'!$F:$F,$A290)=0,"",INDEX('主表 Stock_Transaction_Log'!$F:$F,$A290)))</f>
        <v/>
      </c>
      <c r="D290" s="172" t="str">
        <f t="array" ref="D290">IF($A290="","",INDEX('主表 Stock_Transaction_Log'!$G:$G,$A290))</f>
        <v/>
      </c>
      <c r="E290" s="172" t="str">
        <f t="array" ref="E290">IF($A290="","",INDEX('主表 Stock_Transaction_Log'!$H:$H,$A290))</f>
        <v/>
      </c>
      <c r="F290" s="172" t="str">
        <f t="array" ref="F290">IF($A290="","",INDEX('主表 Stock_Transaction_Log'!$I:$I,$A290))</f>
        <v/>
      </c>
      <c r="G290" s="172" t="str">
        <f t="array" ref="G290">IF($A290="","",IF(INDEX('主表 Stock_Transaction_Log'!$R:$R,$A290)=0,"",INDEX('主表 Stock_Transaction_Log'!$R:$R,$A290)))</f>
        <v/>
      </c>
      <c r="H290" s="172" t="str">
        <f t="array" ref="H290">IF($A290="","",SUMIF('主表 Stock_Transaction_Log'!$T:$T,INDEX('主表 Stock_Transaction_Log'!$T:$T,$A290),'主表 Stock_Transaction_Log'!$S:$S)+SUMIF('主表 Stock_Transaction_Log'!$AB:$AB,INDEX('主表 Stock_Transaction_Log'!$T:$T,$A290),'主表 Stock_Transaction_Log'!$AC:$AC))</f>
        <v/>
      </c>
      <c r="I290" s="172" t="str">
        <f t="shared" si="1"/>
        <v/>
      </c>
      <c r="J290" s="172" t="str">
        <f t="shared" si="2"/>
        <v/>
      </c>
      <c r="K290" s="172" t="str">
        <f t="shared" si="3"/>
        <v/>
      </c>
      <c r="L290" s="172" t="str">
        <f t="array" ref="L290">IF($A290="","",INDEX('主表 Stock_Transaction_Log'!$P:$P,$A290))</f>
        <v/>
      </c>
      <c r="M290" s="57" t="str">
        <f>IF($A290="","",IF($H290&lt;=0,0,SUMIFS('主表 Stock_Transaction_Log'!$K$2:$K1000,'主表 Stock_Transaction_Log'!$C$2:$C1000,"Prepared",'主表 Stock_Transaction_Log'!$L$2:$L1000,$B290,'主表 Stock_Transaction_Log'!$F$2:$F1000,$C290,'主表 Stock_Transaction_Log'!$G$2:$G1000,$D290,'主表 Stock_Transaction_Log'!$P$2:$P1000,$L290)))</f>
        <v/>
      </c>
      <c r="N290" s="172"/>
      <c r="O290" s="172" t="str">
        <f t="shared" si="4"/>
        <v/>
      </c>
      <c r="P290" s="172" t="str">
        <f t="shared" si="5"/>
        <v/>
      </c>
      <c r="Q290" s="172" t="str">
        <f t="shared" si="9"/>
        <v/>
      </c>
      <c r="R290" s="172" t="str">
        <f t="shared" si="7"/>
        <v/>
      </c>
      <c r="S290" s="172" t="str">
        <f t="shared" si="8"/>
        <v/>
      </c>
    </row>
    <row r="291">
      <c r="A291" s="172" t="str">
        <f>IF('主表 Stock_Transaction_Log'!$T291="","",IF(COUNTIF('主表 Stock_Transaction_Log'!$T$2:$T291,'主表 Stock_Transaction_Log'!$T291)=1,ROW('主表 Stock_Transaction_Log'!$T291),""))</f>
        <v/>
      </c>
      <c r="B291" s="172" t="str">
        <f t="array" ref="B291">IF($A291="","",INDEX('主表 Stock_Transaction_Log'!$Q:$Q,$A291))</f>
        <v/>
      </c>
      <c r="C291" s="172" t="str">
        <f t="array" ref="C291">IF($A291="","",IF(INDEX('主表 Stock_Transaction_Log'!$F:$F,$A291)=0,"",INDEX('主表 Stock_Transaction_Log'!$F:$F,$A291)))</f>
        <v/>
      </c>
      <c r="D291" s="172" t="str">
        <f t="array" ref="D291">IF($A291="","",INDEX('主表 Stock_Transaction_Log'!$G:$G,$A291))</f>
        <v/>
      </c>
      <c r="E291" s="172" t="str">
        <f t="array" ref="E291">IF($A291="","",INDEX('主表 Stock_Transaction_Log'!$H:$H,$A291))</f>
        <v/>
      </c>
      <c r="F291" s="172" t="str">
        <f t="array" ref="F291">IF($A291="","",INDEX('主表 Stock_Transaction_Log'!$I:$I,$A291))</f>
        <v/>
      </c>
      <c r="G291" s="172" t="str">
        <f t="array" ref="G291">IF($A291="","",IF(INDEX('主表 Stock_Transaction_Log'!$R:$R,$A291)=0,"",INDEX('主表 Stock_Transaction_Log'!$R:$R,$A291)))</f>
        <v/>
      </c>
      <c r="H291" s="172" t="str">
        <f t="array" ref="H291">IF($A291="","",SUMIF('主表 Stock_Transaction_Log'!$T:$T,INDEX('主表 Stock_Transaction_Log'!$T:$T,$A291),'主表 Stock_Transaction_Log'!$S:$S)+SUMIF('主表 Stock_Transaction_Log'!$AB:$AB,INDEX('主表 Stock_Transaction_Log'!$T:$T,$A291),'主表 Stock_Transaction_Log'!$AC:$AC))</f>
        <v/>
      </c>
      <c r="I291" s="172" t="str">
        <f t="shared" si="1"/>
        <v/>
      </c>
      <c r="J291" s="172" t="str">
        <f t="shared" si="2"/>
        <v/>
      </c>
      <c r="K291" s="172" t="str">
        <f t="shared" si="3"/>
        <v/>
      </c>
      <c r="L291" s="172" t="str">
        <f t="array" ref="L291">IF($A291="","",INDEX('主表 Stock_Transaction_Log'!$P:$P,$A291))</f>
        <v/>
      </c>
      <c r="M291" s="57" t="str">
        <f>IF($A291="","",IF($H291&lt;=0,0,SUMIFS('主表 Stock_Transaction_Log'!$K$2:$K1000,'主表 Stock_Transaction_Log'!$C$2:$C1000,"Prepared",'主表 Stock_Transaction_Log'!$L$2:$L1000,$B291,'主表 Stock_Transaction_Log'!$F$2:$F1000,$C291,'主表 Stock_Transaction_Log'!$G$2:$G1000,$D291,'主表 Stock_Transaction_Log'!$P$2:$P1000,$L291)))</f>
        <v/>
      </c>
      <c r="N291" s="172"/>
      <c r="O291" s="172" t="str">
        <f t="shared" si="4"/>
        <v/>
      </c>
      <c r="P291" s="172" t="str">
        <f t="shared" si="5"/>
        <v/>
      </c>
      <c r="Q291" s="172" t="str">
        <f t="shared" si="9"/>
        <v/>
      </c>
      <c r="R291" s="172" t="str">
        <f t="shared" si="7"/>
        <v/>
      </c>
      <c r="S291" s="172" t="str">
        <f t="shared" si="8"/>
        <v/>
      </c>
    </row>
    <row r="292">
      <c r="A292" s="172" t="str">
        <f>IF('主表 Stock_Transaction_Log'!$T292="","",IF(COUNTIF('主表 Stock_Transaction_Log'!$T$2:$T292,'主表 Stock_Transaction_Log'!$T292)=1,ROW('主表 Stock_Transaction_Log'!$T292),""))</f>
        <v/>
      </c>
      <c r="B292" s="172" t="str">
        <f t="array" ref="B292">IF($A292="","",INDEX('主表 Stock_Transaction_Log'!$Q:$Q,$A292))</f>
        <v/>
      </c>
      <c r="C292" s="172" t="str">
        <f t="array" ref="C292">IF($A292="","",IF(INDEX('主表 Stock_Transaction_Log'!$F:$F,$A292)=0,"",INDEX('主表 Stock_Transaction_Log'!$F:$F,$A292)))</f>
        <v/>
      </c>
      <c r="D292" s="172" t="str">
        <f t="array" ref="D292">IF($A292="","",INDEX('主表 Stock_Transaction_Log'!$G:$G,$A292))</f>
        <v/>
      </c>
      <c r="E292" s="172" t="str">
        <f t="array" ref="E292">IF($A292="","",INDEX('主表 Stock_Transaction_Log'!$H:$H,$A292))</f>
        <v/>
      </c>
      <c r="F292" s="172" t="str">
        <f t="array" ref="F292">IF($A292="","",INDEX('主表 Stock_Transaction_Log'!$I:$I,$A292))</f>
        <v/>
      </c>
      <c r="G292" s="172" t="str">
        <f t="array" ref="G292">IF($A292="","",IF(INDEX('主表 Stock_Transaction_Log'!$R:$R,$A292)=0,"",INDEX('主表 Stock_Transaction_Log'!$R:$R,$A292)))</f>
        <v/>
      </c>
      <c r="H292" s="172" t="str">
        <f t="array" ref="H292">IF($A292="","",SUMIF('主表 Stock_Transaction_Log'!$T:$T,INDEX('主表 Stock_Transaction_Log'!$T:$T,$A292),'主表 Stock_Transaction_Log'!$S:$S)+SUMIF('主表 Stock_Transaction_Log'!$AB:$AB,INDEX('主表 Stock_Transaction_Log'!$T:$T,$A292),'主表 Stock_Transaction_Log'!$AC:$AC))</f>
        <v/>
      </c>
      <c r="I292" s="172" t="str">
        <f t="shared" si="1"/>
        <v/>
      </c>
      <c r="J292" s="172" t="str">
        <f t="shared" si="2"/>
        <v/>
      </c>
      <c r="K292" s="172" t="str">
        <f t="shared" si="3"/>
        <v/>
      </c>
      <c r="L292" s="172" t="str">
        <f t="array" ref="L292">IF($A292="","",INDEX('主表 Stock_Transaction_Log'!$P:$P,$A292))</f>
        <v/>
      </c>
      <c r="M292" s="57" t="str">
        <f>IF($A292="","",IF($H292&lt;=0,0,SUMIFS('主表 Stock_Transaction_Log'!$K$2:$K1000,'主表 Stock_Transaction_Log'!$C$2:$C1000,"Prepared",'主表 Stock_Transaction_Log'!$L$2:$L1000,$B292,'主表 Stock_Transaction_Log'!$F$2:$F1000,$C292,'主表 Stock_Transaction_Log'!$G$2:$G1000,$D292,'主表 Stock_Transaction_Log'!$P$2:$P1000,$L292)))</f>
        <v/>
      </c>
      <c r="N292" s="172"/>
      <c r="O292" s="172" t="str">
        <f t="shared" si="4"/>
        <v/>
      </c>
      <c r="P292" s="172" t="str">
        <f t="shared" si="5"/>
        <v/>
      </c>
      <c r="Q292" s="172" t="str">
        <f t="shared" si="9"/>
        <v/>
      </c>
      <c r="R292" s="172" t="str">
        <f t="shared" si="7"/>
        <v/>
      </c>
      <c r="S292" s="172" t="str">
        <f t="shared" si="8"/>
        <v/>
      </c>
    </row>
    <row r="293">
      <c r="A293" s="172" t="str">
        <f>IF('主表 Stock_Transaction_Log'!$T293="","",IF(COUNTIF('主表 Stock_Transaction_Log'!$T$2:$T293,'主表 Stock_Transaction_Log'!$T293)=1,ROW('主表 Stock_Transaction_Log'!$T293),""))</f>
        <v/>
      </c>
      <c r="B293" s="172" t="str">
        <f t="array" ref="B293">IF($A293="","",INDEX('主表 Stock_Transaction_Log'!$Q:$Q,$A293))</f>
        <v/>
      </c>
      <c r="C293" s="172" t="str">
        <f t="array" ref="C293">IF($A293="","",IF(INDEX('主表 Stock_Transaction_Log'!$F:$F,$A293)=0,"",INDEX('主表 Stock_Transaction_Log'!$F:$F,$A293)))</f>
        <v/>
      </c>
      <c r="D293" s="172" t="str">
        <f t="array" ref="D293">IF($A293="","",INDEX('主表 Stock_Transaction_Log'!$G:$G,$A293))</f>
        <v/>
      </c>
      <c r="E293" s="172" t="str">
        <f t="array" ref="E293">IF($A293="","",INDEX('主表 Stock_Transaction_Log'!$H:$H,$A293))</f>
        <v/>
      </c>
      <c r="F293" s="172" t="str">
        <f t="array" ref="F293">IF($A293="","",INDEX('主表 Stock_Transaction_Log'!$I:$I,$A293))</f>
        <v/>
      </c>
      <c r="G293" s="172" t="str">
        <f t="array" ref="G293">IF($A293="","",IF(INDEX('主表 Stock_Transaction_Log'!$R:$R,$A293)=0,"",INDEX('主表 Stock_Transaction_Log'!$R:$R,$A293)))</f>
        <v/>
      </c>
      <c r="H293" s="172" t="str">
        <f t="array" ref="H293">IF($A293="","",SUMIF('主表 Stock_Transaction_Log'!$T:$T,INDEX('主表 Stock_Transaction_Log'!$T:$T,$A293),'主表 Stock_Transaction_Log'!$S:$S)+SUMIF('主表 Stock_Transaction_Log'!$AB:$AB,INDEX('主表 Stock_Transaction_Log'!$T:$T,$A293),'主表 Stock_Transaction_Log'!$AC:$AC))</f>
        <v/>
      </c>
      <c r="I293" s="172" t="str">
        <f t="shared" si="1"/>
        <v/>
      </c>
      <c r="J293" s="172" t="str">
        <f t="shared" si="2"/>
        <v/>
      </c>
      <c r="K293" s="172" t="str">
        <f t="shared" si="3"/>
        <v/>
      </c>
      <c r="L293" s="172" t="str">
        <f t="array" ref="L293">IF($A293="","",INDEX('主表 Stock_Transaction_Log'!$P:$P,$A293))</f>
        <v/>
      </c>
      <c r="M293" s="57" t="str">
        <f>IF($A293="","",IF($H293&lt;=0,0,SUMIFS('主表 Stock_Transaction_Log'!$K$2:$K1000,'主表 Stock_Transaction_Log'!$C$2:$C1000,"Prepared",'主表 Stock_Transaction_Log'!$L$2:$L1000,$B293,'主表 Stock_Transaction_Log'!$F$2:$F1000,$C293,'主表 Stock_Transaction_Log'!$G$2:$G1000,$D293,'主表 Stock_Transaction_Log'!$P$2:$P1000,$L293)))</f>
        <v/>
      </c>
      <c r="N293" s="172"/>
      <c r="O293" s="172" t="str">
        <f t="shared" si="4"/>
        <v/>
      </c>
      <c r="P293" s="172" t="str">
        <f t="shared" si="5"/>
        <v/>
      </c>
      <c r="Q293" s="172" t="str">
        <f t="shared" si="9"/>
        <v/>
      </c>
      <c r="R293" s="172" t="str">
        <f t="shared" si="7"/>
        <v/>
      </c>
      <c r="S293" s="172" t="str">
        <f t="shared" si="8"/>
        <v/>
      </c>
    </row>
    <row r="294">
      <c r="A294" s="172" t="str">
        <f>IF('主表 Stock_Transaction_Log'!$T294="","",IF(COUNTIF('主表 Stock_Transaction_Log'!$T$2:$T294,'主表 Stock_Transaction_Log'!$T294)=1,ROW('主表 Stock_Transaction_Log'!$T294),""))</f>
        <v/>
      </c>
      <c r="B294" s="172" t="str">
        <f t="array" ref="B294">IF($A294="","",INDEX('主表 Stock_Transaction_Log'!$Q:$Q,$A294))</f>
        <v/>
      </c>
      <c r="C294" s="172" t="str">
        <f t="array" ref="C294">IF($A294="","",IF(INDEX('主表 Stock_Transaction_Log'!$F:$F,$A294)=0,"",INDEX('主表 Stock_Transaction_Log'!$F:$F,$A294)))</f>
        <v/>
      </c>
      <c r="D294" s="172" t="str">
        <f t="array" ref="D294">IF($A294="","",INDEX('主表 Stock_Transaction_Log'!$G:$G,$A294))</f>
        <v/>
      </c>
      <c r="E294" s="172" t="str">
        <f t="array" ref="E294">IF($A294="","",INDEX('主表 Stock_Transaction_Log'!$H:$H,$A294))</f>
        <v/>
      </c>
      <c r="F294" s="172" t="str">
        <f t="array" ref="F294">IF($A294="","",INDEX('主表 Stock_Transaction_Log'!$I:$I,$A294))</f>
        <v/>
      </c>
      <c r="G294" s="172" t="str">
        <f t="array" ref="G294">IF($A294="","",IF(INDEX('主表 Stock_Transaction_Log'!$R:$R,$A294)=0,"",INDEX('主表 Stock_Transaction_Log'!$R:$R,$A294)))</f>
        <v/>
      </c>
      <c r="H294" s="172" t="str">
        <f t="array" ref="H294">IF($A294="","",SUMIF('主表 Stock_Transaction_Log'!$T:$T,INDEX('主表 Stock_Transaction_Log'!$T:$T,$A294),'主表 Stock_Transaction_Log'!$S:$S)+SUMIF('主表 Stock_Transaction_Log'!$AB:$AB,INDEX('主表 Stock_Transaction_Log'!$T:$T,$A294),'主表 Stock_Transaction_Log'!$AC:$AC))</f>
        <v/>
      </c>
      <c r="I294" s="172" t="str">
        <f t="shared" si="1"/>
        <v/>
      </c>
      <c r="J294" s="172" t="str">
        <f t="shared" si="2"/>
        <v/>
      </c>
      <c r="K294" s="172" t="str">
        <f t="shared" si="3"/>
        <v/>
      </c>
      <c r="L294" s="172" t="str">
        <f t="array" ref="L294">IF($A294="","",INDEX('主表 Stock_Transaction_Log'!$P:$P,$A294))</f>
        <v/>
      </c>
      <c r="M294" s="57" t="str">
        <f>IF($A294="","",IF($H294&lt;=0,0,SUMIFS('主表 Stock_Transaction_Log'!$K$2:$K1000,'主表 Stock_Transaction_Log'!$C$2:$C1000,"Prepared",'主表 Stock_Transaction_Log'!$L$2:$L1000,$B294,'主表 Stock_Transaction_Log'!$F$2:$F1000,$C294,'主表 Stock_Transaction_Log'!$G$2:$G1000,$D294,'主表 Stock_Transaction_Log'!$P$2:$P1000,$L294)))</f>
        <v/>
      </c>
      <c r="N294" s="172"/>
      <c r="O294" s="172" t="str">
        <f t="shared" si="4"/>
        <v/>
      </c>
      <c r="P294" s="172" t="str">
        <f t="shared" si="5"/>
        <v/>
      </c>
      <c r="Q294" s="172" t="str">
        <f t="shared" si="9"/>
        <v/>
      </c>
      <c r="R294" s="172" t="str">
        <f t="shared" si="7"/>
        <v/>
      </c>
      <c r="S294" s="172" t="str">
        <f t="shared" si="8"/>
        <v/>
      </c>
    </row>
    <row r="295">
      <c r="A295" s="172" t="str">
        <f>IF('主表 Stock_Transaction_Log'!$T295="","",IF(COUNTIF('主表 Stock_Transaction_Log'!$T$2:$T295,'主表 Stock_Transaction_Log'!$T295)=1,ROW('主表 Stock_Transaction_Log'!$T295),""))</f>
        <v/>
      </c>
      <c r="B295" s="172" t="str">
        <f t="array" ref="B295">IF($A295="","",INDEX('主表 Stock_Transaction_Log'!$Q:$Q,$A295))</f>
        <v/>
      </c>
      <c r="C295" s="172" t="str">
        <f t="array" ref="C295">IF($A295="","",IF(INDEX('主表 Stock_Transaction_Log'!$F:$F,$A295)=0,"",INDEX('主表 Stock_Transaction_Log'!$F:$F,$A295)))</f>
        <v/>
      </c>
      <c r="D295" s="172" t="str">
        <f t="array" ref="D295">IF($A295="","",INDEX('主表 Stock_Transaction_Log'!$G:$G,$A295))</f>
        <v/>
      </c>
      <c r="E295" s="172" t="str">
        <f t="array" ref="E295">IF($A295="","",INDEX('主表 Stock_Transaction_Log'!$H:$H,$A295))</f>
        <v/>
      </c>
      <c r="F295" s="172" t="str">
        <f t="array" ref="F295">IF($A295="","",INDEX('主表 Stock_Transaction_Log'!$I:$I,$A295))</f>
        <v/>
      </c>
      <c r="G295" s="172" t="str">
        <f t="array" ref="G295">IF($A295="","",IF(INDEX('主表 Stock_Transaction_Log'!$R:$R,$A295)=0,"",INDEX('主表 Stock_Transaction_Log'!$R:$R,$A295)))</f>
        <v/>
      </c>
      <c r="H295" s="172" t="str">
        <f t="array" ref="H295">IF($A295="","",SUMIF('主表 Stock_Transaction_Log'!$T:$T,INDEX('主表 Stock_Transaction_Log'!$T:$T,$A295),'主表 Stock_Transaction_Log'!$S:$S)+SUMIF('主表 Stock_Transaction_Log'!$AB:$AB,INDEX('主表 Stock_Transaction_Log'!$T:$T,$A295),'主表 Stock_Transaction_Log'!$AC:$AC))</f>
        <v/>
      </c>
      <c r="I295" s="172" t="str">
        <f t="shared" si="1"/>
        <v/>
      </c>
      <c r="J295" s="172" t="str">
        <f t="shared" si="2"/>
        <v/>
      </c>
      <c r="K295" s="172" t="str">
        <f t="shared" si="3"/>
        <v/>
      </c>
      <c r="L295" s="172" t="str">
        <f t="array" ref="L295">IF($A295="","",INDEX('主表 Stock_Transaction_Log'!$P:$P,$A295))</f>
        <v/>
      </c>
      <c r="M295" s="57" t="str">
        <f>IF($A295="","",IF($H295&lt;=0,0,SUMIFS('主表 Stock_Transaction_Log'!$K$2:$K1000,'主表 Stock_Transaction_Log'!$C$2:$C1000,"Prepared",'主表 Stock_Transaction_Log'!$L$2:$L1000,$B295,'主表 Stock_Transaction_Log'!$F$2:$F1000,$C295,'主表 Stock_Transaction_Log'!$G$2:$G1000,$D295,'主表 Stock_Transaction_Log'!$P$2:$P1000,$L295)))</f>
        <v/>
      </c>
      <c r="N295" s="172"/>
      <c r="O295" s="172" t="str">
        <f t="shared" si="4"/>
        <v/>
      </c>
      <c r="P295" s="172" t="str">
        <f t="shared" si="5"/>
        <v/>
      </c>
      <c r="Q295" s="172" t="str">
        <f t="shared" si="9"/>
        <v/>
      </c>
      <c r="R295" s="172" t="str">
        <f t="shared" si="7"/>
        <v/>
      </c>
      <c r="S295" s="172" t="str">
        <f t="shared" si="8"/>
        <v/>
      </c>
    </row>
    <row r="296">
      <c r="A296" s="172" t="str">
        <f>IF('主表 Stock_Transaction_Log'!$T296="","",IF(COUNTIF('主表 Stock_Transaction_Log'!$T$2:$T296,'主表 Stock_Transaction_Log'!$T296)=1,ROW('主表 Stock_Transaction_Log'!$T296),""))</f>
        <v/>
      </c>
      <c r="B296" s="172" t="str">
        <f t="array" ref="B296">IF($A296="","",INDEX('主表 Stock_Transaction_Log'!$Q:$Q,$A296))</f>
        <v/>
      </c>
      <c r="C296" s="172" t="str">
        <f t="array" ref="C296">IF($A296="","",IF(INDEX('主表 Stock_Transaction_Log'!$F:$F,$A296)=0,"",INDEX('主表 Stock_Transaction_Log'!$F:$F,$A296)))</f>
        <v/>
      </c>
      <c r="D296" s="172" t="str">
        <f t="array" ref="D296">IF($A296="","",INDEX('主表 Stock_Transaction_Log'!$G:$G,$A296))</f>
        <v/>
      </c>
      <c r="E296" s="172" t="str">
        <f t="array" ref="E296">IF($A296="","",INDEX('主表 Stock_Transaction_Log'!$H:$H,$A296))</f>
        <v/>
      </c>
      <c r="F296" s="172" t="str">
        <f t="array" ref="F296">IF($A296="","",INDEX('主表 Stock_Transaction_Log'!$I:$I,$A296))</f>
        <v/>
      </c>
      <c r="G296" s="172" t="str">
        <f t="array" ref="G296">IF($A296="","",IF(INDEX('主表 Stock_Transaction_Log'!$R:$R,$A296)=0,"",INDEX('主表 Stock_Transaction_Log'!$R:$R,$A296)))</f>
        <v/>
      </c>
      <c r="H296" s="172" t="str">
        <f t="array" ref="H296">IF($A296="","",SUMIF('主表 Stock_Transaction_Log'!$T:$T,INDEX('主表 Stock_Transaction_Log'!$T:$T,$A296),'主表 Stock_Transaction_Log'!$S:$S)+SUMIF('主表 Stock_Transaction_Log'!$AB:$AB,INDEX('主表 Stock_Transaction_Log'!$T:$T,$A296),'主表 Stock_Transaction_Log'!$AC:$AC))</f>
        <v/>
      </c>
      <c r="I296" s="172" t="str">
        <f t="shared" si="1"/>
        <v/>
      </c>
      <c r="J296" s="172" t="str">
        <f t="shared" si="2"/>
        <v/>
      </c>
      <c r="K296" s="172" t="str">
        <f t="shared" si="3"/>
        <v/>
      </c>
      <c r="L296" s="172" t="str">
        <f t="array" ref="L296">IF($A296="","",INDEX('主表 Stock_Transaction_Log'!$P:$P,$A296))</f>
        <v/>
      </c>
      <c r="M296" s="57" t="str">
        <f>IF($A296="","",IF($H296&lt;=0,0,SUMIFS('主表 Stock_Transaction_Log'!$K$2:$K1000,'主表 Stock_Transaction_Log'!$C$2:$C1000,"Prepared",'主表 Stock_Transaction_Log'!$L$2:$L1000,$B296,'主表 Stock_Transaction_Log'!$F$2:$F1000,$C296,'主表 Stock_Transaction_Log'!$G$2:$G1000,$D296,'主表 Stock_Transaction_Log'!$P$2:$P1000,$L296)))</f>
        <v/>
      </c>
      <c r="N296" s="172"/>
      <c r="O296" s="172" t="str">
        <f t="shared" si="4"/>
        <v/>
      </c>
      <c r="P296" s="172" t="str">
        <f t="shared" si="5"/>
        <v/>
      </c>
      <c r="Q296" s="172" t="str">
        <f t="shared" si="9"/>
        <v/>
      </c>
      <c r="R296" s="172" t="str">
        <f t="shared" si="7"/>
        <v/>
      </c>
      <c r="S296" s="172" t="str">
        <f t="shared" si="8"/>
        <v/>
      </c>
    </row>
    <row r="297">
      <c r="A297" s="172" t="str">
        <f>IF('主表 Stock_Transaction_Log'!$T297="","",IF(COUNTIF('主表 Stock_Transaction_Log'!$T$2:$T297,'主表 Stock_Transaction_Log'!$T297)=1,ROW('主表 Stock_Transaction_Log'!$T297),""))</f>
        <v/>
      </c>
      <c r="B297" s="172" t="str">
        <f t="array" ref="B297">IF($A297="","",INDEX('主表 Stock_Transaction_Log'!$Q:$Q,$A297))</f>
        <v/>
      </c>
      <c r="C297" s="172" t="str">
        <f t="array" ref="C297">IF($A297="","",IF(INDEX('主表 Stock_Transaction_Log'!$F:$F,$A297)=0,"",INDEX('主表 Stock_Transaction_Log'!$F:$F,$A297)))</f>
        <v/>
      </c>
      <c r="D297" s="172" t="str">
        <f t="array" ref="D297">IF($A297="","",INDEX('主表 Stock_Transaction_Log'!$G:$G,$A297))</f>
        <v/>
      </c>
      <c r="E297" s="172" t="str">
        <f t="array" ref="E297">IF($A297="","",INDEX('主表 Stock_Transaction_Log'!$H:$H,$A297))</f>
        <v/>
      </c>
      <c r="F297" s="172" t="str">
        <f t="array" ref="F297">IF($A297="","",INDEX('主表 Stock_Transaction_Log'!$I:$I,$A297))</f>
        <v/>
      </c>
      <c r="G297" s="172" t="str">
        <f t="array" ref="G297">IF($A297="","",IF(INDEX('主表 Stock_Transaction_Log'!$R:$R,$A297)=0,"",INDEX('主表 Stock_Transaction_Log'!$R:$R,$A297)))</f>
        <v/>
      </c>
      <c r="H297" s="172" t="str">
        <f t="array" ref="H297">IF($A297="","",SUMIF('主表 Stock_Transaction_Log'!$T:$T,INDEX('主表 Stock_Transaction_Log'!$T:$T,$A297),'主表 Stock_Transaction_Log'!$S:$S)+SUMIF('主表 Stock_Transaction_Log'!$AB:$AB,INDEX('主表 Stock_Transaction_Log'!$T:$T,$A297),'主表 Stock_Transaction_Log'!$AC:$AC))</f>
        <v/>
      </c>
      <c r="I297" s="172" t="str">
        <f t="shared" si="1"/>
        <v/>
      </c>
      <c r="J297" s="172" t="str">
        <f t="shared" si="2"/>
        <v/>
      </c>
      <c r="K297" s="172" t="str">
        <f t="shared" si="3"/>
        <v/>
      </c>
      <c r="L297" s="172" t="str">
        <f t="array" ref="L297">IF($A297="","",INDEX('主表 Stock_Transaction_Log'!$P:$P,$A297))</f>
        <v/>
      </c>
      <c r="M297" s="57" t="str">
        <f>IF($A297="","",IF($H297&lt;=0,0,SUMIFS('主表 Stock_Transaction_Log'!$K$2:$K1000,'主表 Stock_Transaction_Log'!$C$2:$C1000,"Prepared",'主表 Stock_Transaction_Log'!$L$2:$L1000,$B297,'主表 Stock_Transaction_Log'!$F$2:$F1000,$C297,'主表 Stock_Transaction_Log'!$G$2:$G1000,$D297,'主表 Stock_Transaction_Log'!$P$2:$P1000,$L297)))</f>
        <v/>
      </c>
      <c r="N297" s="172"/>
      <c r="O297" s="172" t="str">
        <f t="shared" si="4"/>
        <v/>
      </c>
      <c r="P297" s="172" t="str">
        <f t="shared" si="5"/>
        <v/>
      </c>
      <c r="Q297" s="172" t="str">
        <f t="shared" si="9"/>
        <v/>
      </c>
      <c r="R297" s="172" t="str">
        <f t="shared" si="7"/>
        <v/>
      </c>
      <c r="S297" s="172" t="str">
        <f t="shared" si="8"/>
        <v/>
      </c>
    </row>
    <row r="298">
      <c r="A298" s="172" t="str">
        <f>IF('主表 Stock_Transaction_Log'!$T298="","",IF(COUNTIF('主表 Stock_Transaction_Log'!$T$2:$T298,'主表 Stock_Transaction_Log'!$T298)=1,ROW('主表 Stock_Transaction_Log'!$T298),""))</f>
        <v/>
      </c>
      <c r="B298" s="172" t="str">
        <f t="array" ref="B298">IF($A298="","",INDEX('主表 Stock_Transaction_Log'!$Q:$Q,$A298))</f>
        <v/>
      </c>
      <c r="C298" s="172" t="str">
        <f t="array" ref="C298">IF($A298="","",IF(INDEX('主表 Stock_Transaction_Log'!$F:$F,$A298)=0,"",INDEX('主表 Stock_Transaction_Log'!$F:$F,$A298)))</f>
        <v/>
      </c>
      <c r="D298" s="172" t="str">
        <f t="array" ref="D298">IF($A298="","",INDEX('主表 Stock_Transaction_Log'!$G:$G,$A298))</f>
        <v/>
      </c>
      <c r="E298" s="172" t="str">
        <f t="array" ref="E298">IF($A298="","",INDEX('主表 Stock_Transaction_Log'!$H:$H,$A298))</f>
        <v/>
      </c>
      <c r="F298" s="172" t="str">
        <f t="array" ref="F298">IF($A298="","",INDEX('主表 Stock_Transaction_Log'!$I:$I,$A298))</f>
        <v/>
      </c>
      <c r="G298" s="172" t="str">
        <f t="array" ref="G298">IF($A298="","",IF(INDEX('主表 Stock_Transaction_Log'!$R:$R,$A298)=0,"",INDEX('主表 Stock_Transaction_Log'!$R:$R,$A298)))</f>
        <v/>
      </c>
      <c r="H298" s="172" t="str">
        <f t="array" ref="H298">IF($A298="","",SUMIF('主表 Stock_Transaction_Log'!$T:$T,INDEX('主表 Stock_Transaction_Log'!$T:$T,$A298),'主表 Stock_Transaction_Log'!$S:$S)+SUMIF('主表 Stock_Transaction_Log'!$AB:$AB,INDEX('主表 Stock_Transaction_Log'!$T:$T,$A298),'主表 Stock_Transaction_Log'!$AC:$AC))</f>
        <v/>
      </c>
      <c r="I298" s="172" t="str">
        <f t="shared" si="1"/>
        <v/>
      </c>
      <c r="J298" s="172" t="str">
        <f t="shared" si="2"/>
        <v/>
      </c>
      <c r="K298" s="172" t="str">
        <f t="shared" si="3"/>
        <v/>
      </c>
      <c r="L298" s="172" t="str">
        <f t="array" ref="L298">IF($A298="","",INDEX('主表 Stock_Transaction_Log'!$P:$P,$A298))</f>
        <v/>
      </c>
      <c r="M298" s="57" t="str">
        <f>IF($A298="","",IF($H298&lt;=0,0,SUMIFS('主表 Stock_Transaction_Log'!$K$2:$K1000,'主表 Stock_Transaction_Log'!$C$2:$C1000,"Prepared",'主表 Stock_Transaction_Log'!$L$2:$L1000,$B298,'主表 Stock_Transaction_Log'!$F$2:$F1000,$C298,'主表 Stock_Transaction_Log'!$G$2:$G1000,$D298,'主表 Stock_Transaction_Log'!$P$2:$P1000,$L298)))</f>
        <v/>
      </c>
      <c r="N298" s="172"/>
      <c r="O298" s="172" t="str">
        <f t="shared" si="4"/>
        <v/>
      </c>
      <c r="P298" s="172" t="str">
        <f t="shared" si="5"/>
        <v/>
      </c>
      <c r="Q298" s="172" t="str">
        <f t="shared" si="9"/>
        <v/>
      </c>
      <c r="R298" s="172" t="str">
        <f t="shared" si="7"/>
        <v/>
      </c>
      <c r="S298" s="172" t="str">
        <f t="shared" si="8"/>
        <v/>
      </c>
    </row>
    <row r="299">
      <c r="A299" s="172" t="str">
        <f>IF('主表 Stock_Transaction_Log'!$T299="","",IF(COUNTIF('主表 Stock_Transaction_Log'!$T$2:$T299,'主表 Stock_Transaction_Log'!$T299)=1,ROW('主表 Stock_Transaction_Log'!$T299),""))</f>
        <v/>
      </c>
      <c r="B299" s="172" t="str">
        <f t="array" ref="B299">IF($A299="","",INDEX('主表 Stock_Transaction_Log'!$Q:$Q,$A299))</f>
        <v/>
      </c>
      <c r="C299" s="172" t="str">
        <f t="array" ref="C299">IF($A299="","",IF(INDEX('主表 Stock_Transaction_Log'!$F:$F,$A299)=0,"",INDEX('主表 Stock_Transaction_Log'!$F:$F,$A299)))</f>
        <v/>
      </c>
      <c r="D299" s="172" t="str">
        <f t="array" ref="D299">IF($A299="","",INDEX('主表 Stock_Transaction_Log'!$G:$G,$A299))</f>
        <v/>
      </c>
      <c r="E299" s="172" t="str">
        <f t="array" ref="E299">IF($A299="","",INDEX('主表 Stock_Transaction_Log'!$H:$H,$A299))</f>
        <v/>
      </c>
      <c r="F299" s="172" t="str">
        <f t="array" ref="F299">IF($A299="","",INDEX('主表 Stock_Transaction_Log'!$I:$I,$A299))</f>
        <v/>
      </c>
      <c r="G299" s="172" t="str">
        <f t="array" ref="G299">IF($A299="","",IF(INDEX('主表 Stock_Transaction_Log'!$R:$R,$A299)=0,"",INDEX('主表 Stock_Transaction_Log'!$R:$R,$A299)))</f>
        <v/>
      </c>
      <c r="H299" s="172" t="str">
        <f t="array" ref="H299">IF($A299="","",SUMIF('主表 Stock_Transaction_Log'!$T:$T,INDEX('主表 Stock_Transaction_Log'!$T:$T,$A299),'主表 Stock_Transaction_Log'!$S:$S)+SUMIF('主表 Stock_Transaction_Log'!$AB:$AB,INDEX('主表 Stock_Transaction_Log'!$T:$T,$A299),'主表 Stock_Transaction_Log'!$AC:$AC))</f>
        <v/>
      </c>
      <c r="I299" s="172" t="str">
        <f t="shared" si="1"/>
        <v/>
      </c>
      <c r="J299" s="172" t="str">
        <f t="shared" si="2"/>
        <v/>
      </c>
      <c r="K299" s="172" t="str">
        <f t="shared" si="3"/>
        <v/>
      </c>
      <c r="L299" s="172" t="str">
        <f t="array" ref="L299">IF($A299="","",INDEX('主表 Stock_Transaction_Log'!$P:$P,$A299))</f>
        <v/>
      </c>
      <c r="M299" s="57" t="str">
        <f>IF($A299="","",IF($H299&lt;=0,0,SUMIFS('主表 Stock_Transaction_Log'!$K$2:$K1000,'主表 Stock_Transaction_Log'!$C$2:$C1000,"Prepared",'主表 Stock_Transaction_Log'!$L$2:$L1000,$B299,'主表 Stock_Transaction_Log'!$F$2:$F1000,$C299,'主表 Stock_Transaction_Log'!$G$2:$G1000,$D299,'主表 Stock_Transaction_Log'!$P$2:$P1000,$L299)))</f>
        <v/>
      </c>
      <c r="N299" s="172"/>
      <c r="O299" s="172" t="str">
        <f t="shared" si="4"/>
        <v/>
      </c>
      <c r="P299" s="172" t="str">
        <f t="shared" si="5"/>
        <v/>
      </c>
      <c r="Q299" s="172" t="str">
        <f t="shared" si="9"/>
        <v/>
      </c>
      <c r="R299" s="172" t="str">
        <f t="shared" si="7"/>
        <v/>
      </c>
      <c r="S299" s="172" t="str">
        <f t="shared" si="8"/>
        <v/>
      </c>
    </row>
    <row r="300">
      <c r="A300" s="172" t="str">
        <f>IF('主表 Stock_Transaction_Log'!$T300="","",IF(COUNTIF('主表 Stock_Transaction_Log'!$T$2:$T300,'主表 Stock_Transaction_Log'!$T300)=1,ROW('主表 Stock_Transaction_Log'!$T300),""))</f>
        <v/>
      </c>
      <c r="B300" s="172" t="str">
        <f t="array" ref="B300">IF($A300="","",INDEX('主表 Stock_Transaction_Log'!$Q:$Q,$A300))</f>
        <v/>
      </c>
      <c r="C300" s="172" t="str">
        <f t="array" ref="C300">IF($A300="","",IF(INDEX('主表 Stock_Transaction_Log'!$F:$F,$A300)=0,"",INDEX('主表 Stock_Transaction_Log'!$F:$F,$A300)))</f>
        <v/>
      </c>
      <c r="D300" s="172" t="str">
        <f t="array" ref="D300">IF($A300="","",INDEX('主表 Stock_Transaction_Log'!$G:$G,$A300))</f>
        <v/>
      </c>
      <c r="E300" s="172" t="str">
        <f t="array" ref="E300">IF($A300="","",INDEX('主表 Stock_Transaction_Log'!$H:$H,$A300))</f>
        <v/>
      </c>
      <c r="F300" s="172" t="str">
        <f t="array" ref="F300">IF($A300="","",INDEX('主表 Stock_Transaction_Log'!$I:$I,$A300))</f>
        <v/>
      </c>
      <c r="G300" s="172" t="str">
        <f t="array" ref="G300">IF($A300="","",IF(INDEX('主表 Stock_Transaction_Log'!$R:$R,$A300)=0,"",INDEX('主表 Stock_Transaction_Log'!$R:$R,$A300)))</f>
        <v/>
      </c>
      <c r="H300" s="172" t="str">
        <f t="array" ref="H300">IF($A300="","",SUMIF('主表 Stock_Transaction_Log'!$T:$T,INDEX('主表 Stock_Transaction_Log'!$T:$T,$A300),'主表 Stock_Transaction_Log'!$S:$S)+SUMIF('主表 Stock_Transaction_Log'!$AB:$AB,INDEX('主表 Stock_Transaction_Log'!$T:$T,$A300),'主表 Stock_Transaction_Log'!$AC:$AC))</f>
        <v/>
      </c>
      <c r="I300" s="172" t="str">
        <f t="shared" si="1"/>
        <v/>
      </c>
      <c r="J300" s="172" t="str">
        <f t="shared" si="2"/>
        <v/>
      </c>
      <c r="K300" s="172" t="str">
        <f t="shared" si="3"/>
        <v/>
      </c>
      <c r="L300" s="172" t="str">
        <f t="array" ref="L300">IF($A300="","",INDEX('主表 Stock_Transaction_Log'!$P:$P,$A300))</f>
        <v/>
      </c>
      <c r="M300" s="57" t="str">
        <f>IF($A300="","",IF($H300&lt;=0,0,SUMIFS('主表 Stock_Transaction_Log'!$K$2:$K1000,'主表 Stock_Transaction_Log'!$C$2:$C1000,"Prepared",'主表 Stock_Transaction_Log'!$L$2:$L1000,$B300,'主表 Stock_Transaction_Log'!$F$2:$F1000,$C300,'主表 Stock_Transaction_Log'!$G$2:$G1000,$D300,'主表 Stock_Transaction_Log'!$P$2:$P1000,$L300)))</f>
        <v/>
      </c>
      <c r="N300" s="172"/>
      <c r="O300" s="172" t="str">
        <f t="shared" si="4"/>
        <v/>
      </c>
      <c r="P300" s="172" t="str">
        <f t="shared" si="5"/>
        <v/>
      </c>
      <c r="Q300" s="172" t="str">
        <f t="shared" si="9"/>
        <v/>
      </c>
      <c r="R300" s="172" t="str">
        <f t="shared" si="7"/>
        <v/>
      </c>
      <c r="S300" s="172" t="str">
        <f t="shared" si="8"/>
        <v/>
      </c>
    </row>
    <row r="301">
      <c r="A301" s="172" t="str">
        <f>IF('主表 Stock_Transaction_Log'!$T301="","",IF(COUNTIF('主表 Stock_Transaction_Log'!$T$2:$T301,'主表 Stock_Transaction_Log'!$T301)=1,ROW('主表 Stock_Transaction_Log'!$T301),""))</f>
        <v/>
      </c>
      <c r="B301" s="172" t="str">
        <f t="array" ref="B301">IF($A301="","",INDEX('主表 Stock_Transaction_Log'!$Q:$Q,$A301))</f>
        <v/>
      </c>
      <c r="C301" s="172" t="str">
        <f t="array" ref="C301">IF($A301="","",IF(INDEX('主表 Stock_Transaction_Log'!$F:$F,$A301)=0,"",INDEX('主表 Stock_Transaction_Log'!$F:$F,$A301)))</f>
        <v/>
      </c>
      <c r="D301" s="172" t="str">
        <f t="array" ref="D301">IF($A301="","",INDEX('主表 Stock_Transaction_Log'!$G:$G,$A301))</f>
        <v/>
      </c>
      <c r="E301" s="172" t="str">
        <f t="array" ref="E301">IF($A301="","",INDEX('主表 Stock_Transaction_Log'!$H:$H,$A301))</f>
        <v/>
      </c>
      <c r="F301" s="172" t="str">
        <f t="array" ref="F301">IF($A301="","",INDEX('主表 Stock_Transaction_Log'!$I:$I,$A301))</f>
        <v/>
      </c>
      <c r="G301" s="172" t="str">
        <f t="array" ref="G301">IF($A301="","",IF(INDEX('主表 Stock_Transaction_Log'!$R:$R,$A301)=0,"",INDEX('主表 Stock_Transaction_Log'!$R:$R,$A301)))</f>
        <v/>
      </c>
      <c r="H301" s="172" t="str">
        <f t="array" ref="H301">IF($A301="","",SUMIF('主表 Stock_Transaction_Log'!$T:$T,INDEX('主表 Stock_Transaction_Log'!$T:$T,$A301),'主表 Stock_Transaction_Log'!$S:$S)+SUMIF('主表 Stock_Transaction_Log'!$AB:$AB,INDEX('主表 Stock_Transaction_Log'!$T:$T,$A301),'主表 Stock_Transaction_Log'!$AC:$AC))</f>
        <v/>
      </c>
      <c r="I301" s="172" t="str">
        <f t="shared" si="1"/>
        <v/>
      </c>
      <c r="J301" s="172" t="str">
        <f t="shared" si="2"/>
        <v/>
      </c>
      <c r="K301" s="172" t="str">
        <f t="shared" si="3"/>
        <v/>
      </c>
      <c r="L301" s="172" t="str">
        <f t="array" ref="L301">IF($A301="","",INDEX('主表 Stock_Transaction_Log'!$P:$P,$A301))</f>
        <v/>
      </c>
      <c r="M301" s="57" t="str">
        <f>IF($A301="","",IF($H301&lt;=0,0,SUMIFS('主表 Stock_Transaction_Log'!$K$2:$K1000,'主表 Stock_Transaction_Log'!$C$2:$C1000,"Prepared",'主表 Stock_Transaction_Log'!$L$2:$L1000,$B301,'主表 Stock_Transaction_Log'!$F$2:$F1000,$C301,'主表 Stock_Transaction_Log'!$G$2:$G1000,$D301,'主表 Stock_Transaction_Log'!$P$2:$P1000,$L301)))</f>
        <v/>
      </c>
      <c r="N301" s="172"/>
      <c r="O301" s="172" t="str">
        <f t="shared" si="4"/>
        <v/>
      </c>
      <c r="P301" s="172" t="str">
        <f t="shared" si="5"/>
        <v/>
      </c>
      <c r="Q301" s="172" t="str">
        <f t="shared" si="9"/>
        <v/>
      </c>
      <c r="R301" s="172" t="str">
        <f t="shared" si="7"/>
        <v/>
      </c>
      <c r="S301" s="172" t="str">
        <f t="shared" si="8"/>
        <v/>
      </c>
    </row>
    <row r="302">
      <c r="A302" s="172" t="str">
        <f>IF('主表 Stock_Transaction_Log'!$T302="","",IF(COUNTIF('主表 Stock_Transaction_Log'!$T$2:$T302,'主表 Stock_Transaction_Log'!$T302)=1,ROW('主表 Stock_Transaction_Log'!$T302),""))</f>
        <v/>
      </c>
      <c r="B302" s="172" t="str">
        <f t="array" ref="B302">IF($A302="","",INDEX('主表 Stock_Transaction_Log'!$Q:$Q,$A302))</f>
        <v/>
      </c>
      <c r="C302" s="172" t="str">
        <f t="array" ref="C302">IF($A302="","",IF(INDEX('主表 Stock_Transaction_Log'!$F:$F,$A302)=0,"",INDEX('主表 Stock_Transaction_Log'!$F:$F,$A302)))</f>
        <v/>
      </c>
      <c r="D302" s="172" t="str">
        <f t="array" ref="D302">IF($A302="","",INDEX('主表 Stock_Transaction_Log'!$G:$G,$A302))</f>
        <v/>
      </c>
      <c r="E302" s="172" t="str">
        <f t="array" ref="E302">IF($A302="","",INDEX('主表 Stock_Transaction_Log'!$H:$H,$A302))</f>
        <v/>
      </c>
      <c r="F302" s="172" t="str">
        <f t="array" ref="F302">IF($A302="","",INDEX('主表 Stock_Transaction_Log'!$I:$I,$A302))</f>
        <v/>
      </c>
      <c r="G302" s="172" t="str">
        <f t="array" ref="G302">IF($A302="","",IF(INDEX('主表 Stock_Transaction_Log'!$R:$R,$A302)=0,"",INDEX('主表 Stock_Transaction_Log'!$R:$R,$A302)))</f>
        <v/>
      </c>
      <c r="H302" s="172" t="str">
        <f t="array" ref="H302">IF($A302="","",SUMIF('主表 Stock_Transaction_Log'!$T:$T,INDEX('主表 Stock_Transaction_Log'!$T:$T,$A302),'主表 Stock_Transaction_Log'!$S:$S)+SUMIF('主表 Stock_Transaction_Log'!$AB:$AB,INDEX('主表 Stock_Transaction_Log'!$T:$T,$A302),'主表 Stock_Transaction_Log'!$AC:$AC))</f>
        <v/>
      </c>
      <c r="I302" s="172" t="str">
        <f t="shared" si="1"/>
        <v/>
      </c>
      <c r="J302" s="172" t="str">
        <f t="shared" si="2"/>
        <v/>
      </c>
      <c r="K302" s="172" t="str">
        <f t="shared" si="3"/>
        <v/>
      </c>
      <c r="L302" s="172" t="str">
        <f t="array" ref="L302">IF($A302="","",INDEX('主表 Stock_Transaction_Log'!$P:$P,$A302))</f>
        <v/>
      </c>
      <c r="M302" s="57" t="str">
        <f>IF($A302="","",IF($H302&lt;=0,0,SUMIFS('主表 Stock_Transaction_Log'!$K$2:$K1000,'主表 Stock_Transaction_Log'!$C$2:$C1000,"Prepared",'主表 Stock_Transaction_Log'!$L$2:$L1000,$B302,'主表 Stock_Transaction_Log'!$F$2:$F1000,$C302,'主表 Stock_Transaction_Log'!$G$2:$G1000,$D302,'主表 Stock_Transaction_Log'!$P$2:$P1000,$L302)))</f>
        <v/>
      </c>
      <c r="N302" s="172"/>
      <c r="O302" s="172" t="str">
        <f t="shared" si="4"/>
        <v/>
      </c>
      <c r="P302" s="172" t="str">
        <f t="shared" si="5"/>
        <v/>
      </c>
      <c r="Q302" s="172" t="str">
        <f t="shared" si="9"/>
        <v/>
      </c>
      <c r="R302" s="172" t="str">
        <f t="shared" si="7"/>
        <v/>
      </c>
      <c r="S302" s="172" t="str">
        <f t="shared" si="8"/>
        <v/>
      </c>
    </row>
    <row r="303">
      <c r="A303" s="172" t="str">
        <f>IF('主表 Stock_Transaction_Log'!$T303="","",IF(COUNTIF('主表 Stock_Transaction_Log'!$T$2:$T303,'主表 Stock_Transaction_Log'!$T303)=1,ROW('主表 Stock_Transaction_Log'!$T303),""))</f>
        <v/>
      </c>
      <c r="B303" s="172" t="str">
        <f t="array" ref="B303">IF($A303="","",INDEX('主表 Stock_Transaction_Log'!$Q:$Q,$A303))</f>
        <v/>
      </c>
      <c r="C303" s="172" t="str">
        <f t="array" ref="C303">IF($A303="","",IF(INDEX('主表 Stock_Transaction_Log'!$F:$F,$A303)=0,"",INDEX('主表 Stock_Transaction_Log'!$F:$F,$A303)))</f>
        <v/>
      </c>
      <c r="D303" s="172" t="str">
        <f t="array" ref="D303">IF($A303="","",INDEX('主表 Stock_Transaction_Log'!$G:$G,$A303))</f>
        <v/>
      </c>
      <c r="E303" s="172" t="str">
        <f t="array" ref="E303">IF($A303="","",INDEX('主表 Stock_Transaction_Log'!$H:$H,$A303))</f>
        <v/>
      </c>
      <c r="F303" s="172" t="str">
        <f t="array" ref="F303">IF($A303="","",INDEX('主表 Stock_Transaction_Log'!$I:$I,$A303))</f>
        <v/>
      </c>
      <c r="G303" s="172" t="str">
        <f t="array" ref="G303">IF($A303="","",IF(INDEX('主表 Stock_Transaction_Log'!$R:$R,$A303)=0,"",INDEX('主表 Stock_Transaction_Log'!$R:$R,$A303)))</f>
        <v/>
      </c>
      <c r="H303" s="172" t="str">
        <f t="array" ref="H303">IF($A303="","",SUMIF('主表 Stock_Transaction_Log'!$T:$T,INDEX('主表 Stock_Transaction_Log'!$T:$T,$A303),'主表 Stock_Transaction_Log'!$S:$S)+SUMIF('主表 Stock_Transaction_Log'!$AB:$AB,INDEX('主表 Stock_Transaction_Log'!$T:$T,$A303),'主表 Stock_Transaction_Log'!$AC:$AC))</f>
        <v/>
      </c>
      <c r="I303" s="172" t="str">
        <f t="shared" si="1"/>
        <v/>
      </c>
      <c r="J303" s="172" t="str">
        <f t="shared" si="2"/>
        <v/>
      </c>
      <c r="K303" s="172" t="str">
        <f t="shared" si="3"/>
        <v/>
      </c>
      <c r="L303" s="172" t="str">
        <f t="array" ref="L303">IF($A303="","",INDEX('主表 Stock_Transaction_Log'!$P:$P,$A303))</f>
        <v/>
      </c>
      <c r="M303" s="57" t="str">
        <f>IF($A303="","",IF($H303&lt;=0,0,SUMIFS('主表 Stock_Transaction_Log'!$K$2:$K1000,'主表 Stock_Transaction_Log'!$C$2:$C1000,"Prepared",'主表 Stock_Transaction_Log'!$L$2:$L1000,$B303,'主表 Stock_Transaction_Log'!$F$2:$F1000,$C303,'主表 Stock_Transaction_Log'!$G$2:$G1000,$D303,'主表 Stock_Transaction_Log'!$P$2:$P1000,$L303)))</f>
        <v/>
      </c>
      <c r="N303" s="172"/>
      <c r="O303" s="172" t="str">
        <f t="shared" si="4"/>
        <v/>
      </c>
      <c r="P303" s="172" t="str">
        <f t="shared" si="5"/>
        <v/>
      </c>
      <c r="Q303" s="172" t="str">
        <f t="shared" si="9"/>
        <v/>
      </c>
      <c r="R303" s="172" t="str">
        <f t="shared" si="7"/>
        <v/>
      </c>
      <c r="S303" s="172" t="str">
        <f t="shared" si="8"/>
        <v/>
      </c>
    </row>
    <row r="304">
      <c r="A304" s="172" t="str">
        <f>IF('主表 Stock_Transaction_Log'!$T304="","",IF(COUNTIF('主表 Stock_Transaction_Log'!$T$2:$T304,'主表 Stock_Transaction_Log'!$T304)=1,ROW('主表 Stock_Transaction_Log'!$T304),""))</f>
        <v/>
      </c>
      <c r="B304" s="172" t="str">
        <f t="array" ref="B304">IF($A304="","",INDEX('主表 Stock_Transaction_Log'!$Q:$Q,$A304))</f>
        <v/>
      </c>
      <c r="C304" s="172" t="str">
        <f t="array" ref="C304">IF($A304="","",IF(INDEX('主表 Stock_Transaction_Log'!$F:$F,$A304)=0,"",INDEX('主表 Stock_Transaction_Log'!$F:$F,$A304)))</f>
        <v/>
      </c>
      <c r="D304" s="172" t="str">
        <f t="array" ref="D304">IF($A304="","",INDEX('主表 Stock_Transaction_Log'!$G:$G,$A304))</f>
        <v/>
      </c>
      <c r="E304" s="172" t="str">
        <f t="array" ref="E304">IF($A304="","",INDEX('主表 Stock_Transaction_Log'!$H:$H,$A304))</f>
        <v/>
      </c>
      <c r="F304" s="172" t="str">
        <f t="array" ref="F304">IF($A304="","",INDEX('主表 Stock_Transaction_Log'!$I:$I,$A304))</f>
        <v/>
      </c>
      <c r="G304" s="172" t="str">
        <f t="array" ref="G304">IF($A304="","",IF(INDEX('主表 Stock_Transaction_Log'!$R:$R,$A304)=0,"",INDEX('主表 Stock_Transaction_Log'!$R:$R,$A304)))</f>
        <v/>
      </c>
      <c r="H304" s="172" t="str">
        <f t="array" ref="H304">IF($A304="","",SUMIF('主表 Stock_Transaction_Log'!$T:$T,INDEX('主表 Stock_Transaction_Log'!$T:$T,$A304),'主表 Stock_Transaction_Log'!$S:$S)+SUMIF('主表 Stock_Transaction_Log'!$AB:$AB,INDEX('主表 Stock_Transaction_Log'!$T:$T,$A304),'主表 Stock_Transaction_Log'!$AC:$AC))</f>
        <v/>
      </c>
      <c r="I304" s="172" t="str">
        <f t="shared" si="1"/>
        <v/>
      </c>
      <c r="J304" s="172" t="str">
        <f t="shared" si="2"/>
        <v/>
      </c>
      <c r="K304" s="172" t="str">
        <f t="shared" si="3"/>
        <v/>
      </c>
      <c r="L304" s="172" t="str">
        <f t="array" ref="L304">IF($A304="","",INDEX('主表 Stock_Transaction_Log'!$P:$P,$A304))</f>
        <v/>
      </c>
      <c r="M304" s="57" t="str">
        <f>IF($A304="","",IF($H304&lt;=0,0,SUMIFS('主表 Stock_Transaction_Log'!$K$2:$K1000,'主表 Stock_Transaction_Log'!$C$2:$C1000,"Prepared",'主表 Stock_Transaction_Log'!$L$2:$L1000,$B304,'主表 Stock_Transaction_Log'!$F$2:$F1000,$C304,'主表 Stock_Transaction_Log'!$G$2:$G1000,$D304,'主表 Stock_Transaction_Log'!$P$2:$P1000,$L304)))</f>
        <v/>
      </c>
      <c r="N304" s="172"/>
      <c r="O304" s="172" t="str">
        <f t="shared" si="4"/>
        <v/>
      </c>
      <c r="P304" s="172" t="str">
        <f t="shared" si="5"/>
        <v/>
      </c>
      <c r="Q304" s="172" t="str">
        <f t="shared" si="9"/>
        <v/>
      </c>
      <c r="R304" s="172" t="str">
        <f t="shared" si="7"/>
        <v/>
      </c>
      <c r="S304" s="172" t="str">
        <f t="shared" si="8"/>
        <v/>
      </c>
    </row>
    <row r="305">
      <c r="A305" s="172" t="str">
        <f>IF('主表 Stock_Transaction_Log'!$T305="","",IF(COUNTIF('主表 Stock_Transaction_Log'!$T$2:$T305,'主表 Stock_Transaction_Log'!$T305)=1,ROW('主表 Stock_Transaction_Log'!$T305),""))</f>
        <v/>
      </c>
      <c r="B305" s="172" t="str">
        <f t="array" ref="B305">IF($A305="","",INDEX('主表 Stock_Transaction_Log'!$Q:$Q,$A305))</f>
        <v/>
      </c>
      <c r="C305" s="172" t="str">
        <f t="array" ref="C305">IF($A305="","",IF(INDEX('主表 Stock_Transaction_Log'!$F:$F,$A305)=0,"",INDEX('主表 Stock_Transaction_Log'!$F:$F,$A305)))</f>
        <v/>
      </c>
      <c r="D305" s="172" t="str">
        <f t="array" ref="D305">IF($A305="","",INDEX('主表 Stock_Transaction_Log'!$G:$G,$A305))</f>
        <v/>
      </c>
      <c r="E305" s="172" t="str">
        <f t="array" ref="E305">IF($A305="","",INDEX('主表 Stock_Transaction_Log'!$H:$H,$A305))</f>
        <v/>
      </c>
      <c r="F305" s="172" t="str">
        <f t="array" ref="F305">IF($A305="","",INDEX('主表 Stock_Transaction_Log'!$I:$I,$A305))</f>
        <v/>
      </c>
      <c r="G305" s="172" t="str">
        <f t="array" ref="G305">IF($A305="","",IF(INDEX('主表 Stock_Transaction_Log'!$R:$R,$A305)=0,"",INDEX('主表 Stock_Transaction_Log'!$R:$R,$A305)))</f>
        <v/>
      </c>
      <c r="H305" s="172" t="str">
        <f t="array" ref="H305">IF($A305="","",SUMIF('主表 Stock_Transaction_Log'!$T:$T,INDEX('主表 Stock_Transaction_Log'!$T:$T,$A305),'主表 Stock_Transaction_Log'!$S:$S)+SUMIF('主表 Stock_Transaction_Log'!$AB:$AB,INDEX('主表 Stock_Transaction_Log'!$T:$T,$A305),'主表 Stock_Transaction_Log'!$AC:$AC))</f>
        <v/>
      </c>
      <c r="I305" s="172" t="str">
        <f t="shared" si="1"/>
        <v/>
      </c>
      <c r="J305" s="172" t="str">
        <f t="shared" si="2"/>
        <v/>
      </c>
      <c r="K305" s="172" t="str">
        <f t="shared" si="3"/>
        <v/>
      </c>
      <c r="L305" s="172" t="str">
        <f t="array" ref="L305">IF($A305="","",INDEX('主表 Stock_Transaction_Log'!$P:$P,$A305))</f>
        <v/>
      </c>
      <c r="M305" s="57" t="str">
        <f>IF($A305="","",IF($H305&lt;=0,0,SUMIFS('主表 Stock_Transaction_Log'!$K$2:$K1000,'主表 Stock_Transaction_Log'!$C$2:$C1000,"Prepared",'主表 Stock_Transaction_Log'!$L$2:$L1000,$B305,'主表 Stock_Transaction_Log'!$F$2:$F1000,$C305,'主表 Stock_Transaction_Log'!$G$2:$G1000,$D305,'主表 Stock_Transaction_Log'!$P$2:$P1000,$L305)))</f>
        <v/>
      </c>
      <c r="N305" s="172"/>
      <c r="O305" s="172" t="str">
        <f t="shared" si="4"/>
        <v/>
      </c>
      <c r="P305" s="172" t="str">
        <f t="shared" si="5"/>
        <v/>
      </c>
      <c r="Q305" s="172" t="str">
        <f t="shared" si="9"/>
        <v/>
      </c>
      <c r="R305" s="172" t="str">
        <f t="shared" si="7"/>
        <v/>
      </c>
      <c r="S305" s="172" t="str">
        <f t="shared" si="8"/>
        <v/>
      </c>
    </row>
    <row r="306">
      <c r="A306" s="172" t="str">
        <f>IF('主表 Stock_Transaction_Log'!$T306="","",IF(COUNTIF('主表 Stock_Transaction_Log'!$T$2:$T306,'主表 Stock_Transaction_Log'!$T306)=1,ROW('主表 Stock_Transaction_Log'!$T306),""))</f>
        <v/>
      </c>
      <c r="B306" s="172" t="str">
        <f t="array" ref="B306">IF($A306="","",INDEX('主表 Stock_Transaction_Log'!$Q:$Q,$A306))</f>
        <v/>
      </c>
      <c r="C306" s="172" t="str">
        <f t="array" ref="C306">IF($A306="","",IF(INDEX('主表 Stock_Transaction_Log'!$F:$F,$A306)=0,"",INDEX('主表 Stock_Transaction_Log'!$F:$F,$A306)))</f>
        <v/>
      </c>
      <c r="D306" s="172" t="str">
        <f t="array" ref="D306">IF($A306="","",INDEX('主表 Stock_Transaction_Log'!$G:$G,$A306))</f>
        <v/>
      </c>
      <c r="E306" s="172" t="str">
        <f t="array" ref="E306">IF($A306="","",INDEX('主表 Stock_Transaction_Log'!$H:$H,$A306))</f>
        <v/>
      </c>
      <c r="F306" s="172" t="str">
        <f t="array" ref="F306">IF($A306="","",INDEX('主表 Stock_Transaction_Log'!$I:$I,$A306))</f>
        <v/>
      </c>
      <c r="G306" s="172" t="str">
        <f t="array" ref="G306">IF($A306="","",IF(INDEX('主表 Stock_Transaction_Log'!$R:$R,$A306)=0,"",INDEX('主表 Stock_Transaction_Log'!$R:$R,$A306)))</f>
        <v/>
      </c>
      <c r="H306" s="172" t="str">
        <f t="array" ref="H306">IF($A306="","",SUMIF('主表 Stock_Transaction_Log'!$T:$T,INDEX('主表 Stock_Transaction_Log'!$T:$T,$A306),'主表 Stock_Transaction_Log'!$S:$S)+SUMIF('主表 Stock_Transaction_Log'!$AB:$AB,INDEX('主表 Stock_Transaction_Log'!$T:$T,$A306),'主表 Stock_Transaction_Log'!$AC:$AC))</f>
        <v/>
      </c>
      <c r="I306" s="172" t="str">
        <f t="shared" si="1"/>
        <v/>
      </c>
      <c r="J306" s="172" t="str">
        <f t="shared" si="2"/>
        <v/>
      </c>
      <c r="K306" s="172" t="str">
        <f t="shared" si="3"/>
        <v/>
      </c>
      <c r="L306" s="172" t="str">
        <f t="array" ref="L306">IF($A306="","",INDEX('主表 Stock_Transaction_Log'!$P:$P,$A306))</f>
        <v/>
      </c>
      <c r="M306" s="57" t="str">
        <f>IF($A306="","",IF($H306&lt;=0,0,SUMIFS('主表 Stock_Transaction_Log'!$K$2:$K1000,'主表 Stock_Transaction_Log'!$C$2:$C1000,"Prepared",'主表 Stock_Transaction_Log'!$L$2:$L1000,$B306,'主表 Stock_Transaction_Log'!$F$2:$F1000,$C306,'主表 Stock_Transaction_Log'!$G$2:$G1000,$D306,'主表 Stock_Transaction_Log'!$P$2:$P1000,$L306)))</f>
        <v/>
      </c>
      <c r="N306" s="172"/>
      <c r="O306" s="172" t="str">
        <f t="shared" si="4"/>
        <v/>
      </c>
      <c r="P306" s="172" t="str">
        <f t="shared" si="5"/>
        <v/>
      </c>
      <c r="Q306" s="172" t="str">
        <f t="shared" si="9"/>
        <v/>
      </c>
      <c r="R306" s="172" t="str">
        <f t="shared" si="7"/>
        <v/>
      </c>
      <c r="S306" s="172" t="str">
        <f t="shared" si="8"/>
        <v/>
      </c>
    </row>
    <row r="307">
      <c r="A307" s="172" t="str">
        <f>IF('主表 Stock_Transaction_Log'!$T307="","",IF(COUNTIF('主表 Stock_Transaction_Log'!$T$2:$T307,'主表 Stock_Transaction_Log'!$T307)=1,ROW('主表 Stock_Transaction_Log'!$T307),""))</f>
        <v/>
      </c>
      <c r="B307" s="172" t="str">
        <f t="array" ref="B307">IF($A307="","",INDEX('主表 Stock_Transaction_Log'!$Q:$Q,$A307))</f>
        <v/>
      </c>
      <c r="C307" s="172" t="str">
        <f t="array" ref="C307">IF($A307="","",IF(INDEX('主表 Stock_Transaction_Log'!$F:$F,$A307)=0,"",INDEX('主表 Stock_Transaction_Log'!$F:$F,$A307)))</f>
        <v/>
      </c>
      <c r="D307" s="172" t="str">
        <f t="array" ref="D307">IF($A307="","",INDEX('主表 Stock_Transaction_Log'!$G:$G,$A307))</f>
        <v/>
      </c>
      <c r="E307" s="172" t="str">
        <f t="array" ref="E307">IF($A307="","",INDEX('主表 Stock_Transaction_Log'!$H:$H,$A307))</f>
        <v/>
      </c>
      <c r="F307" s="172" t="str">
        <f t="array" ref="F307">IF($A307="","",INDEX('主表 Stock_Transaction_Log'!$I:$I,$A307))</f>
        <v/>
      </c>
      <c r="G307" s="172" t="str">
        <f t="array" ref="G307">IF($A307="","",IF(INDEX('主表 Stock_Transaction_Log'!$R:$R,$A307)=0,"",INDEX('主表 Stock_Transaction_Log'!$R:$R,$A307)))</f>
        <v/>
      </c>
      <c r="H307" s="172" t="str">
        <f t="array" ref="H307">IF($A307="","",SUMIF('主表 Stock_Transaction_Log'!$T:$T,INDEX('主表 Stock_Transaction_Log'!$T:$T,$A307),'主表 Stock_Transaction_Log'!$S:$S)+SUMIF('主表 Stock_Transaction_Log'!$AB:$AB,INDEX('主表 Stock_Transaction_Log'!$T:$T,$A307),'主表 Stock_Transaction_Log'!$AC:$AC))</f>
        <v/>
      </c>
      <c r="I307" s="172" t="str">
        <f t="shared" si="1"/>
        <v/>
      </c>
      <c r="J307" s="172" t="str">
        <f t="shared" si="2"/>
        <v/>
      </c>
      <c r="K307" s="172" t="str">
        <f t="shared" si="3"/>
        <v/>
      </c>
      <c r="L307" s="172" t="str">
        <f t="array" ref="L307">IF($A307="","",INDEX('主表 Stock_Transaction_Log'!$P:$P,$A307))</f>
        <v/>
      </c>
      <c r="M307" s="57" t="str">
        <f>IF($A307="","",IF($H307&lt;=0,0,SUMIFS('主表 Stock_Transaction_Log'!$K$2:$K1000,'主表 Stock_Transaction_Log'!$C$2:$C1000,"Prepared",'主表 Stock_Transaction_Log'!$L$2:$L1000,$B307,'主表 Stock_Transaction_Log'!$F$2:$F1000,$C307,'主表 Stock_Transaction_Log'!$G$2:$G1000,$D307,'主表 Stock_Transaction_Log'!$P$2:$P1000,$L307)))</f>
        <v/>
      </c>
      <c r="N307" s="172"/>
      <c r="O307" s="172" t="str">
        <f t="shared" si="4"/>
        <v/>
      </c>
      <c r="P307" s="172" t="str">
        <f t="shared" si="5"/>
        <v/>
      </c>
      <c r="Q307" s="172" t="str">
        <f t="shared" si="9"/>
        <v/>
      </c>
      <c r="R307" s="172" t="str">
        <f t="shared" si="7"/>
        <v/>
      </c>
      <c r="S307" s="172" t="str">
        <f t="shared" si="8"/>
        <v/>
      </c>
    </row>
    <row r="308">
      <c r="A308" s="172" t="str">
        <f>IF('主表 Stock_Transaction_Log'!$T308="","",IF(COUNTIF('主表 Stock_Transaction_Log'!$T$2:$T308,'主表 Stock_Transaction_Log'!$T308)=1,ROW('主表 Stock_Transaction_Log'!$T308),""))</f>
        <v/>
      </c>
      <c r="B308" s="172" t="str">
        <f t="array" ref="B308">IF($A308="","",INDEX('主表 Stock_Transaction_Log'!$Q:$Q,$A308))</f>
        <v/>
      </c>
      <c r="C308" s="172" t="str">
        <f t="array" ref="C308">IF($A308="","",IF(INDEX('主表 Stock_Transaction_Log'!$F:$F,$A308)=0,"",INDEX('主表 Stock_Transaction_Log'!$F:$F,$A308)))</f>
        <v/>
      </c>
      <c r="D308" s="172" t="str">
        <f t="array" ref="D308">IF($A308="","",INDEX('主表 Stock_Transaction_Log'!$G:$G,$A308))</f>
        <v/>
      </c>
      <c r="E308" s="172" t="str">
        <f t="array" ref="E308">IF($A308="","",INDEX('主表 Stock_Transaction_Log'!$H:$H,$A308))</f>
        <v/>
      </c>
      <c r="F308" s="172" t="str">
        <f t="array" ref="F308">IF($A308="","",INDEX('主表 Stock_Transaction_Log'!$I:$I,$A308))</f>
        <v/>
      </c>
      <c r="G308" s="172" t="str">
        <f t="array" ref="G308">IF($A308="","",IF(INDEX('主表 Stock_Transaction_Log'!$R:$R,$A308)=0,"",INDEX('主表 Stock_Transaction_Log'!$R:$R,$A308)))</f>
        <v/>
      </c>
      <c r="H308" s="172" t="str">
        <f t="array" ref="H308">IF($A308="","",SUMIF('主表 Stock_Transaction_Log'!$T:$T,INDEX('主表 Stock_Transaction_Log'!$T:$T,$A308),'主表 Stock_Transaction_Log'!$S:$S)+SUMIF('主表 Stock_Transaction_Log'!$AB:$AB,INDEX('主表 Stock_Transaction_Log'!$T:$T,$A308),'主表 Stock_Transaction_Log'!$AC:$AC))</f>
        <v/>
      </c>
      <c r="I308" s="172" t="str">
        <f t="shared" si="1"/>
        <v/>
      </c>
      <c r="J308" s="172" t="str">
        <f t="shared" si="2"/>
        <v/>
      </c>
      <c r="K308" s="172" t="str">
        <f t="shared" si="3"/>
        <v/>
      </c>
      <c r="L308" s="172" t="str">
        <f t="array" ref="L308">IF($A308="","",INDEX('主表 Stock_Transaction_Log'!$P:$P,$A308))</f>
        <v/>
      </c>
      <c r="M308" s="57" t="str">
        <f>IF($A308="","",IF($H308&lt;=0,0,SUMIFS('主表 Stock_Transaction_Log'!$K$2:$K1000,'主表 Stock_Transaction_Log'!$C$2:$C1000,"Prepared",'主表 Stock_Transaction_Log'!$L$2:$L1000,$B308,'主表 Stock_Transaction_Log'!$F$2:$F1000,$C308,'主表 Stock_Transaction_Log'!$G$2:$G1000,$D308,'主表 Stock_Transaction_Log'!$P$2:$P1000,$L308)))</f>
        <v/>
      </c>
      <c r="N308" s="172"/>
      <c r="O308" s="172" t="str">
        <f t="shared" si="4"/>
        <v/>
      </c>
      <c r="P308" s="172" t="str">
        <f t="shared" si="5"/>
        <v/>
      </c>
      <c r="Q308" s="172" t="str">
        <f t="shared" si="9"/>
        <v/>
      </c>
      <c r="R308" s="172" t="str">
        <f t="shared" si="7"/>
        <v/>
      </c>
      <c r="S308" s="172" t="str">
        <f t="shared" si="8"/>
        <v/>
      </c>
    </row>
    <row r="309">
      <c r="A309" s="172" t="str">
        <f>IF('主表 Stock_Transaction_Log'!$T309="","",IF(COUNTIF('主表 Stock_Transaction_Log'!$T$2:$T309,'主表 Stock_Transaction_Log'!$T309)=1,ROW('主表 Stock_Transaction_Log'!$T309),""))</f>
        <v/>
      </c>
      <c r="B309" s="172" t="str">
        <f t="array" ref="B309">IF($A309="","",INDEX('主表 Stock_Transaction_Log'!$Q:$Q,$A309))</f>
        <v/>
      </c>
      <c r="C309" s="172" t="str">
        <f t="array" ref="C309">IF($A309="","",IF(INDEX('主表 Stock_Transaction_Log'!$F:$F,$A309)=0,"",INDEX('主表 Stock_Transaction_Log'!$F:$F,$A309)))</f>
        <v/>
      </c>
      <c r="D309" s="172" t="str">
        <f t="array" ref="D309">IF($A309="","",INDEX('主表 Stock_Transaction_Log'!$G:$G,$A309))</f>
        <v/>
      </c>
      <c r="E309" s="172" t="str">
        <f t="array" ref="E309">IF($A309="","",INDEX('主表 Stock_Transaction_Log'!$H:$H,$A309))</f>
        <v/>
      </c>
      <c r="F309" s="172" t="str">
        <f t="array" ref="F309">IF($A309="","",INDEX('主表 Stock_Transaction_Log'!$I:$I,$A309))</f>
        <v/>
      </c>
      <c r="G309" s="172" t="str">
        <f t="array" ref="G309">IF($A309="","",IF(INDEX('主表 Stock_Transaction_Log'!$R:$R,$A309)=0,"",INDEX('主表 Stock_Transaction_Log'!$R:$R,$A309)))</f>
        <v/>
      </c>
      <c r="H309" s="172" t="str">
        <f t="array" ref="H309">IF($A309="","",SUMIF('主表 Stock_Transaction_Log'!$T:$T,INDEX('主表 Stock_Transaction_Log'!$T:$T,$A309),'主表 Stock_Transaction_Log'!$S:$S)+SUMIF('主表 Stock_Transaction_Log'!$AB:$AB,INDEX('主表 Stock_Transaction_Log'!$T:$T,$A309),'主表 Stock_Transaction_Log'!$AC:$AC))</f>
        <v/>
      </c>
      <c r="I309" s="172" t="str">
        <f t="shared" si="1"/>
        <v/>
      </c>
      <c r="J309" s="172" t="str">
        <f t="shared" si="2"/>
        <v/>
      </c>
      <c r="K309" s="172" t="str">
        <f t="shared" si="3"/>
        <v/>
      </c>
      <c r="L309" s="172" t="str">
        <f t="array" ref="L309">IF($A309="","",INDEX('主表 Stock_Transaction_Log'!$P:$P,$A309))</f>
        <v/>
      </c>
      <c r="M309" s="57" t="str">
        <f>IF($A309="","",IF($H309&lt;=0,0,SUMIFS('主表 Stock_Transaction_Log'!$K$2:$K1000,'主表 Stock_Transaction_Log'!$C$2:$C1000,"Prepared",'主表 Stock_Transaction_Log'!$L$2:$L1000,$B309,'主表 Stock_Transaction_Log'!$F$2:$F1000,$C309,'主表 Stock_Transaction_Log'!$G$2:$G1000,$D309,'主表 Stock_Transaction_Log'!$P$2:$P1000,$L309)))</f>
        <v/>
      </c>
      <c r="N309" s="172"/>
      <c r="O309" s="172" t="str">
        <f t="shared" si="4"/>
        <v/>
      </c>
      <c r="P309" s="172" t="str">
        <f t="shared" si="5"/>
        <v/>
      </c>
      <c r="Q309" s="172" t="str">
        <f t="shared" si="9"/>
        <v/>
      </c>
      <c r="R309" s="172" t="str">
        <f t="shared" si="7"/>
        <v/>
      </c>
      <c r="S309" s="172" t="str">
        <f t="shared" si="8"/>
        <v/>
      </c>
    </row>
    <row r="310">
      <c r="A310" s="172" t="str">
        <f>IF('主表 Stock_Transaction_Log'!$T310="","",IF(COUNTIF('主表 Stock_Transaction_Log'!$T$2:$T310,'主表 Stock_Transaction_Log'!$T310)=1,ROW('主表 Stock_Transaction_Log'!$T310),""))</f>
        <v/>
      </c>
      <c r="B310" s="172" t="str">
        <f t="array" ref="B310">IF($A310="","",INDEX('主表 Stock_Transaction_Log'!$Q:$Q,$A310))</f>
        <v/>
      </c>
      <c r="C310" s="172" t="str">
        <f t="array" ref="C310">IF($A310="","",IF(INDEX('主表 Stock_Transaction_Log'!$F:$F,$A310)=0,"",INDEX('主表 Stock_Transaction_Log'!$F:$F,$A310)))</f>
        <v/>
      </c>
      <c r="D310" s="172" t="str">
        <f t="array" ref="D310">IF($A310="","",INDEX('主表 Stock_Transaction_Log'!$G:$G,$A310))</f>
        <v/>
      </c>
      <c r="E310" s="172" t="str">
        <f t="array" ref="E310">IF($A310="","",INDEX('主表 Stock_Transaction_Log'!$H:$H,$A310))</f>
        <v/>
      </c>
      <c r="F310" s="172" t="str">
        <f t="array" ref="F310">IF($A310="","",INDEX('主表 Stock_Transaction_Log'!$I:$I,$A310))</f>
        <v/>
      </c>
      <c r="G310" s="172" t="str">
        <f t="array" ref="G310">IF($A310="","",IF(INDEX('主表 Stock_Transaction_Log'!$R:$R,$A310)=0,"",INDEX('主表 Stock_Transaction_Log'!$R:$R,$A310)))</f>
        <v/>
      </c>
      <c r="H310" s="172" t="str">
        <f t="array" ref="H310">IF($A310="","",SUMIF('主表 Stock_Transaction_Log'!$T:$T,INDEX('主表 Stock_Transaction_Log'!$T:$T,$A310),'主表 Stock_Transaction_Log'!$S:$S)+SUMIF('主表 Stock_Transaction_Log'!$AB:$AB,INDEX('主表 Stock_Transaction_Log'!$T:$T,$A310),'主表 Stock_Transaction_Log'!$AC:$AC))</f>
        <v/>
      </c>
      <c r="I310" s="172" t="str">
        <f t="shared" si="1"/>
        <v/>
      </c>
      <c r="J310" s="172" t="str">
        <f t="shared" si="2"/>
        <v/>
      </c>
      <c r="K310" s="172" t="str">
        <f t="shared" si="3"/>
        <v/>
      </c>
      <c r="L310" s="172" t="str">
        <f t="array" ref="L310">IF($A310="","",INDEX('主表 Stock_Transaction_Log'!$P:$P,$A310))</f>
        <v/>
      </c>
      <c r="M310" s="57" t="str">
        <f>IF($A310="","",IF($H310&lt;=0,0,SUMIFS('主表 Stock_Transaction_Log'!$K$2:$K1000,'主表 Stock_Transaction_Log'!$C$2:$C1000,"Prepared",'主表 Stock_Transaction_Log'!$L$2:$L1000,$B310,'主表 Stock_Transaction_Log'!$F$2:$F1000,$C310,'主表 Stock_Transaction_Log'!$G$2:$G1000,$D310,'主表 Stock_Transaction_Log'!$P$2:$P1000,$L310)))</f>
        <v/>
      </c>
      <c r="N310" s="172"/>
      <c r="O310" s="172" t="str">
        <f t="shared" si="4"/>
        <v/>
      </c>
      <c r="P310" s="172" t="str">
        <f t="shared" si="5"/>
        <v/>
      </c>
      <c r="Q310" s="172" t="str">
        <f t="shared" si="9"/>
        <v/>
      </c>
      <c r="R310" s="172" t="str">
        <f t="shared" si="7"/>
        <v/>
      </c>
      <c r="S310" s="172" t="str">
        <f t="shared" si="8"/>
        <v/>
      </c>
    </row>
    <row r="311">
      <c r="A311" s="172" t="str">
        <f>IF('主表 Stock_Transaction_Log'!$T311="","",IF(COUNTIF('主表 Stock_Transaction_Log'!$T$2:$T311,'主表 Stock_Transaction_Log'!$T311)=1,ROW('主表 Stock_Transaction_Log'!$T311),""))</f>
        <v/>
      </c>
      <c r="B311" s="172" t="str">
        <f t="array" ref="B311">IF($A311="","",INDEX('主表 Stock_Transaction_Log'!$Q:$Q,$A311))</f>
        <v/>
      </c>
      <c r="C311" s="172" t="str">
        <f t="array" ref="C311">IF($A311="","",IF(INDEX('主表 Stock_Transaction_Log'!$F:$F,$A311)=0,"",INDEX('主表 Stock_Transaction_Log'!$F:$F,$A311)))</f>
        <v/>
      </c>
      <c r="D311" s="172" t="str">
        <f t="array" ref="D311">IF($A311="","",INDEX('主表 Stock_Transaction_Log'!$G:$G,$A311))</f>
        <v/>
      </c>
      <c r="E311" s="172" t="str">
        <f t="array" ref="E311">IF($A311="","",INDEX('主表 Stock_Transaction_Log'!$H:$H,$A311))</f>
        <v/>
      </c>
      <c r="F311" s="172" t="str">
        <f t="array" ref="F311">IF($A311="","",INDEX('主表 Stock_Transaction_Log'!$I:$I,$A311))</f>
        <v/>
      </c>
      <c r="G311" s="172" t="str">
        <f t="array" ref="G311">IF($A311="","",IF(INDEX('主表 Stock_Transaction_Log'!$R:$R,$A311)=0,"",INDEX('主表 Stock_Transaction_Log'!$R:$R,$A311)))</f>
        <v/>
      </c>
      <c r="H311" s="172" t="str">
        <f t="array" ref="H311">IF($A311="","",SUMIF('主表 Stock_Transaction_Log'!$T:$T,INDEX('主表 Stock_Transaction_Log'!$T:$T,$A311),'主表 Stock_Transaction_Log'!$S:$S)+SUMIF('主表 Stock_Transaction_Log'!$AB:$AB,INDEX('主表 Stock_Transaction_Log'!$T:$T,$A311),'主表 Stock_Transaction_Log'!$AC:$AC))</f>
        <v/>
      </c>
      <c r="I311" s="172" t="str">
        <f t="shared" si="1"/>
        <v/>
      </c>
      <c r="J311" s="172" t="str">
        <f t="shared" si="2"/>
        <v/>
      </c>
      <c r="K311" s="172" t="str">
        <f t="shared" si="3"/>
        <v/>
      </c>
      <c r="L311" s="172" t="str">
        <f t="array" ref="L311">IF($A311="","",INDEX('主表 Stock_Transaction_Log'!$P:$P,$A311))</f>
        <v/>
      </c>
      <c r="M311" s="57" t="str">
        <f>IF($A311="","",IF($H311&lt;=0,0,SUMIFS('主表 Stock_Transaction_Log'!$K$2:$K1000,'主表 Stock_Transaction_Log'!$C$2:$C1000,"Prepared",'主表 Stock_Transaction_Log'!$L$2:$L1000,$B311,'主表 Stock_Transaction_Log'!$F$2:$F1000,$C311,'主表 Stock_Transaction_Log'!$G$2:$G1000,$D311,'主表 Stock_Transaction_Log'!$P$2:$P1000,$L311)))</f>
        <v/>
      </c>
      <c r="N311" s="172"/>
      <c r="O311" s="172" t="str">
        <f t="shared" si="4"/>
        <v/>
      </c>
      <c r="P311" s="172" t="str">
        <f t="shared" si="5"/>
        <v/>
      </c>
      <c r="Q311" s="172" t="str">
        <f t="shared" si="9"/>
        <v/>
      </c>
      <c r="R311" s="172" t="str">
        <f t="shared" si="7"/>
        <v/>
      </c>
      <c r="S311" s="172" t="str">
        <f t="shared" si="8"/>
        <v/>
      </c>
    </row>
    <row r="312">
      <c r="A312" s="172" t="str">
        <f>IF('主表 Stock_Transaction_Log'!$T312="","",IF(COUNTIF('主表 Stock_Transaction_Log'!$T$2:$T312,'主表 Stock_Transaction_Log'!$T312)=1,ROW('主表 Stock_Transaction_Log'!$T312),""))</f>
        <v/>
      </c>
      <c r="B312" s="172" t="str">
        <f t="array" ref="B312">IF($A312="","",INDEX('主表 Stock_Transaction_Log'!$Q:$Q,$A312))</f>
        <v/>
      </c>
      <c r="C312" s="172" t="str">
        <f t="array" ref="C312">IF($A312="","",IF(INDEX('主表 Stock_Transaction_Log'!$F:$F,$A312)=0,"",INDEX('主表 Stock_Transaction_Log'!$F:$F,$A312)))</f>
        <v/>
      </c>
      <c r="D312" s="172" t="str">
        <f t="array" ref="D312">IF($A312="","",INDEX('主表 Stock_Transaction_Log'!$G:$G,$A312))</f>
        <v/>
      </c>
      <c r="E312" s="172" t="str">
        <f t="array" ref="E312">IF($A312="","",INDEX('主表 Stock_Transaction_Log'!$H:$H,$A312))</f>
        <v/>
      </c>
      <c r="F312" s="172" t="str">
        <f t="array" ref="F312">IF($A312="","",INDEX('主表 Stock_Transaction_Log'!$I:$I,$A312))</f>
        <v/>
      </c>
      <c r="G312" s="172" t="str">
        <f t="array" ref="G312">IF($A312="","",IF(INDEX('主表 Stock_Transaction_Log'!$R:$R,$A312)=0,"",INDEX('主表 Stock_Transaction_Log'!$R:$R,$A312)))</f>
        <v/>
      </c>
      <c r="H312" s="172" t="str">
        <f t="array" ref="H312">IF($A312="","",SUMIF('主表 Stock_Transaction_Log'!$T:$T,INDEX('主表 Stock_Transaction_Log'!$T:$T,$A312),'主表 Stock_Transaction_Log'!$S:$S)+SUMIF('主表 Stock_Transaction_Log'!$AB:$AB,INDEX('主表 Stock_Transaction_Log'!$T:$T,$A312),'主表 Stock_Transaction_Log'!$AC:$AC))</f>
        <v/>
      </c>
      <c r="I312" s="172" t="str">
        <f t="shared" si="1"/>
        <v/>
      </c>
      <c r="J312" s="172" t="str">
        <f t="shared" si="2"/>
        <v/>
      </c>
      <c r="K312" s="172" t="str">
        <f t="shared" si="3"/>
        <v/>
      </c>
      <c r="L312" s="172" t="str">
        <f t="array" ref="L312">IF($A312="","",INDEX('主表 Stock_Transaction_Log'!$P:$P,$A312))</f>
        <v/>
      </c>
      <c r="M312" s="57" t="str">
        <f>IF($A312="","",IF($H312&lt;=0,0,SUMIFS('主表 Stock_Transaction_Log'!$K$2:$K1000,'主表 Stock_Transaction_Log'!$C$2:$C1000,"Prepared",'主表 Stock_Transaction_Log'!$L$2:$L1000,$B312,'主表 Stock_Transaction_Log'!$F$2:$F1000,$C312,'主表 Stock_Transaction_Log'!$G$2:$G1000,$D312,'主表 Stock_Transaction_Log'!$P$2:$P1000,$L312)))</f>
        <v/>
      </c>
      <c r="N312" s="172"/>
      <c r="O312" s="172" t="str">
        <f t="shared" si="4"/>
        <v/>
      </c>
      <c r="P312" s="172" t="str">
        <f t="shared" si="5"/>
        <v/>
      </c>
      <c r="Q312" s="172" t="str">
        <f t="shared" si="9"/>
        <v/>
      </c>
      <c r="R312" s="172" t="str">
        <f t="shared" si="7"/>
        <v/>
      </c>
      <c r="S312" s="172" t="str">
        <f t="shared" si="8"/>
        <v/>
      </c>
    </row>
    <row r="313">
      <c r="A313" s="172" t="str">
        <f>IF('主表 Stock_Transaction_Log'!$T313="","",IF(COUNTIF('主表 Stock_Transaction_Log'!$T$2:$T313,'主表 Stock_Transaction_Log'!$T313)=1,ROW('主表 Stock_Transaction_Log'!$T313),""))</f>
        <v/>
      </c>
      <c r="B313" s="172" t="str">
        <f t="array" ref="B313">IF($A313="","",INDEX('主表 Stock_Transaction_Log'!$Q:$Q,$A313))</f>
        <v/>
      </c>
      <c r="C313" s="172" t="str">
        <f t="array" ref="C313">IF($A313="","",IF(INDEX('主表 Stock_Transaction_Log'!$F:$F,$A313)=0,"",INDEX('主表 Stock_Transaction_Log'!$F:$F,$A313)))</f>
        <v/>
      </c>
      <c r="D313" s="172" t="str">
        <f t="array" ref="D313">IF($A313="","",INDEX('主表 Stock_Transaction_Log'!$G:$G,$A313))</f>
        <v/>
      </c>
      <c r="E313" s="172" t="str">
        <f t="array" ref="E313">IF($A313="","",INDEX('主表 Stock_Transaction_Log'!$H:$H,$A313))</f>
        <v/>
      </c>
      <c r="F313" s="172" t="str">
        <f t="array" ref="F313">IF($A313="","",INDEX('主表 Stock_Transaction_Log'!$I:$I,$A313))</f>
        <v/>
      </c>
      <c r="G313" s="172" t="str">
        <f t="array" ref="G313">IF($A313="","",IF(INDEX('主表 Stock_Transaction_Log'!$R:$R,$A313)=0,"",INDEX('主表 Stock_Transaction_Log'!$R:$R,$A313)))</f>
        <v/>
      </c>
      <c r="H313" s="172" t="str">
        <f t="array" ref="H313">IF($A313="","",SUMIF('主表 Stock_Transaction_Log'!$T:$T,INDEX('主表 Stock_Transaction_Log'!$T:$T,$A313),'主表 Stock_Transaction_Log'!$S:$S)+SUMIF('主表 Stock_Transaction_Log'!$AB:$AB,INDEX('主表 Stock_Transaction_Log'!$T:$T,$A313),'主表 Stock_Transaction_Log'!$AC:$AC))</f>
        <v/>
      </c>
      <c r="I313" s="172" t="str">
        <f t="shared" si="1"/>
        <v/>
      </c>
      <c r="J313" s="172" t="str">
        <f t="shared" si="2"/>
        <v/>
      </c>
      <c r="K313" s="172" t="str">
        <f t="shared" si="3"/>
        <v/>
      </c>
      <c r="L313" s="172" t="str">
        <f t="array" ref="L313">IF($A313="","",INDEX('主表 Stock_Transaction_Log'!$P:$P,$A313))</f>
        <v/>
      </c>
      <c r="M313" s="57" t="str">
        <f>IF($A313="","",IF($H313&lt;=0,0,SUMIFS('主表 Stock_Transaction_Log'!$K$2:$K1000,'主表 Stock_Transaction_Log'!$C$2:$C1000,"Prepared",'主表 Stock_Transaction_Log'!$L$2:$L1000,$B313,'主表 Stock_Transaction_Log'!$F$2:$F1000,$C313,'主表 Stock_Transaction_Log'!$G$2:$G1000,$D313,'主表 Stock_Transaction_Log'!$P$2:$P1000,$L313)))</f>
        <v/>
      </c>
      <c r="N313" s="172"/>
      <c r="O313" s="172" t="str">
        <f t="shared" si="4"/>
        <v/>
      </c>
      <c r="P313" s="172" t="str">
        <f t="shared" si="5"/>
        <v/>
      </c>
      <c r="Q313" s="172" t="str">
        <f t="shared" si="9"/>
        <v/>
      </c>
      <c r="R313" s="172" t="str">
        <f t="shared" si="7"/>
        <v/>
      </c>
      <c r="S313" s="172" t="str">
        <f t="shared" si="8"/>
        <v/>
      </c>
    </row>
    <row r="314">
      <c r="A314" s="172" t="str">
        <f>IF('主表 Stock_Transaction_Log'!$T314="","",IF(COUNTIF('主表 Stock_Transaction_Log'!$T$2:$T314,'主表 Stock_Transaction_Log'!$T314)=1,ROW('主表 Stock_Transaction_Log'!$T314),""))</f>
        <v/>
      </c>
      <c r="B314" s="172" t="str">
        <f t="array" ref="B314">IF($A314="","",INDEX('主表 Stock_Transaction_Log'!$Q:$Q,$A314))</f>
        <v/>
      </c>
      <c r="C314" s="172" t="str">
        <f t="array" ref="C314">IF($A314="","",IF(INDEX('主表 Stock_Transaction_Log'!$F:$F,$A314)=0,"",INDEX('主表 Stock_Transaction_Log'!$F:$F,$A314)))</f>
        <v/>
      </c>
      <c r="D314" s="172" t="str">
        <f t="array" ref="D314">IF($A314="","",INDEX('主表 Stock_Transaction_Log'!$G:$G,$A314))</f>
        <v/>
      </c>
      <c r="E314" s="172" t="str">
        <f t="array" ref="E314">IF($A314="","",INDEX('主表 Stock_Transaction_Log'!$H:$H,$A314))</f>
        <v/>
      </c>
      <c r="F314" s="172" t="str">
        <f t="array" ref="F314">IF($A314="","",INDEX('主表 Stock_Transaction_Log'!$I:$I,$A314))</f>
        <v/>
      </c>
      <c r="G314" s="172" t="str">
        <f t="array" ref="G314">IF($A314="","",IF(INDEX('主表 Stock_Transaction_Log'!$R:$R,$A314)=0,"",INDEX('主表 Stock_Transaction_Log'!$R:$R,$A314)))</f>
        <v/>
      </c>
      <c r="H314" s="172" t="str">
        <f t="array" ref="H314">IF($A314="","",SUMIF('主表 Stock_Transaction_Log'!$T:$T,INDEX('主表 Stock_Transaction_Log'!$T:$T,$A314),'主表 Stock_Transaction_Log'!$S:$S)+SUMIF('主表 Stock_Transaction_Log'!$AB:$AB,INDEX('主表 Stock_Transaction_Log'!$T:$T,$A314),'主表 Stock_Transaction_Log'!$AC:$AC))</f>
        <v/>
      </c>
      <c r="I314" s="172" t="str">
        <f t="shared" si="1"/>
        <v/>
      </c>
      <c r="J314" s="172" t="str">
        <f t="shared" si="2"/>
        <v/>
      </c>
      <c r="K314" s="172" t="str">
        <f t="shared" si="3"/>
        <v/>
      </c>
      <c r="L314" s="172" t="str">
        <f t="array" ref="L314">IF($A314="","",INDEX('主表 Stock_Transaction_Log'!$P:$P,$A314))</f>
        <v/>
      </c>
      <c r="M314" s="57" t="str">
        <f>IF($A314="","",IF($H314&lt;=0,0,SUMIFS('主表 Stock_Transaction_Log'!$K$2:$K1000,'主表 Stock_Transaction_Log'!$C$2:$C1000,"Prepared",'主表 Stock_Transaction_Log'!$L$2:$L1000,$B314,'主表 Stock_Transaction_Log'!$F$2:$F1000,$C314,'主表 Stock_Transaction_Log'!$G$2:$G1000,$D314,'主表 Stock_Transaction_Log'!$P$2:$P1000,$L314)))</f>
        <v/>
      </c>
      <c r="N314" s="172"/>
      <c r="O314" s="172" t="str">
        <f t="shared" si="4"/>
        <v/>
      </c>
      <c r="P314" s="172" t="str">
        <f t="shared" si="5"/>
        <v/>
      </c>
      <c r="Q314" s="172" t="str">
        <f t="shared" si="9"/>
        <v/>
      </c>
      <c r="R314" s="172" t="str">
        <f t="shared" si="7"/>
        <v/>
      </c>
      <c r="S314" s="172" t="str">
        <f t="shared" si="8"/>
        <v/>
      </c>
    </row>
    <row r="315">
      <c r="A315" s="172" t="str">
        <f>IF('主表 Stock_Transaction_Log'!$T315="","",IF(COUNTIF('主表 Stock_Transaction_Log'!$T$2:$T315,'主表 Stock_Transaction_Log'!$T315)=1,ROW('主表 Stock_Transaction_Log'!$T315),""))</f>
        <v/>
      </c>
      <c r="B315" s="172" t="str">
        <f t="array" ref="B315">IF($A315="","",INDEX('主表 Stock_Transaction_Log'!$Q:$Q,$A315))</f>
        <v/>
      </c>
      <c r="C315" s="172" t="str">
        <f t="array" ref="C315">IF($A315="","",IF(INDEX('主表 Stock_Transaction_Log'!$F:$F,$A315)=0,"",INDEX('主表 Stock_Transaction_Log'!$F:$F,$A315)))</f>
        <v/>
      </c>
      <c r="D315" s="172" t="str">
        <f t="array" ref="D315">IF($A315="","",INDEX('主表 Stock_Transaction_Log'!$G:$G,$A315))</f>
        <v/>
      </c>
      <c r="E315" s="172" t="str">
        <f t="array" ref="E315">IF($A315="","",INDEX('主表 Stock_Transaction_Log'!$H:$H,$A315))</f>
        <v/>
      </c>
      <c r="F315" s="172" t="str">
        <f t="array" ref="F315">IF($A315="","",INDEX('主表 Stock_Transaction_Log'!$I:$I,$A315))</f>
        <v/>
      </c>
      <c r="G315" s="172" t="str">
        <f t="array" ref="G315">IF($A315="","",IF(INDEX('主表 Stock_Transaction_Log'!$R:$R,$A315)=0,"",INDEX('主表 Stock_Transaction_Log'!$R:$R,$A315)))</f>
        <v/>
      </c>
      <c r="H315" s="172" t="str">
        <f t="array" ref="H315">IF($A315="","",SUMIF('主表 Stock_Transaction_Log'!$T:$T,INDEX('主表 Stock_Transaction_Log'!$T:$T,$A315),'主表 Stock_Transaction_Log'!$S:$S)+SUMIF('主表 Stock_Transaction_Log'!$AB:$AB,INDEX('主表 Stock_Transaction_Log'!$T:$T,$A315),'主表 Stock_Transaction_Log'!$AC:$AC))</f>
        <v/>
      </c>
      <c r="I315" s="172" t="str">
        <f t="shared" si="1"/>
        <v/>
      </c>
      <c r="J315" s="172" t="str">
        <f t="shared" si="2"/>
        <v/>
      </c>
      <c r="K315" s="172" t="str">
        <f t="shared" si="3"/>
        <v/>
      </c>
      <c r="L315" s="172" t="str">
        <f t="array" ref="L315">IF($A315="","",INDEX('主表 Stock_Transaction_Log'!$P:$P,$A315))</f>
        <v/>
      </c>
      <c r="M315" s="57" t="str">
        <f>IF($A315="","",IF($H315&lt;=0,0,SUMIFS('主表 Stock_Transaction_Log'!$K$2:$K1000,'主表 Stock_Transaction_Log'!$C$2:$C1000,"Prepared",'主表 Stock_Transaction_Log'!$L$2:$L1000,$B315,'主表 Stock_Transaction_Log'!$F$2:$F1000,$C315,'主表 Stock_Transaction_Log'!$G$2:$G1000,$D315,'主表 Stock_Transaction_Log'!$P$2:$P1000,$L315)))</f>
        <v/>
      </c>
      <c r="N315" s="172"/>
      <c r="O315" s="172" t="str">
        <f t="shared" si="4"/>
        <v/>
      </c>
      <c r="P315" s="172" t="str">
        <f t="shared" si="5"/>
        <v/>
      </c>
      <c r="Q315" s="172" t="str">
        <f t="shared" si="9"/>
        <v/>
      </c>
      <c r="R315" s="172" t="str">
        <f t="shared" si="7"/>
        <v/>
      </c>
      <c r="S315" s="172" t="str">
        <f t="shared" si="8"/>
        <v/>
      </c>
    </row>
    <row r="316">
      <c r="A316" s="172" t="str">
        <f>IF('主表 Stock_Transaction_Log'!$T316="","",IF(COUNTIF('主表 Stock_Transaction_Log'!$T$2:$T316,'主表 Stock_Transaction_Log'!$T316)=1,ROW('主表 Stock_Transaction_Log'!$T316),""))</f>
        <v/>
      </c>
      <c r="B316" s="172" t="str">
        <f t="array" ref="B316">IF($A316="","",INDEX('主表 Stock_Transaction_Log'!$Q:$Q,$A316))</f>
        <v/>
      </c>
      <c r="C316" s="172" t="str">
        <f t="array" ref="C316">IF($A316="","",IF(INDEX('主表 Stock_Transaction_Log'!$F:$F,$A316)=0,"",INDEX('主表 Stock_Transaction_Log'!$F:$F,$A316)))</f>
        <v/>
      </c>
      <c r="D316" s="172" t="str">
        <f t="array" ref="D316">IF($A316="","",INDEX('主表 Stock_Transaction_Log'!$G:$G,$A316))</f>
        <v/>
      </c>
      <c r="E316" s="172" t="str">
        <f t="array" ref="E316">IF($A316="","",INDEX('主表 Stock_Transaction_Log'!$H:$H,$A316))</f>
        <v/>
      </c>
      <c r="F316" s="172" t="str">
        <f t="array" ref="F316">IF($A316="","",INDEX('主表 Stock_Transaction_Log'!$I:$I,$A316))</f>
        <v/>
      </c>
      <c r="G316" s="172" t="str">
        <f t="array" ref="G316">IF($A316="","",IF(INDEX('主表 Stock_Transaction_Log'!$R:$R,$A316)=0,"",INDEX('主表 Stock_Transaction_Log'!$R:$R,$A316)))</f>
        <v/>
      </c>
      <c r="H316" s="172" t="str">
        <f t="array" ref="H316">IF($A316="","",SUMIF('主表 Stock_Transaction_Log'!$T:$T,INDEX('主表 Stock_Transaction_Log'!$T:$T,$A316),'主表 Stock_Transaction_Log'!$S:$S)+SUMIF('主表 Stock_Transaction_Log'!$AB:$AB,INDEX('主表 Stock_Transaction_Log'!$T:$T,$A316),'主表 Stock_Transaction_Log'!$AC:$AC))</f>
        <v/>
      </c>
      <c r="I316" s="172" t="str">
        <f t="shared" si="1"/>
        <v/>
      </c>
      <c r="J316" s="172" t="str">
        <f t="shared" si="2"/>
        <v/>
      </c>
      <c r="K316" s="172" t="str">
        <f t="shared" si="3"/>
        <v/>
      </c>
      <c r="L316" s="172" t="str">
        <f t="array" ref="L316">IF($A316="","",INDEX('主表 Stock_Transaction_Log'!$P:$P,$A316))</f>
        <v/>
      </c>
      <c r="M316" s="57" t="str">
        <f>IF($A316="","",IF($H316&lt;=0,0,SUMIFS('主表 Stock_Transaction_Log'!$K$2:$K1000,'主表 Stock_Transaction_Log'!$C$2:$C1000,"Prepared",'主表 Stock_Transaction_Log'!$L$2:$L1000,$B316,'主表 Stock_Transaction_Log'!$F$2:$F1000,$C316,'主表 Stock_Transaction_Log'!$G$2:$G1000,$D316,'主表 Stock_Transaction_Log'!$P$2:$P1000,$L316)))</f>
        <v/>
      </c>
      <c r="N316" s="172"/>
      <c r="O316" s="172" t="str">
        <f t="shared" si="4"/>
        <v/>
      </c>
      <c r="P316" s="172" t="str">
        <f t="shared" si="5"/>
        <v/>
      </c>
      <c r="Q316" s="172" t="str">
        <f t="shared" si="9"/>
        <v/>
      </c>
      <c r="R316" s="172" t="str">
        <f t="shared" si="7"/>
        <v/>
      </c>
      <c r="S316" s="172" t="str">
        <f t="shared" si="8"/>
        <v/>
      </c>
    </row>
    <row r="317">
      <c r="A317" s="172" t="str">
        <f>IF('主表 Stock_Transaction_Log'!$T317="","",IF(COUNTIF('主表 Stock_Transaction_Log'!$T$2:$T317,'主表 Stock_Transaction_Log'!$T317)=1,ROW('主表 Stock_Transaction_Log'!$T317),""))</f>
        <v/>
      </c>
      <c r="B317" s="172" t="str">
        <f t="array" ref="B317">IF($A317="","",INDEX('主表 Stock_Transaction_Log'!$Q:$Q,$A317))</f>
        <v/>
      </c>
      <c r="C317" s="172" t="str">
        <f t="array" ref="C317">IF($A317="","",IF(INDEX('主表 Stock_Transaction_Log'!$F:$F,$A317)=0,"",INDEX('主表 Stock_Transaction_Log'!$F:$F,$A317)))</f>
        <v/>
      </c>
      <c r="D317" s="172" t="str">
        <f t="array" ref="D317">IF($A317="","",INDEX('主表 Stock_Transaction_Log'!$G:$G,$A317))</f>
        <v/>
      </c>
      <c r="E317" s="172" t="str">
        <f t="array" ref="E317">IF($A317="","",INDEX('主表 Stock_Transaction_Log'!$H:$H,$A317))</f>
        <v/>
      </c>
      <c r="F317" s="172" t="str">
        <f t="array" ref="F317">IF($A317="","",INDEX('主表 Stock_Transaction_Log'!$I:$I,$A317))</f>
        <v/>
      </c>
      <c r="G317" s="172" t="str">
        <f t="array" ref="G317">IF($A317="","",IF(INDEX('主表 Stock_Transaction_Log'!$R:$R,$A317)=0,"",INDEX('主表 Stock_Transaction_Log'!$R:$R,$A317)))</f>
        <v/>
      </c>
      <c r="H317" s="172" t="str">
        <f t="array" ref="H317">IF($A317="","",SUMIF('主表 Stock_Transaction_Log'!$T:$T,INDEX('主表 Stock_Transaction_Log'!$T:$T,$A317),'主表 Stock_Transaction_Log'!$S:$S)+SUMIF('主表 Stock_Transaction_Log'!$AB:$AB,INDEX('主表 Stock_Transaction_Log'!$T:$T,$A317),'主表 Stock_Transaction_Log'!$AC:$AC))</f>
        <v/>
      </c>
      <c r="I317" s="172" t="str">
        <f t="shared" si="1"/>
        <v/>
      </c>
      <c r="J317" s="172" t="str">
        <f t="shared" si="2"/>
        <v/>
      </c>
      <c r="K317" s="172" t="str">
        <f t="shared" si="3"/>
        <v/>
      </c>
      <c r="L317" s="172" t="str">
        <f t="array" ref="L317">IF($A317="","",INDEX('主表 Stock_Transaction_Log'!$P:$P,$A317))</f>
        <v/>
      </c>
      <c r="M317" s="57" t="str">
        <f>IF($A317="","",IF($H317&lt;=0,0,SUMIFS('主表 Stock_Transaction_Log'!$K$2:$K1000,'主表 Stock_Transaction_Log'!$C$2:$C1000,"Prepared",'主表 Stock_Transaction_Log'!$L$2:$L1000,$B317,'主表 Stock_Transaction_Log'!$F$2:$F1000,$C317,'主表 Stock_Transaction_Log'!$G$2:$G1000,$D317,'主表 Stock_Transaction_Log'!$P$2:$P1000,$L317)))</f>
        <v/>
      </c>
      <c r="N317" s="172"/>
      <c r="O317" s="172" t="str">
        <f t="shared" si="4"/>
        <v/>
      </c>
      <c r="P317" s="172" t="str">
        <f t="shared" si="5"/>
        <v/>
      </c>
      <c r="Q317" s="172" t="str">
        <f t="shared" si="9"/>
        <v/>
      </c>
      <c r="R317" s="172" t="str">
        <f t="shared" si="7"/>
        <v/>
      </c>
      <c r="S317" s="172" t="str">
        <f t="shared" si="8"/>
        <v/>
      </c>
    </row>
    <row r="318">
      <c r="A318" s="172" t="str">
        <f>IF('主表 Stock_Transaction_Log'!$T318="","",IF(COUNTIF('主表 Stock_Transaction_Log'!$T$2:$T318,'主表 Stock_Transaction_Log'!$T318)=1,ROW('主表 Stock_Transaction_Log'!$T318),""))</f>
        <v/>
      </c>
      <c r="B318" s="172" t="str">
        <f t="array" ref="B318">IF($A318="","",INDEX('主表 Stock_Transaction_Log'!$Q:$Q,$A318))</f>
        <v/>
      </c>
      <c r="C318" s="172" t="str">
        <f t="array" ref="C318">IF($A318="","",IF(INDEX('主表 Stock_Transaction_Log'!$F:$F,$A318)=0,"",INDEX('主表 Stock_Transaction_Log'!$F:$F,$A318)))</f>
        <v/>
      </c>
      <c r="D318" s="172" t="str">
        <f t="array" ref="D318">IF($A318="","",INDEX('主表 Stock_Transaction_Log'!$G:$G,$A318))</f>
        <v/>
      </c>
      <c r="E318" s="172" t="str">
        <f t="array" ref="E318">IF($A318="","",INDEX('主表 Stock_Transaction_Log'!$H:$H,$A318))</f>
        <v/>
      </c>
      <c r="F318" s="172" t="str">
        <f t="array" ref="F318">IF($A318="","",INDEX('主表 Stock_Transaction_Log'!$I:$I,$A318))</f>
        <v/>
      </c>
      <c r="G318" s="172" t="str">
        <f t="array" ref="G318">IF($A318="","",IF(INDEX('主表 Stock_Transaction_Log'!$R:$R,$A318)=0,"",INDEX('主表 Stock_Transaction_Log'!$R:$R,$A318)))</f>
        <v/>
      </c>
      <c r="H318" s="172" t="str">
        <f t="array" ref="H318">IF($A318="","",SUMIF('主表 Stock_Transaction_Log'!$T:$T,INDEX('主表 Stock_Transaction_Log'!$T:$T,$A318),'主表 Stock_Transaction_Log'!$S:$S)+SUMIF('主表 Stock_Transaction_Log'!$AB:$AB,INDEX('主表 Stock_Transaction_Log'!$T:$T,$A318),'主表 Stock_Transaction_Log'!$AC:$AC))</f>
        <v/>
      </c>
      <c r="I318" s="172" t="str">
        <f t="shared" si="1"/>
        <v/>
      </c>
      <c r="J318" s="172" t="str">
        <f t="shared" si="2"/>
        <v/>
      </c>
      <c r="K318" s="172" t="str">
        <f t="shared" si="3"/>
        <v/>
      </c>
      <c r="L318" s="172" t="str">
        <f t="array" ref="L318">IF($A318="","",INDEX('主表 Stock_Transaction_Log'!$P:$P,$A318))</f>
        <v/>
      </c>
      <c r="M318" s="57" t="str">
        <f>IF($A318="","",IF($H318&lt;=0,0,SUMIFS('主表 Stock_Transaction_Log'!$K$2:$K1000,'主表 Stock_Transaction_Log'!$C$2:$C1000,"Prepared",'主表 Stock_Transaction_Log'!$L$2:$L1000,$B318,'主表 Stock_Transaction_Log'!$F$2:$F1000,$C318,'主表 Stock_Transaction_Log'!$G$2:$G1000,$D318,'主表 Stock_Transaction_Log'!$P$2:$P1000,$L318)))</f>
        <v/>
      </c>
      <c r="N318" s="172"/>
      <c r="O318" s="172" t="str">
        <f t="shared" si="4"/>
        <v/>
      </c>
      <c r="P318" s="172" t="str">
        <f t="shared" si="5"/>
        <v/>
      </c>
      <c r="Q318" s="172" t="str">
        <f t="shared" si="9"/>
        <v/>
      </c>
      <c r="R318" s="172" t="str">
        <f t="shared" si="7"/>
        <v/>
      </c>
      <c r="S318" s="172" t="str">
        <f t="shared" si="8"/>
        <v/>
      </c>
    </row>
    <row r="319">
      <c r="A319" s="172" t="str">
        <f>IF('主表 Stock_Transaction_Log'!$T319="","",IF(COUNTIF('主表 Stock_Transaction_Log'!$T$2:$T319,'主表 Stock_Transaction_Log'!$T319)=1,ROW('主表 Stock_Transaction_Log'!$T319),""))</f>
        <v/>
      </c>
      <c r="B319" s="172" t="str">
        <f t="array" ref="B319">IF($A319="","",INDEX('主表 Stock_Transaction_Log'!$Q:$Q,$A319))</f>
        <v/>
      </c>
      <c r="C319" s="172" t="str">
        <f t="array" ref="C319">IF($A319="","",IF(INDEX('主表 Stock_Transaction_Log'!$F:$F,$A319)=0,"",INDEX('主表 Stock_Transaction_Log'!$F:$F,$A319)))</f>
        <v/>
      </c>
      <c r="D319" s="172" t="str">
        <f t="array" ref="D319">IF($A319="","",INDEX('主表 Stock_Transaction_Log'!$G:$G,$A319))</f>
        <v/>
      </c>
      <c r="E319" s="172" t="str">
        <f t="array" ref="E319">IF($A319="","",INDEX('主表 Stock_Transaction_Log'!$H:$H,$A319))</f>
        <v/>
      </c>
      <c r="F319" s="172" t="str">
        <f t="array" ref="F319">IF($A319="","",INDEX('主表 Stock_Transaction_Log'!$I:$I,$A319))</f>
        <v/>
      </c>
      <c r="G319" s="172" t="str">
        <f t="array" ref="G319">IF($A319="","",IF(INDEX('主表 Stock_Transaction_Log'!$R:$R,$A319)=0,"",INDEX('主表 Stock_Transaction_Log'!$R:$R,$A319)))</f>
        <v/>
      </c>
      <c r="H319" s="172" t="str">
        <f t="array" ref="H319">IF($A319="","",SUMIF('主表 Stock_Transaction_Log'!$T:$T,INDEX('主表 Stock_Transaction_Log'!$T:$T,$A319),'主表 Stock_Transaction_Log'!$S:$S)+SUMIF('主表 Stock_Transaction_Log'!$AB:$AB,INDEX('主表 Stock_Transaction_Log'!$T:$T,$A319),'主表 Stock_Transaction_Log'!$AC:$AC))</f>
        <v/>
      </c>
      <c r="I319" s="172" t="str">
        <f t="shared" si="1"/>
        <v/>
      </c>
      <c r="J319" s="172" t="str">
        <f t="shared" si="2"/>
        <v/>
      </c>
      <c r="K319" s="172" t="str">
        <f t="shared" si="3"/>
        <v/>
      </c>
      <c r="L319" s="172" t="str">
        <f t="array" ref="L319">IF($A319="","",INDEX('主表 Stock_Transaction_Log'!$P:$P,$A319))</f>
        <v/>
      </c>
      <c r="M319" s="57" t="str">
        <f>IF($A319="","",IF($H319&lt;=0,0,SUMIFS('主表 Stock_Transaction_Log'!$K$2:$K1000,'主表 Stock_Transaction_Log'!$C$2:$C1000,"Prepared",'主表 Stock_Transaction_Log'!$L$2:$L1000,$B319,'主表 Stock_Transaction_Log'!$F$2:$F1000,$C319,'主表 Stock_Transaction_Log'!$G$2:$G1000,$D319,'主表 Stock_Transaction_Log'!$P$2:$P1000,$L319)))</f>
        <v/>
      </c>
      <c r="N319" s="172"/>
      <c r="O319" s="172" t="str">
        <f t="shared" si="4"/>
        <v/>
      </c>
      <c r="P319" s="172" t="str">
        <f t="shared" si="5"/>
        <v/>
      </c>
      <c r="Q319" s="172" t="str">
        <f t="shared" si="9"/>
        <v/>
      </c>
      <c r="R319" s="172" t="str">
        <f t="shared" si="7"/>
        <v/>
      </c>
      <c r="S319" s="172" t="str">
        <f t="shared" si="8"/>
        <v/>
      </c>
    </row>
    <row r="320">
      <c r="A320" s="172" t="str">
        <f>IF('主表 Stock_Transaction_Log'!$T320="","",IF(COUNTIF('主表 Stock_Transaction_Log'!$T$2:$T320,'主表 Stock_Transaction_Log'!$T320)=1,ROW('主表 Stock_Transaction_Log'!$T320),""))</f>
        <v/>
      </c>
      <c r="B320" s="172" t="str">
        <f t="array" ref="B320">IF($A320="","",INDEX('主表 Stock_Transaction_Log'!$Q:$Q,$A320))</f>
        <v/>
      </c>
      <c r="C320" s="172" t="str">
        <f t="array" ref="C320">IF($A320="","",IF(INDEX('主表 Stock_Transaction_Log'!$F:$F,$A320)=0,"",INDEX('主表 Stock_Transaction_Log'!$F:$F,$A320)))</f>
        <v/>
      </c>
      <c r="D320" s="172" t="str">
        <f t="array" ref="D320">IF($A320="","",INDEX('主表 Stock_Transaction_Log'!$G:$G,$A320))</f>
        <v/>
      </c>
      <c r="E320" s="172" t="str">
        <f t="array" ref="E320">IF($A320="","",INDEX('主表 Stock_Transaction_Log'!$H:$H,$A320))</f>
        <v/>
      </c>
      <c r="F320" s="172" t="str">
        <f t="array" ref="F320">IF($A320="","",INDEX('主表 Stock_Transaction_Log'!$I:$I,$A320))</f>
        <v/>
      </c>
      <c r="G320" s="172" t="str">
        <f t="array" ref="G320">IF($A320="","",IF(INDEX('主表 Stock_Transaction_Log'!$R:$R,$A320)=0,"",INDEX('主表 Stock_Transaction_Log'!$R:$R,$A320)))</f>
        <v/>
      </c>
      <c r="H320" s="172" t="str">
        <f t="array" ref="H320">IF($A320="","",SUMIF('主表 Stock_Transaction_Log'!$T:$T,INDEX('主表 Stock_Transaction_Log'!$T:$T,$A320),'主表 Stock_Transaction_Log'!$S:$S)+SUMIF('主表 Stock_Transaction_Log'!$AB:$AB,INDEX('主表 Stock_Transaction_Log'!$T:$T,$A320),'主表 Stock_Transaction_Log'!$AC:$AC))</f>
        <v/>
      </c>
      <c r="I320" s="172" t="str">
        <f t="shared" si="1"/>
        <v/>
      </c>
      <c r="J320" s="172" t="str">
        <f t="shared" si="2"/>
        <v/>
      </c>
      <c r="K320" s="172" t="str">
        <f t="shared" si="3"/>
        <v/>
      </c>
      <c r="L320" s="172" t="str">
        <f t="array" ref="L320">IF($A320="","",INDEX('主表 Stock_Transaction_Log'!$P:$P,$A320))</f>
        <v/>
      </c>
      <c r="M320" s="57" t="str">
        <f>IF($A320="","",IF($H320&lt;=0,0,SUMIFS('主表 Stock_Transaction_Log'!$K$2:$K1000,'主表 Stock_Transaction_Log'!$C$2:$C1000,"Prepared",'主表 Stock_Transaction_Log'!$L$2:$L1000,$B320,'主表 Stock_Transaction_Log'!$F$2:$F1000,$C320,'主表 Stock_Transaction_Log'!$G$2:$G1000,$D320,'主表 Stock_Transaction_Log'!$P$2:$P1000,$L320)))</f>
        <v/>
      </c>
      <c r="N320" s="172"/>
      <c r="O320" s="172" t="str">
        <f t="shared" si="4"/>
        <v/>
      </c>
      <c r="P320" s="172" t="str">
        <f t="shared" si="5"/>
        <v/>
      </c>
      <c r="Q320" s="172" t="str">
        <f t="shared" si="9"/>
        <v/>
      </c>
      <c r="R320" s="172" t="str">
        <f t="shared" si="7"/>
        <v/>
      </c>
      <c r="S320" s="172" t="str">
        <f t="shared" si="8"/>
        <v/>
      </c>
    </row>
    <row r="321">
      <c r="A321" s="172" t="str">
        <f>IF('主表 Stock_Transaction_Log'!$T321="","",IF(COUNTIF('主表 Stock_Transaction_Log'!$T$2:$T321,'主表 Stock_Transaction_Log'!$T321)=1,ROW('主表 Stock_Transaction_Log'!$T321),""))</f>
        <v/>
      </c>
      <c r="B321" s="172" t="str">
        <f t="array" ref="B321">IF($A321="","",INDEX('主表 Stock_Transaction_Log'!$Q:$Q,$A321))</f>
        <v/>
      </c>
      <c r="C321" s="172" t="str">
        <f t="array" ref="C321">IF($A321="","",IF(INDEX('主表 Stock_Transaction_Log'!$F:$F,$A321)=0,"",INDEX('主表 Stock_Transaction_Log'!$F:$F,$A321)))</f>
        <v/>
      </c>
      <c r="D321" s="172" t="str">
        <f t="array" ref="D321">IF($A321="","",INDEX('主表 Stock_Transaction_Log'!$G:$G,$A321))</f>
        <v/>
      </c>
      <c r="E321" s="172" t="str">
        <f t="array" ref="E321">IF($A321="","",INDEX('主表 Stock_Transaction_Log'!$H:$H,$A321))</f>
        <v/>
      </c>
      <c r="F321" s="172" t="str">
        <f t="array" ref="F321">IF($A321="","",INDEX('主表 Stock_Transaction_Log'!$I:$I,$A321))</f>
        <v/>
      </c>
      <c r="G321" s="172" t="str">
        <f t="array" ref="G321">IF($A321="","",IF(INDEX('主表 Stock_Transaction_Log'!$R:$R,$A321)=0,"",INDEX('主表 Stock_Transaction_Log'!$R:$R,$A321)))</f>
        <v/>
      </c>
      <c r="H321" s="172" t="str">
        <f t="array" ref="H321">IF($A321="","",SUMIF('主表 Stock_Transaction_Log'!$T:$T,INDEX('主表 Stock_Transaction_Log'!$T:$T,$A321),'主表 Stock_Transaction_Log'!$S:$S)+SUMIF('主表 Stock_Transaction_Log'!$AB:$AB,INDEX('主表 Stock_Transaction_Log'!$T:$T,$A321),'主表 Stock_Transaction_Log'!$AC:$AC))</f>
        <v/>
      </c>
      <c r="I321" s="172" t="str">
        <f t="shared" si="1"/>
        <v/>
      </c>
      <c r="J321" s="172" t="str">
        <f t="shared" si="2"/>
        <v/>
      </c>
      <c r="K321" s="172" t="str">
        <f t="shared" si="3"/>
        <v/>
      </c>
      <c r="L321" s="172" t="str">
        <f t="array" ref="L321">IF($A321="","",INDEX('主表 Stock_Transaction_Log'!$P:$P,$A321))</f>
        <v/>
      </c>
      <c r="M321" s="57" t="str">
        <f>IF($A321="","",IF($H321&lt;=0,0,SUMIFS('主表 Stock_Transaction_Log'!$K$2:$K1000,'主表 Stock_Transaction_Log'!$C$2:$C1000,"Prepared",'主表 Stock_Transaction_Log'!$L$2:$L1000,$B321,'主表 Stock_Transaction_Log'!$F$2:$F1000,$C321,'主表 Stock_Transaction_Log'!$G$2:$G1000,$D321,'主表 Stock_Transaction_Log'!$P$2:$P1000,$L321)))</f>
        <v/>
      </c>
      <c r="N321" s="172"/>
      <c r="O321" s="172" t="str">
        <f t="shared" si="4"/>
        <v/>
      </c>
      <c r="P321" s="172" t="str">
        <f t="shared" si="5"/>
        <v/>
      </c>
      <c r="Q321" s="172" t="str">
        <f t="shared" si="9"/>
        <v/>
      </c>
      <c r="R321" s="172" t="str">
        <f t="shared" si="7"/>
        <v/>
      </c>
      <c r="S321" s="172" t="str">
        <f t="shared" si="8"/>
        <v/>
      </c>
    </row>
    <row r="322">
      <c r="A322" s="172" t="str">
        <f>IF('主表 Stock_Transaction_Log'!$T322="","",IF(COUNTIF('主表 Stock_Transaction_Log'!$T$2:$T322,'主表 Stock_Transaction_Log'!$T322)=1,ROW('主表 Stock_Transaction_Log'!$T322),""))</f>
        <v/>
      </c>
      <c r="B322" s="172" t="str">
        <f t="array" ref="B322">IF($A322="","",INDEX('主表 Stock_Transaction_Log'!$Q:$Q,$A322))</f>
        <v/>
      </c>
      <c r="C322" s="172" t="str">
        <f t="array" ref="C322">IF($A322="","",IF(INDEX('主表 Stock_Transaction_Log'!$F:$F,$A322)=0,"",INDEX('主表 Stock_Transaction_Log'!$F:$F,$A322)))</f>
        <v/>
      </c>
      <c r="D322" s="172" t="str">
        <f t="array" ref="D322">IF($A322="","",INDEX('主表 Stock_Transaction_Log'!$G:$G,$A322))</f>
        <v/>
      </c>
      <c r="E322" s="172" t="str">
        <f t="array" ref="E322">IF($A322="","",INDEX('主表 Stock_Transaction_Log'!$H:$H,$A322))</f>
        <v/>
      </c>
      <c r="F322" s="172" t="str">
        <f t="array" ref="F322">IF($A322="","",INDEX('主表 Stock_Transaction_Log'!$I:$I,$A322))</f>
        <v/>
      </c>
      <c r="G322" s="172" t="str">
        <f t="array" ref="G322">IF($A322="","",IF(INDEX('主表 Stock_Transaction_Log'!$R:$R,$A322)=0,"",INDEX('主表 Stock_Transaction_Log'!$R:$R,$A322)))</f>
        <v/>
      </c>
      <c r="H322" s="172" t="str">
        <f t="array" ref="H322">IF($A322="","",SUMIF('主表 Stock_Transaction_Log'!$T:$T,INDEX('主表 Stock_Transaction_Log'!$T:$T,$A322),'主表 Stock_Transaction_Log'!$S:$S)+SUMIF('主表 Stock_Transaction_Log'!$AB:$AB,INDEX('主表 Stock_Transaction_Log'!$T:$T,$A322),'主表 Stock_Transaction_Log'!$AC:$AC))</f>
        <v/>
      </c>
      <c r="I322" s="172" t="str">
        <f t="shared" si="1"/>
        <v/>
      </c>
      <c r="J322" s="172" t="str">
        <f t="shared" si="2"/>
        <v/>
      </c>
      <c r="K322" s="172" t="str">
        <f t="shared" si="3"/>
        <v/>
      </c>
      <c r="L322" s="172" t="str">
        <f t="array" ref="L322">IF($A322="","",INDEX('主表 Stock_Transaction_Log'!$P:$P,$A322))</f>
        <v/>
      </c>
      <c r="M322" s="57" t="str">
        <f>IF($A322="","",IF($H322&lt;=0,0,SUMIFS('主表 Stock_Transaction_Log'!$K$2:$K1000,'主表 Stock_Transaction_Log'!$C$2:$C1000,"Prepared",'主表 Stock_Transaction_Log'!$L$2:$L1000,$B322,'主表 Stock_Transaction_Log'!$F$2:$F1000,$C322,'主表 Stock_Transaction_Log'!$G$2:$G1000,$D322,'主表 Stock_Transaction_Log'!$P$2:$P1000,$L322)))</f>
        <v/>
      </c>
      <c r="N322" s="172"/>
      <c r="O322" s="172" t="str">
        <f t="shared" si="4"/>
        <v/>
      </c>
      <c r="P322" s="172" t="str">
        <f t="shared" si="5"/>
        <v/>
      </c>
      <c r="Q322" s="172" t="str">
        <f t="shared" si="9"/>
        <v/>
      </c>
      <c r="R322" s="172" t="str">
        <f t="shared" si="7"/>
        <v/>
      </c>
      <c r="S322" s="172" t="str">
        <f t="shared" si="8"/>
        <v/>
      </c>
    </row>
    <row r="323">
      <c r="A323" s="172" t="str">
        <f>IF('主表 Stock_Transaction_Log'!$T323="","",IF(COUNTIF('主表 Stock_Transaction_Log'!$T$2:$T323,'主表 Stock_Transaction_Log'!$T323)=1,ROW('主表 Stock_Transaction_Log'!$T323),""))</f>
        <v/>
      </c>
      <c r="B323" s="172" t="str">
        <f t="array" ref="B323">IF($A323="","",INDEX('主表 Stock_Transaction_Log'!$Q:$Q,$A323))</f>
        <v/>
      </c>
      <c r="C323" s="172" t="str">
        <f t="array" ref="C323">IF($A323="","",IF(INDEX('主表 Stock_Transaction_Log'!$F:$F,$A323)=0,"",INDEX('主表 Stock_Transaction_Log'!$F:$F,$A323)))</f>
        <v/>
      </c>
      <c r="D323" s="172" t="str">
        <f t="array" ref="D323">IF($A323="","",INDEX('主表 Stock_Transaction_Log'!$G:$G,$A323))</f>
        <v/>
      </c>
      <c r="E323" s="172" t="str">
        <f t="array" ref="E323">IF($A323="","",INDEX('主表 Stock_Transaction_Log'!$H:$H,$A323))</f>
        <v/>
      </c>
      <c r="F323" s="172" t="str">
        <f t="array" ref="F323">IF($A323="","",INDEX('主表 Stock_Transaction_Log'!$I:$I,$A323))</f>
        <v/>
      </c>
      <c r="G323" s="172" t="str">
        <f t="array" ref="G323">IF($A323="","",IF(INDEX('主表 Stock_Transaction_Log'!$R:$R,$A323)=0,"",INDEX('主表 Stock_Transaction_Log'!$R:$R,$A323)))</f>
        <v/>
      </c>
      <c r="H323" s="172" t="str">
        <f t="array" ref="H323">IF($A323="","",SUMIF('主表 Stock_Transaction_Log'!$T:$T,INDEX('主表 Stock_Transaction_Log'!$T:$T,$A323),'主表 Stock_Transaction_Log'!$S:$S)+SUMIF('主表 Stock_Transaction_Log'!$AB:$AB,INDEX('主表 Stock_Transaction_Log'!$T:$T,$A323),'主表 Stock_Transaction_Log'!$AC:$AC))</f>
        <v/>
      </c>
      <c r="I323" s="172" t="str">
        <f t="shared" si="1"/>
        <v/>
      </c>
      <c r="J323" s="172" t="str">
        <f t="shared" si="2"/>
        <v/>
      </c>
      <c r="K323" s="172" t="str">
        <f t="shared" si="3"/>
        <v/>
      </c>
      <c r="L323" s="172" t="str">
        <f t="array" ref="L323">IF($A323="","",INDEX('主表 Stock_Transaction_Log'!$P:$P,$A323))</f>
        <v/>
      </c>
      <c r="M323" s="57" t="str">
        <f>IF($A323="","",IF($H323&lt;=0,0,SUMIFS('主表 Stock_Transaction_Log'!$K$2:$K1000,'主表 Stock_Transaction_Log'!$C$2:$C1000,"Prepared",'主表 Stock_Transaction_Log'!$L$2:$L1000,$B323,'主表 Stock_Transaction_Log'!$F$2:$F1000,$C323,'主表 Stock_Transaction_Log'!$G$2:$G1000,$D323,'主表 Stock_Transaction_Log'!$P$2:$P1000,$L323)))</f>
        <v/>
      </c>
      <c r="N323" s="172"/>
      <c r="O323" s="172" t="str">
        <f t="shared" si="4"/>
        <v/>
      </c>
      <c r="P323" s="172" t="str">
        <f t="shared" si="5"/>
        <v/>
      </c>
      <c r="Q323" s="172" t="str">
        <f t="shared" si="9"/>
        <v/>
      </c>
      <c r="R323" s="172" t="str">
        <f t="shared" si="7"/>
        <v/>
      </c>
      <c r="S323" s="172" t="str">
        <f t="shared" si="8"/>
        <v/>
      </c>
    </row>
    <row r="324">
      <c r="A324" s="172" t="str">
        <f>IF('主表 Stock_Transaction_Log'!$T324="","",IF(COUNTIF('主表 Stock_Transaction_Log'!$T$2:$T324,'主表 Stock_Transaction_Log'!$T324)=1,ROW('主表 Stock_Transaction_Log'!$T324),""))</f>
        <v/>
      </c>
      <c r="B324" s="172" t="str">
        <f t="array" ref="B324">IF($A324="","",INDEX('主表 Stock_Transaction_Log'!$Q:$Q,$A324))</f>
        <v/>
      </c>
      <c r="C324" s="172" t="str">
        <f t="array" ref="C324">IF($A324="","",IF(INDEX('主表 Stock_Transaction_Log'!$F:$F,$A324)=0,"",INDEX('主表 Stock_Transaction_Log'!$F:$F,$A324)))</f>
        <v/>
      </c>
      <c r="D324" s="172" t="str">
        <f t="array" ref="D324">IF($A324="","",INDEX('主表 Stock_Transaction_Log'!$G:$G,$A324))</f>
        <v/>
      </c>
      <c r="E324" s="172" t="str">
        <f t="array" ref="E324">IF($A324="","",INDEX('主表 Stock_Transaction_Log'!$H:$H,$A324))</f>
        <v/>
      </c>
      <c r="F324" s="172" t="str">
        <f t="array" ref="F324">IF($A324="","",INDEX('主表 Stock_Transaction_Log'!$I:$I,$A324))</f>
        <v/>
      </c>
      <c r="G324" s="172" t="str">
        <f t="array" ref="G324">IF($A324="","",IF(INDEX('主表 Stock_Transaction_Log'!$R:$R,$A324)=0,"",INDEX('主表 Stock_Transaction_Log'!$R:$R,$A324)))</f>
        <v/>
      </c>
      <c r="H324" s="172" t="str">
        <f t="array" ref="H324">IF($A324="","",SUMIF('主表 Stock_Transaction_Log'!$T:$T,INDEX('主表 Stock_Transaction_Log'!$T:$T,$A324),'主表 Stock_Transaction_Log'!$S:$S)+SUMIF('主表 Stock_Transaction_Log'!$AB:$AB,INDEX('主表 Stock_Transaction_Log'!$T:$T,$A324),'主表 Stock_Transaction_Log'!$AC:$AC))</f>
        <v/>
      </c>
      <c r="I324" s="172" t="str">
        <f t="shared" si="1"/>
        <v/>
      </c>
      <c r="J324" s="172" t="str">
        <f t="shared" si="2"/>
        <v/>
      </c>
      <c r="K324" s="172" t="str">
        <f t="shared" si="3"/>
        <v/>
      </c>
      <c r="L324" s="172" t="str">
        <f t="array" ref="L324">IF($A324="","",INDEX('主表 Stock_Transaction_Log'!$P:$P,$A324))</f>
        <v/>
      </c>
      <c r="M324" s="57" t="str">
        <f>IF($A324="","",IF($H324&lt;=0,0,SUMIFS('主表 Stock_Transaction_Log'!$K$2:$K1000,'主表 Stock_Transaction_Log'!$C$2:$C1000,"Prepared",'主表 Stock_Transaction_Log'!$L$2:$L1000,$B324,'主表 Stock_Transaction_Log'!$F$2:$F1000,$C324,'主表 Stock_Transaction_Log'!$G$2:$G1000,$D324,'主表 Stock_Transaction_Log'!$P$2:$P1000,$L324)))</f>
        <v/>
      </c>
      <c r="N324" s="172"/>
      <c r="O324" s="172" t="str">
        <f t="shared" si="4"/>
        <v/>
      </c>
      <c r="P324" s="172" t="str">
        <f t="shared" si="5"/>
        <v/>
      </c>
      <c r="Q324" s="172" t="str">
        <f t="shared" si="9"/>
        <v/>
      </c>
      <c r="R324" s="172" t="str">
        <f t="shared" si="7"/>
        <v/>
      </c>
      <c r="S324" s="172" t="str">
        <f t="shared" si="8"/>
        <v/>
      </c>
    </row>
    <row r="325">
      <c r="A325" s="172" t="str">
        <f>IF('主表 Stock_Transaction_Log'!$T325="","",IF(COUNTIF('主表 Stock_Transaction_Log'!$T$2:$T325,'主表 Stock_Transaction_Log'!$T325)=1,ROW('主表 Stock_Transaction_Log'!$T325),""))</f>
        <v/>
      </c>
      <c r="B325" s="172" t="str">
        <f t="array" ref="B325">IF($A325="","",INDEX('主表 Stock_Transaction_Log'!$Q:$Q,$A325))</f>
        <v/>
      </c>
      <c r="C325" s="172" t="str">
        <f t="array" ref="C325">IF($A325="","",IF(INDEX('主表 Stock_Transaction_Log'!$F:$F,$A325)=0,"",INDEX('主表 Stock_Transaction_Log'!$F:$F,$A325)))</f>
        <v/>
      </c>
      <c r="D325" s="172" t="str">
        <f t="array" ref="D325">IF($A325="","",INDEX('主表 Stock_Transaction_Log'!$G:$G,$A325))</f>
        <v/>
      </c>
      <c r="E325" s="172" t="str">
        <f t="array" ref="E325">IF($A325="","",INDEX('主表 Stock_Transaction_Log'!$H:$H,$A325))</f>
        <v/>
      </c>
      <c r="F325" s="172" t="str">
        <f t="array" ref="F325">IF($A325="","",INDEX('主表 Stock_Transaction_Log'!$I:$I,$A325))</f>
        <v/>
      </c>
      <c r="G325" s="172" t="str">
        <f t="array" ref="G325">IF($A325="","",IF(INDEX('主表 Stock_Transaction_Log'!$R:$R,$A325)=0,"",INDEX('主表 Stock_Transaction_Log'!$R:$R,$A325)))</f>
        <v/>
      </c>
      <c r="H325" s="172" t="str">
        <f t="array" ref="H325">IF($A325="","",SUMIF('主表 Stock_Transaction_Log'!$T:$T,INDEX('主表 Stock_Transaction_Log'!$T:$T,$A325),'主表 Stock_Transaction_Log'!$S:$S)+SUMIF('主表 Stock_Transaction_Log'!$AB:$AB,INDEX('主表 Stock_Transaction_Log'!$T:$T,$A325),'主表 Stock_Transaction_Log'!$AC:$AC))</f>
        <v/>
      </c>
      <c r="I325" s="172" t="str">
        <f t="shared" si="1"/>
        <v/>
      </c>
      <c r="J325" s="172" t="str">
        <f t="shared" si="2"/>
        <v/>
      </c>
      <c r="K325" s="172" t="str">
        <f t="shared" si="3"/>
        <v/>
      </c>
      <c r="L325" s="172" t="str">
        <f t="array" ref="L325">IF($A325="","",INDEX('主表 Stock_Transaction_Log'!$P:$P,$A325))</f>
        <v/>
      </c>
      <c r="M325" s="57" t="str">
        <f>IF($A325="","",IF($H325&lt;=0,0,SUMIFS('主表 Stock_Transaction_Log'!$K$2:$K1000,'主表 Stock_Transaction_Log'!$C$2:$C1000,"Prepared",'主表 Stock_Transaction_Log'!$L$2:$L1000,$B325,'主表 Stock_Transaction_Log'!$F$2:$F1000,$C325,'主表 Stock_Transaction_Log'!$G$2:$G1000,$D325,'主表 Stock_Transaction_Log'!$P$2:$P1000,$L325)))</f>
        <v/>
      </c>
      <c r="N325" s="172"/>
      <c r="O325" s="172" t="str">
        <f t="shared" si="4"/>
        <v/>
      </c>
      <c r="P325" s="172" t="str">
        <f t="shared" si="5"/>
        <v/>
      </c>
      <c r="Q325" s="172" t="str">
        <f t="shared" si="9"/>
        <v/>
      </c>
      <c r="R325" s="172" t="str">
        <f t="shared" si="7"/>
        <v/>
      </c>
      <c r="S325" s="172" t="str">
        <f t="shared" si="8"/>
        <v/>
      </c>
    </row>
    <row r="326">
      <c r="A326" s="172" t="str">
        <f>IF('主表 Stock_Transaction_Log'!$T326="","",IF(COUNTIF('主表 Stock_Transaction_Log'!$T$2:$T326,'主表 Stock_Transaction_Log'!$T326)=1,ROW('主表 Stock_Transaction_Log'!$T326),""))</f>
        <v/>
      </c>
      <c r="B326" s="172" t="str">
        <f t="array" ref="B326">IF($A326="","",INDEX('主表 Stock_Transaction_Log'!$Q:$Q,$A326))</f>
        <v/>
      </c>
      <c r="C326" s="172" t="str">
        <f t="array" ref="C326">IF($A326="","",IF(INDEX('主表 Stock_Transaction_Log'!$F:$F,$A326)=0,"",INDEX('主表 Stock_Transaction_Log'!$F:$F,$A326)))</f>
        <v/>
      </c>
      <c r="D326" s="172" t="str">
        <f t="array" ref="D326">IF($A326="","",INDEX('主表 Stock_Transaction_Log'!$G:$G,$A326))</f>
        <v/>
      </c>
      <c r="E326" s="172" t="str">
        <f t="array" ref="E326">IF($A326="","",INDEX('主表 Stock_Transaction_Log'!$H:$H,$A326))</f>
        <v/>
      </c>
      <c r="F326" s="172" t="str">
        <f t="array" ref="F326">IF($A326="","",INDEX('主表 Stock_Transaction_Log'!$I:$I,$A326))</f>
        <v/>
      </c>
      <c r="G326" s="172" t="str">
        <f t="array" ref="G326">IF($A326="","",IF(INDEX('主表 Stock_Transaction_Log'!$R:$R,$A326)=0,"",INDEX('主表 Stock_Transaction_Log'!$R:$R,$A326)))</f>
        <v/>
      </c>
      <c r="H326" s="172" t="str">
        <f t="array" ref="H326">IF($A326="","",SUMIF('主表 Stock_Transaction_Log'!$T:$T,INDEX('主表 Stock_Transaction_Log'!$T:$T,$A326),'主表 Stock_Transaction_Log'!$S:$S)+SUMIF('主表 Stock_Transaction_Log'!$AB:$AB,INDEX('主表 Stock_Transaction_Log'!$T:$T,$A326),'主表 Stock_Transaction_Log'!$AC:$AC))</f>
        <v/>
      </c>
      <c r="I326" s="172" t="str">
        <f t="shared" si="1"/>
        <v/>
      </c>
      <c r="J326" s="172" t="str">
        <f t="shared" si="2"/>
        <v/>
      </c>
      <c r="K326" s="172" t="str">
        <f t="shared" si="3"/>
        <v/>
      </c>
      <c r="L326" s="172" t="str">
        <f t="array" ref="L326">IF($A326="","",INDEX('主表 Stock_Transaction_Log'!$P:$P,$A326))</f>
        <v/>
      </c>
      <c r="M326" s="57" t="str">
        <f>IF($A326="","",IF($H326&lt;=0,0,SUMIFS('主表 Stock_Transaction_Log'!$K$2:$K1000,'主表 Stock_Transaction_Log'!$C$2:$C1000,"Prepared",'主表 Stock_Transaction_Log'!$L$2:$L1000,$B326,'主表 Stock_Transaction_Log'!$F$2:$F1000,$C326,'主表 Stock_Transaction_Log'!$G$2:$G1000,$D326,'主表 Stock_Transaction_Log'!$P$2:$P1000,$L326)))</f>
        <v/>
      </c>
      <c r="N326" s="172"/>
      <c r="O326" s="172" t="str">
        <f t="shared" si="4"/>
        <v/>
      </c>
      <c r="P326" s="172" t="str">
        <f t="shared" si="5"/>
        <v/>
      </c>
      <c r="Q326" s="172" t="str">
        <f t="shared" si="9"/>
        <v/>
      </c>
      <c r="R326" s="172" t="str">
        <f t="shared" si="7"/>
        <v/>
      </c>
      <c r="S326" s="172" t="str">
        <f t="shared" si="8"/>
        <v/>
      </c>
    </row>
    <row r="327">
      <c r="A327" s="172" t="str">
        <f>IF('主表 Stock_Transaction_Log'!$T327="","",IF(COUNTIF('主表 Stock_Transaction_Log'!$T$2:$T327,'主表 Stock_Transaction_Log'!$T327)=1,ROW('主表 Stock_Transaction_Log'!$T327),""))</f>
        <v/>
      </c>
      <c r="B327" s="172" t="str">
        <f t="array" ref="B327">IF($A327="","",INDEX('主表 Stock_Transaction_Log'!$Q:$Q,$A327))</f>
        <v/>
      </c>
      <c r="C327" s="172" t="str">
        <f t="array" ref="C327">IF($A327="","",IF(INDEX('主表 Stock_Transaction_Log'!$F:$F,$A327)=0,"",INDEX('主表 Stock_Transaction_Log'!$F:$F,$A327)))</f>
        <v/>
      </c>
      <c r="D327" s="172" t="str">
        <f t="array" ref="D327">IF($A327="","",INDEX('主表 Stock_Transaction_Log'!$G:$G,$A327))</f>
        <v/>
      </c>
      <c r="E327" s="172" t="str">
        <f t="array" ref="E327">IF($A327="","",INDEX('主表 Stock_Transaction_Log'!$H:$H,$A327))</f>
        <v/>
      </c>
      <c r="F327" s="172" t="str">
        <f t="array" ref="F327">IF($A327="","",INDEX('主表 Stock_Transaction_Log'!$I:$I,$A327))</f>
        <v/>
      </c>
      <c r="G327" s="172" t="str">
        <f t="array" ref="G327">IF($A327="","",IF(INDEX('主表 Stock_Transaction_Log'!$R:$R,$A327)=0,"",INDEX('主表 Stock_Transaction_Log'!$R:$R,$A327)))</f>
        <v/>
      </c>
      <c r="H327" s="172" t="str">
        <f t="array" ref="H327">IF($A327="","",SUMIF('主表 Stock_Transaction_Log'!$T:$T,INDEX('主表 Stock_Transaction_Log'!$T:$T,$A327),'主表 Stock_Transaction_Log'!$S:$S)+SUMIF('主表 Stock_Transaction_Log'!$AB:$AB,INDEX('主表 Stock_Transaction_Log'!$T:$T,$A327),'主表 Stock_Transaction_Log'!$AC:$AC))</f>
        <v/>
      </c>
      <c r="I327" s="172" t="str">
        <f t="shared" si="1"/>
        <v/>
      </c>
      <c r="J327" s="172" t="str">
        <f t="shared" si="2"/>
        <v/>
      </c>
      <c r="K327" s="172" t="str">
        <f t="shared" si="3"/>
        <v/>
      </c>
      <c r="L327" s="172" t="str">
        <f t="array" ref="L327">IF($A327="","",INDEX('主表 Stock_Transaction_Log'!$P:$P,$A327))</f>
        <v/>
      </c>
      <c r="M327" s="57" t="str">
        <f>IF($A327="","",IF($H327&lt;=0,0,SUMIFS('主表 Stock_Transaction_Log'!$K$2:$K1000,'主表 Stock_Transaction_Log'!$C$2:$C1000,"Prepared",'主表 Stock_Transaction_Log'!$L$2:$L1000,$B327,'主表 Stock_Transaction_Log'!$F$2:$F1000,$C327,'主表 Stock_Transaction_Log'!$G$2:$G1000,$D327,'主表 Stock_Transaction_Log'!$P$2:$P1000,$L327)))</f>
        <v/>
      </c>
      <c r="N327" s="172"/>
      <c r="O327" s="172" t="str">
        <f t="shared" si="4"/>
        <v/>
      </c>
      <c r="P327" s="172" t="str">
        <f t="shared" si="5"/>
        <v/>
      </c>
      <c r="Q327" s="172" t="str">
        <f t="shared" si="9"/>
        <v/>
      </c>
      <c r="R327" s="172" t="str">
        <f t="shared" si="7"/>
        <v/>
      </c>
      <c r="S327" s="172" t="str">
        <f t="shared" si="8"/>
        <v/>
      </c>
    </row>
    <row r="328">
      <c r="A328" s="172" t="str">
        <f>IF('主表 Stock_Transaction_Log'!$T328="","",IF(COUNTIF('主表 Stock_Transaction_Log'!$T$2:$T328,'主表 Stock_Transaction_Log'!$T328)=1,ROW('主表 Stock_Transaction_Log'!$T328),""))</f>
        <v/>
      </c>
      <c r="B328" s="172" t="str">
        <f t="array" ref="B328">IF($A328="","",INDEX('主表 Stock_Transaction_Log'!$Q:$Q,$A328))</f>
        <v/>
      </c>
      <c r="C328" s="172" t="str">
        <f t="array" ref="C328">IF($A328="","",IF(INDEX('主表 Stock_Transaction_Log'!$F:$F,$A328)=0,"",INDEX('主表 Stock_Transaction_Log'!$F:$F,$A328)))</f>
        <v/>
      </c>
      <c r="D328" s="172" t="str">
        <f t="array" ref="D328">IF($A328="","",INDEX('主表 Stock_Transaction_Log'!$G:$G,$A328))</f>
        <v/>
      </c>
      <c r="E328" s="172" t="str">
        <f t="array" ref="E328">IF($A328="","",INDEX('主表 Stock_Transaction_Log'!$H:$H,$A328))</f>
        <v/>
      </c>
      <c r="F328" s="172" t="str">
        <f t="array" ref="F328">IF($A328="","",INDEX('主表 Stock_Transaction_Log'!$I:$I,$A328))</f>
        <v/>
      </c>
      <c r="G328" s="172" t="str">
        <f t="array" ref="G328">IF($A328="","",IF(INDEX('主表 Stock_Transaction_Log'!$R:$R,$A328)=0,"",INDEX('主表 Stock_Transaction_Log'!$R:$R,$A328)))</f>
        <v/>
      </c>
      <c r="H328" s="172" t="str">
        <f t="array" ref="H328">IF($A328="","",SUMIF('主表 Stock_Transaction_Log'!$T:$T,INDEX('主表 Stock_Transaction_Log'!$T:$T,$A328),'主表 Stock_Transaction_Log'!$S:$S)+SUMIF('主表 Stock_Transaction_Log'!$AB:$AB,INDEX('主表 Stock_Transaction_Log'!$T:$T,$A328),'主表 Stock_Transaction_Log'!$AC:$AC))</f>
        <v/>
      </c>
      <c r="I328" s="172" t="str">
        <f t="shared" si="1"/>
        <v/>
      </c>
      <c r="J328" s="172" t="str">
        <f t="shared" si="2"/>
        <v/>
      </c>
      <c r="K328" s="172" t="str">
        <f t="shared" si="3"/>
        <v/>
      </c>
      <c r="L328" s="172" t="str">
        <f t="array" ref="L328">IF($A328="","",INDEX('主表 Stock_Transaction_Log'!$P:$P,$A328))</f>
        <v/>
      </c>
      <c r="M328" s="57" t="str">
        <f>IF($A328="","",IF($H328&lt;=0,0,SUMIFS('主表 Stock_Transaction_Log'!$K$2:$K1000,'主表 Stock_Transaction_Log'!$C$2:$C1000,"Prepared",'主表 Stock_Transaction_Log'!$L$2:$L1000,$B328,'主表 Stock_Transaction_Log'!$F$2:$F1000,$C328,'主表 Stock_Transaction_Log'!$G$2:$G1000,$D328,'主表 Stock_Transaction_Log'!$P$2:$P1000,$L328)))</f>
        <v/>
      </c>
      <c r="N328" s="172"/>
      <c r="O328" s="172" t="str">
        <f t="shared" si="4"/>
        <v/>
      </c>
      <c r="P328" s="172" t="str">
        <f t="shared" si="5"/>
        <v/>
      </c>
      <c r="Q328" s="172" t="str">
        <f t="shared" si="9"/>
        <v/>
      </c>
      <c r="R328" s="172" t="str">
        <f t="shared" si="7"/>
        <v/>
      </c>
      <c r="S328" s="172" t="str">
        <f t="shared" si="8"/>
        <v/>
      </c>
    </row>
    <row r="329">
      <c r="A329" s="172" t="str">
        <f>IF('主表 Stock_Transaction_Log'!$T329="","",IF(COUNTIF('主表 Stock_Transaction_Log'!$T$2:$T329,'主表 Stock_Transaction_Log'!$T329)=1,ROW('主表 Stock_Transaction_Log'!$T329),""))</f>
        <v/>
      </c>
      <c r="B329" s="172" t="str">
        <f t="array" ref="B329">IF($A329="","",INDEX('主表 Stock_Transaction_Log'!$Q:$Q,$A329))</f>
        <v/>
      </c>
      <c r="C329" s="172" t="str">
        <f t="array" ref="C329">IF($A329="","",IF(INDEX('主表 Stock_Transaction_Log'!$F:$F,$A329)=0,"",INDEX('主表 Stock_Transaction_Log'!$F:$F,$A329)))</f>
        <v/>
      </c>
      <c r="D329" s="172" t="str">
        <f t="array" ref="D329">IF($A329="","",INDEX('主表 Stock_Transaction_Log'!$G:$G,$A329))</f>
        <v/>
      </c>
      <c r="E329" s="172" t="str">
        <f t="array" ref="E329">IF($A329="","",INDEX('主表 Stock_Transaction_Log'!$H:$H,$A329))</f>
        <v/>
      </c>
      <c r="F329" s="172" t="str">
        <f t="array" ref="F329">IF($A329="","",INDEX('主表 Stock_Transaction_Log'!$I:$I,$A329))</f>
        <v/>
      </c>
      <c r="G329" s="172" t="str">
        <f t="array" ref="G329">IF($A329="","",IF(INDEX('主表 Stock_Transaction_Log'!$R:$R,$A329)=0,"",INDEX('主表 Stock_Transaction_Log'!$R:$R,$A329)))</f>
        <v/>
      </c>
      <c r="H329" s="172" t="str">
        <f t="array" ref="H329">IF($A329="","",SUMIF('主表 Stock_Transaction_Log'!$T:$T,INDEX('主表 Stock_Transaction_Log'!$T:$T,$A329),'主表 Stock_Transaction_Log'!$S:$S)+SUMIF('主表 Stock_Transaction_Log'!$AB:$AB,INDEX('主表 Stock_Transaction_Log'!$T:$T,$A329),'主表 Stock_Transaction_Log'!$AC:$AC))</f>
        <v/>
      </c>
      <c r="I329" s="172" t="str">
        <f t="shared" si="1"/>
        <v/>
      </c>
      <c r="J329" s="172" t="str">
        <f t="shared" si="2"/>
        <v/>
      </c>
      <c r="K329" s="172" t="str">
        <f t="shared" si="3"/>
        <v/>
      </c>
      <c r="L329" s="172" t="str">
        <f t="array" ref="L329">IF($A329="","",INDEX('主表 Stock_Transaction_Log'!$P:$P,$A329))</f>
        <v/>
      </c>
      <c r="M329" s="57" t="str">
        <f>IF($A329="","",IF($H329&lt;=0,0,SUMIFS('主表 Stock_Transaction_Log'!$K$2:$K1000,'主表 Stock_Transaction_Log'!$C$2:$C1000,"Prepared",'主表 Stock_Transaction_Log'!$L$2:$L1000,$B329,'主表 Stock_Transaction_Log'!$F$2:$F1000,$C329,'主表 Stock_Transaction_Log'!$G$2:$G1000,$D329,'主表 Stock_Transaction_Log'!$P$2:$P1000,$L329)))</f>
        <v/>
      </c>
      <c r="N329" s="172"/>
      <c r="O329" s="172" t="str">
        <f t="shared" si="4"/>
        <v/>
      </c>
      <c r="P329" s="172" t="str">
        <f t="shared" si="5"/>
        <v/>
      </c>
      <c r="Q329" s="172" t="str">
        <f t="shared" si="9"/>
        <v/>
      </c>
      <c r="R329" s="172" t="str">
        <f t="shared" si="7"/>
        <v/>
      </c>
      <c r="S329" s="172" t="str">
        <f t="shared" si="8"/>
        <v/>
      </c>
    </row>
    <row r="330">
      <c r="A330" s="172" t="str">
        <f>IF('主表 Stock_Transaction_Log'!$T330="","",IF(COUNTIF('主表 Stock_Transaction_Log'!$T$2:$T330,'主表 Stock_Transaction_Log'!$T330)=1,ROW('主表 Stock_Transaction_Log'!$T330),""))</f>
        <v/>
      </c>
      <c r="B330" s="172" t="str">
        <f t="array" ref="B330">IF($A330="","",INDEX('主表 Stock_Transaction_Log'!$Q:$Q,$A330))</f>
        <v/>
      </c>
      <c r="C330" s="172" t="str">
        <f t="array" ref="C330">IF($A330="","",IF(INDEX('主表 Stock_Transaction_Log'!$F:$F,$A330)=0,"",INDEX('主表 Stock_Transaction_Log'!$F:$F,$A330)))</f>
        <v/>
      </c>
      <c r="D330" s="172" t="str">
        <f t="array" ref="D330">IF($A330="","",INDEX('主表 Stock_Transaction_Log'!$G:$G,$A330))</f>
        <v/>
      </c>
      <c r="E330" s="172" t="str">
        <f t="array" ref="E330">IF($A330="","",INDEX('主表 Stock_Transaction_Log'!$H:$H,$A330))</f>
        <v/>
      </c>
      <c r="F330" s="172" t="str">
        <f t="array" ref="F330">IF($A330="","",INDEX('主表 Stock_Transaction_Log'!$I:$I,$A330))</f>
        <v/>
      </c>
      <c r="G330" s="172" t="str">
        <f t="array" ref="G330">IF($A330="","",IF(INDEX('主表 Stock_Transaction_Log'!$R:$R,$A330)=0,"",INDEX('主表 Stock_Transaction_Log'!$R:$R,$A330)))</f>
        <v/>
      </c>
      <c r="H330" s="172" t="str">
        <f t="array" ref="H330">IF($A330="","",SUMIF('主表 Stock_Transaction_Log'!$T:$T,INDEX('主表 Stock_Transaction_Log'!$T:$T,$A330),'主表 Stock_Transaction_Log'!$S:$S)+SUMIF('主表 Stock_Transaction_Log'!$AB:$AB,INDEX('主表 Stock_Transaction_Log'!$T:$T,$A330),'主表 Stock_Transaction_Log'!$AC:$AC))</f>
        <v/>
      </c>
      <c r="I330" s="172" t="str">
        <f t="shared" si="1"/>
        <v/>
      </c>
      <c r="J330" s="172" t="str">
        <f t="shared" si="2"/>
        <v/>
      </c>
      <c r="K330" s="172" t="str">
        <f t="shared" si="3"/>
        <v/>
      </c>
      <c r="L330" s="172" t="str">
        <f t="array" ref="L330">IF($A330="","",INDEX('主表 Stock_Transaction_Log'!$P:$P,$A330))</f>
        <v/>
      </c>
      <c r="M330" s="57" t="str">
        <f>IF($A330="","",IF($H330&lt;=0,0,SUMIFS('主表 Stock_Transaction_Log'!$K$2:$K1000,'主表 Stock_Transaction_Log'!$C$2:$C1000,"Prepared",'主表 Stock_Transaction_Log'!$L$2:$L1000,$B330,'主表 Stock_Transaction_Log'!$F$2:$F1000,$C330,'主表 Stock_Transaction_Log'!$G$2:$G1000,$D330,'主表 Stock_Transaction_Log'!$P$2:$P1000,$L330)))</f>
        <v/>
      </c>
      <c r="N330" s="172"/>
      <c r="O330" s="172" t="str">
        <f t="shared" si="4"/>
        <v/>
      </c>
      <c r="P330" s="172" t="str">
        <f t="shared" si="5"/>
        <v/>
      </c>
      <c r="Q330" s="172" t="str">
        <f t="shared" si="9"/>
        <v/>
      </c>
      <c r="R330" s="172" t="str">
        <f t="shared" si="7"/>
        <v/>
      </c>
      <c r="S330" s="172" t="str">
        <f t="shared" si="8"/>
        <v/>
      </c>
    </row>
    <row r="331">
      <c r="A331" s="172" t="str">
        <f>IF('主表 Stock_Transaction_Log'!$T331="","",IF(COUNTIF('主表 Stock_Transaction_Log'!$T$2:$T331,'主表 Stock_Transaction_Log'!$T331)=1,ROW('主表 Stock_Transaction_Log'!$T331),""))</f>
        <v/>
      </c>
      <c r="B331" s="172" t="str">
        <f t="array" ref="B331">IF($A331="","",INDEX('主表 Stock_Transaction_Log'!$Q:$Q,$A331))</f>
        <v/>
      </c>
      <c r="C331" s="172" t="str">
        <f t="array" ref="C331">IF($A331="","",IF(INDEX('主表 Stock_Transaction_Log'!$F:$F,$A331)=0,"",INDEX('主表 Stock_Transaction_Log'!$F:$F,$A331)))</f>
        <v/>
      </c>
      <c r="D331" s="172" t="str">
        <f t="array" ref="D331">IF($A331="","",INDEX('主表 Stock_Transaction_Log'!$G:$G,$A331))</f>
        <v/>
      </c>
      <c r="E331" s="172" t="str">
        <f t="array" ref="E331">IF($A331="","",INDEX('主表 Stock_Transaction_Log'!$H:$H,$A331))</f>
        <v/>
      </c>
      <c r="F331" s="172" t="str">
        <f t="array" ref="F331">IF($A331="","",INDEX('主表 Stock_Transaction_Log'!$I:$I,$A331))</f>
        <v/>
      </c>
      <c r="G331" s="172" t="str">
        <f t="array" ref="G331">IF($A331="","",IF(INDEX('主表 Stock_Transaction_Log'!$R:$R,$A331)=0,"",INDEX('主表 Stock_Transaction_Log'!$R:$R,$A331)))</f>
        <v/>
      </c>
      <c r="H331" s="172" t="str">
        <f t="array" ref="H331">IF($A331="","",SUMIF('主表 Stock_Transaction_Log'!$T:$T,INDEX('主表 Stock_Transaction_Log'!$T:$T,$A331),'主表 Stock_Transaction_Log'!$S:$S)+SUMIF('主表 Stock_Transaction_Log'!$AB:$AB,INDEX('主表 Stock_Transaction_Log'!$T:$T,$A331),'主表 Stock_Transaction_Log'!$AC:$AC))</f>
        <v/>
      </c>
      <c r="I331" s="172" t="str">
        <f t="shared" si="1"/>
        <v/>
      </c>
      <c r="J331" s="172" t="str">
        <f t="shared" si="2"/>
        <v/>
      </c>
      <c r="K331" s="172" t="str">
        <f t="shared" si="3"/>
        <v/>
      </c>
      <c r="L331" s="172" t="str">
        <f t="array" ref="L331">IF($A331="","",INDEX('主表 Stock_Transaction_Log'!$P:$P,$A331))</f>
        <v/>
      </c>
      <c r="M331" s="57" t="str">
        <f>IF($A331="","",IF($H331&lt;=0,0,SUMIFS('主表 Stock_Transaction_Log'!$K$2:$K1000,'主表 Stock_Transaction_Log'!$C$2:$C1000,"Prepared",'主表 Stock_Transaction_Log'!$L$2:$L1000,$B331,'主表 Stock_Transaction_Log'!$F$2:$F1000,$C331,'主表 Stock_Transaction_Log'!$G$2:$G1000,$D331,'主表 Stock_Transaction_Log'!$P$2:$P1000,$L331)))</f>
        <v/>
      </c>
      <c r="N331" s="172"/>
      <c r="O331" s="172" t="str">
        <f t="shared" si="4"/>
        <v/>
      </c>
      <c r="P331" s="172" t="str">
        <f t="shared" si="5"/>
        <v/>
      </c>
      <c r="Q331" s="172" t="str">
        <f t="shared" si="9"/>
        <v/>
      </c>
      <c r="R331" s="172" t="str">
        <f t="shared" si="7"/>
        <v/>
      </c>
      <c r="S331" s="172" t="str">
        <f t="shared" si="8"/>
        <v/>
      </c>
    </row>
    <row r="332">
      <c r="A332" s="172" t="str">
        <f>IF('主表 Stock_Transaction_Log'!$T332="","",IF(COUNTIF('主表 Stock_Transaction_Log'!$T$2:$T332,'主表 Stock_Transaction_Log'!$T332)=1,ROW('主表 Stock_Transaction_Log'!$T332),""))</f>
        <v/>
      </c>
      <c r="B332" s="172" t="str">
        <f t="array" ref="B332">IF($A332="","",INDEX('主表 Stock_Transaction_Log'!$Q:$Q,$A332))</f>
        <v/>
      </c>
      <c r="C332" s="172" t="str">
        <f t="array" ref="C332">IF($A332="","",IF(INDEX('主表 Stock_Transaction_Log'!$F:$F,$A332)=0,"",INDEX('主表 Stock_Transaction_Log'!$F:$F,$A332)))</f>
        <v/>
      </c>
      <c r="D332" s="172" t="str">
        <f t="array" ref="D332">IF($A332="","",INDEX('主表 Stock_Transaction_Log'!$G:$G,$A332))</f>
        <v/>
      </c>
      <c r="E332" s="172" t="str">
        <f t="array" ref="E332">IF($A332="","",INDEX('主表 Stock_Transaction_Log'!$H:$H,$A332))</f>
        <v/>
      </c>
      <c r="F332" s="172" t="str">
        <f t="array" ref="F332">IF($A332="","",INDEX('主表 Stock_Transaction_Log'!$I:$I,$A332))</f>
        <v/>
      </c>
      <c r="G332" s="172" t="str">
        <f t="array" ref="G332">IF($A332="","",IF(INDEX('主表 Stock_Transaction_Log'!$R:$R,$A332)=0,"",INDEX('主表 Stock_Transaction_Log'!$R:$R,$A332)))</f>
        <v/>
      </c>
      <c r="H332" s="172" t="str">
        <f t="array" ref="H332">IF($A332="","",SUMIF('主表 Stock_Transaction_Log'!$T:$T,INDEX('主表 Stock_Transaction_Log'!$T:$T,$A332),'主表 Stock_Transaction_Log'!$S:$S)+SUMIF('主表 Stock_Transaction_Log'!$AB:$AB,INDEX('主表 Stock_Transaction_Log'!$T:$T,$A332),'主表 Stock_Transaction_Log'!$AC:$AC))</f>
        <v/>
      </c>
      <c r="I332" s="172" t="str">
        <f t="shared" si="1"/>
        <v/>
      </c>
      <c r="J332" s="172" t="str">
        <f t="shared" si="2"/>
        <v/>
      </c>
      <c r="K332" s="172" t="str">
        <f t="shared" si="3"/>
        <v/>
      </c>
      <c r="L332" s="172" t="str">
        <f t="array" ref="L332">IF($A332="","",INDEX('主表 Stock_Transaction_Log'!$P:$P,$A332))</f>
        <v/>
      </c>
      <c r="M332" s="57" t="str">
        <f>IF($A332="","",IF($H332&lt;=0,0,SUMIFS('主表 Stock_Transaction_Log'!$K$2:$K1000,'主表 Stock_Transaction_Log'!$C$2:$C1000,"Prepared",'主表 Stock_Transaction_Log'!$L$2:$L1000,$B332,'主表 Stock_Transaction_Log'!$F$2:$F1000,$C332,'主表 Stock_Transaction_Log'!$G$2:$G1000,$D332,'主表 Stock_Transaction_Log'!$P$2:$P1000,$L332)))</f>
        <v/>
      </c>
      <c r="N332" s="172"/>
      <c r="O332" s="172" t="str">
        <f t="shared" si="4"/>
        <v/>
      </c>
      <c r="P332" s="172" t="str">
        <f t="shared" si="5"/>
        <v/>
      </c>
      <c r="Q332" s="172" t="str">
        <f t="shared" si="9"/>
        <v/>
      </c>
      <c r="R332" s="172" t="str">
        <f t="shared" si="7"/>
        <v/>
      </c>
      <c r="S332" s="172" t="str">
        <f t="shared" si="8"/>
        <v/>
      </c>
    </row>
    <row r="333">
      <c r="A333" s="172" t="str">
        <f>IF('主表 Stock_Transaction_Log'!$T333="","",IF(COUNTIF('主表 Stock_Transaction_Log'!$T$2:$T333,'主表 Stock_Transaction_Log'!$T333)=1,ROW('主表 Stock_Transaction_Log'!$T333),""))</f>
        <v/>
      </c>
      <c r="B333" s="172" t="str">
        <f t="array" ref="B333">IF($A333="","",INDEX('主表 Stock_Transaction_Log'!$Q:$Q,$A333))</f>
        <v/>
      </c>
      <c r="C333" s="172" t="str">
        <f t="array" ref="C333">IF($A333="","",IF(INDEX('主表 Stock_Transaction_Log'!$F:$F,$A333)=0,"",INDEX('主表 Stock_Transaction_Log'!$F:$F,$A333)))</f>
        <v/>
      </c>
      <c r="D333" s="172" t="str">
        <f t="array" ref="D333">IF($A333="","",INDEX('主表 Stock_Transaction_Log'!$G:$G,$A333))</f>
        <v/>
      </c>
      <c r="E333" s="172" t="str">
        <f t="array" ref="E333">IF($A333="","",INDEX('主表 Stock_Transaction_Log'!$H:$H,$A333))</f>
        <v/>
      </c>
      <c r="F333" s="172" t="str">
        <f t="array" ref="F333">IF($A333="","",INDEX('主表 Stock_Transaction_Log'!$I:$I,$A333))</f>
        <v/>
      </c>
      <c r="G333" s="172" t="str">
        <f t="array" ref="G333">IF($A333="","",IF(INDEX('主表 Stock_Transaction_Log'!$R:$R,$A333)=0,"",INDEX('主表 Stock_Transaction_Log'!$R:$R,$A333)))</f>
        <v/>
      </c>
      <c r="H333" s="172" t="str">
        <f t="array" ref="H333">IF($A333="","",SUMIF('主表 Stock_Transaction_Log'!$T:$T,INDEX('主表 Stock_Transaction_Log'!$T:$T,$A333),'主表 Stock_Transaction_Log'!$S:$S)+SUMIF('主表 Stock_Transaction_Log'!$AB:$AB,INDEX('主表 Stock_Transaction_Log'!$T:$T,$A333),'主表 Stock_Transaction_Log'!$AC:$AC))</f>
        <v/>
      </c>
      <c r="I333" s="172" t="str">
        <f t="shared" si="1"/>
        <v/>
      </c>
      <c r="J333" s="172" t="str">
        <f t="shared" si="2"/>
        <v/>
      </c>
      <c r="K333" s="172" t="str">
        <f t="shared" si="3"/>
        <v/>
      </c>
      <c r="L333" s="172" t="str">
        <f t="array" ref="L333">IF($A333="","",INDEX('主表 Stock_Transaction_Log'!$P:$P,$A333))</f>
        <v/>
      </c>
      <c r="M333" s="57" t="str">
        <f>IF($A333="","",IF($H333&lt;=0,0,SUMIFS('主表 Stock_Transaction_Log'!$K$2:$K1000,'主表 Stock_Transaction_Log'!$C$2:$C1000,"Prepared",'主表 Stock_Transaction_Log'!$L$2:$L1000,$B333,'主表 Stock_Transaction_Log'!$F$2:$F1000,$C333,'主表 Stock_Transaction_Log'!$G$2:$G1000,$D333,'主表 Stock_Transaction_Log'!$P$2:$P1000,$L333)))</f>
        <v/>
      </c>
      <c r="N333" s="172"/>
      <c r="O333" s="172" t="str">
        <f t="shared" si="4"/>
        <v/>
      </c>
      <c r="P333" s="172" t="str">
        <f t="shared" si="5"/>
        <v/>
      </c>
      <c r="Q333" s="172" t="str">
        <f t="shared" si="9"/>
        <v/>
      </c>
      <c r="R333" s="172" t="str">
        <f t="shared" si="7"/>
        <v/>
      </c>
      <c r="S333" s="172" t="str">
        <f t="shared" si="8"/>
        <v/>
      </c>
    </row>
    <row r="334">
      <c r="A334" s="172" t="str">
        <f>IF('主表 Stock_Transaction_Log'!$T334="","",IF(COUNTIF('主表 Stock_Transaction_Log'!$T$2:$T334,'主表 Stock_Transaction_Log'!$T334)=1,ROW('主表 Stock_Transaction_Log'!$T334),""))</f>
        <v/>
      </c>
      <c r="B334" s="172" t="str">
        <f t="array" ref="B334">IF($A334="","",INDEX('主表 Stock_Transaction_Log'!$Q:$Q,$A334))</f>
        <v/>
      </c>
      <c r="C334" s="172" t="str">
        <f t="array" ref="C334">IF($A334="","",IF(INDEX('主表 Stock_Transaction_Log'!$F:$F,$A334)=0,"",INDEX('主表 Stock_Transaction_Log'!$F:$F,$A334)))</f>
        <v/>
      </c>
      <c r="D334" s="172" t="str">
        <f t="array" ref="D334">IF($A334="","",INDEX('主表 Stock_Transaction_Log'!$G:$G,$A334))</f>
        <v/>
      </c>
      <c r="E334" s="172" t="str">
        <f t="array" ref="E334">IF($A334="","",INDEX('主表 Stock_Transaction_Log'!$H:$H,$A334))</f>
        <v/>
      </c>
      <c r="F334" s="172" t="str">
        <f t="array" ref="F334">IF($A334="","",INDEX('主表 Stock_Transaction_Log'!$I:$I,$A334))</f>
        <v/>
      </c>
      <c r="G334" s="172" t="str">
        <f t="array" ref="G334">IF($A334="","",IF(INDEX('主表 Stock_Transaction_Log'!$R:$R,$A334)=0,"",INDEX('主表 Stock_Transaction_Log'!$R:$R,$A334)))</f>
        <v/>
      </c>
      <c r="H334" s="172" t="str">
        <f t="array" ref="H334">IF($A334="","",SUMIF('主表 Stock_Transaction_Log'!$T:$T,INDEX('主表 Stock_Transaction_Log'!$T:$T,$A334),'主表 Stock_Transaction_Log'!$S:$S)+SUMIF('主表 Stock_Transaction_Log'!$AB:$AB,INDEX('主表 Stock_Transaction_Log'!$T:$T,$A334),'主表 Stock_Transaction_Log'!$AC:$AC))</f>
        <v/>
      </c>
      <c r="I334" s="172" t="str">
        <f t="shared" si="1"/>
        <v/>
      </c>
      <c r="J334" s="172" t="str">
        <f t="shared" si="2"/>
        <v/>
      </c>
      <c r="K334" s="172" t="str">
        <f t="shared" si="3"/>
        <v/>
      </c>
      <c r="L334" s="172" t="str">
        <f t="array" ref="L334">IF($A334="","",INDEX('主表 Stock_Transaction_Log'!$P:$P,$A334))</f>
        <v/>
      </c>
      <c r="M334" s="57" t="str">
        <f>IF($A334="","",IF($H334&lt;=0,0,SUMIFS('主表 Stock_Transaction_Log'!$K$2:$K1000,'主表 Stock_Transaction_Log'!$C$2:$C1000,"Prepared",'主表 Stock_Transaction_Log'!$L$2:$L1000,$B334,'主表 Stock_Transaction_Log'!$F$2:$F1000,$C334,'主表 Stock_Transaction_Log'!$G$2:$G1000,$D334,'主表 Stock_Transaction_Log'!$P$2:$P1000,$L334)))</f>
        <v/>
      </c>
      <c r="N334" s="172"/>
      <c r="O334" s="172" t="str">
        <f t="shared" si="4"/>
        <v/>
      </c>
      <c r="P334" s="172" t="str">
        <f t="shared" si="5"/>
        <v/>
      </c>
      <c r="Q334" s="172" t="str">
        <f t="shared" si="9"/>
        <v/>
      </c>
      <c r="R334" s="172" t="str">
        <f t="shared" si="7"/>
        <v/>
      </c>
      <c r="S334" s="172" t="str">
        <f t="shared" si="8"/>
        <v/>
      </c>
    </row>
    <row r="335">
      <c r="A335" s="172" t="str">
        <f>IF('主表 Stock_Transaction_Log'!$T335="","",IF(COUNTIF('主表 Stock_Transaction_Log'!$T$2:$T335,'主表 Stock_Transaction_Log'!$T335)=1,ROW('主表 Stock_Transaction_Log'!$T335),""))</f>
        <v/>
      </c>
      <c r="B335" s="172" t="str">
        <f t="array" ref="B335">IF($A335="","",INDEX('主表 Stock_Transaction_Log'!$Q:$Q,$A335))</f>
        <v/>
      </c>
      <c r="C335" s="172" t="str">
        <f t="array" ref="C335">IF($A335="","",IF(INDEX('主表 Stock_Transaction_Log'!$F:$F,$A335)=0,"",INDEX('主表 Stock_Transaction_Log'!$F:$F,$A335)))</f>
        <v/>
      </c>
      <c r="D335" s="172" t="str">
        <f t="array" ref="D335">IF($A335="","",INDEX('主表 Stock_Transaction_Log'!$G:$G,$A335))</f>
        <v/>
      </c>
      <c r="E335" s="172" t="str">
        <f t="array" ref="E335">IF($A335="","",INDEX('主表 Stock_Transaction_Log'!$H:$H,$A335))</f>
        <v/>
      </c>
      <c r="F335" s="172" t="str">
        <f t="array" ref="F335">IF($A335="","",INDEX('主表 Stock_Transaction_Log'!$I:$I,$A335))</f>
        <v/>
      </c>
      <c r="G335" s="172" t="str">
        <f t="array" ref="G335">IF($A335="","",IF(INDEX('主表 Stock_Transaction_Log'!$R:$R,$A335)=0,"",INDEX('主表 Stock_Transaction_Log'!$R:$R,$A335)))</f>
        <v/>
      </c>
      <c r="H335" s="172" t="str">
        <f t="array" ref="H335">IF($A335="","",SUMIF('主表 Stock_Transaction_Log'!$T:$T,INDEX('主表 Stock_Transaction_Log'!$T:$T,$A335),'主表 Stock_Transaction_Log'!$S:$S)+SUMIF('主表 Stock_Transaction_Log'!$AB:$AB,INDEX('主表 Stock_Transaction_Log'!$T:$T,$A335),'主表 Stock_Transaction_Log'!$AC:$AC))</f>
        <v/>
      </c>
      <c r="I335" s="172" t="str">
        <f t="shared" si="1"/>
        <v/>
      </c>
      <c r="J335" s="172" t="str">
        <f t="shared" si="2"/>
        <v/>
      </c>
      <c r="K335" s="172" t="str">
        <f t="shared" si="3"/>
        <v/>
      </c>
      <c r="L335" s="172" t="str">
        <f t="array" ref="L335">IF($A335="","",INDEX('主表 Stock_Transaction_Log'!$P:$P,$A335))</f>
        <v/>
      </c>
      <c r="M335" s="57" t="str">
        <f>IF($A335="","",IF($H335&lt;=0,0,SUMIFS('主表 Stock_Transaction_Log'!$K$2:$K1000,'主表 Stock_Transaction_Log'!$C$2:$C1000,"Prepared",'主表 Stock_Transaction_Log'!$L$2:$L1000,$B335,'主表 Stock_Transaction_Log'!$F$2:$F1000,$C335,'主表 Stock_Transaction_Log'!$G$2:$G1000,$D335,'主表 Stock_Transaction_Log'!$P$2:$P1000,$L335)))</f>
        <v/>
      </c>
      <c r="N335" s="172"/>
      <c r="O335" s="172" t="str">
        <f t="shared" si="4"/>
        <v/>
      </c>
      <c r="P335" s="172" t="str">
        <f t="shared" si="5"/>
        <v/>
      </c>
      <c r="Q335" s="172" t="str">
        <f t="shared" si="9"/>
        <v/>
      </c>
      <c r="R335" s="172" t="str">
        <f t="shared" si="7"/>
        <v/>
      </c>
      <c r="S335" s="172" t="str">
        <f t="shared" si="8"/>
        <v/>
      </c>
    </row>
    <row r="336">
      <c r="A336" s="172" t="str">
        <f>IF('主表 Stock_Transaction_Log'!$T336="","",IF(COUNTIF('主表 Stock_Transaction_Log'!$T$2:$T336,'主表 Stock_Transaction_Log'!$T336)=1,ROW('主表 Stock_Transaction_Log'!$T336),""))</f>
        <v/>
      </c>
      <c r="B336" s="172" t="str">
        <f t="array" ref="B336">IF($A336="","",INDEX('主表 Stock_Transaction_Log'!$Q:$Q,$A336))</f>
        <v/>
      </c>
      <c r="C336" s="172" t="str">
        <f t="array" ref="C336">IF($A336="","",IF(INDEX('主表 Stock_Transaction_Log'!$F:$F,$A336)=0,"",INDEX('主表 Stock_Transaction_Log'!$F:$F,$A336)))</f>
        <v/>
      </c>
      <c r="D336" s="172" t="str">
        <f t="array" ref="D336">IF($A336="","",INDEX('主表 Stock_Transaction_Log'!$G:$G,$A336))</f>
        <v/>
      </c>
      <c r="E336" s="172" t="str">
        <f t="array" ref="E336">IF($A336="","",INDEX('主表 Stock_Transaction_Log'!$H:$H,$A336))</f>
        <v/>
      </c>
      <c r="F336" s="172" t="str">
        <f t="array" ref="F336">IF($A336="","",INDEX('主表 Stock_Transaction_Log'!$I:$I,$A336))</f>
        <v/>
      </c>
      <c r="G336" s="172" t="str">
        <f t="array" ref="G336">IF($A336="","",IF(INDEX('主表 Stock_Transaction_Log'!$R:$R,$A336)=0,"",INDEX('主表 Stock_Transaction_Log'!$R:$R,$A336)))</f>
        <v/>
      </c>
      <c r="H336" s="172" t="str">
        <f t="array" ref="H336">IF($A336="","",SUMIF('主表 Stock_Transaction_Log'!$T:$T,INDEX('主表 Stock_Transaction_Log'!$T:$T,$A336),'主表 Stock_Transaction_Log'!$S:$S)+SUMIF('主表 Stock_Transaction_Log'!$AB:$AB,INDEX('主表 Stock_Transaction_Log'!$T:$T,$A336),'主表 Stock_Transaction_Log'!$AC:$AC))</f>
        <v/>
      </c>
      <c r="I336" s="172" t="str">
        <f t="shared" si="1"/>
        <v/>
      </c>
      <c r="J336" s="172" t="str">
        <f t="shared" si="2"/>
        <v/>
      </c>
      <c r="K336" s="172" t="str">
        <f t="shared" si="3"/>
        <v/>
      </c>
      <c r="L336" s="172" t="str">
        <f t="array" ref="L336">IF($A336="","",INDEX('主表 Stock_Transaction_Log'!$P:$P,$A336))</f>
        <v/>
      </c>
      <c r="M336" s="57" t="str">
        <f>IF($A336="","",IF($H336&lt;=0,0,SUMIFS('主表 Stock_Transaction_Log'!$K$2:$K1000,'主表 Stock_Transaction_Log'!$C$2:$C1000,"Prepared",'主表 Stock_Transaction_Log'!$L$2:$L1000,$B336,'主表 Stock_Transaction_Log'!$F$2:$F1000,$C336,'主表 Stock_Transaction_Log'!$G$2:$G1000,$D336,'主表 Stock_Transaction_Log'!$P$2:$P1000,$L336)))</f>
        <v/>
      </c>
      <c r="N336" s="172"/>
      <c r="O336" s="172" t="str">
        <f t="shared" si="4"/>
        <v/>
      </c>
      <c r="P336" s="172" t="str">
        <f t="shared" si="5"/>
        <v/>
      </c>
      <c r="Q336" s="172" t="str">
        <f t="shared" si="9"/>
        <v/>
      </c>
      <c r="R336" s="172" t="str">
        <f t="shared" si="7"/>
        <v/>
      </c>
      <c r="S336" s="172" t="str">
        <f t="shared" si="8"/>
        <v/>
      </c>
    </row>
    <row r="337">
      <c r="A337" s="172" t="str">
        <f>IF('主表 Stock_Transaction_Log'!$T337="","",IF(COUNTIF('主表 Stock_Transaction_Log'!$T$2:$T337,'主表 Stock_Transaction_Log'!$T337)=1,ROW('主表 Stock_Transaction_Log'!$T337),""))</f>
        <v/>
      </c>
      <c r="B337" s="172" t="str">
        <f t="array" ref="B337">IF($A337="","",INDEX('主表 Stock_Transaction_Log'!$Q:$Q,$A337))</f>
        <v/>
      </c>
      <c r="C337" s="172" t="str">
        <f t="array" ref="C337">IF($A337="","",IF(INDEX('主表 Stock_Transaction_Log'!$F:$F,$A337)=0,"",INDEX('主表 Stock_Transaction_Log'!$F:$F,$A337)))</f>
        <v/>
      </c>
      <c r="D337" s="172" t="str">
        <f t="array" ref="D337">IF($A337="","",INDEX('主表 Stock_Transaction_Log'!$G:$G,$A337))</f>
        <v/>
      </c>
      <c r="E337" s="172" t="str">
        <f t="array" ref="E337">IF($A337="","",INDEX('主表 Stock_Transaction_Log'!$H:$H,$A337))</f>
        <v/>
      </c>
      <c r="F337" s="172" t="str">
        <f t="array" ref="F337">IF($A337="","",INDEX('主表 Stock_Transaction_Log'!$I:$I,$A337))</f>
        <v/>
      </c>
      <c r="G337" s="172" t="str">
        <f t="array" ref="G337">IF($A337="","",IF(INDEX('主表 Stock_Transaction_Log'!$R:$R,$A337)=0,"",INDEX('主表 Stock_Transaction_Log'!$R:$R,$A337)))</f>
        <v/>
      </c>
      <c r="H337" s="172" t="str">
        <f t="array" ref="H337">IF($A337="","",SUMIF('主表 Stock_Transaction_Log'!$T:$T,INDEX('主表 Stock_Transaction_Log'!$T:$T,$A337),'主表 Stock_Transaction_Log'!$S:$S)+SUMIF('主表 Stock_Transaction_Log'!$AB:$AB,INDEX('主表 Stock_Transaction_Log'!$T:$T,$A337),'主表 Stock_Transaction_Log'!$AC:$AC))</f>
        <v/>
      </c>
      <c r="I337" s="172" t="str">
        <f t="shared" si="1"/>
        <v/>
      </c>
      <c r="J337" s="172" t="str">
        <f t="shared" si="2"/>
        <v/>
      </c>
      <c r="K337" s="172" t="str">
        <f t="shared" si="3"/>
        <v/>
      </c>
      <c r="L337" s="172" t="str">
        <f t="array" ref="L337">IF($A337="","",INDEX('主表 Stock_Transaction_Log'!$P:$P,$A337))</f>
        <v/>
      </c>
      <c r="M337" s="57" t="str">
        <f>IF($A337="","",IF($H337&lt;=0,0,SUMIFS('主表 Stock_Transaction_Log'!$K$2:$K1000,'主表 Stock_Transaction_Log'!$C$2:$C1000,"Prepared",'主表 Stock_Transaction_Log'!$L$2:$L1000,$B337,'主表 Stock_Transaction_Log'!$F$2:$F1000,$C337,'主表 Stock_Transaction_Log'!$G$2:$G1000,$D337,'主表 Stock_Transaction_Log'!$P$2:$P1000,$L337)))</f>
        <v/>
      </c>
      <c r="N337" s="172"/>
      <c r="O337" s="172" t="str">
        <f t="shared" si="4"/>
        <v/>
      </c>
      <c r="P337" s="172" t="str">
        <f t="shared" si="5"/>
        <v/>
      </c>
      <c r="Q337" s="172" t="str">
        <f t="shared" si="9"/>
        <v/>
      </c>
      <c r="R337" s="172" t="str">
        <f t="shared" si="7"/>
        <v/>
      </c>
      <c r="S337" s="172" t="str">
        <f t="shared" si="8"/>
        <v/>
      </c>
    </row>
    <row r="338">
      <c r="A338" s="172" t="str">
        <f>IF('主表 Stock_Transaction_Log'!$T338="","",IF(COUNTIF('主表 Stock_Transaction_Log'!$T$2:$T338,'主表 Stock_Transaction_Log'!$T338)=1,ROW('主表 Stock_Transaction_Log'!$T338),""))</f>
        <v/>
      </c>
      <c r="B338" s="172" t="str">
        <f t="array" ref="B338">IF($A338="","",INDEX('主表 Stock_Transaction_Log'!$Q:$Q,$A338))</f>
        <v/>
      </c>
      <c r="C338" s="172" t="str">
        <f t="array" ref="C338">IF($A338="","",IF(INDEX('主表 Stock_Transaction_Log'!$F:$F,$A338)=0,"",INDEX('主表 Stock_Transaction_Log'!$F:$F,$A338)))</f>
        <v/>
      </c>
      <c r="D338" s="172" t="str">
        <f t="array" ref="D338">IF($A338="","",INDEX('主表 Stock_Transaction_Log'!$G:$G,$A338))</f>
        <v/>
      </c>
      <c r="E338" s="172" t="str">
        <f t="array" ref="E338">IF($A338="","",INDEX('主表 Stock_Transaction_Log'!$H:$H,$A338))</f>
        <v/>
      </c>
      <c r="F338" s="172" t="str">
        <f t="array" ref="F338">IF($A338="","",INDEX('主表 Stock_Transaction_Log'!$I:$I,$A338))</f>
        <v/>
      </c>
      <c r="G338" s="172" t="str">
        <f t="array" ref="G338">IF($A338="","",IF(INDEX('主表 Stock_Transaction_Log'!$R:$R,$A338)=0,"",INDEX('主表 Stock_Transaction_Log'!$R:$R,$A338)))</f>
        <v/>
      </c>
      <c r="H338" s="172" t="str">
        <f t="array" ref="H338">IF($A338="","",SUMIF('主表 Stock_Transaction_Log'!$T:$T,INDEX('主表 Stock_Transaction_Log'!$T:$T,$A338),'主表 Stock_Transaction_Log'!$S:$S)+SUMIF('主表 Stock_Transaction_Log'!$AB:$AB,INDEX('主表 Stock_Transaction_Log'!$T:$T,$A338),'主表 Stock_Transaction_Log'!$AC:$AC))</f>
        <v/>
      </c>
      <c r="I338" s="172" t="str">
        <f t="shared" si="1"/>
        <v/>
      </c>
      <c r="J338" s="172" t="str">
        <f t="shared" si="2"/>
        <v/>
      </c>
      <c r="K338" s="172" t="str">
        <f t="shared" si="3"/>
        <v/>
      </c>
      <c r="L338" s="172" t="str">
        <f t="array" ref="L338">IF($A338="","",INDEX('主表 Stock_Transaction_Log'!$P:$P,$A338))</f>
        <v/>
      </c>
      <c r="M338" s="57" t="str">
        <f>IF($A338="","",IF($H338&lt;=0,0,SUMIFS('主表 Stock_Transaction_Log'!$K$2:$K1000,'主表 Stock_Transaction_Log'!$C$2:$C1000,"Prepared",'主表 Stock_Transaction_Log'!$L$2:$L1000,$B338,'主表 Stock_Transaction_Log'!$F$2:$F1000,$C338,'主表 Stock_Transaction_Log'!$G$2:$G1000,$D338,'主表 Stock_Transaction_Log'!$P$2:$P1000,$L338)))</f>
        <v/>
      </c>
      <c r="N338" s="172"/>
      <c r="O338" s="172" t="str">
        <f t="shared" si="4"/>
        <v/>
      </c>
      <c r="P338" s="172" t="str">
        <f t="shared" si="5"/>
        <v/>
      </c>
      <c r="Q338" s="172" t="str">
        <f t="shared" si="9"/>
        <v/>
      </c>
      <c r="R338" s="172" t="str">
        <f t="shared" si="7"/>
        <v/>
      </c>
      <c r="S338" s="172" t="str">
        <f t="shared" si="8"/>
        <v/>
      </c>
    </row>
    <row r="339">
      <c r="A339" s="172" t="str">
        <f>IF('主表 Stock_Transaction_Log'!$T339="","",IF(COUNTIF('主表 Stock_Transaction_Log'!$T$2:$T339,'主表 Stock_Transaction_Log'!$T339)=1,ROW('主表 Stock_Transaction_Log'!$T339),""))</f>
        <v/>
      </c>
      <c r="B339" s="172" t="str">
        <f t="array" ref="B339">IF($A339="","",INDEX('主表 Stock_Transaction_Log'!$Q:$Q,$A339))</f>
        <v/>
      </c>
      <c r="C339" s="172" t="str">
        <f t="array" ref="C339">IF($A339="","",IF(INDEX('主表 Stock_Transaction_Log'!$F:$F,$A339)=0,"",INDEX('主表 Stock_Transaction_Log'!$F:$F,$A339)))</f>
        <v/>
      </c>
      <c r="D339" s="172" t="str">
        <f t="array" ref="D339">IF($A339="","",INDEX('主表 Stock_Transaction_Log'!$G:$G,$A339))</f>
        <v/>
      </c>
      <c r="E339" s="172" t="str">
        <f t="array" ref="E339">IF($A339="","",INDEX('主表 Stock_Transaction_Log'!$H:$H,$A339))</f>
        <v/>
      </c>
      <c r="F339" s="172" t="str">
        <f t="array" ref="F339">IF($A339="","",INDEX('主表 Stock_Transaction_Log'!$I:$I,$A339))</f>
        <v/>
      </c>
      <c r="G339" s="172" t="str">
        <f t="array" ref="G339">IF($A339="","",IF(INDEX('主表 Stock_Transaction_Log'!$R:$R,$A339)=0,"",INDEX('主表 Stock_Transaction_Log'!$R:$R,$A339)))</f>
        <v/>
      </c>
      <c r="H339" s="172" t="str">
        <f t="array" ref="H339">IF($A339="","",SUMIF('主表 Stock_Transaction_Log'!$T:$T,INDEX('主表 Stock_Transaction_Log'!$T:$T,$A339),'主表 Stock_Transaction_Log'!$S:$S)+SUMIF('主表 Stock_Transaction_Log'!$AB:$AB,INDEX('主表 Stock_Transaction_Log'!$T:$T,$A339),'主表 Stock_Transaction_Log'!$AC:$AC))</f>
        <v/>
      </c>
      <c r="I339" s="172" t="str">
        <f t="shared" si="1"/>
        <v/>
      </c>
      <c r="J339" s="172" t="str">
        <f t="shared" si="2"/>
        <v/>
      </c>
      <c r="K339" s="172" t="str">
        <f t="shared" si="3"/>
        <v/>
      </c>
      <c r="L339" s="172" t="str">
        <f t="array" ref="L339">IF($A339="","",INDEX('主表 Stock_Transaction_Log'!$P:$P,$A339))</f>
        <v/>
      </c>
      <c r="M339" s="57" t="str">
        <f>IF($A339="","",IF($H339&lt;=0,0,SUMIFS('主表 Stock_Transaction_Log'!$K$2:$K1000,'主表 Stock_Transaction_Log'!$C$2:$C1000,"Prepared",'主表 Stock_Transaction_Log'!$L$2:$L1000,$B339,'主表 Stock_Transaction_Log'!$F$2:$F1000,$C339,'主表 Stock_Transaction_Log'!$G$2:$G1000,$D339,'主表 Stock_Transaction_Log'!$P$2:$P1000,$L339)))</f>
        <v/>
      </c>
      <c r="N339" s="172"/>
      <c r="O339" s="172" t="str">
        <f t="shared" si="4"/>
        <v/>
      </c>
      <c r="P339" s="172" t="str">
        <f t="shared" si="5"/>
        <v/>
      </c>
      <c r="Q339" s="172" t="str">
        <f t="shared" si="9"/>
        <v/>
      </c>
      <c r="R339" s="172" t="str">
        <f t="shared" si="7"/>
        <v/>
      </c>
      <c r="S339" s="172" t="str">
        <f t="shared" si="8"/>
        <v/>
      </c>
    </row>
    <row r="340">
      <c r="A340" s="172" t="str">
        <f>IF('主表 Stock_Transaction_Log'!$T340="","",IF(COUNTIF('主表 Stock_Transaction_Log'!$T$2:$T340,'主表 Stock_Transaction_Log'!$T340)=1,ROW('主表 Stock_Transaction_Log'!$T340),""))</f>
        <v/>
      </c>
      <c r="B340" s="172" t="str">
        <f t="array" ref="B340">IF($A340="","",INDEX('主表 Stock_Transaction_Log'!$Q:$Q,$A340))</f>
        <v/>
      </c>
      <c r="C340" s="172" t="str">
        <f t="array" ref="C340">IF($A340="","",IF(INDEX('主表 Stock_Transaction_Log'!$F:$F,$A340)=0,"",INDEX('主表 Stock_Transaction_Log'!$F:$F,$A340)))</f>
        <v/>
      </c>
      <c r="D340" s="172" t="str">
        <f t="array" ref="D340">IF($A340="","",INDEX('主表 Stock_Transaction_Log'!$G:$G,$A340))</f>
        <v/>
      </c>
      <c r="E340" s="172" t="str">
        <f t="array" ref="E340">IF($A340="","",INDEX('主表 Stock_Transaction_Log'!$H:$H,$A340))</f>
        <v/>
      </c>
      <c r="F340" s="172" t="str">
        <f t="array" ref="F340">IF($A340="","",INDEX('主表 Stock_Transaction_Log'!$I:$I,$A340))</f>
        <v/>
      </c>
      <c r="G340" s="172" t="str">
        <f t="array" ref="G340">IF($A340="","",IF(INDEX('主表 Stock_Transaction_Log'!$R:$R,$A340)=0,"",INDEX('主表 Stock_Transaction_Log'!$R:$R,$A340)))</f>
        <v/>
      </c>
      <c r="H340" s="172" t="str">
        <f t="array" ref="H340">IF($A340="","",SUMIF('主表 Stock_Transaction_Log'!$T:$T,INDEX('主表 Stock_Transaction_Log'!$T:$T,$A340),'主表 Stock_Transaction_Log'!$S:$S)+SUMIF('主表 Stock_Transaction_Log'!$AB:$AB,INDEX('主表 Stock_Transaction_Log'!$T:$T,$A340),'主表 Stock_Transaction_Log'!$AC:$AC))</f>
        <v/>
      </c>
      <c r="I340" s="172" t="str">
        <f t="shared" si="1"/>
        <v/>
      </c>
      <c r="J340" s="172" t="str">
        <f t="shared" si="2"/>
        <v/>
      </c>
      <c r="K340" s="172" t="str">
        <f t="shared" si="3"/>
        <v/>
      </c>
      <c r="L340" s="172" t="str">
        <f t="array" ref="L340">IF($A340="","",INDEX('主表 Stock_Transaction_Log'!$P:$P,$A340))</f>
        <v/>
      </c>
      <c r="M340" s="57" t="str">
        <f>IF($A340="","",IF($H340&lt;=0,0,SUMIFS('主表 Stock_Transaction_Log'!$K$2:$K1000,'主表 Stock_Transaction_Log'!$C$2:$C1000,"Prepared",'主表 Stock_Transaction_Log'!$L$2:$L1000,$B340,'主表 Stock_Transaction_Log'!$F$2:$F1000,$C340,'主表 Stock_Transaction_Log'!$G$2:$G1000,$D340,'主表 Stock_Transaction_Log'!$P$2:$P1000,$L340)))</f>
        <v/>
      </c>
      <c r="N340" s="172"/>
      <c r="O340" s="172" t="str">
        <f t="shared" si="4"/>
        <v/>
      </c>
      <c r="P340" s="172" t="str">
        <f t="shared" si="5"/>
        <v/>
      </c>
      <c r="Q340" s="172" t="str">
        <f t="shared" si="9"/>
        <v/>
      </c>
      <c r="R340" s="172" t="str">
        <f t="shared" si="7"/>
        <v/>
      </c>
      <c r="S340" s="172" t="str">
        <f t="shared" si="8"/>
        <v/>
      </c>
    </row>
    <row r="341">
      <c r="A341" s="172" t="str">
        <f>IF('主表 Stock_Transaction_Log'!$T341="","",IF(COUNTIF('主表 Stock_Transaction_Log'!$T$2:$T341,'主表 Stock_Transaction_Log'!$T341)=1,ROW('主表 Stock_Transaction_Log'!$T341),""))</f>
        <v/>
      </c>
      <c r="B341" s="172" t="str">
        <f t="array" ref="B341">IF($A341="","",INDEX('主表 Stock_Transaction_Log'!$Q:$Q,$A341))</f>
        <v/>
      </c>
      <c r="C341" s="172" t="str">
        <f t="array" ref="C341">IF($A341="","",IF(INDEX('主表 Stock_Transaction_Log'!$F:$F,$A341)=0,"",INDEX('主表 Stock_Transaction_Log'!$F:$F,$A341)))</f>
        <v/>
      </c>
      <c r="D341" s="172" t="str">
        <f t="array" ref="D341">IF($A341="","",INDEX('主表 Stock_Transaction_Log'!$G:$G,$A341))</f>
        <v/>
      </c>
      <c r="E341" s="172" t="str">
        <f t="array" ref="E341">IF($A341="","",INDEX('主表 Stock_Transaction_Log'!$H:$H,$A341))</f>
        <v/>
      </c>
      <c r="F341" s="172" t="str">
        <f t="array" ref="F341">IF($A341="","",INDEX('主表 Stock_Transaction_Log'!$I:$I,$A341))</f>
        <v/>
      </c>
      <c r="G341" s="172" t="str">
        <f t="array" ref="G341">IF($A341="","",IF(INDEX('主表 Stock_Transaction_Log'!$R:$R,$A341)=0,"",INDEX('主表 Stock_Transaction_Log'!$R:$R,$A341)))</f>
        <v/>
      </c>
      <c r="H341" s="172" t="str">
        <f t="array" ref="H341">IF($A341="","",SUMIF('主表 Stock_Transaction_Log'!$T:$T,INDEX('主表 Stock_Transaction_Log'!$T:$T,$A341),'主表 Stock_Transaction_Log'!$S:$S)+SUMIF('主表 Stock_Transaction_Log'!$AB:$AB,INDEX('主表 Stock_Transaction_Log'!$T:$T,$A341),'主表 Stock_Transaction_Log'!$AC:$AC))</f>
        <v/>
      </c>
      <c r="I341" s="172" t="str">
        <f t="shared" si="1"/>
        <v/>
      </c>
      <c r="J341" s="172" t="str">
        <f t="shared" si="2"/>
        <v/>
      </c>
      <c r="K341" s="172" t="str">
        <f t="shared" si="3"/>
        <v/>
      </c>
      <c r="L341" s="172" t="str">
        <f t="array" ref="L341">IF($A341="","",INDEX('主表 Stock_Transaction_Log'!$P:$P,$A341))</f>
        <v/>
      </c>
      <c r="M341" s="57" t="str">
        <f>IF($A341="","",IF($H341&lt;=0,0,SUMIFS('主表 Stock_Transaction_Log'!$K$2:$K1000,'主表 Stock_Transaction_Log'!$C$2:$C1000,"Prepared",'主表 Stock_Transaction_Log'!$L$2:$L1000,$B341,'主表 Stock_Transaction_Log'!$F$2:$F1000,$C341,'主表 Stock_Transaction_Log'!$G$2:$G1000,$D341,'主表 Stock_Transaction_Log'!$P$2:$P1000,$L341)))</f>
        <v/>
      </c>
      <c r="N341" s="172"/>
      <c r="O341" s="172" t="str">
        <f t="shared" si="4"/>
        <v/>
      </c>
      <c r="P341" s="172" t="str">
        <f t="shared" si="5"/>
        <v/>
      </c>
      <c r="Q341" s="172" t="str">
        <f t="shared" si="9"/>
        <v/>
      </c>
      <c r="R341" s="172" t="str">
        <f t="shared" si="7"/>
        <v/>
      </c>
      <c r="S341" s="172" t="str">
        <f t="shared" si="8"/>
        <v/>
      </c>
    </row>
    <row r="342">
      <c r="A342" s="172" t="str">
        <f>IF('主表 Stock_Transaction_Log'!$T342="","",IF(COUNTIF('主表 Stock_Transaction_Log'!$T$2:$T342,'主表 Stock_Transaction_Log'!$T342)=1,ROW('主表 Stock_Transaction_Log'!$T342),""))</f>
        <v/>
      </c>
      <c r="B342" s="172" t="str">
        <f t="array" ref="B342">IF($A342="","",INDEX('主表 Stock_Transaction_Log'!$Q:$Q,$A342))</f>
        <v/>
      </c>
      <c r="C342" s="172" t="str">
        <f t="array" ref="C342">IF($A342="","",IF(INDEX('主表 Stock_Transaction_Log'!$F:$F,$A342)=0,"",INDEX('主表 Stock_Transaction_Log'!$F:$F,$A342)))</f>
        <v/>
      </c>
      <c r="D342" s="172" t="str">
        <f t="array" ref="D342">IF($A342="","",INDEX('主表 Stock_Transaction_Log'!$G:$G,$A342))</f>
        <v/>
      </c>
      <c r="E342" s="172" t="str">
        <f t="array" ref="E342">IF($A342="","",INDEX('主表 Stock_Transaction_Log'!$H:$H,$A342))</f>
        <v/>
      </c>
      <c r="F342" s="172" t="str">
        <f t="array" ref="F342">IF($A342="","",INDEX('主表 Stock_Transaction_Log'!$I:$I,$A342))</f>
        <v/>
      </c>
      <c r="G342" s="172" t="str">
        <f t="array" ref="G342">IF($A342="","",IF(INDEX('主表 Stock_Transaction_Log'!$R:$R,$A342)=0,"",INDEX('主表 Stock_Transaction_Log'!$R:$R,$A342)))</f>
        <v/>
      </c>
      <c r="H342" s="172" t="str">
        <f t="array" ref="H342">IF($A342="","",SUMIF('主表 Stock_Transaction_Log'!$T:$T,INDEX('主表 Stock_Transaction_Log'!$T:$T,$A342),'主表 Stock_Transaction_Log'!$S:$S)+SUMIF('主表 Stock_Transaction_Log'!$AB:$AB,INDEX('主表 Stock_Transaction_Log'!$T:$T,$A342),'主表 Stock_Transaction_Log'!$AC:$AC))</f>
        <v/>
      </c>
      <c r="I342" s="172" t="str">
        <f t="shared" si="1"/>
        <v/>
      </c>
      <c r="J342" s="172" t="str">
        <f t="shared" si="2"/>
        <v/>
      </c>
      <c r="K342" s="172" t="str">
        <f t="shared" si="3"/>
        <v/>
      </c>
      <c r="L342" s="172" t="str">
        <f t="array" ref="L342">IF($A342="","",INDEX('主表 Stock_Transaction_Log'!$P:$P,$A342))</f>
        <v/>
      </c>
      <c r="M342" s="57" t="str">
        <f>IF($A342="","",IF($H342&lt;=0,0,SUMIFS('主表 Stock_Transaction_Log'!$K$2:$K1000,'主表 Stock_Transaction_Log'!$C$2:$C1000,"Prepared",'主表 Stock_Transaction_Log'!$L$2:$L1000,$B342,'主表 Stock_Transaction_Log'!$F$2:$F1000,$C342,'主表 Stock_Transaction_Log'!$G$2:$G1000,$D342,'主表 Stock_Transaction_Log'!$P$2:$P1000,$L342)))</f>
        <v/>
      </c>
      <c r="N342" s="172"/>
      <c r="O342" s="172" t="str">
        <f t="shared" si="4"/>
        <v/>
      </c>
      <c r="P342" s="172" t="str">
        <f t="shared" si="5"/>
        <v/>
      </c>
      <c r="Q342" s="172" t="str">
        <f t="shared" si="9"/>
        <v/>
      </c>
      <c r="R342" s="172" t="str">
        <f t="shared" si="7"/>
        <v/>
      </c>
      <c r="S342" s="172" t="str">
        <f t="shared" si="8"/>
        <v/>
      </c>
    </row>
    <row r="343">
      <c r="A343" s="172" t="str">
        <f>IF('主表 Stock_Transaction_Log'!$T343="","",IF(COUNTIF('主表 Stock_Transaction_Log'!$T$2:$T343,'主表 Stock_Transaction_Log'!$T343)=1,ROW('主表 Stock_Transaction_Log'!$T343),""))</f>
        <v/>
      </c>
      <c r="B343" s="172" t="str">
        <f t="array" ref="B343">IF($A343="","",INDEX('主表 Stock_Transaction_Log'!$Q:$Q,$A343))</f>
        <v/>
      </c>
      <c r="C343" s="172" t="str">
        <f t="array" ref="C343">IF($A343="","",IF(INDEX('主表 Stock_Transaction_Log'!$F:$F,$A343)=0,"",INDEX('主表 Stock_Transaction_Log'!$F:$F,$A343)))</f>
        <v/>
      </c>
      <c r="D343" s="172" t="str">
        <f t="array" ref="D343">IF($A343="","",INDEX('主表 Stock_Transaction_Log'!$G:$G,$A343))</f>
        <v/>
      </c>
      <c r="E343" s="172" t="str">
        <f t="array" ref="E343">IF($A343="","",INDEX('主表 Stock_Transaction_Log'!$H:$H,$A343))</f>
        <v/>
      </c>
      <c r="F343" s="172" t="str">
        <f t="array" ref="F343">IF($A343="","",INDEX('主表 Stock_Transaction_Log'!$I:$I,$A343))</f>
        <v/>
      </c>
      <c r="G343" s="172" t="str">
        <f t="array" ref="G343">IF($A343="","",IF(INDEX('主表 Stock_Transaction_Log'!$R:$R,$A343)=0,"",INDEX('主表 Stock_Transaction_Log'!$R:$R,$A343)))</f>
        <v/>
      </c>
      <c r="H343" s="172" t="str">
        <f t="array" ref="H343">IF($A343="","",SUMIF('主表 Stock_Transaction_Log'!$T:$T,INDEX('主表 Stock_Transaction_Log'!$T:$T,$A343),'主表 Stock_Transaction_Log'!$S:$S)+SUMIF('主表 Stock_Transaction_Log'!$AB:$AB,INDEX('主表 Stock_Transaction_Log'!$T:$T,$A343),'主表 Stock_Transaction_Log'!$AC:$AC))</f>
        <v/>
      </c>
      <c r="I343" s="172" t="str">
        <f t="shared" si="1"/>
        <v/>
      </c>
      <c r="J343" s="172" t="str">
        <f t="shared" si="2"/>
        <v/>
      </c>
      <c r="K343" s="172" t="str">
        <f t="shared" si="3"/>
        <v/>
      </c>
      <c r="L343" s="172" t="str">
        <f t="array" ref="L343">IF($A343="","",INDEX('主表 Stock_Transaction_Log'!$P:$P,$A343))</f>
        <v/>
      </c>
      <c r="M343" s="57" t="str">
        <f>IF($A343="","",IF($H343&lt;=0,0,SUMIFS('主表 Stock_Transaction_Log'!$K$2:$K1000,'主表 Stock_Transaction_Log'!$C$2:$C1000,"Prepared",'主表 Stock_Transaction_Log'!$L$2:$L1000,$B343,'主表 Stock_Transaction_Log'!$F$2:$F1000,$C343,'主表 Stock_Transaction_Log'!$G$2:$G1000,$D343,'主表 Stock_Transaction_Log'!$P$2:$P1000,$L343)))</f>
        <v/>
      </c>
      <c r="N343" s="172"/>
      <c r="O343" s="172" t="str">
        <f t="shared" si="4"/>
        <v/>
      </c>
      <c r="P343" s="172" t="str">
        <f t="shared" si="5"/>
        <v/>
      </c>
      <c r="Q343" s="172" t="str">
        <f t="shared" si="9"/>
        <v/>
      </c>
      <c r="R343" s="172" t="str">
        <f t="shared" si="7"/>
        <v/>
      </c>
      <c r="S343" s="172" t="str">
        <f t="shared" si="8"/>
        <v/>
      </c>
    </row>
    <row r="344">
      <c r="A344" s="172" t="str">
        <f>IF('主表 Stock_Transaction_Log'!$T344="","",IF(COUNTIF('主表 Stock_Transaction_Log'!$T$2:$T344,'主表 Stock_Transaction_Log'!$T344)=1,ROW('主表 Stock_Transaction_Log'!$T344),""))</f>
        <v/>
      </c>
      <c r="B344" s="172" t="str">
        <f t="array" ref="B344">IF($A344="","",INDEX('主表 Stock_Transaction_Log'!$Q:$Q,$A344))</f>
        <v/>
      </c>
      <c r="C344" s="172" t="str">
        <f t="array" ref="C344">IF($A344="","",IF(INDEX('主表 Stock_Transaction_Log'!$F:$F,$A344)=0,"",INDEX('主表 Stock_Transaction_Log'!$F:$F,$A344)))</f>
        <v/>
      </c>
      <c r="D344" s="172" t="str">
        <f t="array" ref="D344">IF($A344="","",INDEX('主表 Stock_Transaction_Log'!$G:$G,$A344))</f>
        <v/>
      </c>
      <c r="E344" s="172" t="str">
        <f t="array" ref="E344">IF($A344="","",INDEX('主表 Stock_Transaction_Log'!$H:$H,$A344))</f>
        <v/>
      </c>
      <c r="F344" s="172" t="str">
        <f t="array" ref="F344">IF($A344="","",INDEX('主表 Stock_Transaction_Log'!$I:$I,$A344))</f>
        <v/>
      </c>
      <c r="G344" s="172" t="str">
        <f t="array" ref="G344">IF($A344="","",IF(INDEX('主表 Stock_Transaction_Log'!$R:$R,$A344)=0,"",INDEX('主表 Stock_Transaction_Log'!$R:$R,$A344)))</f>
        <v/>
      </c>
      <c r="H344" s="172" t="str">
        <f t="array" ref="H344">IF($A344="","",SUMIF('主表 Stock_Transaction_Log'!$T:$T,INDEX('主表 Stock_Transaction_Log'!$T:$T,$A344),'主表 Stock_Transaction_Log'!$S:$S)+SUMIF('主表 Stock_Transaction_Log'!$AB:$AB,INDEX('主表 Stock_Transaction_Log'!$T:$T,$A344),'主表 Stock_Transaction_Log'!$AC:$AC))</f>
        <v/>
      </c>
      <c r="I344" s="172" t="str">
        <f t="shared" si="1"/>
        <v/>
      </c>
      <c r="J344" s="172" t="str">
        <f t="shared" si="2"/>
        <v/>
      </c>
      <c r="K344" s="172" t="str">
        <f t="shared" si="3"/>
        <v/>
      </c>
      <c r="L344" s="172" t="str">
        <f t="array" ref="L344">IF($A344="","",INDEX('主表 Stock_Transaction_Log'!$P:$P,$A344))</f>
        <v/>
      </c>
      <c r="M344" s="57" t="str">
        <f>IF($A344="","",IF($H344&lt;=0,0,SUMIFS('主表 Stock_Transaction_Log'!$K$2:$K1000,'主表 Stock_Transaction_Log'!$C$2:$C1000,"Prepared",'主表 Stock_Transaction_Log'!$L$2:$L1000,$B344,'主表 Stock_Transaction_Log'!$F$2:$F1000,$C344,'主表 Stock_Transaction_Log'!$G$2:$G1000,$D344,'主表 Stock_Transaction_Log'!$P$2:$P1000,$L344)))</f>
        <v/>
      </c>
      <c r="N344" s="172"/>
      <c r="O344" s="172" t="str">
        <f t="shared" si="4"/>
        <v/>
      </c>
      <c r="P344" s="172" t="str">
        <f t="shared" si="5"/>
        <v/>
      </c>
      <c r="Q344" s="172" t="str">
        <f t="shared" si="9"/>
        <v/>
      </c>
      <c r="R344" s="172" t="str">
        <f t="shared" si="7"/>
        <v/>
      </c>
      <c r="S344" s="172" t="str">
        <f t="shared" si="8"/>
        <v/>
      </c>
    </row>
    <row r="345">
      <c r="A345" s="172" t="str">
        <f>IF('主表 Stock_Transaction_Log'!$T345="","",IF(COUNTIF('主表 Stock_Transaction_Log'!$T$2:$T345,'主表 Stock_Transaction_Log'!$T345)=1,ROW('主表 Stock_Transaction_Log'!$T345),""))</f>
        <v/>
      </c>
      <c r="B345" s="172" t="str">
        <f t="array" ref="B345">IF($A345="","",INDEX('主表 Stock_Transaction_Log'!$Q:$Q,$A345))</f>
        <v/>
      </c>
      <c r="C345" s="172" t="str">
        <f t="array" ref="C345">IF($A345="","",IF(INDEX('主表 Stock_Transaction_Log'!$F:$F,$A345)=0,"",INDEX('主表 Stock_Transaction_Log'!$F:$F,$A345)))</f>
        <v/>
      </c>
      <c r="D345" s="172" t="str">
        <f t="array" ref="D345">IF($A345="","",INDEX('主表 Stock_Transaction_Log'!$G:$G,$A345))</f>
        <v/>
      </c>
      <c r="E345" s="172" t="str">
        <f t="array" ref="E345">IF($A345="","",INDEX('主表 Stock_Transaction_Log'!$H:$H,$A345))</f>
        <v/>
      </c>
      <c r="F345" s="172" t="str">
        <f t="array" ref="F345">IF($A345="","",INDEX('主表 Stock_Transaction_Log'!$I:$I,$A345))</f>
        <v/>
      </c>
      <c r="G345" s="172" t="str">
        <f t="array" ref="G345">IF($A345="","",IF(INDEX('主表 Stock_Transaction_Log'!$R:$R,$A345)=0,"",INDEX('主表 Stock_Transaction_Log'!$R:$R,$A345)))</f>
        <v/>
      </c>
      <c r="H345" s="172" t="str">
        <f t="array" ref="H345">IF($A345="","",SUMIF('主表 Stock_Transaction_Log'!$T:$T,INDEX('主表 Stock_Transaction_Log'!$T:$T,$A345),'主表 Stock_Transaction_Log'!$S:$S)+SUMIF('主表 Stock_Transaction_Log'!$AB:$AB,INDEX('主表 Stock_Transaction_Log'!$T:$T,$A345),'主表 Stock_Transaction_Log'!$AC:$AC))</f>
        <v/>
      </c>
      <c r="I345" s="172" t="str">
        <f t="shared" si="1"/>
        <v/>
      </c>
      <c r="J345" s="172" t="str">
        <f t="shared" si="2"/>
        <v/>
      </c>
      <c r="K345" s="172" t="str">
        <f t="shared" si="3"/>
        <v/>
      </c>
      <c r="L345" s="172" t="str">
        <f t="array" ref="L345">IF($A345="","",INDEX('主表 Stock_Transaction_Log'!$P:$P,$A345))</f>
        <v/>
      </c>
      <c r="M345" s="57" t="str">
        <f>IF($A345="","",IF($H345&lt;=0,0,SUMIFS('主表 Stock_Transaction_Log'!$K$2:$K1000,'主表 Stock_Transaction_Log'!$C$2:$C1000,"Prepared",'主表 Stock_Transaction_Log'!$L$2:$L1000,$B345,'主表 Stock_Transaction_Log'!$F$2:$F1000,$C345,'主表 Stock_Transaction_Log'!$G$2:$G1000,$D345,'主表 Stock_Transaction_Log'!$P$2:$P1000,$L345)))</f>
        <v/>
      </c>
      <c r="N345" s="172"/>
      <c r="O345" s="172" t="str">
        <f t="shared" si="4"/>
        <v/>
      </c>
      <c r="P345" s="172" t="str">
        <f t="shared" si="5"/>
        <v/>
      </c>
      <c r="Q345" s="172" t="str">
        <f t="shared" si="9"/>
        <v/>
      </c>
      <c r="R345" s="172" t="str">
        <f t="shared" si="7"/>
        <v/>
      </c>
      <c r="S345" s="172" t="str">
        <f t="shared" si="8"/>
        <v/>
      </c>
    </row>
    <row r="346">
      <c r="A346" s="172" t="str">
        <f>IF('主表 Stock_Transaction_Log'!$T346="","",IF(COUNTIF('主表 Stock_Transaction_Log'!$T$2:$T346,'主表 Stock_Transaction_Log'!$T346)=1,ROW('主表 Stock_Transaction_Log'!$T346),""))</f>
        <v/>
      </c>
      <c r="B346" s="172" t="str">
        <f t="array" ref="B346">IF($A346="","",INDEX('主表 Stock_Transaction_Log'!$Q:$Q,$A346))</f>
        <v/>
      </c>
      <c r="C346" s="172" t="str">
        <f t="array" ref="C346">IF($A346="","",IF(INDEX('主表 Stock_Transaction_Log'!$F:$F,$A346)=0,"",INDEX('主表 Stock_Transaction_Log'!$F:$F,$A346)))</f>
        <v/>
      </c>
      <c r="D346" s="172" t="str">
        <f t="array" ref="D346">IF($A346="","",INDEX('主表 Stock_Transaction_Log'!$G:$G,$A346))</f>
        <v/>
      </c>
      <c r="E346" s="172" t="str">
        <f t="array" ref="E346">IF($A346="","",INDEX('主表 Stock_Transaction_Log'!$H:$H,$A346))</f>
        <v/>
      </c>
      <c r="F346" s="172" t="str">
        <f t="array" ref="F346">IF($A346="","",INDEX('主表 Stock_Transaction_Log'!$I:$I,$A346))</f>
        <v/>
      </c>
      <c r="G346" s="172" t="str">
        <f t="array" ref="G346">IF($A346="","",IF(INDEX('主表 Stock_Transaction_Log'!$R:$R,$A346)=0,"",INDEX('主表 Stock_Transaction_Log'!$R:$R,$A346)))</f>
        <v/>
      </c>
      <c r="H346" s="172" t="str">
        <f t="array" ref="H346">IF($A346="","",SUMIF('主表 Stock_Transaction_Log'!$T:$T,INDEX('主表 Stock_Transaction_Log'!$T:$T,$A346),'主表 Stock_Transaction_Log'!$S:$S)+SUMIF('主表 Stock_Transaction_Log'!$AB:$AB,INDEX('主表 Stock_Transaction_Log'!$T:$T,$A346),'主表 Stock_Transaction_Log'!$AC:$AC))</f>
        <v/>
      </c>
      <c r="I346" s="172" t="str">
        <f t="shared" si="1"/>
        <v/>
      </c>
      <c r="J346" s="172" t="str">
        <f t="shared" si="2"/>
        <v/>
      </c>
      <c r="K346" s="172" t="str">
        <f t="shared" si="3"/>
        <v/>
      </c>
      <c r="L346" s="172" t="str">
        <f t="array" ref="L346">IF($A346="","",INDEX('主表 Stock_Transaction_Log'!$P:$P,$A346))</f>
        <v/>
      </c>
      <c r="M346" s="57" t="str">
        <f>IF($A346="","",IF($H346&lt;=0,0,SUMIFS('主表 Stock_Transaction_Log'!$K$2:$K1000,'主表 Stock_Transaction_Log'!$C$2:$C1000,"Prepared",'主表 Stock_Transaction_Log'!$L$2:$L1000,$B346,'主表 Stock_Transaction_Log'!$F$2:$F1000,$C346,'主表 Stock_Transaction_Log'!$G$2:$G1000,$D346,'主表 Stock_Transaction_Log'!$P$2:$P1000,$L346)))</f>
        <v/>
      </c>
      <c r="N346" s="172"/>
      <c r="O346" s="172" t="str">
        <f t="shared" si="4"/>
        <v/>
      </c>
      <c r="P346" s="172" t="str">
        <f t="shared" si="5"/>
        <v/>
      </c>
      <c r="Q346" s="172" t="str">
        <f t="shared" si="9"/>
        <v/>
      </c>
      <c r="R346" s="172" t="str">
        <f t="shared" si="7"/>
        <v/>
      </c>
      <c r="S346" s="172" t="str">
        <f t="shared" si="8"/>
        <v/>
      </c>
    </row>
    <row r="347">
      <c r="A347" s="172" t="str">
        <f>IF('主表 Stock_Transaction_Log'!$T347="","",IF(COUNTIF('主表 Stock_Transaction_Log'!$T$2:$T347,'主表 Stock_Transaction_Log'!$T347)=1,ROW('主表 Stock_Transaction_Log'!$T347),""))</f>
        <v/>
      </c>
      <c r="B347" s="172" t="str">
        <f t="array" ref="B347">IF($A347="","",INDEX('主表 Stock_Transaction_Log'!$Q:$Q,$A347))</f>
        <v/>
      </c>
      <c r="C347" s="172" t="str">
        <f t="array" ref="C347">IF($A347="","",IF(INDEX('主表 Stock_Transaction_Log'!$F:$F,$A347)=0,"",INDEX('主表 Stock_Transaction_Log'!$F:$F,$A347)))</f>
        <v/>
      </c>
      <c r="D347" s="172" t="str">
        <f t="array" ref="D347">IF($A347="","",INDEX('主表 Stock_Transaction_Log'!$G:$G,$A347))</f>
        <v/>
      </c>
      <c r="E347" s="172" t="str">
        <f t="array" ref="E347">IF($A347="","",INDEX('主表 Stock_Transaction_Log'!$H:$H,$A347))</f>
        <v/>
      </c>
      <c r="F347" s="172" t="str">
        <f t="array" ref="F347">IF($A347="","",INDEX('主表 Stock_Transaction_Log'!$I:$I,$A347))</f>
        <v/>
      </c>
      <c r="G347" s="172" t="str">
        <f t="array" ref="G347">IF($A347="","",IF(INDEX('主表 Stock_Transaction_Log'!$R:$R,$A347)=0,"",INDEX('主表 Stock_Transaction_Log'!$R:$R,$A347)))</f>
        <v/>
      </c>
      <c r="H347" s="172" t="str">
        <f t="array" ref="H347">IF($A347="","",SUMIF('主表 Stock_Transaction_Log'!$T:$T,INDEX('主表 Stock_Transaction_Log'!$T:$T,$A347),'主表 Stock_Transaction_Log'!$S:$S)+SUMIF('主表 Stock_Transaction_Log'!$AB:$AB,INDEX('主表 Stock_Transaction_Log'!$T:$T,$A347),'主表 Stock_Transaction_Log'!$AC:$AC))</f>
        <v/>
      </c>
      <c r="I347" s="172" t="str">
        <f t="shared" si="1"/>
        <v/>
      </c>
      <c r="J347" s="172" t="str">
        <f t="shared" si="2"/>
        <v/>
      </c>
      <c r="K347" s="172" t="str">
        <f t="shared" si="3"/>
        <v/>
      </c>
      <c r="L347" s="172" t="str">
        <f t="array" ref="L347">IF($A347="","",INDEX('主表 Stock_Transaction_Log'!$P:$P,$A347))</f>
        <v/>
      </c>
      <c r="M347" s="57" t="str">
        <f>IF($A347="","",IF($H347&lt;=0,0,SUMIFS('主表 Stock_Transaction_Log'!$K$2:$K1000,'主表 Stock_Transaction_Log'!$C$2:$C1000,"Prepared",'主表 Stock_Transaction_Log'!$L$2:$L1000,$B347,'主表 Stock_Transaction_Log'!$F$2:$F1000,$C347,'主表 Stock_Transaction_Log'!$G$2:$G1000,$D347,'主表 Stock_Transaction_Log'!$P$2:$P1000,$L347)))</f>
        <v/>
      </c>
      <c r="N347" s="172"/>
      <c r="O347" s="172" t="str">
        <f t="shared" si="4"/>
        <v/>
      </c>
      <c r="P347" s="172" t="str">
        <f t="shared" si="5"/>
        <v/>
      </c>
      <c r="Q347" s="172" t="str">
        <f t="shared" si="9"/>
        <v/>
      </c>
      <c r="R347" s="172" t="str">
        <f t="shared" si="7"/>
        <v/>
      </c>
      <c r="S347" s="172" t="str">
        <f t="shared" si="8"/>
        <v/>
      </c>
    </row>
    <row r="348">
      <c r="A348" s="172" t="str">
        <f>IF('主表 Stock_Transaction_Log'!$T348="","",IF(COUNTIF('主表 Stock_Transaction_Log'!$T$2:$T348,'主表 Stock_Transaction_Log'!$T348)=1,ROW('主表 Stock_Transaction_Log'!$T348),""))</f>
        <v/>
      </c>
      <c r="B348" s="172" t="str">
        <f t="array" ref="B348">IF($A348="","",INDEX('主表 Stock_Transaction_Log'!$Q:$Q,$A348))</f>
        <v/>
      </c>
      <c r="C348" s="172" t="str">
        <f t="array" ref="C348">IF($A348="","",IF(INDEX('主表 Stock_Transaction_Log'!$F:$F,$A348)=0,"",INDEX('主表 Stock_Transaction_Log'!$F:$F,$A348)))</f>
        <v/>
      </c>
      <c r="D348" s="172" t="str">
        <f t="array" ref="D348">IF($A348="","",INDEX('主表 Stock_Transaction_Log'!$G:$G,$A348))</f>
        <v/>
      </c>
      <c r="E348" s="172" t="str">
        <f t="array" ref="E348">IF($A348="","",INDEX('主表 Stock_Transaction_Log'!$H:$H,$A348))</f>
        <v/>
      </c>
      <c r="F348" s="172" t="str">
        <f t="array" ref="F348">IF($A348="","",INDEX('主表 Stock_Transaction_Log'!$I:$I,$A348))</f>
        <v/>
      </c>
      <c r="G348" s="172" t="str">
        <f t="array" ref="G348">IF($A348="","",IF(INDEX('主表 Stock_Transaction_Log'!$R:$R,$A348)=0,"",INDEX('主表 Stock_Transaction_Log'!$R:$R,$A348)))</f>
        <v/>
      </c>
      <c r="H348" s="172" t="str">
        <f t="array" ref="H348">IF($A348="","",SUMIF('主表 Stock_Transaction_Log'!$T:$T,INDEX('主表 Stock_Transaction_Log'!$T:$T,$A348),'主表 Stock_Transaction_Log'!$S:$S)+SUMIF('主表 Stock_Transaction_Log'!$AB:$AB,INDEX('主表 Stock_Transaction_Log'!$T:$T,$A348),'主表 Stock_Transaction_Log'!$AC:$AC))</f>
        <v/>
      </c>
      <c r="I348" s="172" t="str">
        <f t="shared" si="1"/>
        <v/>
      </c>
      <c r="J348" s="172" t="str">
        <f t="shared" si="2"/>
        <v/>
      </c>
      <c r="K348" s="172" t="str">
        <f t="shared" si="3"/>
        <v/>
      </c>
      <c r="L348" s="172" t="str">
        <f t="array" ref="L348">IF($A348="","",INDEX('主表 Stock_Transaction_Log'!$P:$P,$A348))</f>
        <v/>
      </c>
      <c r="M348" s="57" t="str">
        <f>IF($A348="","",IF($H348&lt;=0,0,SUMIFS('主表 Stock_Transaction_Log'!$K$2:$K1000,'主表 Stock_Transaction_Log'!$C$2:$C1000,"Prepared",'主表 Stock_Transaction_Log'!$L$2:$L1000,$B348,'主表 Stock_Transaction_Log'!$F$2:$F1000,$C348,'主表 Stock_Transaction_Log'!$G$2:$G1000,$D348,'主表 Stock_Transaction_Log'!$P$2:$P1000,$L348)))</f>
        <v/>
      </c>
      <c r="N348" s="172"/>
      <c r="O348" s="172" t="str">
        <f t="shared" si="4"/>
        <v/>
      </c>
      <c r="P348" s="172" t="str">
        <f t="shared" si="5"/>
        <v/>
      </c>
      <c r="Q348" s="172" t="str">
        <f t="shared" si="9"/>
        <v/>
      </c>
      <c r="R348" s="172" t="str">
        <f t="shared" si="7"/>
        <v/>
      </c>
      <c r="S348" s="172" t="str">
        <f t="shared" si="8"/>
        <v/>
      </c>
    </row>
    <row r="349">
      <c r="A349" s="172" t="str">
        <f>IF('主表 Stock_Transaction_Log'!$T349="","",IF(COUNTIF('主表 Stock_Transaction_Log'!$T$2:$T349,'主表 Stock_Transaction_Log'!$T349)=1,ROW('主表 Stock_Transaction_Log'!$T349),""))</f>
        <v/>
      </c>
      <c r="B349" s="172" t="str">
        <f t="array" ref="B349">IF($A349="","",INDEX('主表 Stock_Transaction_Log'!$Q:$Q,$A349))</f>
        <v/>
      </c>
      <c r="C349" s="172" t="str">
        <f t="array" ref="C349">IF($A349="","",IF(INDEX('主表 Stock_Transaction_Log'!$F:$F,$A349)=0,"",INDEX('主表 Stock_Transaction_Log'!$F:$F,$A349)))</f>
        <v/>
      </c>
      <c r="D349" s="172" t="str">
        <f t="array" ref="D349">IF($A349="","",INDEX('主表 Stock_Transaction_Log'!$G:$G,$A349))</f>
        <v/>
      </c>
      <c r="E349" s="172" t="str">
        <f t="array" ref="E349">IF($A349="","",INDEX('主表 Stock_Transaction_Log'!$H:$H,$A349))</f>
        <v/>
      </c>
      <c r="F349" s="172" t="str">
        <f t="array" ref="F349">IF($A349="","",INDEX('主表 Stock_Transaction_Log'!$I:$I,$A349))</f>
        <v/>
      </c>
      <c r="G349" s="172" t="str">
        <f t="array" ref="G349">IF($A349="","",IF(INDEX('主表 Stock_Transaction_Log'!$R:$R,$A349)=0,"",INDEX('主表 Stock_Transaction_Log'!$R:$R,$A349)))</f>
        <v/>
      </c>
      <c r="H349" s="172" t="str">
        <f t="array" ref="H349">IF($A349="","",SUMIF('主表 Stock_Transaction_Log'!$T:$T,INDEX('主表 Stock_Transaction_Log'!$T:$T,$A349),'主表 Stock_Transaction_Log'!$S:$S)+SUMIF('主表 Stock_Transaction_Log'!$AB:$AB,INDEX('主表 Stock_Transaction_Log'!$T:$T,$A349),'主表 Stock_Transaction_Log'!$AC:$AC))</f>
        <v/>
      </c>
      <c r="I349" s="172" t="str">
        <f t="shared" si="1"/>
        <v/>
      </c>
      <c r="J349" s="172" t="str">
        <f t="shared" si="2"/>
        <v/>
      </c>
      <c r="K349" s="172" t="str">
        <f t="shared" si="3"/>
        <v/>
      </c>
      <c r="L349" s="172" t="str">
        <f t="array" ref="L349">IF($A349="","",INDEX('主表 Stock_Transaction_Log'!$P:$P,$A349))</f>
        <v/>
      </c>
      <c r="M349" s="57" t="str">
        <f>IF($A349="","",IF($H349&lt;=0,0,SUMIFS('主表 Stock_Transaction_Log'!$K$2:$K1000,'主表 Stock_Transaction_Log'!$C$2:$C1000,"Prepared",'主表 Stock_Transaction_Log'!$L$2:$L1000,$B349,'主表 Stock_Transaction_Log'!$F$2:$F1000,$C349,'主表 Stock_Transaction_Log'!$G$2:$G1000,$D349,'主表 Stock_Transaction_Log'!$P$2:$P1000,$L349)))</f>
        <v/>
      </c>
      <c r="N349" s="172"/>
      <c r="O349" s="172" t="str">
        <f t="shared" si="4"/>
        <v/>
      </c>
      <c r="P349" s="172" t="str">
        <f t="shared" si="5"/>
        <v/>
      </c>
      <c r="Q349" s="172" t="str">
        <f t="shared" si="9"/>
        <v/>
      </c>
      <c r="R349" s="172" t="str">
        <f t="shared" si="7"/>
        <v/>
      </c>
      <c r="S349" s="172" t="str">
        <f t="shared" si="8"/>
        <v/>
      </c>
    </row>
    <row r="350">
      <c r="A350" s="172" t="str">
        <f>IF('主表 Stock_Transaction_Log'!$T350="","",IF(COUNTIF('主表 Stock_Transaction_Log'!$T$2:$T350,'主表 Stock_Transaction_Log'!$T350)=1,ROW('主表 Stock_Transaction_Log'!$T350),""))</f>
        <v/>
      </c>
      <c r="B350" s="172" t="str">
        <f t="array" ref="B350">IF($A350="","",INDEX('主表 Stock_Transaction_Log'!$Q:$Q,$A350))</f>
        <v/>
      </c>
      <c r="C350" s="172" t="str">
        <f t="array" ref="C350">IF($A350="","",IF(INDEX('主表 Stock_Transaction_Log'!$F:$F,$A350)=0,"",INDEX('主表 Stock_Transaction_Log'!$F:$F,$A350)))</f>
        <v/>
      </c>
      <c r="D350" s="172" t="str">
        <f t="array" ref="D350">IF($A350="","",INDEX('主表 Stock_Transaction_Log'!$G:$G,$A350))</f>
        <v/>
      </c>
      <c r="E350" s="172" t="str">
        <f t="array" ref="E350">IF($A350="","",INDEX('主表 Stock_Transaction_Log'!$H:$H,$A350))</f>
        <v/>
      </c>
      <c r="F350" s="172" t="str">
        <f t="array" ref="F350">IF($A350="","",INDEX('主表 Stock_Transaction_Log'!$I:$I,$A350))</f>
        <v/>
      </c>
      <c r="G350" s="172" t="str">
        <f t="array" ref="G350">IF($A350="","",IF(INDEX('主表 Stock_Transaction_Log'!$R:$R,$A350)=0,"",INDEX('主表 Stock_Transaction_Log'!$R:$R,$A350)))</f>
        <v/>
      </c>
      <c r="H350" s="172" t="str">
        <f t="array" ref="H350">IF($A350="","",SUMIF('主表 Stock_Transaction_Log'!$T:$T,INDEX('主表 Stock_Transaction_Log'!$T:$T,$A350),'主表 Stock_Transaction_Log'!$S:$S)+SUMIF('主表 Stock_Transaction_Log'!$AB:$AB,INDEX('主表 Stock_Transaction_Log'!$T:$T,$A350),'主表 Stock_Transaction_Log'!$AC:$AC))</f>
        <v/>
      </c>
      <c r="I350" s="172" t="str">
        <f t="shared" si="1"/>
        <v/>
      </c>
      <c r="J350" s="172" t="str">
        <f t="shared" si="2"/>
        <v/>
      </c>
      <c r="K350" s="172" t="str">
        <f t="shared" si="3"/>
        <v/>
      </c>
      <c r="L350" s="172" t="str">
        <f t="array" ref="L350">IF($A350="","",INDEX('主表 Stock_Transaction_Log'!$P:$P,$A350))</f>
        <v/>
      </c>
      <c r="M350" s="57" t="str">
        <f>IF($A350="","",IF($H350&lt;=0,0,SUMIFS('主表 Stock_Transaction_Log'!$K$2:$K1000,'主表 Stock_Transaction_Log'!$C$2:$C1000,"Prepared",'主表 Stock_Transaction_Log'!$L$2:$L1000,$B350,'主表 Stock_Transaction_Log'!$F$2:$F1000,$C350,'主表 Stock_Transaction_Log'!$G$2:$G1000,$D350,'主表 Stock_Transaction_Log'!$P$2:$P1000,$L350)))</f>
        <v/>
      </c>
      <c r="N350" s="172"/>
      <c r="O350" s="172" t="str">
        <f t="shared" si="4"/>
        <v/>
      </c>
      <c r="P350" s="172" t="str">
        <f t="shared" si="5"/>
        <v/>
      </c>
      <c r="Q350" s="172" t="str">
        <f t="shared" si="9"/>
        <v/>
      </c>
      <c r="R350" s="172" t="str">
        <f t="shared" si="7"/>
        <v/>
      </c>
      <c r="S350" s="172" t="str">
        <f t="shared" si="8"/>
        <v/>
      </c>
    </row>
    <row r="351">
      <c r="A351" s="172" t="str">
        <f>IF('主表 Stock_Transaction_Log'!$T351="","",IF(COUNTIF('主表 Stock_Transaction_Log'!$T$2:$T351,'主表 Stock_Transaction_Log'!$T351)=1,ROW('主表 Stock_Transaction_Log'!$T351),""))</f>
        <v/>
      </c>
      <c r="B351" s="172" t="str">
        <f t="array" ref="B351">IF($A351="","",INDEX('主表 Stock_Transaction_Log'!$Q:$Q,$A351))</f>
        <v/>
      </c>
      <c r="C351" s="172" t="str">
        <f t="array" ref="C351">IF($A351="","",IF(INDEX('主表 Stock_Transaction_Log'!$F:$F,$A351)=0,"",INDEX('主表 Stock_Transaction_Log'!$F:$F,$A351)))</f>
        <v/>
      </c>
      <c r="D351" s="172" t="str">
        <f t="array" ref="D351">IF($A351="","",INDEX('主表 Stock_Transaction_Log'!$G:$G,$A351))</f>
        <v/>
      </c>
      <c r="E351" s="172" t="str">
        <f t="array" ref="E351">IF($A351="","",INDEX('主表 Stock_Transaction_Log'!$H:$H,$A351))</f>
        <v/>
      </c>
      <c r="F351" s="172" t="str">
        <f t="array" ref="F351">IF($A351="","",INDEX('主表 Stock_Transaction_Log'!$I:$I,$A351))</f>
        <v/>
      </c>
      <c r="G351" s="172" t="str">
        <f t="array" ref="G351">IF($A351="","",IF(INDEX('主表 Stock_Transaction_Log'!$R:$R,$A351)=0,"",INDEX('主表 Stock_Transaction_Log'!$R:$R,$A351)))</f>
        <v/>
      </c>
      <c r="H351" s="172" t="str">
        <f t="array" ref="H351">IF($A351="","",SUMIF('主表 Stock_Transaction_Log'!$T:$T,INDEX('主表 Stock_Transaction_Log'!$T:$T,$A351),'主表 Stock_Transaction_Log'!$S:$S)+SUMIF('主表 Stock_Transaction_Log'!$AB:$AB,INDEX('主表 Stock_Transaction_Log'!$T:$T,$A351),'主表 Stock_Transaction_Log'!$AC:$AC))</f>
        <v/>
      </c>
      <c r="I351" s="172" t="str">
        <f t="shared" si="1"/>
        <v/>
      </c>
      <c r="J351" s="172" t="str">
        <f t="shared" si="2"/>
        <v/>
      </c>
      <c r="K351" s="172" t="str">
        <f t="shared" si="3"/>
        <v/>
      </c>
      <c r="L351" s="172" t="str">
        <f t="array" ref="L351">IF($A351="","",INDEX('主表 Stock_Transaction_Log'!$P:$P,$A351))</f>
        <v/>
      </c>
      <c r="M351" s="57" t="str">
        <f>IF($A351="","",IF($H351&lt;=0,0,SUMIFS('主表 Stock_Transaction_Log'!$K$2:$K1000,'主表 Stock_Transaction_Log'!$C$2:$C1000,"Prepared",'主表 Stock_Transaction_Log'!$L$2:$L1000,$B351,'主表 Stock_Transaction_Log'!$F$2:$F1000,$C351,'主表 Stock_Transaction_Log'!$G$2:$G1000,$D351,'主表 Stock_Transaction_Log'!$P$2:$P1000,$L351)))</f>
        <v/>
      </c>
      <c r="N351" s="172"/>
      <c r="O351" s="172" t="str">
        <f t="shared" si="4"/>
        <v/>
      </c>
      <c r="P351" s="172" t="str">
        <f t="shared" si="5"/>
        <v/>
      </c>
      <c r="Q351" s="172" t="str">
        <f t="shared" si="9"/>
        <v/>
      </c>
      <c r="R351" s="172" t="str">
        <f t="shared" si="7"/>
        <v/>
      </c>
      <c r="S351" s="172" t="str">
        <f t="shared" si="8"/>
        <v/>
      </c>
    </row>
    <row r="352">
      <c r="A352" s="172" t="str">
        <f>IF('主表 Stock_Transaction_Log'!$T352="","",IF(COUNTIF('主表 Stock_Transaction_Log'!$T$2:$T352,'主表 Stock_Transaction_Log'!$T352)=1,ROW('主表 Stock_Transaction_Log'!$T352),""))</f>
        <v/>
      </c>
      <c r="B352" s="172" t="str">
        <f t="array" ref="B352">IF($A352="","",INDEX('主表 Stock_Transaction_Log'!$Q:$Q,$A352))</f>
        <v/>
      </c>
      <c r="C352" s="172" t="str">
        <f t="array" ref="C352">IF($A352="","",IF(INDEX('主表 Stock_Transaction_Log'!$F:$F,$A352)=0,"",INDEX('主表 Stock_Transaction_Log'!$F:$F,$A352)))</f>
        <v/>
      </c>
      <c r="D352" s="172" t="str">
        <f t="array" ref="D352">IF($A352="","",INDEX('主表 Stock_Transaction_Log'!$G:$G,$A352))</f>
        <v/>
      </c>
      <c r="E352" s="172" t="str">
        <f t="array" ref="E352">IF($A352="","",INDEX('主表 Stock_Transaction_Log'!$H:$H,$A352))</f>
        <v/>
      </c>
      <c r="F352" s="172" t="str">
        <f t="array" ref="F352">IF($A352="","",INDEX('主表 Stock_Transaction_Log'!$I:$I,$A352))</f>
        <v/>
      </c>
      <c r="G352" s="172" t="str">
        <f t="array" ref="G352">IF($A352="","",IF(INDEX('主表 Stock_Transaction_Log'!$R:$R,$A352)=0,"",INDEX('主表 Stock_Transaction_Log'!$R:$R,$A352)))</f>
        <v/>
      </c>
      <c r="H352" s="172" t="str">
        <f t="array" ref="H352">IF($A352="","",SUMIF('主表 Stock_Transaction_Log'!$T:$T,INDEX('主表 Stock_Transaction_Log'!$T:$T,$A352),'主表 Stock_Transaction_Log'!$S:$S)+SUMIF('主表 Stock_Transaction_Log'!$AB:$AB,INDEX('主表 Stock_Transaction_Log'!$T:$T,$A352),'主表 Stock_Transaction_Log'!$AC:$AC))</f>
        <v/>
      </c>
      <c r="I352" s="172" t="str">
        <f t="shared" si="1"/>
        <v/>
      </c>
      <c r="J352" s="172" t="str">
        <f t="shared" si="2"/>
        <v/>
      </c>
      <c r="K352" s="172" t="str">
        <f t="shared" si="3"/>
        <v/>
      </c>
      <c r="L352" s="172" t="str">
        <f t="array" ref="L352">IF($A352="","",INDEX('主表 Stock_Transaction_Log'!$P:$P,$A352))</f>
        <v/>
      </c>
      <c r="M352" s="57" t="str">
        <f>IF($A352="","",IF($H352&lt;=0,0,SUMIFS('主表 Stock_Transaction_Log'!$K$2:$K1000,'主表 Stock_Transaction_Log'!$C$2:$C1000,"Prepared",'主表 Stock_Transaction_Log'!$L$2:$L1000,$B352,'主表 Stock_Transaction_Log'!$F$2:$F1000,$C352,'主表 Stock_Transaction_Log'!$G$2:$G1000,$D352,'主表 Stock_Transaction_Log'!$P$2:$P1000,$L352)))</f>
        <v/>
      </c>
      <c r="N352" s="172"/>
      <c r="O352" s="172" t="str">
        <f t="shared" si="4"/>
        <v/>
      </c>
      <c r="P352" s="172" t="str">
        <f t="shared" si="5"/>
        <v/>
      </c>
      <c r="Q352" s="172" t="str">
        <f t="shared" si="9"/>
        <v/>
      </c>
      <c r="R352" s="172" t="str">
        <f t="shared" si="7"/>
        <v/>
      </c>
      <c r="S352" s="172" t="str">
        <f t="shared" si="8"/>
        <v/>
      </c>
    </row>
    <row r="353">
      <c r="A353" s="172" t="str">
        <f>IF('主表 Stock_Transaction_Log'!$T353="","",IF(COUNTIF('主表 Stock_Transaction_Log'!$T$2:$T353,'主表 Stock_Transaction_Log'!$T353)=1,ROW('主表 Stock_Transaction_Log'!$T353),""))</f>
        <v/>
      </c>
      <c r="B353" s="172" t="str">
        <f t="array" ref="B353">IF($A353="","",INDEX('主表 Stock_Transaction_Log'!$Q:$Q,$A353))</f>
        <v/>
      </c>
      <c r="C353" s="172" t="str">
        <f t="array" ref="C353">IF($A353="","",IF(INDEX('主表 Stock_Transaction_Log'!$F:$F,$A353)=0,"",INDEX('主表 Stock_Transaction_Log'!$F:$F,$A353)))</f>
        <v/>
      </c>
      <c r="D353" s="172" t="str">
        <f t="array" ref="D353">IF($A353="","",INDEX('主表 Stock_Transaction_Log'!$G:$G,$A353))</f>
        <v/>
      </c>
      <c r="E353" s="172" t="str">
        <f t="array" ref="E353">IF($A353="","",INDEX('主表 Stock_Transaction_Log'!$H:$H,$A353))</f>
        <v/>
      </c>
      <c r="F353" s="172" t="str">
        <f t="array" ref="F353">IF($A353="","",INDEX('主表 Stock_Transaction_Log'!$I:$I,$A353))</f>
        <v/>
      </c>
      <c r="G353" s="172" t="str">
        <f t="array" ref="G353">IF($A353="","",IF(INDEX('主表 Stock_Transaction_Log'!$R:$R,$A353)=0,"",INDEX('主表 Stock_Transaction_Log'!$R:$R,$A353)))</f>
        <v/>
      </c>
      <c r="H353" s="172" t="str">
        <f t="array" ref="H353">IF($A353="","",SUMIF('主表 Stock_Transaction_Log'!$T:$T,INDEX('主表 Stock_Transaction_Log'!$T:$T,$A353),'主表 Stock_Transaction_Log'!$S:$S)+SUMIF('主表 Stock_Transaction_Log'!$AB:$AB,INDEX('主表 Stock_Transaction_Log'!$T:$T,$A353),'主表 Stock_Transaction_Log'!$AC:$AC))</f>
        <v/>
      </c>
      <c r="I353" s="172" t="str">
        <f t="shared" si="1"/>
        <v/>
      </c>
      <c r="J353" s="172" t="str">
        <f t="shared" si="2"/>
        <v/>
      </c>
      <c r="K353" s="172" t="str">
        <f t="shared" si="3"/>
        <v/>
      </c>
      <c r="L353" s="172" t="str">
        <f t="array" ref="L353">IF($A353="","",INDEX('主表 Stock_Transaction_Log'!$P:$P,$A353))</f>
        <v/>
      </c>
      <c r="M353" s="57" t="str">
        <f>IF($A353="","",IF($H353&lt;=0,0,SUMIFS('主表 Stock_Transaction_Log'!$K$2:$K1000,'主表 Stock_Transaction_Log'!$C$2:$C1000,"Prepared",'主表 Stock_Transaction_Log'!$L$2:$L1000,$B353,'主表 Stock_Transaction_Log'!$F$2:$F1000,$C353,'主表 Stock_Transaction_Log'!$G$2:$G1000,$D353,'主表 Stock_Transaction_Log'!$P$2:$P1000,$L353)))</f>
        <v/>
      </c>
      <c r="N353" s="172"/>
      <c r="O353" s="172" t="str">
        <f t="shared" si="4"/>
        <v/>
      </c>
      <c r="P353" s="172" t="str">
        <f t="shared" si="5"/>
        <v/>
      </c>
      <c r="Q353" s="172" t="str">
        <f t="shared" si="9"/>
        <v/>
      </c>
      <c r="R353" s="172" t="str">
        <f t="shared" si="7"/>
        <v/>
      </c>
      <c r="S353" s="172" t="str">
        <f t="shared" si="8"/>
        <v/>
      </c>
    </row>
    <row r="354">
      <c r="A354" s="172" t="str">
        <f>IF('主表 Stock_Transaction_Log'!$T354="","",IF(COUNTIF('主表 Stock_Transaction_Log'!$T$2:$T354,'主表 Stock_Transaction_Log'!$T354)=1,ROW('主表 Stock_Transaction_Log'!$T354),""))</f>
        <v/>
      </c>
      <c r="B354" s="172" t="str">
        <f t="array" ref="B354">IF($A354="","",INDEX('主表 Stock_Transaction_Log'!$Q:$Q,$A354))</f>
        <v/>
      </c>
      <c r="C354" s="172" t="str">
        <f t="array" ref="C354">IF($A354="","",IF(INDEX('主表 Stock_Transaction_Log'!$F:$F,$A354)=0,"",INDEX('主表 Stock_Transaction_Log'!$F:$F,$A354)))</f>
        <v/>
      </c>
      <c r="D354" s="172" t="str">
        <f t="array" ref="D354">IF($A354="","",INDEX('主表 Stock_Transaction_Log'!$G:$G,$A354))</f>
        <v/>
      </c>
      <c r="E354" s="172" t="str">
        <f t="array" ref="E354">IF($A354="","",INDEX('主表 Stock_Transaction_Log'!$H:$H,$A354))</f>
        <v/>
      </c>
      <c r="F354" s="172" t="str">
        <f t="array" ref="F354">IF($A354="","",INDEX('主表 Stock_Transaction_Log'!$I:$I,$A354))</f>
        <v/>
      </c>
      <c r="G354" s="172" t="str">
        <f t="array" ref="G354">IF($A354="","",IF(INDEX('主表 Stock_Transaction_Log'!$R:$R,$A354)=0,"",INDEX('主表 Stock_Transaction_Log'!$R:$R,$A354)))</f>
        <v/>
      </c>
      <c r="H354" s="172" t="str">
        <f t="array" ref="H354">IF($A354="","",SUMIF('主表 Stock_Transaction_Log'!$T:$T,INDEX('主表 Stock_Transaction_Log'!$T:$T,$A354),'主表 Stock_Transaction_Log'!$S:$S)+SUMIF('主表 Stock_Transaction_Log'!$AB:$AB,INDEX('主表 Stock_Transaction_Log'!$T:$T,$A354),'主表 Stock_Transaction_Log'!$AC:$AC))</f>
        <v/>
      </c>
      <c r="I354" s="172" t="str">
        <f t="shared" si="1"/>
        <v/>
      </c>
      <c r="J354" s="172" t="str">
        <f t="shared" si="2"/>
        <v/>
      </c>
      <c r="K354" s="172" t="str">
        <f t="shared" si="3"/>
        <v/>
      </c>
      <c r="L354" s="172" t="str">
        <f t="array" ref="L354">IF($A354="","",INDEX('主表 Stock_Transaction_Log'!$P:$P,$A354))</f>
        <v/>
      </c>
      <c r="M354" s="57" t="str">
        <f>IF($A354="","",IF($H354&lt;=0,0,SUMIFS('主表 Stock_Transaction_Log'!$K$2:$K1000,'主表 Stock_Transaction_Log'!$C$2:$C1000,"Prepared",'主表 Stock_Transaction_Log'!$L$2:$L1000,$B354,'主表 Stock_Transaction_Log'!$F$2:$F1000,$C354,'主表 Stock_Transaction_Log'!$G$2:$G1000,$D354,'主表 Stock_Transaction_Log'!$P$2:$P1000,$L354)))</f>
        <v/>
      </c>
      <c r="N354" s="172"/>
      <c r="O354" s="172" t="str">
        <f t="shared" si="4"/>
        <v/>
      </c>
      <c r="P354" s="172" t="str">
        <f t="shared" si="5"/>
        <v/>
      </c>
      <c r="Q354" s="172" t="str">
        <f t="shared" si="9"/>
        <v/>
      </c>
      <c r="R354" s="172" t="str">
        <f t="shared" si="7"/>
        <v/>
      </c>
      <c r="S354" s="172" t="str">
        <f t="shared" si="8"/>
        <v/>
      </c>
    </row>
    <row r="355">
      <c r="A355" s="172" t="str">
        <f>IF('主表 Stock_Transaction_Log'!$T355="","",IF(COUNTIF('主表 Stock_Transaction_Log'!$T$2:$T355,'主表 Stock_Transaction_Log'!$T355)=1,ROW('主表 Stock_Transaction_Log'!$T355),""))</f>
        <v/>
      </c>
      <c r="B355" s="172" t="str">
        <f t="array" ref="B355">IF($A355="","",INDEX('主表 Stock_Transaction_Log'!$Q:$Q,$A355))</f>
        <v/>
      </c>
      <c r="C355" s="172" t="str">
        <f t="array" ref="C355">IF($A355="","",IF(INDEX('主表 Stock_Transaction_Log'!$F:$F,$A355)=0,"",INDEX('主表 Stock_Transaction_Log'!$F:$F,$A355)))</f>
        <v/>
      </c>
      <c r="D355" s="172" t="str">
        <f t="array" ref="D355">IF($A355="","",INDEX('主表 Stock_Transaction_Log'!$G:$G,$A355))</f>
        <v/>
      </c>
      <c r="E355" s="172" t="str">
        <f t="array" ref="E355">IF($A355="","",INDEX('主表 Stock_Transaction_Log'!$H:$H,$A355))</f>
        <v/>
      </c>
      <c r="F355" s="172" t="str">
        <f t="array" ref="F355">IF($A355="","",INDEX('主表 Stock_Transaction_Log'!$I:$I,$A355))</f>
        <v/>
      </c>
      <c r="G355" s="172" t="str">
        <f t="array" ref="G355">IF($A355="","",IF(INDEX('主表 Stock_Transaction_Log'!$R:$R,$A355)=0,"",INDEX('主表 Stock_Transaction_Log'!$R:$R,$A355)))</f>
        <v/>
      </c>
      <c r="H355" s="172" t="str">
        <f t="array" ref="H355">IF($A355="","",SUMIF('主表 Stock_Transaction_Log'!$T:$T,INDEX('主表 Stock_Transaction_Log'!$T:$T,$A355),'主表 Stock_Transaction_Log'!$S:$S)+SUMIF('主表 Stock_Transaction_Log'!$AB:$AB,INDEX('主表 Stock_Transaction_Log'!$T:$T,$A355),'主表 Stock_Transaction_Log'!$AC:$AC))</f>
        <v/>
      </c>
      <c r="I355" s="172" t="str">
        <f t="shared" si="1"/>
        <v/>
      </c>
      <c r="J355" s="172" t="str">
        <f t="shared" si="2"/>
        <v/>
      </c>
      <c r="K355" s="172" t="str">
        <f t="shared" si="3"/>
        <v/>
      </c>
      <c r="L355" s="172" t="str">
        <f t="array" ref="L355">IF($A355="","",INDEX('主表 Stock_Transaction_Log'!$P:$P,$A355))</f>
        <v/>
      </c>
      <c r="M355" s="57" t="str">
        <f>IF($A355="","",IF($H355&lt;=0,0,SUMIFS('主表 Stock_Transaction_Log'!$K$2:$K1000,'主表 Stock_Transaction_Log'!$C$2:$C1000,"Prepared",'主表 Stock_Transaction_Log'!$L$2:$L1000,$B355,'主表 Stock_Transaction_Log'!$F$2:$F1000,$C355,'主表 Stock_Transaction_Log'!$G$2:$G1000,$D355,'主表 Stock_Transaction_Log'!$P$2:$P1000,$L355)))</f>
        <v/>
      </c>
      <c r="N355" s="172"/>
      <c r="O355" s="172" t="str">
        <f t="shared" si="4"/>
        <v/>
      </c>
      <c r="P355" s="172" t="str">
        <f t="shared" si="5"/>
        <v/>
      </c>
      <c r="Q355" s="172" t="str">
        <f t="shared" si="9"/>
        <v/>
      </c>
      <c r="R355" s="172" t="str">
        <f t="shared" si="7"/>
        <v/>
      </c>
      <c r="S355" s="172" t="str">
        <f t="shared" si="8"/>
        <v/>
      </c>
    </row>
    <row r="356">
      <c r="A356" s="172" t="str">
        <f>IF('主表 Stock_Transaction_Log'!$T356="","",IF(COUNTIF('主表 Stock_Transaction_Log'!$T$2:$T356,'主表 Stock_Transaction_Log'!$T356)=1,ROW('主表 Stock_Transaction_Log'!$T356),""))</f>
        <v/>
      </c>
      <c r="B356" s="172" t="str">
        <f t="array" ref="B356">IF($A356="","",INDEX('主表 Stock_Transaction_Log'!$Q:$Q,$A356))</f>
        <v/>
      </c>
      <c r="C356" s="172" t="str">
        <f t="array" ref="C356">IF($A356="","",IF(INDEX('主表 Stock_Transaction_Log'!$F:$F,$A356)=0,"",INDEX('主表 Stock_Transaction_Log'!$F:$F,$A356)))</f>
        <v/>
      </c>
      <c r="D356" s="172" t="str">
        <f t="array" ref="D356">IF($A356="","",INDEX('主表 Stock_Transaction_Log'!$G:$G,$A356))</f>
        <v/>
      </c>
      <c r="E356" s="172" t="str">
        <f t="array" ref="E356">IF($A356="","",INDEX('主表 Stock_Transaction_Log'!$H:$H,$A356))</f>
        <v/>
      </c>
      <c r="F356" s="172" t="str">
        <f t="array" ref="F356">IF($A356="","",INDEX('主表 Stock_Transaction_Log'!$I:$I,$A356))</f>
        <v/>
      </c>
      <c r="G356" s="172" t="str">
        <f t="array" ref="G356">IF($A356="","",IF(INDEX('主表 Stock_Transaction_Log'!$R:$R,$A356)=0,"",INDEX('主表 Stock_Transaction_Log'!$R:$R,$A356)))</f>
        <v/>
      </c>
      <c r="H356" s="172" t="str">
        <f t="array" ref="H356">IF($A356="","",SUMIF('主表 Stock_Transaction_Log'!$T:$T,INDEX('主表 Stock_Transaction_Log'!$T:$T,$A356),'主表 Stock_Transaction_Log'!$S:$S)+SUMIF('主表 Stock_Transaction_Log'!$AB:$AB,INDEX('主表 Stock_Transaction_Log'!$T:$T,$A356),'主表 Stock_Transaction_Log'!$AC:$AC))</f>
        <v/>
      </c>
      <c r="I356" s="172" t="str">
        <f t="shared" si="1"/>
        <v/>
      </c>
      <c r="J356" s="172" t="str">
        <f t="shared" si="2"/>
        <v/>
      </c>
      <c r="K356" s="172" t="str">
        <f t="shared" si="3"/>
        <v/>
      </c>
      <c r="L356" s="172" t="str">
        <f t="array" ref="L356">IF($A356="","",INDEX('主表 Stock_Transaction_Log'!$P:$P,$A356))</f>
        <v/>
      </c>
      <c r="M356" s="57" t="str">
        <f>IF($A356="","",IF($H356&lt;=0,0,SUMIFS('主表 Stock_Transaction_Log'!$K$2:$K1000,'主表 Stock_Transaction_Log'!$C$2:$C1000,"Prepared",'主表 Stock_Transaction_Log'!$L$2:$L1000,$B356,'主表 Stock_Transaction_Log'!$F$2:$F1000,$C356,'主表 Stock_Transaction_Log'!$G$2:$G1000,$D356,'主表 Stock_Transaction_Log'!$P$2:$P1000,$L356)))</f>
        <v/>
      </c>
      <c r="N356" s="172"/>
      <c r="O356" s="172" t="str">
        <f t="shared" si="4"/>
        <v/>
      </c>
      <c r="P356" s="172" t="str">
        <f t="shared" si="5"/>
        <v/>
      </c>
      <c r="Q356" s="172" t="str">
        <f t="shared" si="9"/>
        <v/>
      </c>
      <c r="R356" s="172" t="str">
        <f t="shared" si="7"/>
        <v/>
      </c>
      <c r="S356" s="172" t="str">
        <f t="shared" si="8"/>
        <v/>
      </c>
    </row>
    <row r="357">
      <c r="A357" s="172" t="str">
        <f>IF('主表 Stock_Transaction_Log'!$T357="","",IF(COUNTIF('主表 Stock_Transaction_Log'!$T$2:$T357,'主表 Stock_Transaction_Log'!$T357)=1,ROW('主表 Stock_Transaction_Log'!$T357),""))</f>
        <v/>
      </c>
      <c r="B357" s="172" t="str">
        <f t="array" ref="B357">IF($A357="","",INDEX('主表 Stock_Transaction_Log'!$Q:$Q,$A357))</f>
        <v/>
      </c>
      <c r="C357" s="172" t="str">
        <f t="array" ref="C357">IF($A357="","",IF(INDEX('主表 Stock_Transaction_Log'!$F:$F,$A357)=0,"",INDEX('主表 Stock_Transaction_Log'!$F:$F,$A357)))</f>
        <v/>
      </c>
      <c r="D357" s="172" t="str">
        <f t="array" ref="D357">IF($A357="","",INDEX('主表 Stock_Transaction_Log'!$G:$G,$A357))</f>
        <v/>
      </c>
      <c r="E357" s="172" t="str">
        <f t="array" ref="E357">IF($A357="","",INDEX('主表 Stock_Transaction_Log'!$H:$H,$A357))</f>
        <v/>
      </c>
      <c r="F357" s="172" t="str">
        <f t="array" ref="F357">IF($A357="","",INDEX('主表 Stock_Transaction_Log'!$I:$I,$A357))</f>
        <v/>
      </c>
      <c r="G357" s="172" t="str">
        <f t="array" ref="G357">IF($A357="","",IF(INDEX('主表 Stock_Transaction_Log'!$R:$R,$A357)=0,"",INDEX('主表 Stock_Transaction_Log'!$R:$R,$A357)))</f>
        <v/>
      </c>
      <c r="H357" s="172" t="str">
        <f t="array" ref="H357">IF($A357="","",SUMIF('主表 Stock_Transaction_Log'!$T:$T,INDEX('主表 Stock_Transaction_Log'!$T:$T,$A357),'主表 Stock_Transaction_Log'!$S:$S)+SUMIF('主表 Stock_Transaction_Log'!$AB:$AB,INDEX('主表 Stock_Transaction_Log'!$T:$T,$A357),'主表 Stock_Transaction_Log'!$AC:$AC))</f>
        <v/>
      </c>
      <c r="I357" s="172" t="str">
        <f t="shared" si="1"/>
        <v/>
      </c>
      <c r="J357" s="172" t="str">
        <f t="shared" si="2"/>
        <v/>
      </c>
      <c r="K357" s="172" t="str">
        <f t="shared" si="3"/>
        <v/>
      </c>
      <c r="L357" s="172" t="str">
        <f t="array" ref="L357">IF($A357="","",INDEX('主表 Stock_Transaction_Log'!$P:$P,$A357))</f>
        <v/>
      </c>
      <c r="M357" s="57" t="str">
        <f>IF($A357="","",IF($H357&lt;=0,0,SUMIFS('主表 Stock_Transaction_Log'!$K$2:$K1000,'主表 Stock_Transaction_Log'!$C$2:$C1000,"Prepared",'主表 Stock_Transaction_Log'!$L$2:$L1000,$B357,'主表 Stock_Transaction_Log'!$F$2:$F1000,$C357,'主表 Stock_Transaction_Log'!$G$2:$G1000,$D357,'主表 Stock_Transaction_Log'!$P$2:$P1000,$L357)))</f>
        <v/>
      </c>
      <c r="N357" s="172"/>
      <c r="O357" s="172" t="str">
        <f t="shared" si="4"/>
        <v/>
      </c>
      <c r="P357" s="172" t="str">
        <f t="shared" si="5"/>
        <v/>
      </c>
      <c r="Q357" s="172" t="str">
        <f t="shared" si="9"/>
        <v/>
      </c>
      <c r="R357" s="172" t="str">
        <f t="shared" si="7"/>
        <v/>
      </c>
      <c r="S357" s="172" t="str">
        <f t="shared" si="8"/>
        <v/>
      </c>
    </row>
    <row r="358">
      <c r="A358" s="172" t="str">
        <f>IF('主表 Stock_Transaction_Log'!$T358="","",IF(COUNTIF('主表 Stock_Transaction_Log'!$T$2:$T358,'主表 Stock_Transaction_Log'!$T358)=1,ROW('主表 Stock_Transaction_Log'!$T358),""))</f>
        <v/>
      </c>
      <c r="B358" s="172" t="str">
        <f t="array" ref="B358">IF($A358="","",INDEX('主表 Stock_Transaction_Log'!$Q:$Q,$A358))</f>
        <v/>
      </c>
      <c r="C358" s="172" t="str">
        <f t="array" ref="C358">IF($A358="","",IF(INDEX('主表 Stock_Transaction_Log'!$F:$F,$A358)=0,"",INDEX('主表 Stock_Transaction_Log'!$F:$F,$A358)))</f>
        <v/>
      </c>
      <c r="D358" s="172" t="str">
        <f t="array" ref="D358">IF($A358="","",INDEX('主表 Stock_Transaction_Log'!$G:$G,$A358))</f>
        <v/>
      </c>
      <c r="E358" s="172" t="str">
        <f t="array" ref="E358">IF($A358="","",INDEX('主表 Stock_Transaction_Log'!$H:$H,$A358))</f>
        <v/>
      </c>
      <c r="F358" s="172" t="str">
        <f t="array" ref="F358">IF($A358="","",INDEX('主表 Stock_Transaction_Log'!$I:$I,$A358))</f>
        <v/>
      </c>
      <c r="G358" s="172" t="str">
        <f t="array" ref="G358">IF($A358="","",IF(INDEX('主表 Stock_Transaction_Log'!$R:$R,$A358)=0,"",INDEX('主表 Stock_Transaction_Log'!$R:$R,$A358)))</f>
        <v/>
      </c>
      <c r="H358" s="172" t="str">
        <f t="array" ref="H358">IF($A358="","",SUMIF('主表 Stock_Transaction_Log'!$T:$T,INDEX('主表 Stock_Transaction_Log'!$T:$T,$A358),'主表 Stock_Transaction_Log'!$S:$S)+SUMIF('主表 Stock_Transaction_Log'!$AB:$AB,INDEX('主表 Stock_Transaction_Log'!$T:$T,$A358),'主表 Stock_Transaction_Log'!$AC:$AC))</f>
        <v/>
      </c>
      <c r="I358" s="172" t="str">
        <f t="shared" si="1"/>
        <v/>
      </c>
      <c r="J358" s="172" t="str">
        <f t="shared" si="2"/>
        <v/>
      </c>
      <c r="K358" s="172" t="str">
        <f t="shared" si="3"/>
        <v/>
      </c>
      <c r="L358" s="172" t="str">
        <f t="array" ref="L358">IF($A358="","",INDEX('主表 Stock_Transaction_Log'!$P:$P,$A358))</f>
        <v/>
      </c>
      <c r="M358" s="57" t="str">
        <f>IF($A358="","",IF($H358&lt;=0,0,SUMIFS('主表 Stock_Transaction_Log'!$K$2:$K1000,'主表 Stock_Transaction_Log'!$C$2:$C1000,"Prepared",'主表 Stock_Transaction_Log'!$L$2:$L1000,$B358,'主表 Stock_Transaction_Log'!$F$2:$F1000,$C358,'主表 Stock_Transaction_Log'!$G$2:$G1000,$D358,'主表 Stock_Transaction_Log'!$P$2:$P1000,$L358)))</f>
        <v/>
      </c>
      <c r="N358" s="172"/>
      <c r="O358" s="172" t="str">
        <f t="shared" si="4"/>
        <v/>
      </c>
      <c r="P358" s="172" t="str">
        <f t="shared" si="5"/>
        <v/>
      </c>
      <c r="Q358" s="172" t="str">
        <f t="shared" si="9"/>
        <v/>
      </c>
      <c r="R358" s="172" t="str">
        <f t="shared" si="7"/>
        <v/>
      </c>
      <c r="S358" s="172" t="str">
        <f t="shared" si="8"/>
        <v/>
      </c>
    </row>
    <row r="359">
      <c r="A359" s="172" t="str">
        <f>IF('主表 Stock_Transaction_Log'!$T359="","",IF(COUNTIF('主表 Stock_Transaction_Log'!$T$2:$T359,'主表 Stock_Transaction_Log'!$T359)=1,ROW('主表 Stock_Transaction_Log'!$T359),""))</f>
        <v/>
      </c>
      <c r="B359" s="172" t="str">
        <f t="array" ref="B359">IF($A359="","",INDEX('主表 Stock_Transaction_Log'!$Q:$Q,$A359))</f>
        <v/>
      </c>
      <c r="C359" s="172" t="str">
        <f t="array" ref="C359">IF($A359="","",IF(INDEX('主表 Stock_Transaction_Log'!$F:$F,$A359)=0,"",INDEX('主表 Stock_Transaction_Log'!$F:$F,$A359)))</f>
        <v/>
      </c>
      <c r="D359" s="172" t="str">
        <f t="array" ref="D359">IF($A359="","",INDEX('主表 Stock_Transaction_Log'!$G:$G,$A359))</f>
        <v/>
      </c>
      <c r="E359" s="172" t="str">
        <f t="array" ref="E359">IF($A359="","",INDEX('主表 Stock_Transaction_Log'!$H:$H,$A359))</f>
        <v/>
      </c>
      <c r="F359" s="172" t="str">
        <f t="array" ref="F359">IF($A359="","",INDEX('主表 Stock_Transaction_Log'!$I:$I,$A359))</f>
        <v/>
      </c>
      <c r="G359" s="172" t="str">
        <f t="array" ref="G359">IF($A359="","",IF(INDEX('主表 Stock_Transaction_Log'!$R:$R,$A359)=0,"",INDEX('主表 Stock_Transaction_Log'!$R:$R,$A359)))</f>
        <v/>
      </c>
      <c r="H359" s="172" t="str">
        <f t="array" ref="H359">IF($A359="","",SUMIF('主表 Stock_Transaction_Log'!$T:$T,INDEX('主表 Stock_Transaction_Log'!$T:$T,$A359),'主表 Stock_Transaction_Log'!$S:$S)+SUMIF('主表 Stock_Transaction_Log'!$AB:$AB,INDEX('主表 Stock_Transaction_Log'!$T:$T,$A359),'主表 Stock_Transaction_Log'!$AC:$AC))</f>
        <v/>
      </c>
      <c r="I359" s="172" t="str">
        <f t="shared" si="1"/>
        <v/>
      </c>
      <c r="J359" s="172" t="str">
        <f t="shared" si="2"/>
        <v/>
      </c>
      <c r="K359" s="172" t="str">
        <f t="shared" si="3"/>
        <v/>
      </c>
      <c r="L359" s="172" t="str">
        <f t="array" ref="L359">IF($A359="","",INDEX('主表 Stock_Transaction_Log'!$P:$P,$A359))</f>
        <v/>
      </c>
      <c r="M359" s="57" t="str">
        <f>IF($A359="","",IF($H359&lt;=0,0,SUMIFS('主表 Stock_Transaction_Log'!$K$2:$K1000,'主表 Stock_Transaction_Log'!$C$2:$C1000,"Prepared",'主表 Stock_Transaction_Log'!$L$2:$L1000,$B359,'主表 Stock_Transaction_Log'!$F$2:$F1000,$C359,'主表 Stock_Transaction_Log'!$G$2:$G1000,$D359,'主表 Stock_Transaction_Log'!$P$2:$P1000,$L359)))</f>
        <v/>
      </c>
      <c r="N359" s="172"/>
      <c r="O359" s="172" t="str">
        <f t="shared" si="4"/>
        <v/>
      </c>
      <c r="P359" s="172" t="str">
        <f t="shared" si="5"/>
        <v/>
      </c>
      <c r="Q359" s="172" t="str">
        <f t="shared" si="9"/>
        <v/>
      </c>
      <c r="R359" s="172" t="str">
        <f t="shared" si="7"/>
        <v/>
      </c>
      <c r="S359" s="172" t="str">
        <f t="shared" si="8"/>
        <v/>
      </c>
    </row>
    <row r="360">
      <c r="A360" s="172" t="str">
        <f>IF('主表 Stock_Transaction_Log'!$T360="","",IF(COUNTIF('主表 Stock_Transaction_Log'!$T$2:$T360,'主表 Stock_Transaction_Log'!$T360)=1,ROW('主表 Stock_Transaction_Log'!$T360),""))</f>
        <v/>
      </c>
      <c r="B360" s="172" t="str">
        <f t="array" ref="B360">IF($A360="","",INDEX('主表 Stock_Transaction_Log'!$Q:$Q,$A360))</f>
        <v/>
      </c>
      <c r="C360" s="172" t="str">
        <f t="array" ref="C360">IF($A360="","",IF(INDEX('主表 Stock_Transaction_Log'!$F:$F,$A360)=0,"",INDEX('主表 Stock_Transaction_Log'!$F:$F,$A360)))</f>
        <v/>
      </c>
      <c r="D360" s="172" t="str">
        <f t="array" ref="D360">IF($A360="","",INDEX('主表 Stock_Transaction_Log'!$G:$G,$A360))</f>
        <v/>
      </c>
      <c r="E360" s="172" t="str">
        <f t="array" ref="E360">IF($A360="","",INDEX('主表 Stock_Transaction_Log'!$H:$H,$A360))</f>
        <v/>
      </c>
      <c r="F360" s="172" t="str">
        <f t="array" ref="F360">IF($A360="","",INDEX('主表 Stock_Transaction_Log'!$I:$I,$A360))</f>
        <v/>
      </c>
      <c r="G360" s="172" t="str">
        <f t="array" ref="G360">IF($A360="","",IF(INDEX('主表 Stock_Transaction_Log'!$R:$R,$A360)=0,"",INDEX('主表 Stock_Transaction_Log'!$R:$R,$A360)))</f>
        <v/>
      </c>
      <c r="H360" s="172" t="str">
        <f t="array" ref="H360">IF($A360="","",SUMIF('主表 Stock_Transaction_Log'!$T:$T,INDEX('主表 Stock_Transaction_Log'!$T:$T,$A360),'主表 Stock_Transaction_Log'!$S:$S)+SUMIF('主表 Stock_Transaction_Log'!$AB:$AB,INDEX('主表 Stock_Transaction_Log'!$T:$T,$A360),'主表 Stock_Transaction_Log'!$AC:$AC))</f>
        <v/>
      </c>
      <c r="I360" s="172" t="str">
        <f t="shared" si="1"/>
        <v/>
      </c>
      <c r="J360" s="172" t="str">
        <f t="shared" si="2"/>
        <v/>
      </c>
      <c r="K360" s="172" t="str">
        <f t="shared" si="3"/>
        <v/>
      </c>
      <c r="L360" s="172" t="str">
        <f t="array" ref="L360">IF($A360="","",INDEX('主表 Stock_Transaction_Log'!$P:$P,$A360))</f>
        <v/>
      </c>
      <c r="M360" s="57" t="str">
        <f>IF($A360="","",IF($H360&lt;=0,0,SUMIFS('主表 Stock_Transaction_Log'!$K$2:$K1000,'主表 Stock_Transaction_Log'!$C$2:$C1000,"Prepared",'主表 Stock_Transaction_Log'!$L$2:$L1000,$B360,'主表 Stock_Transaction_Log'!$F$2:$F1000,$C360,'主表 Stock_Transaction_Log'!$G$2:$G1000,$D360,'主表 Stock_Transaction_Log'!$P$2:$P1000,$L360)))</f>
        <v/>
      </c>
      <c r="N360" s="172"/>
      <c r="O360" s="172" t="str">
        <f t="shared" si="4"/>
        <v/>
      </c>
      <c r="P360" s="172" t="str">
        <f t="shared" si="5"/>
        <v/>
      </c>
      <c r="Q360" s="172" t="str">
        <f t="shared" si="9"/>
        <v/>
      </c>
      <c r="R360" s="172" t="str">
        <f t="shared" si="7"/>
        <v/>
      </c>
      <c r="S360" s="172" t="str">
        <f t="shared" si="8"/>
        <v/>
      </c>
    </row>
    <row r="361">
      <c r="A361" s="172" t="str">
        <f>IF('主表 Stock_Transaction_Log'!$T361="","",IF(COUNTIF('主表 Stock_Transaction_Log'!$T$2:$T361,'主表 Stock_Transaction_Log'!$T361)=1,ROW('主表 Stock_Transaction_Log'!$T361),""))</f>
        <v/>
      </c>
      <c r="B361" s="172" t="str">
        <f t="array" ref="B361">IF($A361="","",INDEX('主表 Stock_Transaction_Log'!$Q:$Q,$A361))</f>
        <v/>
      </c>
      <c r="C361" s="172" t="str">
        <f t="array" ref="C361">IF($A361="","",IF(INDEX('主表 Stock_Transaction_Log'!$F:$F,$A361)=0,"",INDEX('主表 Stock_Transaction_Log'!$F:$F,$A361)))</f>
        <v/>
      </c>
      <c r="D361" s="172" t="str">
        <f t="array" ref="D361">IF($A361="","",INDEX('主表 Stock_Transaction_Log'!$G:$G,$A361))</f>
        <v/>
      </c>
      <c r="E361" s="172" t="str">
        <f t="array" ref="E361">IF($A361="","",INDEX('主表 Stock_Transaction_Log'!$H:$H,$A361))</f>
        <v/>
      </c>
      <c r="F361" s="172" t="str">
        <f t="array" ref="F361">IF($A361="","",INDEX('主表 Stock_Transaction_Log'!$I:$I,$A361))</f>
        <v/>
      </c>
      <c r="G361" s="172" t="str">
        <f t="array" ref="G361">IF($A361="","",IF(INDEX('主表 Stock_Transaction_Log'!$R:$R,$A361)=0,"",INDEX('主表 Stock_Transaction_Log'!$R:$R,$A361)))</f>
        <v/>
      </c>
      <c r="H361" s="172" t="str">
        <f t="array" ref="H361">IF($A361="","",SUMIF('主表 Stock_Transaction_Log'!$T:$T,INDEX('主表 Stock_Transaction_Log'!$T:$T,$A361),'主表 Stock_Transaction_Log'!$S:$S)+SUMIF('主表 Stock_Transaction_Log'!$AB:$AB,INDEX('主表 Stock_Transaction_Log'!$T:$T,$A361),'主表 Stock_Transaction_Log'!$AC:$AC))</f>
        <v/>
      </c>
      <c r="I361" s="172" t="str">
        <f t="shared" si="1"/>
        <v/>
      </c>
      <c r="J361" s="172" t="str">
        <f t="shared" si="2"/>
        <v/>
      </c>
      <c r="K361" s="172" t="str">
        <f t="shared" si="3"/>
        <v/>
      </c>
      <c r="L361" s="172" t="str">
        <f t="array" ref="L361">IF($A361="","",INDEX('主表 Stock_Transaction_Log'!$P:$P,$A361))</f>
        <v/>
      </c>
      <c r="M361" s="57" t="str">
        <f>IF($A361="","",IF($H361&lt;=0,0,SUMIFS('主表 Stock_Transaction_Log'!$K$2:$K1000,'主表 Stock_Transaction_Log'!$C$2:$C1000,"Prepared",'主表 Stock_Transaction_Log'!$L$2:$L1000,$B361,'主表 Stock_Transaction_Log'!$F$2:$F1000,$C361,'主表 Stock_Transaction_Log'!$G$2:$G1000,$D361,'主表 Stock_Transaction_Log'!$P$2:$P1000,$L361)))</f>
        <v/>
      </c>
      <c r="N361" s="172"/>
      <c r="O361" s="172" t="str">
        <f t="shared" si="4"/>
        <v/>
      </c>
      <c r="P361" s="172" t="str">
        <f t="shared" si="5"/>
        <v/>
      </c>
      <c r="Q361" s="172" t="str">
        <f t="shared" si="9"/>
        <v/>
      </c>
      <c r="R361" s="172" t="str">
        <f t="shared" si="7"/>
        <v/>
      </c>
      <c r="S361" s="172" t="str">
        <f t="shared" si="8"/>
        <v/>
      </c>
    </row>
    <row r="362">
      <c r="A362" s="172" t="str">
        <f>IF('主表 Stock_Transaction_Log'!$T362="","",IF(COUNTIF('主表 Stock_Transaction_Log'!$T$2:$T362,'主表 Stock_Transaction_Log'!$T362)=1,ROW('主表 Stock_Transaction_Log'!$T362),""))</f>
        <v/>
      </c>
      <c r="B362" s="172" t="str">
        <f t="array" ref="B362">IF($A362="","",INDEX('主表 Stock_Transaction_Log'!$Q:$Q,$A362))</f>
        <v/>
      </c>
      <c r="C362" s="172" t="str">
        <f t="array" ref="C362">IF($A362="","",IF(INDEX('主表 Stock_Transaction_Log'!$F:$F,$A362)=0,"",INDEX('主表 Stock_Transaction_Log'!$F:$F,$A362)))</f>
        <v/>
      </c>
      <c r="D362" s="172" t="str">
        <f t="array" ref="D362">IF($A362="","",INDEX('主表 Stock_Transaction_Log'!$G:$G,$A362))</f>
        <v/>
      </c>
      <c r="E362" s="172" t="str">
        <f t="array" ref="E362">IF($A362="","",INDEX('主表 Stock_Transaction_Log'!$H:$H,$A362))</f>
        <v/>
      </c>
      <c r="F362" s="172" t="str">
        <f t="array" ref="F362">IF($A362="","",INDEX('主表 Stock_Transaction_Log'!$I:$I,$A362))</f>
        <v/>
      </c>
      <c r="G362" s="172" t="str">
        <f t="array" ref="G362">IF($A362="","",IF(INDEX('主表 Stock_Transaction_Log'!$R:$R,$A362)=0,"",INDEX('主表 Stock_Transaction_Log'!$R:$R,$A362)))</f>
        <v/>
      </c>
      <c r="H362" s="172" t="str">
        <f t="array" ref="H362">IF($A362="","",SUMIF('主表 Stock_Transaction_Log'!$T:$T,INDEX('主表 Stock_Transaction_Log'!$T:$T,$A362),'主表 Stock_Transaction_Log'!$S:$S)+SUMIF('主表 Stock_Transaction_Log'!$AB:$AB,INDEX('主表 Stock_Transaction_Log'!$T:$T,$A362),'主表 Stock_Transaction_Log'!$AC:$AC))</f>
        <v/>
      </c>
      <c r="I362" s="172" t="str">
        <f t="shared" si="1"/>
        <v/>
      </c>
      <c r="J362" s="172" t="str">
        <f t="shared" si="2"/>
        <v/>
      </c>
      <c r="K362" s="172" t="str">
        <f t="shared" si="3"/>
        <v/>
      </c>
      <c r="L362" s="172" t="str">
        <f t="array" ref="L362">IF($A362="","",INDEX('主表 Stock_Transaction_Log'!$P:$P,$A362))</f>
        <v/>
      </c>
      <c r="M362" s="57" t="str">
        <f>IF($A362="","",IF($H362&lt;=0,0,SUMIFS('主表 Stock_Transaction_Log'!$K$2:$K1000,'主表 Stock_Transaction_Log'!$C$2:$C1000,"Prepared",'主表 Stock_Transaction_Log'!$L$2:$L1000,$B362,'主表 Stock_Transaction_Log'!$F$2:$F1000,$C362,'主表 Stock_Transaction_Log'!$G$2:$G1000,$D362,'主表 Stock_Transaction_Log'!$P$2:$P1000,$L362)))</f>
        <v/>
      </c>
      <c r="N362" s="172"/>
      <c r="O362" s="172" t="str">
        <f t="shared" si="4"/>
        <v/>
      </c>
      <c r="P362" s="172" t="str">
        <f t="shared" si="5"/>
        <v/>
      </c>
      <c r="Q362" s="172" t="str">
        <f t="shared" si="9"/>
        <v/>
      </c>
      <c r="R362" s="172" t="str">
        <f t="shared" si="7"/>
        <v/>
      </c>
      <c r="S362" s="172" t="str">
        <f t="shared" si="8"/>
        <v/>
      </c>
    </row>
    <row r="363">
      <c r="A363" s="172" t="str">
        <f>IF('主表 Stock_Transaction_Log'!$T363="","",IF(COUNTIF('主表 Stock_Transaction_Log'!$T$2:$T363,'主表 Stock_Transaction_Log'!$T363)=1,ROW('主表 Stock_Transaction_Log'!$T363),""))</f>
        <v/>
      </c>
      <c r="B363" s="172" t="str">
        <f t="array" ref="B363">IF($A363="","",INDEX('主表 Stock_Transaction_Log'!$Q:$Q,$A363))</f>
        <v/>
      </c>
      <c r="C363" s="172" t="str">
        <f t="array" ref="C363">IF($A363="","",IF(INDEX('主表 Stock_Transaction_Log'!$F:$F,$A363)=0,"",INDEX('主表 Stock_Transaction_Log'!$F:$F,$A363)))</f>
        <v/>
      </c>
      <c r="D363" s="172" t="str">
        <f t="array" ref="D363">IF($A363="","",INDEX('主表 Stock_Transaction_Log'!$G:$G,$A363))</f>
        <v/>
      </c>
      <c r="E363" s="172" t="str">
        <f t="array" ref="E363">IF($A363="","",INDEX('主表 Stock_Transaction_Log'!$H:$H,$A363))</f>
        <v/>
      </c>
      <c r="F363" s="172" t="str">
        <f t="array" ref="F363">IF($A363="","",INDEX('主表 Stock_Transaction_Log'!$I:$I,$A363))</f>
        <v/>
      </c>
      <c r="G363" s="172" t="str">
        <f t="array" ref="G363">IF($A363="","",IF(INDEX('主表 Stock_Transaction_Log'!$R:$R,$A363)=0,"",INDEX('主表 Stock_Transaction_Log'!$R:$R,$A363)))</f>
        <v/>
      </c>
      <c r="H363" s="172" t="str">
        <f t="array" ref="H363">IF($A363="","",SUMIF('主表 Stock_Transaction_Log'!$T:$T,INDEX('主表 Stock_Transaction_Log'!$T:$T,$A363),'主表 Stock_Transaction_Log'!$S:$S)+SUMIF('主表 Stock_Transaction_Log'!$AB:$AB,INDEX('主表 Stock_Transaction_Log'!$T:$T,$A363),'主表 Stock_Transaction_Log'!$AC:$AC))</f>
        <v/>
      </c>
      <c r="I363" s="172" t="str">
        <f t="shared" si="1"/>
        <v/>
      </c>
      <c r="J363" s="172" t="str">
        <f t="shared" si="2"/>
        <v/>
      </c>
      <c r="K363" s="172" t="str">
        <f t="shared" si="3"/>
        <v/>
      </c>
      <c r="L363" s="172" t="str">
        <f t="array" ref="L363">IF($A363="","",INDEX('主表 Stock_Transaction_Log'!$P:$P,$A363))</f>
        <v/>
      </c>
      <c r="M363" s="57" t="str">
        <f>IF($A363="","",IF($H363&lt;=0,0,SUMIFS('主表 Stock_Transaction_Log'!$K$2:$K1000,'主表 Stock_Transaction_Log'!$C$2:$C1000,"Prepared",'主表 Stock_Transaction_Log'!$L$2:$L1000,$B363,'主表 Stock_Transaction_Log'!$F$2:$F1000,$C363,'主表 Stock_Transaction_Log'!$G$2:$G1000,$D363,'主表 Stock_Transaction_Log'!$P$2:$P1000,$L363)))</f>
        <v/>
      </c>
      <c r="N363" s="172"/>
      <c r="O363" s="172" t="str">
        <f t="shared" si="4"/>
        <v/>
      </c>
      <c r="P363" s="172" t="str">
        <f t="shared" si="5"/>
        <v/>
      </c>
      <c r="Q363" s="172" t="str">
        <f t="shared" si="9"/>
        <v/>
      </c>
      <c r="R363" s="172" t="str">
        <f t="shared" si="7"/>
        <v/>
      </c>
      <c r="S363" s="172" t="str">
        <f t="shared" si="8"/>
        <v/>
      </c>
    </row>
    <row r="364">
      <c r="A364" s="172" t="str">
        <f>IF('主表 Stock_Transaction_Log'!$T364="","",IF(COUNTIF('主表 Stock_Transaction_Log'!$T$2:$T364,'主表 Stock_Transaction_Log'!$T364)=1,ROW('主表 Stock_Transaction_Log'!$T364),""))</f>
        <v/>
      </c>
      <c r="B364" s="172" t="str">
        <f t="array" ref="B364">IF($A364="","",INDEX('主表 Stock_Transaction_Log'!$Q:$Q,$A364))</f>
        <v/>
      </c>
      <c r="C364" s="172" t="str">
        <f t="array" ref="C364">IF($A364="","",IF(INDEX('主表 Stock_Transaction_Log'!$F:$F,$A364)=0,"",INDEX('主表 Stock_Transaction_Log'!$F:$F,$A364)))</f>
        <v/>
      </c>
      <c r="D364" s="172" t="str">
        <f t="array" ref="D364">IF($A364="","",INDEX('主表 Stock_Transaction_Log'!$G:$G,$A364))</f>
        <v/>
      </c>
      <c r="E364" s="172" t="str">
        <f t="array" ref="E364">IF($A364="","",INDEX('主表 Stock_Transaction_Log'!$H:$H,$A364))</f>
        <v/>
      </c>
      <c r="F364" s="172" t="str">
        <f t="array" ref="F364">IF($A364="","",INDEX('主表 Stock_Transaction_Log'!$I:$I,$A364))</f>
        <v/>
      </c>
      <c r="G364" s="172" t="str">
        <f t="array" ref="G364">IF($A364="","",IF(INDEX('主表 Stock_Transaction_Log'!$R:$R,$A364)=0,"",INDEX('主表 Stock_Transaction_Log'!$R:$R,$A364)))</f>
        <v/>
      </c>
      <c r="H364" s="172" t="str">
        <f t="array" ref="H364">IF($A364="","",SUMIF('主表 Stock_Transaction_Log'!$T:$T,INDEX('主表 Stock_Transaction_Log'!$T:$T,$A364),'主表 Stock_Transaction_Log'!$S:$S)+SUMIF('主表 Stock_Transaction_Log'!$AB:$AB,INDEX('主表 Stock_Transaction_Log'!$T:$T,$A364),'主表 Stock_Transaction_Log'!$AC:$AC))</f>
        <v/>
      </c>
      <c r="I364" s="172" t="str">
        <f t="shared" si="1"/>
        <v/>
      </c>
      <c r="J364" s="172" t="str">
        <f t="shared" si="2"/>
        <v/>
      </c>
      <c r="K364" s="172" t="str">
        <f t="shared" si="3"/>
        <v/>
      </c>
      <c r="L364" s="172" t="str">
        <f t="array" ref="L364">IF($A364="","",INDEX('主表 Stock_Transaction_Log'!$P:$P,$A364))</f>
        <v/>
      </c>
      <c r="M364" s="57" t="str">
        <f>IF($A364="","",IF($H364&lt;=0,0,SUMIFS('主表 Stock_Transaction_Log'!$K$2:$K1000,'主表 Stock_Transaction_Log'!$C$2:$C1000,"Prepared",'主表 Stock_Transaction_Log'!$L$2:$L1000,$B364,'主表 Stock_Transaction_Log'!$F$2:$F1000,$C364,'主表 Stock_Transaction_Log'!$G$2:$G1000,$D364,'主表 Stock_Transaction_Log'!$P$2:$P1000,$L364)))</f>
        <v/>
      </c>
      <c r="N364" s="172"/>
      <c r="O364" s="172" t="str">
        <f t="shared" si="4"/>
        <v/>
      </c>
      <c r="P364" s="172" t="str">
        <f t="shared" si="5"/>
        <v/>
      </c>
      <c r="Q364" s="172" t="str">
        <f t="shared" si="9"/>
        <v/>
      </c>
      <c r="R364" s="172" t="str">
        <f t="shared" si="7"/>
        <v/>
      </c>
      <c r="S364" s="172" t="str">
        <f t="shared" si="8"/>
        <v/>
      </c>
    </row>
    <row r="365">
      <c r="A365" s="172" t="str">
        <f>IF('主表 Stock_Transaction_Log'!$T365="","",IF(COUNTIF('主表 Stock_Transaction_Log'!$T$2:$T365,'主表 Stock_Transaction_Log'!$T365)=1,ROW('主表 Stock_Transaction_Log'!$T365),""))</f>
        <v/>
      </c>
      <c r="B365" s="172" t="str">
        <f t="array" ref="B365">IF($A365="","",INDEX('主表 Stock_Transaction_Log'!$Q:$Q,$A365))</f>
        <v/>
      </c>
      <c r="C365" s="172" t="str">
        <f t="array" ref="C365">IF($A365="","",IF(INDEX('主表 Stock_Transaction_Log'!$F:$F,$A365)=0,"",INDEX('主表 Stock_Transaction_Log'!$F:$F,$A365)))</f>
        <v/>
      </c>
      <c r="D365" s="172" t="str">
        <f t="array" ref="D365">IF($A365="","",INDEX('主表 Stock_Transaction_Log'!$G:$G,$A365))</f>
        <v/>
      </c>
      <c r="E365" s="172" t="str">
        <f t="array" ref="E365">IF($A365="","",INDEX('主表 Stock_Transaction_Log'!$H:$H,$A365))</f>
        <v/>
      </c>
      <c r="F365" s="172" t="str">
        <f t="array" ref="F365">IF($A365="","",INDEX('主表 Stock_Transaction_Log'!$I:$I,$A365))</f>
        <v/>
      </c>
      <c r="G365" s="172" t="str">
        <f t="array" ref="G365">IF($A365="","",IF(INDEX('主表 Stock_Transaction_Log'!$R:$R,$A365)=0,"",INDEX('主表 Stock_Transaction_Log'!$R:$R,$A365)))</f>
        <v/>
      </c>
      <c r="H365" s="172" t="str">
        <f t="array" ref="H365">IF($A365="","",SUMIF('主表 Stock_Transaction_Log'!$T:$T,INDEX('主表 Stock_Transaction_Log'!$T:$T,$A365),'主表 Stock_Transaction_Log'!$S:$S)+SUMIF('主表 Stock_Transaction_Log'!$AB:$AB,INDEX('主表 Stock_Transaction_Log'!$T:$T,$A365),'主表 Stock_Transaction_Log'!$AC:$AC))</f>
        <v/>
      </c>
      <c r="I365" s="172" t="str">
        <f t="shared" si="1"/>
        <v/>
      </c>
      <c r="J365" s="172" t="str">
        <f t="shared" si="2"/>
        <v/>
      </c>
      <c r="K365" s="172" t="str">
        <f t="shared" si="3"/>
        <v/>
      </c>
      <c r="L365" s="172" t="str">
        <f t="array" ref="L365">IF($A365="","",INDEX('主表 Stock_Transaction_Log'!$P:$P,$A365))</f>
        <v/>
      </c>
      <c r="M365" s="57" t="str">
        <f>IF($A365="","",IF($H365&lt;=0,0,SUMIFS('主表 Stock_Transaction_Log'!$K$2:$K1000,'主表 Stock_Transaction_Log'!$C$2:$C1000,"Prepared",'主表 Stock_Transaction_Log'!$L$2:$L1000,$B365,'主表 Stock_Transaction_Log'!$F$2:$F1000,$C365,'主表 Stock_Transaction_Log'!$G$2:$G1000,$D365,'主表 Stock_Transaction_Log'!$P$2:$P1000,$L365)))</f>
        <v/>
      </c>
      <c r="N365" s="172"/>
      <c r="O365" s="172" t="str">
        <f t="shared" si="4"/>
        <v/>
      </c>
      <c r="P365" s="172" t="str">
        <f t="shared" si="5"/>
        <v/>
      </c>
      <c r="Q365" s="172" t="str">
        <f t="shared" si="9"/>
        <v/>
      </c>
      <c r="R365" s="172" t="str">
        <f t="shared" si="7"/>
        <v/>
      </c>
      <c r="S365" s="172" t="str">
        <f t="shared" si="8"/>
        <v/>
      </c>
    </row>
    <row r="366">
      <c r="A366" s="172" t="str">
        <f>IF('主表 Stock_Transaction_Log'!$T366="","",IF(COUNTIF('主表 Stock_Transaction_Log'!$T$2:$T366,'主表 Stock_Transaction_Log'!$T366)=1,ROW('主表 Stock_Transaction_Log'!$T366),""))</f>
        <v/>
      </c>
      <c r="B366" s="172" t="str">
        <f t="array" ref="B366">IF($A366="","",INDEX('主表 Stock_Transaction_Log'!$Q:$Q,$A366))</f>
        <v/>
      </c>
      <c r="C366" s="172" t="str">
        <f t="array" ref="C366">IF($A366="","",IF(INDEX('主表 Stock_Transaction_Log'!$F:$F,$A366)=0,"",INDEX('主表 Stock_Transaction_Log'!$F:$F,$A366)))</f>
        <v/>
      </c>
      <c r="D366" s="172" t="str">
        <f t="array" ref="D366">IF($A366="","",INDEX('主表 Stock_Transaction_Log'!$G:$G,$A366))</f>
        <v/>
      </c>
      <c r="E366" s="172" t="str">
        <f t="array" ref="E366">IF($A366="","",INDEX('主表 Stock_Transaction_Log'!$H:$H,$A366))</f>
        <v/>
      </c>
      <c r="F366" s="172" t="str">
        <f t="array" ref="F366">IF($A366="","",INDEX('主表 Stock_Transaction_Log'!$I:$I,$A366))</f>
        <v/>
      </c>
      <c r="G366" s="172" t="str">
        <f t="array" ref="G366">IF($A366="","",IF(INDEX('主表 Stock_Transaction_Log'!$R:$R,$A366)=0,"",INDEX('主表 Stock_Transaction_Log'!$R:$R,$A366)))</f>
        <v/>
      </c>
      <c r="H366" s="172" t="str">
        <f t="array" ref="H366">IF($A366="","",SUMIF('主表 Stock_Transaction_Log'!$T:$T,INDEX('主表 Stock_Transaction_Log'!$T:$T,$A366),'主表 Stock_Transaction_Log'!$S:$S)+SUMIF('主表 Stock_Transaction_Log'!$AB:$AB,INDEX('主表 Stock_Transaction_Log'!$T:$T,$A366),'主表 Stock_Transaction_Log'!$AC:$AC))</f>
        <v/>
      </c>
      <c r="I366" s="172" t="str">
        <f t="shared" si="1"/>
        <v/>
      </c>
      <c r="J366" s="172" t="str">
        <f t="shared" si="2"/>
        <v/>
      </c>
      <c r="K366" s="172" t="str">
        <f t="shared" si="3"/>
        <v/>
      </c>
      <c r="L366" s="172" t="str">
        <f t="array" ref="L366">IF($A366="","",INDEX('主表 Stock_Transaction_Log'!$P:$P,$A366))</f>
        <v/>
      </c>
      <c r="M366" s="57" t="str">
        <f>IF($A366="","",IF($H366&lt;=0,0,SUMIFS('主表 Stock_Transaction_Log'!$K$2:$K1000,'主表 Stock_Transaction_Log'!$C$2:$C1000,"Prepared",'主表 Stock_Transaction_Log'!$L$2:$L1000,$B366,'主表 Stock_Transaction_Log'!$F$2:$F1000,$C366,'主表 Stock_Transaction_Log'!$G$2:$G1000,$D366,'主表 Stock_Transaction_Log'!$P$2:$P1000,$L366)))</f>
        <v/>
      </c>
      <c r="N366" s="172"/>
      <c r="O366" s="172" t="str">
        <f t="shared" si="4"/>
        <v/>
      </c>
      <c r="P366" s="172" t="str">
        <f t="shared" si="5"/>
        <v/>
      </c>
      <c r="Q366" s="172" t="str">
        <f t="shared" si="9"/>
        <v/>
      </c>
      <c r="R366" s="172" t="str">
        <f t="shared" si="7"/>
        <v/>
      </c>
      <c r="S366" s="172" t="str">
        <f t="shared" si="8"/>
        <v/>
      </c>
    </row>
    <row r="367">
      <c r="A367" s="172" t="str">
        <f>IF('主表 Stock_Transaction_Log'!$T367="","",IF(COUNTIF('主表 Stock_Transaction_Log'!$T$2:$T367,'主表 Stock_Transaction_Log'!$T367)=1,ROW('主表 Stock_Transaction_Log'!$T367),""))</f>
        <v/>
      </c>
      <c r="B367" s="172" t="str">
        <f t="array" ref="B367">IF($A367="","",INDEX('主表 Stock_Transaction_Log'!$Q:$Q,$A367))</f>
        <v/>
      </c>
      <c r="C367" s="172" t="str">
        <f t="array" ref="C367">IF($A367="","",IF(INDEX('主表 Stock_Transaction_Log'!$F:$F,$A367)=0,"",INDEX('主表 Stock_Transaction_Log'!$F:$F,$A367)))</f>
        <v/>
      </c>
      <c r="D367" s="172" t="str">
        <f t="array" ref="D367">IF($A367="","",INDEX('主表 Stock_Transaction_Log'!$G:$G,$A367))</f>
        <v/>
      </c>
      <c r="E367" s="172" t="str">
        <f t="array" ref="E367">IF($A367="","",INDEX('主表 Stock_Transaction_Log'!$H:$H,$A367))</f>
        <v/>
      </c>
      <c r="F367" s="172" t="str">
        <f t="array" ref="F367">IF($A367="","",INDEX('主表 Stock_Transaction_Log'!$I:$I,$A367))</f>
        <v/>
      </c>
      <c r="G367" s="172" t="str">
        <f t="array" ref="G367">IF($A367="","",IF(INDEX('主表 Stock_Transaction_Log'!$R:$R,$A367)=0,"",INDEX('主表 Stock_Transaction_Log'!$R:$R,$A367)))</f>
        <v/>
      </c>
      <c r="H367" s="172" t="str">
        <f t="array" ref="H367">IF($A367="","",SUMIF('主表 Stock_Transaction_Log'!$T:$T,INDEX('主表 Stock_Transaction_Log'!$T:$T,$A367),'主表 Stock_Transaction_Log'!$S:$S)+SUMIF('主表 Stock_Transaction_Log'!$AB:$AB,INDEX('主表 Stock_Transaction_Log'!$T:$T,$A367),'主表 Stock_Transaction_Log'!$AC:$AC))</f>
        <v/>
      </c>
      <c r="I367" s="172" t="str">
        <f t="shared" si="1"/>
        <v/>
      </c>
      <c r="J367" s="172" t="str">
        <f t="shared" si="2"/>
        <v/>
      </c>
      <c r="K367" s="172" t="str">
        <f t="shared" si="3"/>
        <v/>
      </c>
      <c r="L367" s="172" t="str">
        <f t="array" ref="L367">IF($A367="","",INDEX('主表 Stock_Transaction_Log'!$P:$P,$A367))</f>
        <v/>
      </c>
      <c r="M367" s="57" t="str">
        <f>IF($A367="","",IF($H367&lt;=0,0,SUMIFS('主表 Stock_Transaction_Log'!$K$2:$K1000,'主表 Stock_Transaction_Log'!$C$2:$C1000,"Prepared",'主表 Stock_Transaction_Log'!$L$2:$L1000,$B367,'主表 Stock_Transaction_Log'!$F$2:$F1000,$C367,'主表 Stock_Transaction_Log'!$G$2:$G1000,$D367,'主表 Stock_Transaction_Log'!$P$2:$P1000,$L367)))</f>
        <v/>
      </c>
      <c r="N367" s="172"/>
      <c r="O367" s="172" t="str">
        <f t="shared" si="4"/>
        <v/>
      </c>
      <c r="P367" s="172" t="str">
        <f t="shared" si="5"/>
        <v/>
      </c>
      <c r="Q367" s="172" t="str">
        <f t="shared" si="9"/>
        <v/>
      </c>
      <c r="R367" s="172" t="str">
        <f t="shared" si="7"/>
        <v/>
      </c>
      <c r="S367" s="172" t="str">
        <f t="shared" si="8"/>
        <v/>
      </c>
    </row>
    <row r="368">
      <c r="A368" s="172" t="str">
        <f>IF('主表 Stock_Transaction_Log'!$T368="","",IF(COUNTIF('主表 Stock_Transaction_Log'!$T$2:$T368,'主表 Stock_Transaction_Log'!$T368)=1,ROW('主表 Stock_Transaction_Log'!$T368),""))</f>
        <v/>
      </c>
      <c r="B368" s="172" t="str">
        <f t="array" ref="B368">IF($A368="","",INDEX('主表 Stock_Transaction_Log'!$Q:$Q,$A368))</f>
        <v/>
      </c>
      <c r="C368" s="172" t="str">
        <f t="array" ref="C368">IF($A368="","",IF(INDEX('主表 Stock_Transaction_Log'!$F:$F,$A368)=0,"",INDEX('主表 Stock_Transaction_Log'!$F:$F,$A368)))</f>
        <v/>
      </c>
      <c r="D368" s="172" t="str">
        <f t="array" ref="D368">IF($A368="","",INDEX('主表 Stock_Transaction_Log'!$G:$G,$A368))</f>
        <v/>
      </c>
      <c r="E368" s="172" t="str">
        <f t="array" ref="E368">IF($A368="","",INDEX('主表 Stock_Transaction_Log'!$H:$H,$A368))</f>
        <v/>
      </c>
      <c r="F368" s="172" t="str">
        <f t="array" ref="F368">IF($A368="","",INDEX('主表 Stock_Transaction_Log'!$I:$I,$A368))</f>
        <v/>
      </c>
      <c r="G368" s="172" t="str">
        <f t="array" ref="G368">IF($A368="","",IF(INDEX('主表 Stock_Transaction_Log'!$R:$R,$A368)=0,"",INDEX('主表 Stock_Transaction_Log'!$R:$R,$A368)))</f>
        <v/>
      </c>
      <c r="H368" s="172" t="str">
        <f t="array" ref="H368">IF($A368="","",SUMIF('主表 Stock_Transaction_Log'!$T:$T,INDEX('主表 Stock_Transaction_Log'!$T:$T,$A368),'主表 Stock_Transaction_Log'!$S:$S)+SUMIF('主表 Stock_Transaction_Log'!$AB:$AB,INDEX('主表 Stock_Transaction_Log'!$T:$T,$A368),'主表 Stock_Transaction_Log'!$AC:$AC))</f>
        <v/>
      </c>
      <c r="I368" s="172" t="str">
        <f t="shared" si="1"/>
        <v/>
      </c>
      <c r="J368" s="172" t="str">
        <f t="shared" si="2"/>
        <v/>
      </c>
      <c r="K368" s="172" t="str">
        <f t="shared" si="3"/>
        <v/>
      </c>
      <c r="L368" s="172" t="str">
        <f t="array" ref="L368">IF($A368="","",INDEX('主表 Stock_Transaction_Log'!$P:$P,$A368))</f>
        <v/>
      </c>
      <c r="M368" s="57" t="str">
        <f>IF($A368="","",IF($H368&lt;=0,0,SUMIFS('主表 Stock_Transaction_Log'!$K$2:$K1000,'主表 Stock_Transaction_Log'!$C$2:$C1000,"Prepared",'主表 Stock_Transaction_Log'!$L$2:$L1000,$B368,'主表 Stock_Transaction_Log'!$F$2:$F1000,$C368,'主表 Stock_Transaction_Log'!$G$2:$G1000,$D368,'主表 Stock_Transaction_Log'!$P$2:$P1000,$L368)))</f>
        <v/>
      </c>
      <c r="N368" s="172"/>
      <c r="O368" s="172" t="str">
        <f t="shared" si="4"/>
        <v/>
      </c>
      <c r="P368" s="172" t="str">
        <f t="shared" si="5"/>
        <v/>
      </c>
      <c r="Q368" s="172" t="str">
        <f t="shared" si="9"/>
        <v/>
      </c>
      <c r="R368" s="172" t="str">
        <f t="shared" si="7"/>
        <v/>
      </c>
      <c r="S368" s="172" t="str">
        <f t="shared" si="8"/>
        <v/>
      </c>
    </row>
    <row r="369">
      <c r="A369" s="172" t="str">
        <f>IF('主表 Stock_Transaction_Log'!$T369="","",IF(COUNTIF('主表 Stock_Transaction_Log'!$T$2:$T369,'主表 Stock_Transaction_Log'!$T369)=1,ROW('主表 Stock_Transaction_Log'!$T369),""))</f>
        <v/>
      </c>
      <c r="B369" s="172" t="str">
        <f t="array" ref="B369">IF($A369="","",INDEX('主表 Stock_Transaction_Log'!$Q:$Q,$A369))</f>
        <v/>
      </c>
      <c r="C369" s="172" t="str">
        <f t="array" ref="C369">IF($A369="","",IF(INDEX('主表 Stock_Transaction_Log'!$F:$F,$A369)=0,"",INDEX('主表 Stock_Transaction_Log'!$F:$F,$A369)))</f>
        <v/>
      </c>
      <c r="D369" s="172" t="str">
        <f t="array" ref="D369">IF($A369="","",INDEX('主表 Stock_Transaction_Log'!$G:$G,$A369))</f>
        <v/>
      </c>
      <c r="E369" s="172" t="str">
        <f t="array" ref="E369">IF($A369="","",INDEX('主表 Stock_Transaction_Log'!$H:$H,$A369))</f>
        <v/>
      </c>
      <c r="F369" s="172" t="str">
        <f t="array" ref="F369">IF($A369="","",INDEX('主表 Stock_Transaction_Log'!$I:$I,$A369))</f>
        <v/>
      </c>
      <c r="G369" s="172" t="str">
        <f t="array" ref="G369">IF($A369="","",IF(INDEX('主表 Stock_Transaction_Log'!$R:$R,$A369)=0,"",INDEX('主表 Stock_Transaction_Log'!$R:$R,$A369)))</f>
        <v/>
      </c>
      <c r="H369" s="172" t="str">
        <f t="array" ref="H369">IF($A369="","",SUMIF('主表 Stock_Transaction_Log'!$T:$T,INDEX('主表 Stock_Transaction_Log'!$T:$T,$A369),'主表 Stock_Transaction_Log'!$S:$S)+SUMIF('主表 Stock_Transaction_Log'!$AB:$AB,INDEX('主表 Stock_Transaction_Log'!$T:$T,$A369),'主表 Stock_Transaction_Log'!$AC:$AC))</f>
        <v/>
      </c>
      <c r="I369" s="172" t="str">
        <f t="shared" si="1"/>
        <v/>
      </c>
      <c r="J369" s="172" t="str">
        <f t="shared" si="2"/>
        <v/>
      </c>
      <c r="K369" s="172" t="str">
        <f t="shared" si="3"/>
        <v/>
      </c>
      <c r="L369" s="172" t="str">
        <f t="array" ref="L369">IF($A369="","",INDEX('主表 Stock_Transaction_Log'!$P:$P,$A369))</f>
        <v/>
      </c>
      <c r="M369" s="57" t="str">
        <f>IF($A369="","",IF($H369&lt;=0,0,SUMIFS('主表 Stock_Transaction_Log'!$K$2:$K1000,'主表 Stock_Transaction_Log'!$C$2:$C1000,"Prepared",'主表 Stock_Transaction_Log'!$L$2:$L1000,$B369,'主表 Stock_Transaction_Log'!$F$2:$F1000,$C369,'主表 Stock_Transaction_Log'!$G$2:$G1000,$D369,'主表 Stock_Transaction_Log'!$P$2:$P1000,$L369)))</f>
        <v/>
      </c>
      <c r="N369" s="172"/>
      <c r="O369" s="172" t="str">
        <f t="shared" si="4"/>
        <v/>
      </c>
      <c r="P369" s="172" t="str">
        <f t="shared" si="5"/>
        <v/>
      </c>
      <c r="Q369" s="172" t="str">
        <f t="shared" si="9"/>
        <v/>
      </c>
      <c r="R369" s="172" t="str">
        <f t="shared" si="7"/>
        <v/>
      </c>
      <c r="S369" s="172" t="str">
        <f t="shared" si="8"/>
        <v/>
      </c>
    </row>
    <row r="370">
      <c r="A370" s="172" t="str">
        <f>IF('主表 Stock_Transaction_Log'!$T370="","",IF(COUNTIF('主表 Stock_Transaction_Log'!$T$2:$T370,'主表 Stock_Transaction_Log'!$T370)=1,ROW('主表 Stock_Transaction_Log'!$T370),""))</f>
        <v/>
      </c>
      <c r="B370" s="172" t="str">
        <f t="array" ref="B370">IF($A370="","",INDEX('主表 Stock_Transaction_Log'!$Q:$Q,$A370))</f>
        <v/>
      </c>
      <c r="C370" s="172" t="str">
        <f t="array" ref="C370">IF($A370="","",IF(INDEX('主表 Stock_Transaction_Log'!$F:$F,$A370)=0,"",INDEX('主表 Stock_Transaction_Log'!$F:$F,$A370)))</f>
        <v/>
      </c>
      <c r="D370" s="172" t="str">
        <f t="array" ref="D370">IF($A370="","",INDEX('主表 Stock_Transaction_Log'!$G:$G,$A370))</f>
        <v/>
      </c>
      <c r="E370" s="172" t="str">
        <f t="array" ref="E370">IF($A370="","",INDEX('主表 Stock_Transaction_Log'!$H:$H,$A370))</f>
        <v/>
      </c>
      <c r="F370" s="172" t="str">
        <f t="array" ref="F370">IF($A370="","",INDEX('主表 Stock_Transaction_Log'!$I:$I,$A370))</f>
        <v/>
      </c>
      <c r="G370" s="172" t="str">
        <f t="array" ref="G370">IF($A370="","",IF(INDEX('主表 Stock_Transaction_Log'!$R:$R,$A370)=0,"",INDEX('主表 Stock_Transaction_Log'!$R:$R,$A370)))</f>
        <v/>
      </c>
      <c r="H370" s="172" t="str">
        <f t="array" ref="H370">IF($A370="","",SUMIF('主表 Stock_Transaction_Log'!$T:$T,INDEX('主表 Stock_Transaction_Log'!$T:$T,$A370),'主表 Stock_Transaction_Log'!$S:$S)+SUMIF('主表 Stock_Transaction_Log'!$AB:$AB,INDEX('主表 Stock_Transaction_Log'!$T:$T,$A370),'主表 Stock_Transaction_Log'!$AC:$AC))</f>
        <v/>
      </c>
      <c r="I370" s="172" t="str">
        <f t="shared" si="1"/>
        <v/>
      </c>
      <c r="J370" s="172" t="str">
        <f t="shared" si="2"/>
        <v/>
      </c>
      <c r="K370" s="172" t="str">
        <f t="shared" si="3"/>
        <v/>
      </c>
      <c r="L370" s="172" t="str">
        <f t="array" ref="L370">IF($A370="","",INDEX('主表 Stock_Transaction_Log'!$P:$P,$A370))</f>
        <v/>
      </c>
      <c r="M370" s="57" t="str">
        <f>IF($A370="","",IF($H370&lt;=0,0,SUMIFS('主表 Stock_Transaction_Log'!$K$2:$K1000,'主表 Stock_Transaction_Log'!$C$2:$C1000,"Prepared",'主表 Stock_Transaction_Log'!$L$2:$L1000,$B370,'主表 Stock_Transaction_Log'!$F$2:$F1000,$C370,'主表 Stock_Transaction_Log'!$G$2:$G1000,$D370,'主表 Stock_Transaction_Log'!$P$2:$P1000,$L370)))</f>
        <v/>
      </c>
      <c r="N370" s="172"/>
      <c r="O370" s="172" t="str">
        <f t="shared" si="4"/>
        <v/>
      </c>
      <c r="P370" s="172" t="str">
        <f t="shared" si="5"/>
        <v/>
      </c>
      <c r="Q370" s="172" t="str">
        <f t="shared" si="9"/>
        <v/>
      </c>
      <c r="R370" s="172" t="str">
        <f t="shared" si="7"/>
        <v/>
      </c>
      <c r="S370" s="172" t="str">
        <f t="shared" si="8"/>
        <v/>
      </c>
    </row>
    <row r="371">
      <c r="A371" s="172" t="str">
        <f>IF('主表 Stock_Transaction_Log'!$T371="","",IF(COUNTIF('主表 Stock_Transaction_Log'!$T$2:$T371,'主表 Stock_Transaction_Log'!$T371)=1,ROW('主表 Stock_Transaction_Log'!$T371),""))</f>
        <v/>
      </c>
      <c r="B371" s="172" t="str">
        <f t="array" ref="B371">IF($A371="","",INDEX('主表 Stock_Transaction_Log'!$Q:$Q,$A371))</f>
        <v/>
      </c>
      <c r="C371" s="172" t="str">
        <f t="array" ref="C371">IF($A371="","",IF(INDEX('主表 Stock_Transaction_Log'!$F:$F,$A371)=0,"",INDEX('主表 Stock_Transaction_Log'!$F:$F,$A371)))</f>
        <v/>
      </c>
      <c r="D371" s="172" t="str">
        <f t="array" ref="D371">IF($A371="","",INDEX('主表 Stock_Transaction_Log'!$G:$G,$A371))</f>
        <v/>
      </c>
      <c r="E371" s="172" t="str">
        <f t="array" ref="E371">IF($A371="","",INDEX('主表 Stock_Transaction_Log'!$H:$H,$A371))</f>
        <v/>
      </c>
      <c r="F371" s="172" t="str">
        <f t="array" ref="F371">IF($A371="","",INDEX('主表 Stock_Transaction_Log'!$I:$I,$A371))</f>
        <v/>
      </c>
      <c r="G371" s="172" t="str">
        <f t="array" ref="G371">IF($A371="","",IF(INDEX('主表 Stock_Transaction_Log'!$R:$R,$A371)=0,"",INDEX('主表 Stock_Transaction_Log'!$R:$R,$A371)))</f>
        <v/>
      </c>
      <c r="H371" s="172" t="str">
        <f t="array" ref="H371">IF($A371="","",SUMIF('主表 Stock_Transaction_Log'!$T:$T,INDEX('主表 Stock_Transaction_Log'!$T:$T,$A371),'主表 Stock_Transaction_Log'!$S:$S)+SUMIF('主表 Stock_Transaction_Log'!$AB:$AB,INDEX('主表 Stock_Transaction_Log'!$T:$T,$A371),'主表 Stock_Transaction_Log'!$AC:$AC))</f>
        <v/>
      </c>
      <c r="I371" s="172" t="str">
        <f t="shared" si="1"/>
        <v/>
      </c>
      <c r="J371" s="172" t="str">
        <f t="shared" si="2"/>
        <v/>
      </c>
      <c r="K371" s="172" t="str">
        <f t="shared" si="3"/>
        <v/>
      </c>
      <c r="L371" s="172" t="str">
        <f t="array" ref="L371">IF($A371="","",INDEX('主表 Stock_Transaction_Log'!$P:$P,$A371))</f>
        <v/>
      </c>
      <c r="M371" s="57" t="str">
        <f>IF($A371="","",IF($H371&lt;=0,0,SUMIFS('主表 Stock_Transaction_Log'!$K$2:$K1000,'主表 Stock_Transaction_Log'!$C$2:$C1000,"Prepared",'主表 Stock_Transaction_Log'!$L$2:$L1000,$B371,'主表 Stock_Transaction_Log'!$F$2:$F1000,$C371,'主表 Stock_Transaction_Log'!$G$2:$G1000,$D371,'主表 Stock_Transaction_Log'!$P$2:$P1000,$L371)))</f>
        <v/>
      </c>
      <c r="N371" s="172"/>
      <c r="O371" s="172" t="str">
        <f t="shared" si="4"/>
        <v/>
      </c>
      <c r="P371" s="172" t="str">
        <f t="shared" si="5"/>
        <v/>
      </c>
      <c r="Q371" s="172" t="str">
        <f t="shared" si="9"/>
        <v/>
      </c>
      <c r="R371" s="172" t="str">
        <f t="shared" si="7"/>
        <v/>
      </c>
      <c r="S371" s="172" t="str">
        <f t="shared" si="8"/>
        <v/>
      </c>
    </row>
    <row r="372">
      <c r="A372" s="172" t="str">
        <f>IF('主表 Stock_Transaction_Log'!$T372="","",IF(COUNTIF('主表 Stock_Transaction_Log'!$T$2:$T372,'主表 Stock_Transaction_Log'!$T372)=1,ROW('主表 Stock_Transaction_Log'!$T372),""))</f>
        <v/>
      </c>
      <c r="B372" s="172" t="str">
        <f t="array" ref="B372">IF($A372="","",INDEX('主表 Stock_Transaction_Log'!$Q:$Q,$A372))</f>
        <v/>
      </c>
      <c r="C372" s="172" t="str">
        <f t="array" ref="C372">IF($A372="","",IF(INDEX('主表 Stock_Transaction_Log'!$F:$F,$A372)=0,"",INDEX('主表 Stock_Transaction_Log'!$F:$F,$A372)))</f>
        <v/>
      </c>
      <c r="D372" s="172" t="str">
        <f t="array" ref="D372">IF($A372="","",INDEX('主表 Stock_Transaction_Log'!$G:$G,$A372))</f>
        <v/>
      </c>
      <c r="E372" s="172" t="str">
        <f t="array" ref="E372">IF($A372="","",INDEX('主表 Stock_Transaction_Log'!$H:$H,$A372))</f>
        <v/>
      </c>
      <c r="F372" s="172" t="str">
        <f t="array" ref="F372">IF($A372="","",INDEX('主表 Stock_Transaction_Log'!$I:$I,$A372))</f>
        <v/>
      </c>
      <c r="G372" s="172" t="str">
        <f t="array" ref="G372">IF($A372="","",IF(INDEX('主表 Stock_Transaction_Log'!$R:$R,$A372)=0,"",INDEX('主表 Stock_Transaction_Log'!$R:$R,$A372)))</f>
        <v/>
      </c>
      <c r="H372" s="172" t="str">
        <f t="array" ref="H372">IF($A372="","",SUMIF('主表 Stock_Transaction_Log'!$T:$T,INDEX('主表 Stock_Transaction_Log'!$T:$T,$A372),'主表 Stock_Transaction_Log'!$S:$S)+SUMIF('主表 Stock_Transaction_Log'!$AB:$AB,INDEX('主表 Stock_Transaction_Log'!$T:$T,$A372),'主表 Stock_Transaction_Log'!$AC:$AC))</f>
        <v/>
      </c>
      <c r="I372" s="172" t="str">
        <f t="shared" si="1"/>
        <v/>
      </c>
      <c r="J372" s="172" t="str">
        <f t="shared" si="2"/>
        <v/>
      </c>
      <c r="K372" s="172" t="str">
        <f t="shared" si="3"/>
        <v/>
      </c>
      <c r="L372" s="172" t="str">
        <f t="array" ref="L372">IF($A372="","",INDEX('主表 Stock_Transaction_Log'!$P:$P,$A372))</f>
        <v/>
      </c>
      <c r="M372" s="57" t="str">
        <f>IF($A372="","",IF($H372&lt;=0,0,SUMIFS('主表 Stock_Transaction_Log'!$K$2:$K1000,'主表 Stock_Transaction_Log'!$C$2:$C1000,"Prepared",'主表 Stock_Transaction_Log'!$L$2:$L1000,$B372,'主表 Stock_Transaction_Log'!$F$2:$F1000,$C372,'主表 Stock_Transaction_Log'!$G$2:$G1000,$D372,'主表 Stock_Transaction_Log'!$P$2:$P1000,$L372)))</f>
        <v/>
      </c>
      <c r="N372" s="172"/>
      <c r="O372" s="172" t="str">
        <f t="shared" si="4"/>
        <v/>
      </c>
      <c r="P372" s="172" t="str">
        <f t="shared" si="5"/>
        <v/>
      </c>
      <c r="Q372" s="172" t="str">
        <f t="shared" si="9"/>
        <v/>
      </c>
      <c r="R372" s="172" t="str">
        <f t="shared" si="7"/>
        <v/>
      </c>
      <c r="S372" s="172" t="str">
        <f t="shared" si="8"/>
        <v/>
      </c>
    </row>
    <row r="373">
      <c r="A373" s="172" t="str">
        <f>IF('主表 Stock_Transaction_Log'!$T373="","",IF(COUNTIF('主表 Stock_Transaction_Log'!$T$2:$T373,'主表 Stock_Transaction_Log'!$T373)=1,ROW('主表 Stock_Transaction_Log'!$T373),""))</f>
        <v/>
      </c>
      <c r="B373" s="172" t="str">
        <f t="array" ref="B373">IF($A373="","",INDEX('主表 Stock_Transaction_Log'!$Q:$Q,$A373))</f>
        <v/>
      </c>
      <c r="C373" s="172" t="str">
        <f t="array" ref="C373">IF($A373="","",IF(INDEX('主表 Stock_Transaction_Log'!$F:$F,$A373)=0,"",INDEX('主表 Stock_Transaction_Log'!$F:$F,$A373)))</f>
        <v/>
      </c>
      <c r="D373" s="172" t="str">
        <f t="array" ref="D373">IF($A373="","",INDEX('主表 Stock_Transaction_Log'!$G:$G,$A373))</f>
        <v/>
      </c>
      <c r="E373" s="172" t="str">
        <f t="array" ref="E373">IF($A373="","",INDEX('主表 Stock_Transaction_Log'!$H:$H,$A373))</f>
        <v/>
      </c>
      <c r="F373" s="172" t="str">
        <f t="array" ref="F373">IF($A373="","",INDEX('主表 Stock_Transaction_Log'!$I:$I,$A373))</f>
        <v/>
      </c>
      <c r="G373" s="172" t="str">
        <f t="array" ref="G373">IF($A373="","",IF(INDEX('主表 Stock_Transaction_Log'!$R:$R,$A373)=0,"",INDEX('主表 Stock_Transaction_Log'!$R:$R,$A373)))</f>
        <v/>
      </c>
      <c r="H373" s="172" t="str">
        <f t="array" ref="H373">IF($A373="","",SUMIF('主表 Stock_Transaction_Log'!$T:$T,INDEX('主表 Stock_Transaction_Log'!$T:$T,$A373),'主表 Stock_Transaction_Log'!$S:$S)+SUMIF('主表 Stock_Transaction_Log'!$AB:$AB,INDEX('主表 Stock_Transaction_Log'!$T:$T,$A373),'主表 Stock_Transaction_Log'!$AC:$AC))</f>
        <v/>
      </c>
      <c r="I373" s="172" t="str">
        <f t="shared" si="1"/>
        <v/>
      </c>
      <c r="J373" s="172" t="str">
        <f t="shared" si="2"/>
        <v/>
      </c>
      <c r="K373" s="172" t="str">
        <f t="shared" si="3"/>
        <v/>
      </c>
      <c r="L373" s="172" t="str">
        <f t="array" ref="L373">IF($A373="","",INDEX('主表 Stock_Transaction_Log'!$P:$P,$A373))</f>
        <v/>
      </c>
      <c r="M373" s="57" t="str">
        <f>IF($A373="","",IF($H373&lt;=0,0,SUMIFS('主表 Stock_Transaction_Log'!$K$2:$K1000,'主表 Stock_Transaction_Log'!$C$2:$C1000,"Prepared",'主表 Stock_Transaction_Log'!$L$2:$L1000,$B373,'主表 Stock_Transaction_Log'!$F$2:$F1000,$C373,'主表 Stock_Transaction_Log'!$G$2:$G1000,$D373,'主表 Stock_Transaction_Log'!$P$2:$P1000,$L373)))</f>
        <v/>
      </c>
      <c r="N373" s="172"/>
      <c r="O373" s="172" t="str">
        <f t="shared" si="4"/>
        <v/>
      </c>
      <c r="P373" s="172" t="str">
        <f t="shared" si="5"/>
        <v/>
      </c>
      <c r="Q373" s="172" t="str">
        <f t="shared" si="9"/>
        <v/>
      </c>
      <c r="R373" s="172" t="str">
        <f t="shared" si="7"/>
        <v/>
      </c>
      <c r="S373" s="172" t="str">
        <f t="shared" si="8"/>
        <v/>
      </c>
    </row>
    <row r="374">
      <c r="A374" s="172" t="str">
        <f>IF('主表 Stock_Transaction_Log'!$T374="","",IF(COUNTIF('主表 Stock_Transaction_Log'!$T$2:$T374,'主表 Stock_Transaction_Log'!$T374)=1,ROW('主表 Stock_Transaction_Log'!$T374),""))</f>
        <v/>
      </c>
      <c r="B374" s="172" t="str">
        <f t="array" ref="B374">IF($A374="","",INDEX('主表 Stock_Transaction_Log'!$Q:$Q,$A374))</f>
        <v/>
      </c>
      <c r="C374" s="172" t="str">
        <f t="array" ref="C374">IF($A374="","",IF(INDEX('主表 Stock_Transaction_Log'!$F:$F,$A374)=0,"",INDEX('主表 Stock_Transaction_Log'!$F:$F,$A374)))</f>
        <v/>
      </c>
      <c r="D374" s="172" t="str">
        <f t="array" ref="D374">IF($A374="","",INDEX('主表 Stock_Transaction_Log'!$G:$G,$A374))</f>
        <v/>
      </c>
      <c r="E374" s="172" t="str">
        <f t="array" ref="E374">IF($A374="","",INDEX('主表 Stock_Transaction_Log'!$H:$H,$A374))</f>
        <v/>
      </c>
      <c r="F374" s="172" t="str">
        <f t="array" ref="F374">IF($A374="","",INDEX('主表 Stock_Transaction_Log'!$I:$I,$A374))</f>
        <v/>
      </c>
      <c r="G374" s="172" t="str">
        <f t="array" ref="G374">IF($A374="","",IF(INDEX('主表 Stock_Transaction_Log'!$R:$R,$A374)=0,"",INDEX('主表 Stock_Transaction_Log'!$R:$R,$A374)))</f>
        <v/>
      </c>
      <c r="H374" s="172" t="str">
        <f t="array" ref="H374">IF($A374="","",SUMIF('主表 Stock_Transaction_Log'!$T:$T,INDEX('主表 Stock_Transaction_Log'!$T:$T,$A374),'主表 Stock_Transaction_Log'!$S:$S)+SUMIF('主表 Stock_Transaction_Log'!$AB:$AB,INDEX('主表 Stock_Transaction_Log'!$T:$T,$A374),'主表 Stock_Transaction_Log'!$AC:$AC))</f>
        <v/>
      </c>
      <c r="I374" s="172" t="str">
        <f t="shared" si="1"/>
        <v/>
      </c>
      <c r="J374" s="172" t="str">
        <f t="shared" si="2"/>
        <v/>
      </c>
      <c r="K374" s="172" t="str">
        <f t="shared" si="3"/>
        <v/>
      </c>
      <c r="L374" s="172" t="str">
        <f t="array" ref="L374">IF($A374="","",INDEX('主表 Stock_Transaction_Log'!$P:$P,$A374))</f>
        <v/>
      </c>
      <c r="M374" s="57" t="str">
        <f>IF($A374="","",IF($H374&lt;=0,0,SUMIFS('主表 Stock_Transaction_Log'!$K$2:$K1000,'主表 Stock_Transaction_Log'!$C$2:$C1000,"Prepared",'主表 Stock_Transaction_Log'!$L$2:$L1000,$B374,'主表 Stock_Transaction_Log'!$F$2:$F1000,$C374,'主表 Stock_Transaction_Log'!$G$2:$G1000,$D374,'主表 Stock_Transaction_Log'!$P$2:$P1000,$L374)))</f>
        <v/>
      </c>
      <c r="N374" s="172"/>
      <c r="O374" s="172" t="str">
        <f t="shared" si="4"/>
        <v/>
      </c>
      <c r="P374" s="172" t="str">
        <f t="shared" si="5"/>
        <v/>
      </c>
      <c r="Q374" s="172" t="str">
        <f t="shared" si="9"/>
        <v/>
      </c>
      <c r="R374" s="172" t="str">
        <f t="shared" si="7"/>
        <v/>
      </c>
      <c r="S374" s="172" t="str">
        <f t="shared" si="8"/>
        <v/>
      </c>
    </row>
    <row r="375">
      <c r="A375" s="172" t="str">
        <f>IF('主表 Stock_Transaction_Log'!$T375="","",IF(COUNTIF('主表 Stock_Transaction_Log'!$T$2:$T375,'主表 Stock_Transaction_Log'!$T375)=1,ROW('主表 Stock_Transaction_Log'!$T375),""))</f>
        <v/>
      </c>
      <c r="B375" s="172" t="str">
        <f t="array" ref="B375">IF($A375="","",INDEX('主表 Stock_Transaction_Log'!$Q:$Q,$A375))</f>
        <v/>
      </c>
      <c r="C375" s="172" t="str">
        <f t="array" ref="C375">IF($A375="","",IF(INDEX('主表 Stock_Transaction_Log'!$F:$F,$A375)=0,"",INDEX('主表 Stock_Transaction_Log'!$F:$F,$A375)))</f>
        <v/>
      </c>
      <c r="D375" s="172" t="str">
        <f t="array" ref="D375">IF($A375="","",INDEX('主表 Stock_Transaction_Log'!$G:$G,$A375))</f>
        <v/>
      </c>
      <c r="E375" s="172" t="str">
        <f t="array" ref="E375">IF($A375="","",INDEX('主表 Stock_Transaction_Log'!$H:$H,$A375))</f>
        <v/>
      </c>
      <c r="F375" s="172" t="str">
        <f t="array" ref="F375">IF($A375="","",INDEX('主表 Stock_Transaction_Log'!$I:$I,$A375))</f>
        <v/>
      </c>
      <c r="G375" s="172" t="str">
        <f t="array" ref="G375">IF($A375="","",IF(INDEX('主表 Stock_Transaction_Log'!$R:$R,$A375)=0,"",INDEX('主表 Stock_Transaction_Log'!$R:$R,$A375)))</f>
        <v/>
      </c>
      <c r="H375" s="172" t="str">
        <f t="array" ref="H375">IF($A375="","",SUMIF('主表 Stock_Transaction_Log'!$T:$T,INDEX('主表 Stock_Transaction_Log'!$T:$T,$A375),'主表 Stock_Transaction_Log'!$S:$S)+SUMIF('主表 Stock_Transaction_Log'!$AB:$AB,INDEX('主表 Stock_Transaction_Log'!$T:$T,$A375),'主表 Stock_Transaction_Log'!$AC:$AC))</f>
        <v/>
      </c>
      <c r="I375" s="172" t="str">
        <f t="shared" si="1"/>
        <v/>
      </c>
      <c r="J375" s="172" t="str">
        <f t="shared" si="2"/>
        <v/>
      </c>
      <c r="K375" s="172" t="str">
        <f t="shared" si="3"/>
        <v/>
      </c>
      <c r="L375" s="172" t="str">
        <f t="array" ref="L375">IF($A375="","",INDEX('主表 Stock_Transaction_Log'!$P:$P,$A375))</f>
        <v/>
      </c>
      <c r="M375" s="57" t="str">
        <f>IF($A375="","",IF($H375&lt;=0,0,SUMIFS('主表 Stock_Transaction_Log'!$K$2:$K1000,'主表 Stock_Transaction_Log'!$C$2:$C1000,"Prepared",'主表 Stock_Transaction_Log'!$L$2:$L1000,$B375,'主表 Stock_Transaction_Log'!$F$2:$F1000,$C375,'主表 Stock_Transaction_Log'!$G$2:$G1000,$D375,'主表 Stock_Transaction_Log'!$P$2:$P1000,$L375)))</f>
        <v/>
      </c>
      <c r="N375" s="172"/>
      <c r="O375" s="172" t="str">
        <f t="shared" si="4"/>
        <v/>
      </c>
      <c r="P375" s="172" t="str">
        <f t="shared" si="5"/>
        <v/>
      </c>
      <c r="Q375" s="172" t="str">
        <f t="shared" si="9"/>
        <v/>
      </c>
      <c r="R375" s="172" t="str">
        <f t="shared" si="7"/>
        <v/>
      </c>
      <c r="S375" s="172" t="str">
        <f t="shared" si="8"/>
        <v/>
      </c>
    </row>
    <row r="376">
      <c r="A376" s="172" t="str">
        <f>IF('主表 Stock_Transaction_Log'!$T376="","",IF(COUNTIF('主表 Stock_Transaction_Log'!$T$2:$T376,'主表 Stock_Transaction_Log'!$T376)=1,ROW('主表 Stock_Transaction_Log'!$T376),""))</f>
        <v/>
      </c>
      <c r="B376" s="172" t="str">
        <f t="array" ref="B376">IF($A376="","",INDEX('主表 Stock_Transaction_Log'!$Q:$Q,$A376))</f>
        <v/>
      </c>
      <c r="C376" s="172" t="str">
        <f t="array" ref="C376">IF($A376="","",IF(INDEX('主表 Stock_Transaction_Log'!$F:$F,$A376)=0,"",INDEX('主表 Stock_Transaction_Log'!$F:$F,$A376)))</f>
        <v/>
      </c>
      <c r="D376" s="172" t="str">
        <f t="array" ref="D376">IF($A376="","",INDEX('主表 Stock_Transaction_Log'!$G:$G,$A376))</f>
        <v/>
      </c>
      <c r="E376" s="172" t="str">
        <f t="array" ref="E376">IF($A376="","",INDEX('主表 Stock_Transaction_Log'!$H:$H,$A376))</f>
        <v/>
      </c>
      <c r="F376" s="172" t="str">
        <f t="array" ref="F376">IF($A376="","",INDEX('主表 Stock_Transaction_Log'!$I:$I,$A376))</f>
        <v/>
      </c>
      <c r="G376" s="172" t="str">
        <f t="array" ref="G376">IF($A376="","",IF(INDEX('主表 Stock_Transaction_Log'!$R:$R,$A376)=0,"",INDEX('主表 Stock_Transaction_Log'!$R:$R,$A376)))</f>
        <v/>
      </c>
      <c r="H376" s="172" t="str">
        <f t="array" ref="H376">IF($A376="","",SUMIF('主表 Stock_Transaction_Log'!$T:$T,INDEX('主表 Stock_Transaction_Log'!$T:$T,$A376),'主表 Stock_Transaction_Log'!$S:$S)+SUMIF('主表 Stock_Transaction_Log'!$AB:$AB,INDEX('主表 Stock_Transaction_Log'!$T:$T,$A376),'主表 Stock_Transaction_Log'!$AC:$AC))</f>
        <v/>
      </c>
      <c r="I376" s="172" t="str">
        <f t="shared" si="1"/>
        <v/>
      </c>
      <c r="J376" s="172" t="str">
        <f t="shared" si="2"/>
        <v/>
      </c>
      <c r="K376" s="172" t="str">
        <f t="shared" si="3"/>
        <v/>
      </c>
      <c r="L376" s="172" t="str">
        <f t="array" ref="L376">IF($A376="","",INDEX('主表 Stock_Transaction_Log'!$P:$P,$A376))</f>
        <v/>
      </c>
      <c r="M376" s="57" t="str">
        <f>IF($A376="","",IF($H376&lt;=0,0,SUMIFS('主表 Stock_Transaction_Log'!$K$2:$K1000,'主表 Stock_Transaction_Log'!$C$2:$C1000,"Prepared",'主表 Stock_Transaction_Log'!$L$2:$L1000,$B376,'主表 Stock_Transaction_Log'!$F$2:$F1000,$C376,'主表 Stock_Transaction_Log'!$G$2:$G1000,$D376,'主表 Stock_Transaction_Log'!$P$2:$P1000,$L376)))</f>
        <v/>
      </c>
      <c r="N376" s="172"/>
      <c r="O376" s="172" t="str">
        <f t="shared" si="4"/>
        <v/>
      </c>
      <c r="P376" s="172" t="str">
        <f t="shared" si="5"/>
        <v/>
      </c>
      <c r="Q376" s="172" t="str">
        <f t="shared" si="9"/>
        <v/>
      </c>
      <c r="R376" s="172" t="str">
        <f t="shared" si="7"/>
        <v/>
      </c>
      <c r="S376" s="172" t="str">
        <f t="shared" si="8"/>
        <v/>
      </c>
    </row>
    <row r="377">
      <c r="A377" s="172" t="str">
        <f>IF('主表 Stock_Transaction_Log'!$T377="","",IF(COUNTIF('主表 Stock_Transaction_Log'!$T$2:$T377,'主表 Stock_Transaction_Log'!$T377)=1,ROW('主表 Stock_Transaction_Log'!$T377),""))</f>
        <v/>
      </c>
      <c r="B377" s="172" t="str">
        <f t="array" ref="B377">IF($A377="","",INDEX('主表 Stock_Transaction_Log'!$Q:$Q,$A377))</f>
        <v/>
      </c>
      <c r="C377" s="172" t="str">
        <f t="array" ref="C377">IF($A377="","",IF(INDEX('主表 Stock_Transaction_Log'!$F:$F,$A377)=0,"",INDEX('主表 Stock_Transaction_Log'!$F:$F,$A377)))</f>
        <v/>
      </c>
      <c r="D377" s="172" t="str">
        <f t="array" ref="D377">IF($A377="","",INDEX('主表 Stock_Transaction_Log'!$G:$G,$A377))</f>
        <v/>
      </c>
      <c r="E377" s="172" t="str">
        <f t="array" ref="E377">IF($A377="","",INDEX('主表 Stock_Transaction_Log'!$H:$H,$A377))</f>
        <v/>
      </c>
      <c r="F377" s="172" t="str">
        <f t="array" ref="F377">IF($A377="","",INDEX('主表 Stock_Transaction_Log'!$I:$I,$A377))</f>
        <v/>
      </c>
      <c r="G377" s="172" t="str">
        <f t="array" ref="G377">IF($A377="","",IF(INDEX('主表 Stock_Transaction_Log'!$R:$R,$A377)=0,"",INDEX('主表 Stock_Transaction_Log'!$R:$R,$A377)))</f>
        <v/>
      </c>
      <c r="H377" s="172" t="str">
        <f t="array" ref="H377">IF($A377="","",SUMIF('主表 Stock_Transaction_Log'!$T:$T,INDEX('主表 Stock_Transaction_Log'!$T:$T,$A377),'主表 Stock_Transaction_Log'!$S:$S)+SUMIF('主表 Stock_Transaction_Log'!$AB:$AB,INDEX('主表 Stock_Transaction_Log'!$T:$T,$A377),'主表 Stock_Transaction_Log'!$AC:$AC))</f>
        <v/>
      </c>
      <c r="I377" s="172" t="str">
        <f t="shared" si="1"/>
        <v/>
      </c>
      <c r="J377" s="172" t="str">
        <f t="shared" si="2"/>
        <v/>
      </c>
      <c r="K377" s="172" t="str">
        <f t="shared" si="3"/>
        <v/>
      </c>
      <c r="L377" s="172" t="str">
        <f t="array" ref="L377">IF($A377="","",INDEX('主表 Stock_Transaction_Log'!$P:$P,$A377))</f>
        <v/>
      </c>
      <c r="M377" s="57" t="str">
        <f>IF($A377="","",IF($H377&lt;=0,0,SUMIFS('主表 Stock_Transaction_Log'!$K$2:$K1000,'主表 Stock_Transaction_Log'!$C$2:$C1000,"Prepared",'主表 Stock_Transaction_Log'!$L$2:$L1000,$B377,'主表 Stock_Transaction_Log'!$F$2:$F1000,$C377,'主表 Stock_Transaction_Log'!$G$2:$G1000,$D377,'主表 Stock_Transaction_Log'!$P$2:$P1000,$L377)))</f>
        <v/>
      </c>
      <c r="N377" s="172"/>
      <c r="O377" s="172" t="str">
        <f t="shared" si="4"/>
        <v/>
      </c>
      <c r="P377" s="172" t="str">
        <f t="shared" si="5"/>
        <v/>
      </c>
      <c r="Q377" s="172" t="str">
        <f t="shared" si="9"/>
        <v/>
      </c>
      <c r="R377" s="172" t="str">
        <f t="shared" si="7"/>
        <v/>
      </c>
      <c r="S377" s="172" t="str">
        <f t="shared" si="8"/>
        <v/>
      </c>
    </row>
    <row r="378">
      <c r="A378" s="172" t="str">
        <f>IF('主表 Stock_Transaction_Log'!$T378="","",IF(COUNTIF('主表 Stock_Transaction_Log'!$T$2:$T378,'主表 Stock_Transaction_Log'!$T378)=1,ROW('主表 Stock_Transaction_Log'!$T378),""))</f>
        <v/>
      </c>
      <c r="B378" s="172" t="str">
        <f t="array" ref="B378">IF($A378="","",INDEX('主表 Stock_Transaction_Log'!$Q:$Q,$A378))</f>
        <v/>
      </c>
      <c r="C378" s="172" t="str">
        <f t="array" ref="C378">IF($A378="","",IF(INDEX('主表 Stock_Transaction_Log'!$F:$F,$A378)=0,"",INDEX('主表 Stock_Transaction_Log'!$F:$F,$A378)))</f>
        <v/>
      </c>
      <c r="D378" s="172" t="str">
        <f t="array" ref="D378">IF($A378="","",INDEX('主表 Stock_Transaction_Log'!$G:$G,$A378))</f>
        <v/>
      </c>
      <c r="E378" s="172" t="str">
        <f t="array" ref="E378">IF($A378="","",INDEX('主表 Stock_Transaction_Log'!$H:$H,$A378))</f>
        <v/>
      </c>
      <c r="F378" s="172" t="str">
        <f t="array" ref="F378">IF($A378="","",INDEX('主表 Stock_Transaction_Log'!$I:$I,$A378))</f>
        <v/>
      </c>
      <c r="G378" s="172" t="str">
        <f t="array" ref="G378">IF($A378="","",IF(INDEX('主表 Stock_Transaction_Log'!$R:$R,$A378)=0,"",INDEX('主表 Stock_Transaction_Log'!$R:$R,$A378)))</f>
        <v/>
      </c>
      <c r="H378" s="172" t="str">
        <f t="array" ref="H378">IF($A378="","",SUMIF('主表 Stock_Transaction_Log'!$T:$T,INDEX('主表 Stock_Transaction_Log'!$T:$T,$A378),'主表 Stock_Transaction_Log'!$S:$S)+SUMIF('主表 Stock_Transaction_Log'!$AB:$AB,INDEX('主表 Stock_Transaction_Log'!$T:$T,$A378),'主表 Stock_Transaction_Log'!$AC:$AC))</f>
        <v/>
      </c>
      <c r="I378" s="172" t="str">
        <f t="shared" si="1"/>
        <v/>
      </c>
      <c r="J378" s="172" t="str">
        <f t="shared" si="2"/>
        <v/>
      </c>
      <c r="K378" s="172" t="str">
        <f t="shared" si="3"/>
        <v/>
      </c>
      <c r="L378" s="172" t="str">
        <f t="array" ref="L378">IF($A378="","",INDEX('主表 Stock_Transaction_Log'!$P:$P,$A378))</f>
        <v/>
      </c>
      <c r="M378" s="57" t="str">
        <f>IF($A378="","",IF($H378&lt;=0,0,SUMIFS('主表 Stock_Transaction_Log'!$K$2:$K1000,'主表 Stock_Transaction_Log'!$C$2:$C1000,"Prepared",'主表 Stock_Transaction_Log'!$L$2:$L1000,$B378,'主表 Stock_Transaction_Log'!$F$2:$F1000,$C378,'主表 Stock_Transaction_Log'!$G$2:$G1000,$D378,'主表 Stock_Transaction_Log'!$P$2:$P1000,$L378)))</f>
        <v/>
      </c>
      <c r="N378" s="172"/>
      <c r="O378" s="172" t="str">
        <f t="shared" si="4"/>
        <v/>
      </c>
      <c r="P378" s="172" t="str">
        <f t="shared" si="5"/>
        <v/>
      </c>
      <c r="Q378" s="172" t="str">
        <f t="shared" si="9"/>
        <v/>
      </c>
      <c r="R378" s="172" t="str">
        <f t="shared" si="7"/>
        <v/>
      </c>
      <c r="S378" s="172" t="str">
        <f t="shared" si="8"/>
        <v/>
      </c>
    </row>
    <row r="379">
      <c r="A379" s="172" t="str">
        <f>IF('主表 Stock_Transaction_Log'!$T379="","",IF(COUNTIF('主表 Stock_Transaction_Log'!$T$2:$T379,'主表 Stock_Transaction_Log'!$T379)=1,ROW('主表 Stock_Transaction_Log'!$T379),""))</f>
        <v/>
      </c>
      <c r="B379" s="172" t="str">
        <f t="array" ref="B379">IF($A379="","",INDEX('主表 Stock_Transaction_Log'!$Q:$Q,$A379))</f>
        <v/>
      </c>
      <c r="C379" s="172" t="str">
        <f t="array" ref="C379">IF($A379="","",IF(INDEX('主表 Stock_Transaction_Log'!$F:$F,$A379)=0,"",INDEX('主表 Stock_Transaction_Log'!$F:$F,$A379)))</f>
        <v/>
      </c>
      <c r="D379" s="172" t="str">
        <f t="array" ref="D379">IF($A379="","",INDEX('主表 Stock_Transaction_Log'!$G:$G,$A379))</f>
        <v/>
      </c>
      <c r="E379" s="172" t="str">
        <f t="array" ref="E379">IF($A379="","",INDEX('主表 Stock_Transaction_Log'!$H:$H,$A379))</f>
        <v/>
      </c>
      <c r="F379" s="172" t="str">
        <f t="array" ref="F379">IF($A379="","",INDEX('主表 Stock_Transaction_Log'!$I:$I,$A379))</f>
        <v/>
      </c>
      <c r="G379" s="172" t="str">
        <f t="array" ref="G379">IF($A379="","",IF(INDEX('主表 Stock_Transaction_Log'!$R:$R,$A379)=0,"",INDEX('主表 Stock_Transaction_Log'!$R:$R,$A379)))</f>
        <v/>
      </c>
      <c r="H379" s="172" t="str">
        <f t="array" ref="H379">IF($A379="","",SUMIF('主表 Stock_Transaction_Log'!$T:$T,INDEX('主表 Stock_Transaction_Log'!$T:$T,$A379),'主表 Stock_Transaction_Log'!$S:$S)+SUMIF('主表 Stock_Transaction_Log'!$AB:$AB,INDEX('主表 Stock_Transaction_Log'!$T:$T,$A379),'主表 Stock_Transaction_Log'!$AC:$AC))</f>
        <v/>
      </c>
      <c r="I379" s="172" t="str">
        <f t="shared" si="1"/>
        <v/>
      </c>
      <c r="J379" s="172" t="str">
        <f t="shared" si="2"/>
        <v/>
      </c>
      <c r="K379" s="172" t="str">
        <f t="shared" si="3"/>
        <v/>
      </c>
      <c r="L379" s="172" t="str">
        <f t="array" ref="L379">IF($A379="","",INDEX('主表 Stock_Transaction_Log'!$P:$P,$A379))</f>
        <v/>
      </c>
      <c r="M379" s="57" t="str">
        <f>IF($A379="","",IF($H379&lt;=0,0,SUMIFS('主表 Stock_Transaction_Log'!$K$2:$K1000,'主表 Stock_Transaction_Log'!$C$2:$C1000,"Prepared",'主表 Stock_Transaction_Log'!$L$2:$L1000,$B379,'主表 Stock_Transaction_Log'!$F$2:$F1000,$C379,'主表 Stock_Transaction_Log'!$G$2:$G1000,$D379,'主表 Stock_Transaction_Log'!$P$2:$P1000,$L379)))</f>
        <v/>
      </c>
      <c r="N379" s="172"/>
      <c r="O379" s="172" t="str">
        <f t="shared" si="4"/>
        <v/>
      </c>
      <c r="P379" s="172" t="str">
        <f t="shared" si="5"/>
        <v/>
      </c>
      <c r="Q379" s="172" t="str">
        <f t="shared" si="9"/>
        <v/>
      </c>
      <c r="R379" s="172" t="str">
        <f t="shared" si="7"/>
        <v/>
      </c>
      <c r="S379" s="172" t="str">
        <f t="shared" si="8"/>
        <v/>
      </c>
    </row>
    <row r="380">
      <c r="A380" s="172" t="str">
        <f>IF('主表 Stock_Transaction_Log'!$T380="","",IF(COUNTIF('主表 Stock_Transaction_Log'!$T$2:$T380,'主表 Stock_Transaction_Log'!$T380)=1,ROW('主表 Stock_Transaction_Log'!$T380),""))</f>
        <v/>
      </c>
      <c r="B380" s="172" t="str">
        <f t="array" ref="B380">IF($A380="","",INDEX('主表 Stock_Transaction_Log'!$Q:$Q,$A380))</f>
        <v/>
      </c>
      <c r="C380" s="172" t="str">
        <f t="array" ref="C380">IF($A380="","",IF(INDEX('主表 Stock_Transaction_Log'!$F:$F,$A380)=0,"",INDEX('主表 Stock_Transaction_Log'!$F:$F,$A380)))</f>
        <v/>
      </c>
      <c r="D380" s="172" t="str">
        <f t="array" ref="D380">IF($A380="","",INDEX('主表 Stock_Transaction_Log'!$G:$G,$A380))</f>
        <v/>
      </c>
      <c r="E380" s="172" t="str">
        <f t="array" ref="E380">IF($A380="","",INDEX('主表 Stock_Transaction_Log'!$H:$H,$A380))</f>
        <v/>
      </c>
      <c r="F380" s="172" t="str">
        <f t="array" ref="F380">IF($A380="","",INDEX('主表 Stock_Transaction_Log'!$I:$I,$A380))</f>
        <v/>
      </c>
      <c r="G380" s="172" t="str">
        <f t="array" ref="G380">IF($A380="","",IF(INDEX('主表 Stock_Transaction_Log'!$R:$R,$A380)=0,"",INDEX('主表 Stock_Transaction_Log'!$R:$R,$A380)))</f>
        <v/>
      </c>
      <c r="H380" s="172" t="str">
        <f t="array" ref="H380">IF($A380="","",SUMIF('主表 Stock_Transaction_Log'!$T:$T,INDEX('主表 Stock_Transaction_Log'!$T:$T,$A380),'主表 Stock_Transaction_Log'!$S:$S)+SUMIF('主表 Stock_Transaction_Log'!$AB:$AB,INDEX('主表 Stock_Transaction_Log'!$T:$T,$A380),'主表 Stock_Transaction_Log'!$AC:$AC))</f>
        <v/>
      </c>
      <c r="I380" s="172" t="str">
        <f t="shared" si="1"/>
        <v/>
      </c>
      <c r="J380" s="172" t="str">
        <f t="shared" si="2"/>
        <v/>
      </c>
      <c r="K380" s="172" t="str">
        <f t="shared" si="3"/>
        <v/>
      </c>
      <c r="L380" s="172" t="str">
        <f t="array" ref="L380">IF($A380="","",INDEX('主表 Stock_Transaction_Log'!$P:$P,$A380))</f>
        <v/>
      </c>
      <c r="M380" s="57" t="str">
        <f>IF($A380="","",IF($H380&lt;=0,0,SUMIFS('主表 Stock_Transaction_Log'!$K$2:$K1000,'主表 Stock_Transaction_Log'!$C$2:$C1000,"Prepared",'主表 Stock_Transaction_Log'!$L$2:$L1000,$B380,'主表 Stock_Transaction_Log'!$F$2:$F1000,$C380,'主表 Stock_Transaction_Log'!$G$2:$G1000,$D380,'主表 Stock_Transaction_Log'!$P$2:$P1000,$L380)))</f>
        <v/>
      </c>
      <c r="N380" s="172"/>
      <c r="O380" s="172" t="str">
        <f t="shared" si="4"/>
        <v/>
      </c>
      <c r="P380" s="172" t="str">
        <f t="shared" si="5"/>
        <v/>
      </c>
      <c r="Q380" s="172" t="str">
        <f t="shared" si="9"/>
        <v/>
      </c>
      <c r="R380" s="172" t="str">
        <f t="shared" si="7"/>
        <v/>
      </c>
      <c r="S380" s="172" t="str">
        <f t="shared" si="8"/>
        <v/>
      </c>
    </row>
    <row r="381">
      <c r="A381" s="172" t="str">
        <f>IF('主表 Stock_Transaction_Log'!$T381="","",IF(COUNTIF('主表 Stock_Transaction_Log'!$T$2:$T381,'主表 Stock_Transaction_Log'!$T381)=1,ROW('主表 Stock_Transaction_Log'!$T381),""))</f>
        <v/>
      </c>
      <c r="B381" s="172" t="str">
        <f t="array" ref="B381">IF($A381="","",INDEX('主表 Stock_Transaction_Log'!$Q:$Q,$A381))</f>
        <v/>
      </c>
      <c r="C381" s="172" t="str">
        <f t="array" ref="C381">IF($A381="","",IF(INDEX('主表 Stock_Transaction_Log'!$F:$F,$A381)=0,"",INDEX('主表 Stock_Transaction_Log'!$F:$F,$A381)))</f>
        <v/>
      </c>
      <c r="D381" s="172" t="str">
        <f t="array" ref="D381">IF($A381="","",INDEX('主表 Stock_Transaction_Log'!$G:$G,$A381))</f>
        <v/>
      </c>
      <c r="E381" s="172" t="str">
        <f t="array" ref="E381">IF($A381="","",INDEX('主表 Stock_Transaction_Log'!$H:$H,$A381))</f>
        <v/>
      </c>
      <c r="F381" s="172" t="str">
        <f t="array" ref="F381">IF($A381="","",INDEX('主表 Stock_Transaction_Log'!$I:$I,$A381))</f>
        <v/>
      </c>
      <c r="G381" s="172" t="str">
        <f t="array" ref="G381">IF($A381="","",IF(INDEX('主表 Stock_Transaction_Log'!$R:$R,$A381)=0,"",INDEX('主表 Stock_Transaction_Log'!$R:$R,$A381)))</f>
        <v/>
      </c>
      <c r="H381" s="172" t="str">
        <f t="array" ref="H381">IF($A381="","",SUMIF('主表 Stock_Transaction_Log'!$T:$T,INDEX('主表 Stock_Transaction_Log'!$T:$T,$A381),'主表 Stock_Transaction_Log'!$S:$S)+SUMIF('主表 Stock_Transaction_Log'!$AB:$AB,INDEX('主表 Stock_Transaction_Log'!$T:$T,$A381),'主表 Stock_Transaction_Log'!$AC:$AC))</f>
        <v/>
      </c>
      <c r="I381" s="172" t="str">
        <f t="shared" si="1"/>
        <v/>
      </c>
      <c r="J381" s="172" t="str">
        <f t="shared" si="2"/>
        <v/>
      </c>
      <c r="K381" s="172" t="str">
        <f t="shared" si="3"/>
        <v/>
      </c>
      <c r="L381" s="172" t="str">
        <f t="array" ref="L381">IF($A381="","",INDEX('主表 Stock_Transaction_Log'!$P:$P,$A381))</f>
        <v/>
      </c>
      <c r="M381" s="57" t="str">
        <f>IF($A381="","",IF($H381&lt;=0,0,SUMIFS('主表 Stock_Transaction_Log'!$K$2:$K1000,'主表 Stock_Transaction_Log'!$C$2:$C1000,"Prepared",'主表 Stock_Transaction_Log'!$L$2:$L1000,$B381,'主表 Stock_Transaction_Log'!$F$2:$F1000,$C381,'主表 Stock_Transaction_Log'!$G$2:$G1000,$D381,'主表 Stock_Transaction_Log'!$P$2:$P1000,$L381)))</f>
        <v/>
      </c>
      <c r="N381" s="172"/>
      <c r="O381" s="172" t="str">
        <f t="shared" si="4"/>
        <v/>
      </c>
      <c r="P381" s="172" t="str">
        <f t="shared" si="5"/>
        <v/>
      </c>
      <c r="Q381" s="172" t="str">
        <f t="shared" si="9"/>
        <v/>
      </c>
      <c r="R381" s="172" t="str">
        <f t="shared" si="7"/>
        <v/>
      </c>
      <c r="S381" s="172" t="str">
        <f t="shared" si="8"/>
        <v/>
      </c>
    </row>
    <row r="382">
      <c r="A382" s="172" t="str">
        <f>IF('主表 Stock_Transaction_Log'!$T382="","",IF(COUNTIF('主表 Stock_Transaction_Log'!$T$2:$T382,'主表 Stock_Transaction_Log'!$T382)=1,ROW('主表 Stock_Transaction_Log'!$T382),""))</f>
        <v/>
      </c>
      <c r="B382" s="172" t="str">
        <f t="array" ref="B382">IF($A382="","",INDEX('主表 Stock_Transaction_Log'!$Q:$Q,$A382))</f>
        <v/>
      </c>
      <c r="C382" s="172" t="str">
        <f t="array" ref="C382">IF($A382="","",IF(INDEX('主表 Stock_Transaction_Log'!$F:$F,$A382)=0,"",INDEX('主表 Stock_Transaction_Log'!$F:$F,$A382)))</f>
        <v/>
      </c>
      <c r="D382" s="172" t="str">
        <f t="array" ref="D382">IF($A382="","",INDEX('主表 Stock_Transaction_Log'!$G:$G,$A382))</f>
        <v/>
      </c>
      <c r="E382" s="172" t="str">
        <f t="array" ref="E382">IF($A382="","",INDEX('主表 Stock_Transaction_Log'!$H:$H,$A382))</f>
        <v/>
      </c>
      <c r="F382" s="172" t="str">
        <f t="array" ref="F382">IF($A382="","",INDEX('主表 Stock_Transaction_Log'!$I:$I,$A382))</f>
        <v/>
      </c>
      <c r="G382" s="172" t="str">
        <f t="array" ref="G382">IF($A382="","",IF(INDEX('主表 Stock_Transaction_Log'!$R:$R,$A382)=0,"",INDEX('主表 Stock_Transaction_Log'!$R:$R,$A382)))</f>
        <v/>
      </c>
      <c r="H382" s="172" t="str">
        <f t="array" ref="H382">IF($A382="","",SUMIF('主表 Stock_Transaction_Log'!$T:$T,INDEX('主表 Stock_Transaction_Log'!$T:$T,$A382),'主表 Stock_Transaction_Log'!$S:$S)+SUMIF('主表 Stock_Transaction_Log'!$AB:$AB,INDEX('主表 Stock_Transaction_Log'!$T:$T,$A382),'主表 Stock_Transaction_Log'!$AC:$AC))</f>
        <v/>
      </c>
      <c r="I382" s="172" t="str">
        <f t="shared" si="1"/>
        <v/>
      </c>
      <c r="J382" s="172" t="str">
        <f t="shared" si="2"/>
        <v/>
      </c>
      <c r="K382" s="172" t="str">
        <f t="shared" si="3"/>
        <v/>
      </c>
      <c r="L382" s="172" t="str">
        <f t="array" ref="L382">IF($A382="","",INDEX('主表 Stock_Transaction_Log'!$P:$P,$A382))</f>
        <v/>
      </c>
      <c r="M382" s="57" t="str">
        <f>IF($A382="","",IF($H382&lt;=0,0,SUMIFS('主表 Stock_Transaction_Log'!$K$2:$K1000,'主表 Stock_Transaction_Log'!$C$2:$C1000,"Prepared",'主表 Stock_Transaction_Log'!$L$2:$L1000,$B382,'主表 Stock_Transaction_Log'!$F$2:$F1000,$C382,'主表 Stock_Transaction_Log'!$G$2:$G1000,$D382,'主表 Stock_Transaction_Log'!$P$2:$P1000,$L382)))</f>
        <v/>
      </c>
      <c r="N382" s="172"/>
      <c r="O382" s="172" t="str">
        <f t="shared" si="4"/>
        <v/>
      </c>
      <c r="P382" s="172" t="str">
        <f t="shared" si="5"/>
        <v/>
      </c>
      <c r="Q382" s="172" t="str">
        <f t="shared" si="9"/>
        <v/>
      </c>
      <c r="R382" s="172" t="str">
        <f t="shared" si="7"/>
        <v/>
      </c>
      <c r="S382" s="172" t="str">
        <f t="shared" si="8"/>
        <v/>
      </c>
    </row>
    <row r="383">
      <c r="A383" s="172" t="str">
        <f>IF('主表 Stock_Transaction_Log'!$T383="","",IF(COUNTIF('主表 Stock_Transaction_Log'!$T$2:$T383,'主表 Stock_Transaction_Log'!$T383)=1,ROW('主表 Stock_Transaction_Log'!$T383),""))</f>
        <v/>
      </c>
      <c r="B383" s="172" t="str">
        <f t="array" ref="B383">IF($A383="","",INDEX('主表 Stock_Transaction_Log'!$Q:$Q,$A383))</f>
        <v/>
      </c>
      <c r="C383" s="172" t="str">
        <f t="array" ref="C383">IF($A383="","",IF(INDEX('主表 Stock_Transaction_Log'!$F:$F,$A383)=0,"",INDEX('主表 Stock_Transaction_Log'!$F:$F,$A383)))</f>
        <v/>
      </c>
      <c r="D383" s="172" t="str">
        <f t="array" ref="D383">IF($A383="","",INDEX('主表 Stock_Transaction_Log'!$G:$G,$A383))</f>
        <v/>
      </c>
      <c r="E383" s="172" t="str">
        <f t="array" ref="E383">IF($A383="","",INDEX('主表 Stock_Transaction_Log'!$H:$H,$A383))</f>
        <v/>
      </c>
      <c r="F383" s="172" t="str">
        <f t="array" ref="F383">IF($A383="","",INDEX('主表 Stock_Transaction_Log'!$I:$I,$A383))</f>
        <v/>
      </c>
      <c r="G383" s="172" t="str">
        <f t="array" ref="G383">IF($A383="","",IF(INDEX('主表 Stock_Transaction_Log'!$R:$R,$A383)=0,"",INDEX('主表 Stock_Transaction_Log'!$R:$R,$A383)))</f>
        <v/>
      </c>
      <c r="H383" s="172" t="str">
        <f t="array" ref="H383">IF($A383="","",SUMIF('主表 Stock_Transaction_Log'!$T:$T,INDEX('主表 Stock_Transaction_Log'!$T:$T,$A383),'主表 Stock_Transaction_Log'!$S:$S)+SUMIF('主表 Stock_Transaction_Log'!$AB:$AB,INDEX('主表 Stock_Transaction_Log'!$T:$T,$A383),'主表 Stock_Transaction_Log'!$AC:$AC))</f>
        <v/>
      </c>
      <c r="I383" s="172" t="str">
        <f t="shared" si="1"/>
        <v/>
      </c>
      <c r="J383" s="172" t="str">
        <f t="shared" si="2"/>
        <v/>
      </c>
      <c r="K383" s="172" t="str">
        <f t="shared" si="3"/>
        <v/>
      </c>
      <c r="L383" s="172" t="str">
        <f t="array" ref="L383">IF($A383="","",INDEX('主表 Stock_Transaction_Log'!$P:$P,$A383))</f>
        <v/>
      </c>
      <c r="M383" s="57" t="str">
        <f>IF($A383="","",IF($H383&lt;=0,0,SUMIFS('主表 Stock_Transaction_Log'!$K$2:$K1000,'主表 Stock_Transaction_Log'!$C$2:$C1000,"Prepared",'主表 Stock_Transaction_Log'!$L$2:$L1000,$B383,'主表 Stock_Transaction_Log'!$F$2:$F1000,$C383,'主表 Stock_Transaction_Log'!$G$2:$G1000,$D383,'主表 Stock_Transaction_Log'!$P$2:$P1000,$L383)))</f>
        <v/>
      </c>
      <c r="N383" s="172"/>
      <c r="O383" s="172" t="str">
        <f t="shared" si="4"/>
        <v/>
      </c>
      <c r="P383" s="172" t="str">
        <f t="shared" si="5"/>
        <v/>
      </c>
      <c r="Q383" s="172" t="str">
        <f t="shared" si="9"/>
        <v/>
      </c>
      <c r="R383" s="172" t="str">
        <f t="shared" si="7"/>
        <v/>
      </c>
      <c r="S383" s="172" t="str">
        <f t="shared" si="8"/>
        <v/>
      </c>
    </row>
    <row r="384">
      <c r="A384" s="172" t="str">
        <f>IF('主表 Stock_Transaction_Log'!$T384="","",IF(COUNTIF('主表 Stock_Transaction_Log'!$T$2:$T384,'主表 Stock_Transaction_Log'!$T384)=1,ROW('主表 Stock_Transaction_Log'!$T384),""))</f>
        <v/>
      </c>
      <c r="B384" s="172" t="str">
        <f t="array" ref="B384">IF($A384="","",INDEX('主表 Stock_Transaction_Log'!$Q:$Q,$A384))</f>
        <v/>
      </c>
      <c r="C384" s="172" t="str">
        <f t="array" ref="C384">IF($A384="","",IF(INDEX('主表 Stock_Transaction_Log'!$F:$F,$A384)=0,"",INDEX('主表 Stock_Transaction_Log'!$F:$F,$A384)))</f>
        <v/>
      </c>
      <c r="D384" s="172" t="str">
        <f t="array" ref="D384">IF($A384="","",INDEX('主表 Stock_Transaction_Log'!$G:$G,$A384))</f>
        <v/>
      </c>
      <c r="E384" s="172" t="str">
        <f t="array" ref="E384">IF($A384="","",INDEX('主表 Stock_Transaction_Log'!$H:$H,$A384))</f>
        <v/>
      </c>
      <c r="F384" s="172" t="str">
        <f t="array" ref="F384">IF($A384="","",INDEX('主表 Stock_Transaction_Log'!$I:$I,$A384))</f>
        <v/>
      </c>
      <c r="G384" s="172" t="str">
        <f t="array" ref="G384">IF($A384="","",IF(INDEX('主表 Stock_Transaction_Log'!$R:$R,$A384)=0,"",INDEX('主表 Stock_Transaction_Log'!$R:$R,$A384)))</f>
        <v/>
      </c>
      <c r="H384" s="172" t="str">
        <f t="array" ref="H384">IF($A384="","",SUMIF('主表 Stock_Transaction_Log'!$T:$T,INDEX('主表 Stock_Transaction_Log'!$T:$T,$A384),'主表 Stock_Transaction_Log'!$S:$S)+SUMIF('主表 Stock_Transaction_Log'!$AB:$AB,INDEX('主表 Stock_Transaction_Log'!$T:$T,$A384),'主表 Stock_Transaction_Log'!$AC:$AC))</f>
        <v/>
      </c>
      <c r="I384" s="172" t="str">
        <f t="shared" si="1"/>
        <v/>
      </c>
      <c r="J384" s="172" t="str">
        <f t="shared" si="2"/>
        <v/>
      </c>
      <c r="K384" s="172" t="str">
        <f t="shared" si="3"/>
        <v/>
      </c>
      <c r="L384" s="172" t="str">
        <f t="array" ref="L384">IF($A384="","",INDEX('主表 Stock_Transaction_Log'!$P:$P,$A384))</f>
        <v/>
      </c>
      <c r="M384" s="57" t="str">
        <f>IF($A384="","",IF($H384&lt;=0,0,SUMIFS('主表 Stock_Transaction_Log'!$K$2:$K1000,'主表 Stock_Transaction_Log'!$C$2:$C1000,"Prepared",'主表 Stock_Transaction_Log'!$L$2:$L1000,$B384,'主表 Stock_Transaction_Log'!$F$2:$F1000,$C384,'主表 Stock_Transaction_Log'!$G$2:$G1000,$D384,'主表 Stock_Transaction_Log'!$P$2:$P1000,$L384)))</f>
        <v/>
      </c>
      <c r="N384" s="172"/>
      <c r="O384" s="172" t="str">
        <f t="shared" si="4"/>
        <v/>
      </c>
      <c r="P384" s="172" t="str">
        <f t="shared" si="5"/>
        <v/>
      </c>
      <c r="Q384" s="172" t="str">
        <f t="shared" si="9"/>
        <v/>
      </c>
      <c r="R384" s="172" t="str">
        <f t="shared" si="7"/>
        <v/>
      </c>
      <c r="S384" s="172" t="str">
        <f t="shared" si="8"/>
        <v/>
      </c>
    </row>
    <row r="385">
      <c r="A385" s="172" t="str">
        <f>IF('主表 Stock_Transaction_Log'!$T385="","",IF(COUNTIF('主表 Stock_Transaction_Log'!$T$2:$T385,'主表 Stock_Transaction_Log'!$T385)=1,ROW('主表 Stock_Transaction_Log'!$T385),""))</f>
        <v/>
      </c>
      <c r="B385" s="172" t="str">
        <f t="array" ref="B385">IF($A385="","",INDEX('主表 Stock_Transaction_Log'!$Q:$Q,$A385))</f>
        <v/>
      </c>
      <c r="C385" s="172" t="str">
        <f t="array" ref="C385">IF($A385="","",IF(INDEX('主表 Stock_Transaction_Log'!$F:$F,$A385)=0,"",INDEX('主表 Stock_Transaction_Log'!$F:$F,$A385)))</f>
        <v/>
      </c>
      <c r="D385" s="172" t="str">
        <f t="array" ref="D385">IF($A385="","",INDEX('主表 Stock_Transaction_Log'!$G:$G,$A385))</f>
        <v/>
      </c>
      <c r="E385" s="172" t="str">
        <f t="array" ref="E385">IF($A385="","",INDEX('主表 Stock_Transaction_Log'!$H:$H,$A385))</f>
        <v/>
      </c>
      <c r="F385" s="172" t="str">
        <f t="array" ref="F385">IF($A385="","",INDEX('主表 Stock_Transaction_Log'!$I:$I,$A385))</f>
        <v/>
      </c>
      <c r="G385" s="172" t="str">
        <f t="array" ref="G385">IF($A385="","",IF(INDEX('主表 Stock_Transaction_Log'!$R:$R,$A385)=0,"",INDEX('主表 Stock_Transaction_Log'!$R:$R,$A385)))</f>
        <v/>
      </c>
      <c r="H385" s="172" t="str">
        <f t="array" ref="H385">IF($A385="","",SUMIF('主表 Stock_Transaction_Log'!$T:$T,INDEX('主表 Stock_Transaction_Log'!$T:$T,$A385),'主表 Stock_Transaction_Log'!$S:$S)+SUMIF('主表 Stock_Transaction_Log'!$AB:$AB,INDEX('主表 Stock_Transaction_Log'!$T:$T,$A385),'主表 Stock_Transaction_Log'!$AC:$AC))</f>
        <v/>
      </c>
      <c r="I385" s="172" t="str">
        <f t="shared" si="1"/>
        <v/>
      </c>
      <c r="J385" s="172" t="str">
        <f t="shared" si="2"/>
        <v/>
      </c>
      <c r="K385" s="172" t="str">
        <f t="shared" si="3"/>
        <v/>
      </c>
      <c r="L385" s="172" t="str">
        <f t="array" ref="L385">IF($A385="","",INDEX('主表 Stock_Transaction_Log'!$P:$P,$A385))</f>
        <v/>
      </c>
      <c r="M385" s="57" t="str">
        <f>IF($A385="","",IF($H385&lt;=0,0,SUMIFS('主表 Stock_Transaction_Log'!$K$2:$K1000,'主表 Stock_Transaction_Log'!$C$2:$C1000,"Prepared",'主表 Stock_Transaction_Log'!$L$2:$L1000,$B385,'主表 Stock_Transaction_Log'!$F$2:$F1000,$C385,'主表 Stock_Transaction_Log'!$G$2:$G1000,$D385,'主表 Stock_Transaction_Log'!$P$2:$P1000,$L385)))</f>
        <v/>
      </c>
      <c r="N385" s="172"/>
      <c r="O385" s="172" t="str">
        <f t="shared" si="4"/>
        <v/>
      </c>
      <c r="P385" s="172" t="str">
        <f t="shared" si="5"/>
        <v/>
      </c>
      <c r="Q385" s="172" t="str">
        <f t="shared" si="9"/>
        <v/>
      </c>
      <c r="R385" s="172" t="str">
        <f t="shared" si="7"/>
        <v/>
      </c>
      <c r="S385" s="172" t="str">
        <f t="shared" si="8"/>
        <v/>
      </c>
    </row>
    <row r="386">
      <c r="A386" s="172" t="str">
        <f>IF('主表 Stock_Transaction_Log'!$T386="","",IF(COUNTIF('主表 Stock_Transaction_Log'!$T$2:$T386,'主表 Stock_Transaction_Log'!$T386)=1,ROW('主表 Stock_Transaction_Log'!$T386),""))</f>
        <v/>
      </c>
      <c r="B386" s="172" t="str">
        <f t="array" ref="B386">IF($A386="","",INDEX('主表 Stock_Transaction_Log'!$Q:$Q,$A386))</f>
        <v/>
      </c>
      <c r="C386" s="172" t="str">
        <f t="array" ref="C386">IF($A386="","",IF(INDEX('主表 Stock_Transaction_Log'!$F:$F,$A386)=0,"",INDEX('主表 Stock_Transaction_Log'!$F:$F,$A386)))</f>
        <v/>
      </c>
      <c r="D386" s="172" t="str">
        <f t="array" ref="D386">IF($A386="","",INDEX('主表 Stock_Transaction_Log'!$G:$G,$A386))</f>
        <v/>
      </c>
      <c r="E386" s="172" t="str">
        <f t="array" ref="E386">IF($A386="","",INDEX('主表 Stock_Transaction_Log'!$H:$H,$A386))</f>
        <v/>
      </c>
      <c r="F386" s="172" t="str">
        <f t="array" ref="F386">IF($A386="","",INDEX('主表 Stock_Transaction_Log'!$I:$I,$A386))</f>
        <v/>
      </c>
      <c r="G386" s="172" t="str">
        <f t="array" ref="G386">IF($A386="","",IF(INDEX('主表 Stock_Transaction_Log'!$R:$R,$A386)=0,"",INDEX('主表 Stock_Transaction_Log'!$R:$R,$A386)))</f>
        <v/>
      </c>
      <c r="H386" s="172" t="str">
        <f t="array" ref="H386">IF($A386="","",SUMIF('主表 Stock_Transaction_Log'!$T:$T,INDEX('主表 Stock_Transaction_Log'!$T:$T,$A386),'主表 Stock_Transaction_Log'!$S:$S)+SUMIF('主表 Stock_Transaction_Log'!$AB:$AB,INDEX('主表 Stock_Transaction_Log'!$T:$T,$A386),'主表 Stock_Transaction_Log'!$AC:$AC))</f>
        <v/>
      </c>
      <c r="I386" s="172" t="str">
        <f t="shared" si="1"/>
        <v/>
      </c>
      <c r="J386" s="172" t="str">
        <f t="shared" si="2"/>
        <v/>
      </c>
      <c r="K386" s="172" t="str">
        <f t="shared" si="3"/>
        <v/>
      </c>
      <c r="L386" s="172" t="str">
        <f t="array" ref="L386">IF($A386="","",INDEX('主表 Stock_Transaction_Log'!$P:$P,$A386))</f>
        <v/>
      </c>
      <c r="M386" s="57" t="str">
        <f>IF($A386="","",IF($H386&lt;=0,0,SUMIFS('主表 Stock_Transaction_Log'!$K$2:$K1000,'主表 Stock_Transaction_Log'!$C$2:$C1000,"Prepared",'主表 Stock_Transaction_Log'!$L$2:$L1000,$B386,'主表 Stock_Transaction_Log'!$F$2:$F1000,$C386,'主表 Stock_Transaction_Log'!$G$2:$G1000,$D386,'主表 Stock_Transaction_Log'!$P$2:$P1000,$L386)))</f>
        <v/>
      </c>
      <c r="N386" s="172"/>
      <c r="O386" s="172" t="str">
        <f t="shared" si="4"/>
        <v/>
      </c>
      <c r="P386" s="172" t="str">
        <f t="shared" si="5"/>
        <v/>
      </c>
      <c r="Q386" s="172" t="str">
        <f t="shared" si="9"/>
        <v/>
      </c>
      <c r="R386" s="172" t="str">
        <f t="shared" si="7"/>
        <v/>
      </c>
      <c r="S386" s="172" t="str">
        <f t="shared" si="8"/>
        <v/>
      </c>
    </row>
    <row r="387">
      <c r="A387" s="172" t="str">
        <f>IF('主表 Stock_Transaction_Log'!$T387="","",IF(COUNTIF('主表 Stock_Transaction_Log'!$T$2:$T387,'主表 Stock_Transaction_Log'!$T387)=1,ROW('主表 Stock_Transaction_Log'!$T387),""))</f>
        <v/>
      </c>
      <c r="B387" s="172" t="str">
        <f t="array" ref="B387">IF($A387="","",INDEX('主表 Stock_Transaction_Log'!$Q:$Q,$A387))</f>
        <v/>
      </c>
      <c r="C387" s="172" t="str">
        <f t="array" ref="C387">IF($A387="","",IF(INDEX('主表 Stock_Transaction_Log'!$F:$F,$A387)=0,"",INDEX('主表 Stock_Transaction_Log'!$F:$F,$A387)))</f>
        <v/>
      </c>
      <c r="D387" s="172" t="str">
        <f t="array" ref="D387">IF($A387="","",INDEX('主表 Stock_Transaction_Log'!$G:$G,$A387))</f>
        <v/>
      </c>
      <c r="E387" s="172" t="str">
        <f t="array" ref="E387">IF($A387="","",INDEX('主表 Stock_Transaction_Log'!$H:$H,$A387))</f>
        <v/>
      </c>
      <c r="F387" s="172" t="str">
        <f t="array" ref="F387">IF($A387="","",INDEX('主表 Stock_Transaction_Log'!$I:$I,$A387))</f>
        <v/>
      </c>
      <c r="G387" s="172" t="str">
        <f t="array" ref="G387">IF($A387="","",IF(INDEX('主表 Stock_Transaction_Log'!$R:$R,$A387)=0,"",INDEX('主表 Stock_Transaction_Log'!$R:$R,$A387)))</f>
        <v/>
      </c>
      <c r="H387" s="172" t="str">
        <f t="array" ref="H387">IF($A387="","",SUMIF('主表 Stock_Transaction_Log'!$T:$T,INDEX('主表 Stock_Transaction_Log'!$T:$T,$A387),'主表 Stock_Transaction_Log'!$S:$S)+SUMIF('主表 Stock_Transaction_Log'!$AB:$AB,INDEX('主表 Stock_Transaction_Log'!$T:$T,$A387),'主表 Stock_Transaction_Log'!$AC:$AC))</f>
        <v/>
      </c>
      <c r="I387" s="172" t="str">
        <f t="shared" si="1"/>
        <v/>
      </c>
      <c r="J387" s="172" t="str">
        <f t="shared" si="2"/>
        <v/>
      </c>
      <c r="K387" s="172" t="str">
        <f t="shared" si="3"/>
        <v/>
      </c>
      <c r="L387" s="172" t="str">
        <f t="array" ref="L387">IF($A387="","",INDEX('主表 Stock_Transaction_Log'!$P:$P,$A387))</f>
        <v/>
      </c>
      <c r="M387" s="57" t="str">
        <f>IF($A387="","",IF($H387&lt;=0,0,SUMIFS('主表 Stock_Transaction_Log'!$K$2:$K1000,'主表 Stock_Transaction_Log'!$C$2:$C1000,"Prepared",'主表 Stock_Transaction_Log'!$L$2:$L1000,$B387,'主表 Stock_Transaction_Log'!$F$2:$F1000,$C387,'主表 Stock_Transaction_Log'!$G$2:$G1000,$D387,'主表 Stock_Transaction_Log'!$P$2:$P1000,$L387)))</f>
        <v/>
      </c>
      <c r="N387" s="172"/>
      <c r="O387" s="172" t="str">
        <f t="shared" si="4"/>
        <v/>
      </c>
      <c r="P387" s="172" t="str">
        <f t="shared" si="5"/>
        <v/>
      </c>
      <c r="Q387" s="172" t="str">
        <f t="shared" si="9"/>
        <v/>
      </c>
      <c r="R387" s="172" t="str">
        <f t="shared" si="7"/>
        <v/>
      </c>
      <c r="S387" s="172" t="str">
        <f t="shared" si="8"/>
        <v/>
      </c>
    </row>
    <row r="388">
      <c r="A388" s="172" t="str">
        <f>IF('主表 Stock_Transaction_Log'!$T388="","",IF(COUNTIF('主表 Stock_Transaction_Log'!$T$2:$T388,'主表 Stock_Transaction_Log'!$T388)=1,ROW('主表 Stock_Transaction_Log'!$T388),""))</f>
        <v/>
      </c>
      <c r="B388" s="172" t="str">
        <f t="array" ref="B388">IF($A388="","",INDEX('主表 Stock_Transaction_Log'!$Q:$Q,$A388))</f>
        <v/>
      </c>
      <c r="C388" s="172" t="str">
        <f t="array" ref="C388">IF($A388="","",IF(INDEX('主表 Stock_Transaction_Log'!$F:$F,$A388)=0,"",INDEX('主表 Stock_Transaction_Log'!$F:$F,$A388)))</f>
        <v/>
      </c>
      <c r="D388" s="172" t="str">
        <f t="array" ref="D388">IF($A388="","",INDEX('主表 Stock_Transaction_Log'!$G:$G,$A388))</f>
        <v/>
      </c>
      <c r="E388" s="172" t="str">
        <f t="array" ref="E388">IF($A388="","",INDEX('主表 Stock_Transaction_Log'!$H:$H,$A388))</f>
        <v/>
      </c>
      <c r="F388" s="172" t="str">
        <f t="array" ref="F388">IF($A388="","",INDEX('主表 Stock_Transaction_Log'!$I:$I,$A388))</f>
        <v/>
      </c>
      <c r="G388" s="172" t="str">
        <f t="array" ref="G388">IF($A388="","",IF(INDEX('主表 Stock_Transaction_Log'!$R:$R,$A388)=0,"",INDEX('主表 Stock_Transaction_Log'!$R:$R,$A388)))</f>
        <v/>
      </c>
      <c r="H388" s="172" t="str">
        <f t="array" ref="H388">IF($A388="","",SUMIF('主表 Stock_Transaction_Log'!$T:$T,INDEX('主表 Stock_Transaction_Log'!$T:$T,$A388),'主表 Stock_Transaction_Log'!$S:$S)+SUMIF('主表 Stock_Transaction_Log'!$AB:$AB,INDEX('主表 Stock_Transaction_Log'!$T:$T,$A388),'主表 Stock_Transaction_Log'!$AC:$AC))</f>
        <v/>
      </c>
      <c r="I388" s="172" t="str">
        <f t="shared" si="1"/>
        <v/>
      </c>
      <c r="J388" s="172" t="str">
        <f t="shared" si="2"/>
        <v/>
      </c>
      <c r="K388" s="172" t="str">
        <f t="shared" si="3"/>
        <v/>
      </c>
      <c r="L388" s="172" t="str">
        <f t="array" ref="L388">IF($A388="","",INDEX('主表 Stock_Transaction_Log'!$P:$P,$A388))</f>
        <v/>
      </c>
      <c r="M388" s="57" t="str">
        <f>IF($A388="","",IF($H388&lt;=0,0,SUMIFS('主表 Stock_Transaction_Log'!$K$2:$K1000,'主表 Stock_Transaction_Log'!$C$2:$C1000,"Prepared",'主表 Stock_Transaction_Log'!$L$2:$L1000,$B388,'主表 Stock_Transaction_Log'!$F$2:$F1000,$C388,'主表 Stock_Transaction_Log'!$G$2:$G1000,$D388,'主表 Stock_Transaction_Log'!$P$2:$P1000,$L388)))</f>
        <v/>
      </c>
      <c r="N388" s="172"/>
      <c r="O388" s="172" t="str">
        <f t="shared" si="4"/>
        <v/>
      </c>
      <c r="P388" s="172" t="str">
        <f t="shared" si="5"/>
        <v/>
      </c>
      <c r="Q388" s="172" t="str">
        <f t="shared" si="9"/>
        <v/>
      </c>
      <c r="R388" s="172" t="str">
        <f t="shared" si="7"/>
        <v/>
      </c>
      <c r="S388" s="172" t="str">
        <f t="shared" si="8"/>
        <v/>
      </c>
    </row>
    <row r="389">
      <c r="A389" s="172" t="str">
        <f>IF('主表 Stock_Transaction_Log'!$T389="","",IF(COUNTIF('主表 Stock_Transaction_Log'!$T$2:$T389,'主表 Stock_Transaction_Log'!$T389)=1,ROW('主表 Stock_Transaction_Log'!$T389),""))</f>
        <v/>
      </c>
      <c r="B389" s="172" t="str">
        <f t="array" ref="B389">IF($A389="","",INDEX('主表 Stock_Transaction_Log'!$Q:$Q,$A389))</f>
        <v/>
      </c>
      <c r="C389" s="172" t="str">
        <f t="array" ref="C389">IF($A389="","",IF(INDEX('主表 Stock_Transaction_Log'!$F:$F,$A389)=0,"",INDEX('主表 Stock_Transaction_Log'!$F:$F,$A389)))</f>
        <v/>
      </c>
      <c r="D389" s="172" t="str">
        <f t="array" ref="D389">IF($A389="","",INDEX('主表 Stock_Transaction_Log'!$G:$G,$A389))</f>
        <v/>
      </c>
      <c r="E389" s="172" t="str">
        <f t="array" ref="E389">IF($A389="","",INDEX('主表 Stock_Transaction_Log'!$H:$H,$A389))</f>
        <v/>
      </c>
      <c r="F389" s="172" t="str">
        <f t="array" ref="F389">IF($A389="","",INDEX('主表 Stock_Transaction_Log'!$I:$I,$A389))</f>
        <v/>
      </c>
      <c r="G389" s="172" t="str">
        <f t="array" ref="G389">IF($A389="","",IF(INDEX('主表 Stock_Transaction_Log'!$R:$R,$A389)=0,"",INDEX('主表 Stock_Transaction_Log'!$R:$R,$A389)))</f>
        <v/>
      </c>
      <c r="H389" s="172" t="str">
        <f t="array" ref="H389">IF($A389="","",SUMIF('主表 Stock_Transaction_Log'!$T:$T,INDEX('主表 Stock_Transaction_Log'!$T:$T,$A389),'主表 Stock_Transaction_Log'!$S:$S)+SUMIF('主表 Stock_Transaction_Log'!$AB:$AB,INDEX('主表 Stock_Transaction_Log'!$T:$T,$A389),'主表 Stock_Transaction_Log'!$AC:$AC))</f>
        <v/>
      </c>
      <c r="I389" s="172" t="str">
        <f t="shared" si="1"/>
        <v/>
      </c>
      <c r="J389" s="172" t="str">
        <f t="shared" si="2"/>
        <v/>
      </c>
      <c r="K389" s="172" t="str">
        <f t="shared" si="3"/>
        <v/>
      </c>
      <c r="L389" s="172" t="str">
        <f t="array" ref="L389">IF($A389="","",INDEX('主表 Stock_Transaction_Log'!$P:$P,$A389))</f>
        <v/>
      </c>
      <c r="M389" s="57" t="str">
        <f>IF($A389="","",IF($H389&lt;=0,0,SUMIFS('主表 Stock_Transaction_Log'!$K$2:$K1000,'主表 Stock_Transaction_Log'!$C$2:$C1000,"Prepared",'主表 Stock_Transaction_Log'!$L$2:$L1000,$B389,'主表 Stock_Transaction_Log'!$F$2:$F1000,$C389,'主表 Stock_Transaction_Log'!$G$2:$G1000,$D389,'主表 Stock_Transaction_Log'!$P$2:$P1000,$L389)))</f>
        <v/>
      </c>
      <c r="N389" s="172"/>
      <c r="O389" s="172" t="str">
        <f t="shared" si="4"/>
        <v/>
      </c>
      <c r="P389" s="172" t="str">
        <f t="shared" si="5"/>
        <v/>
      </c>
      <c r="Q389" s="172" t="str">
        <f t="shared" si="9"/>
        <v/>
      </c>
      <c r="R389" s="172" t="str">
        <f t="shared" si="7"/>
        <v/>
      </c>
      <c r="S389" s="172" t="str">
        <f t="shared" si="8"/>
        <v/>
      </c>
    </row>
    <row r="390">
      <c r="A390" s="172" t="str">
        <f>IF('主表 Stock_Transaction_Log'!$T390="","",IF(COUNTIF('主表 Stock_Transaction_Log'!$T$2:$T390,'主表 Stock_Transaction_Log'!$T390)=1,ROW('主表 Stock_Transaction_Log'!$T390),""))</f>
        <v/>
      </c>
      <c r="B390" s="172" t="str">
        <f t="array" ref="B390">IF($A390="","",INDEX('主表 Stock_Transaction_Log'!$Q:$Q,$A390))</f>
        <v/>
      </c>
      <c r="C390" s="172" t="str">
        <f t="array" ref="C390">IF($A390="","",IF(INDEX('主表 Stock_Transaction_Log'!$F:$F,$A390)=0,"",INDEX('主表 Stock_Transaction_Log'!$F:$F,$A390)))</f>
        <v/>
      </c>
      <c r="D390" s="172" t="str">
        <f t="array" ref="D390">IF($A390="","",INDEX('主表 Stock_Transaction_Log'!$G:$G,$A390))</f>
        <v/>
      </c>
      <c r="E390" s="172" t="str">
        <f t="array" ref="E390">IF($A390="","",INDEX('主表 Stock_Transaction_Log'!$H:$H,$A390))</f>
        <v/>
      </c>
      <c r="F390" s="172" t="str">
        <f t="array" ref="F390">IF($A390="","",INDEX('主表 Stock_Transaction_Log'!$I:$I,$A390))</f>
        <v/>
      </c>
      <c r="G390" s="172" t="str">
        <f t="array" ref="G390">IF($A390="","",IF(INDEX('主表 Stock_Transaction_Log'!$R:$R,$A390)=0,"",INDEX('主表 Stock_Transaction_Log'!$R:$R,$A390)))</f>
        <v/>
      </c>
      <c r="H390" s="172" t="str">
        <f t="array" ref="H390">IF($A390="","",SUMIF('主表 Stock_Transaction_Log'!$T:$T,INDEX('主表 Stock_Transaction_Log'!$T:$T,$A390),'主表 Stock_Transaction_Log'!$S:$S)+SUMIF('主表 Stock_Transaction_Log'!$AB:$AB,INDEX('主表 Stock_Transaction_Log'!$T:$T,$A390),'主表 Stock_Transaction_Log'!$AC:$AC))</f>
        <v/>
      </c>
      <c r="I390" s="172" t="str">
        <f t="shared" si="1"/>
        <v/>
      </c>
      <c r="J390" s="172" t="str">
        <f t="shared" si="2"/>
        <v/>
      </c>
      <c r="K390" s="172" t="str">
        <f t="shared" si="3"/>
        <v/>
      </c>
      <c r="L390" s="172" t="str">
        <f t="array" ref="L390">IF($A390="","",INDEX('主表 Stock_Transaction_Log'!$P:$P,$A390))</f>
        <v/>
      </c>
      <c r="M390" s="57" t="str">
        <f>IF($A390="","",IF($H390&lt;=0,0,SUMIFS('主表 Stock_Transaction_Log'!$K$2:$K1000,'主表 Stock_Transaction_Log'!$C$2:$C1000,"Prepared",'主表 Stock_Transaction_Log'!$L$2:$L1000,$B390,'主表 Stock_Transaction_Log'!$F$2:$F1000,$C390,'主表 Stock_Transaction_Log'!$G$2:$G1000,$D390,'主表 Stock_Transaction_Log'!$P$2:$P1000,$L390)))</f>
        <v/>
      </c>
      <c r="N390" s="172"/>
      <c r="O390" s="172" t="str">
        <f t="shared" si="4"/>
        <v/>
      </c>
      <c r="P390" s="172" t="str">
        <f t="shared" si="5"/>
        <v/>
      </c>
      <c r="Q390" s="172" t="str">
        <f t="shared" si="9"/>
        <v/>
      </c>
      <c r="R390" s="172" t="str">
        <f t="shared" si="7"/>
        <v/>
      </c>
      <c r="S390" s="172" t="str">
        <f t="shared" si="8"/>
        <v/>
      </c>
    </row>
    <row r="391">
      <c r="A391" s="172" t="str">
        <f>IF('主表 Stock_Transaction_Log'!$T391="","",IF(COUNTIF('主表 Stock_Transaction_Log'!$T$2:$T391,'主表 Stock_Transaction_Log'!$T391)=1,ROW('主表 Stock_Transaction_Log'!$T391),""))</f>
        <v/>
      </c>
      <c r="B391" s="172" t="str">
        <f t="array" ref="B391">IF($A391="","",INDEX('主表 Stock_Transaction_Log'!$Q:$Q,$A391))</f>
        <v/>
      </c>
      <c r="C391" s="172" t="str">
        <f t="array" ref="C391">IF($A391="","",IF(INDEX('主表 Stock_Transaction_Log'!$F:$F,$A391)=0,"",INDEX('主表 Stock_Transaction_Log'!$F:$F,$A391)))</f>
        <v/>
      </c>
      <c r="D391" s="172" t="str">
        <f t="array" ref="D391">IF($A391="","",INDEX('主表 Stock_Transaction_Log'!$G:$G,$A391))</f>
        <v/>
      </c>
      <c r="E391" s="172" t="str">
        <f t="array" ref="E391">IF($A391="","",INDEX('主表 Stock_Transaction_Log'!$H:$H,$A391))</f>
        <v/>
      </c>
      <c r="F391" s="172" t="str">
        <f t="array" ref="F391">IF($A391="","",INDEX('主表 Stock_Transaction_Log'!$I:$I,$A391))</f>
        <v/>
      </c>
      <c r="G391" s="172" t="str">
        <f t="array" ref="G391">IF($A391="","",IF(INDEX('主表 Stock_Transaction_Log'!$R:$R,$A391)=0,"",INDEX('主表 Stock_Transaction_Log'!$R:$R,$A391)))</f>
        <v/>
      </c>
      <c r="H391" s="172" t="str">
        <f t="array" ref="H391">IF($A391="","",SUMIF('主表 Stock_Transaction_Log'!$T:$T,INDEX('主表 Stock_Transaction_Log'!$T:$T,$A391),'主表 Stock_Transaction_Log'!$S:$S)+SUMIF('主表 Stock_Transaction_Log'!$AB:$AB,INDEX('主表 Stock_Transaction_Log'!$T:$T,$A391),'主表 Stock_Transaction_Log'!$AC:$AC))</f>
        <v/>
      </c>
      <c r="I391" s="172" t="str">
        <f t="shared" si="1"/>
        <v/>
      </c>
      <c r="J391" s="172" t="str">
        <f t="shared" si="2"/>
        <v/>
      </c>
      <c r="K391" s="172" t="str">
        <f t="shared" si="3"/>
        <v/>
      </c>
      <c r="L391" s="172" t="str">
        <f t="array" ref="L391">IF($A391="","",INDEX('主表 Stock_Transaction_Log'!$P:$P,$A391))</f>
        <v/>
      </c>
      <c r="M391" s="57" t="str">
        <f>IF($A391="","",IF($H391&lt;=0,0,SUMIFS('主表 Stock_Transaction_Log'!$K$2:$K1000,'主表 Stock_Transaction_Log'!$C$2:$C1000,"Prepared",'主表 Stock_Transaction_Log'!$L$2:$L1000,$B391,'主表 Stock_Transaction_Log'!$F$2:$F1000,$C391,'主表 Stock_Transaction_Log'!$G$2:$G1000,$D391,'主表 Stock_Transaction_Log'!$P$2:$P1000,$L391)))</f>
        <v/>
      </c>
      <c r="N391" s="172"/>
      <c r="O391" s="172" t="str">
        <f t="shared" si="4"/>
        <v/>
      </c>
      <c r="P391" s="172" t="str">
        <f t="shared" si="5"/>
        <v/>
      </c>
      <c r="Q391" s="172" t="str">
        <f t="shared" si="9"/>
        <v/>
      </c>
      <c r="R391" s="172" t="str">
        <f t="shared" si="7"/>
        <v/>
      </c>
      <c r="S391" s="172" t="str">
        <f t="shared" si="8"/>
        <v/>
      </c>
    </row>
    <row r="392">
      <c r="A392" s="172" t="str">
        <f>IF('主表 Stock_Transaction_Log'!$T392="","",IF(COUNTIF('主表 Stock_Transaction_Log'!$T$2:$T392,'主表 Stock_Transaction_Log'!$T392)=1,ROW('主表 Stock_Transaction_Log'!$T392),""))</f>
        <v/>
      </c>
      <c r="B392" s="172" t="str">
        <f t="array" ref="B392">IF($A392="","",INDEX('主表 Stock_Transaction_Log'!$Q:$Q,$A392))</f>
        <v/>
      </c>
      <c r="C392" s="172" t="str">
        <f t="array" ref="C392">IF($A392="","",IF(INDEX('主表 Stock_Transaction_Log'!$F:$F,$A392)=0,"",INDEX('主表 Stock_Transaction_Log'!$F:$F,$A392)))</f>
        <v/>
      </c>
      <c r="D392" s="172" t="str">
        <f t="array" ref="D392">IF($A392="","",INDEX('主表 Stock_Transaction_Log'!$G:$G,$A392))</f>
        <v/>
      </c>
      <c r="E392" s="172" t="str">
        <f t="array" ref="E392">IF($A392="","",INDEX('主表 Stock_Transaction_Log'!$H:$H,$A392))</f>
        <v/>
      </c>
      <c r="F392" s="172" t="str">
        <f t="array" ref="F392">IF($A392="","",INDEX('主表 Stock_Transaction_Log'!$I:$I,$A392))</f>
        <v/>
      </c>
      <c r="G392" s="172" t="str">
        <f t="array" ref="G392">IF($A392="","",IF(INDEX('主表 Stock_Transaction_Log'!$R:$R,$A392)=0,"",INDEX('主表 Stock_Transaction_Log'!$R:$R,$A392)))</f>
        <v/>
      </c>
      <c r="H392" s="172" t="str">
        <f t="array" ref="H392">IF($A392="","",SUMIF('主表 Stock_Transaction_Log'!$T:$T,INDEX('主表 Stock_Transaction_Log'!$T:$T,$A392),'主表 Stock_Transaction_Log'!$S:$S)+SUMIF('主表 Stock_Transaction_Log'!$AB:$AB,INDEX('主表 Stock_Transaction_Log'!$T:$T,$A392),'主表 Stock_Transaction_Log'!$AC:$AC))</f>
        <v/>
      </c>
      <c r="I392" s="172" t="str">
        <f t="shared" si="1"/>
        <v/>
      </c>
      <c r="J392" s="172" t="str">
        <f t="shared" si="2"/>
        <v/>
      </c>
      <c r="K392" s="172" t="str">
        <f t="shared" si="3"/>
        <v/>
      </c>
      <c r="L392" s="172" t="str">
        <f t="array" ref="L392">IF($A392="","",INDEX('主表 Stock_Transaction_Log'!$P:$P,$A392))</f>
        <v/>
      </c>
      <c r="M392" s="57" t="str">
        <f>IF($A392="","",IF($H392&lt;=0,0,SUMIFS('主表 Stock_Transaction_Log'!$K$2:$K1000,'主表 Stock_Transaction_Log'!$C$2:$C1000,"Prepared",'主表 Stock_Transaction_Log'!$L$2:$L1000,$B392,'主表 Stock_Transaction_Log'!$F$2:$F1000,$C392,'主表 Stock_Transaction_Log'!$G$2:$G1000,$D392,'主表 Stock_Transaction_Log'!$P$2:$P1000,$L392)))</f>
        <v/>
      </c>
      <c r="N392" s="172"/>
      <c r="O392" s="172" t="str">
        <f t="shared" si="4"/>
        <v/>
      </c>
      <c r="P392" s="172" t="str">
        <f t="shared" si="5"/>
        <v/>
      </c>
      <c r="Q392" s="172" t="str">
        <f t="shared" si="9"/>
        <v/>
      </c>
      <c r="R392" s="172" t="str">
        <f t="shared" si="7"/>
        <v/>
      </c>
      <c r="S392" s="172" t="str">
        <f t="shared" si="8"/>
        <v/>
      </c>
    </row>
    <row r="393">
      <c r="A393" s="172" t="str">
        <f>IF('主表 Stock_Transaction_Log'!$T393="","",IF(COUNTIF('主表 Stock_Transaction_Log'!$T$2:$T393,'主表 Stock_Transaction_Log'!$T393)=1,ROW('主表 Stock_Transaction_Log'!$T393),""))</f>
        <v/>
      </c>
      <c r="B393" s="172" t="str">
        <f t="array" ref="B393">IF($A393="","",INDEX('主表 Stock_Transaction_Log'!$Q:$Q,$A393))</f>
        <v/>
      </c>
      <c r="C393" s="172" t="str">
        <f t="array" ref="C393">IF($A393="","",IF(INDEX('主表 Stock_Transaction_Log'!$F:$F,$A393)=0,"",INDEX('主表 Stock_Transaction_Log'!$F:$F,$A393)))</f>
        <v/>
      </c>
      <c r="D393" s="172" t="str">
        <f t="array" ref="D393">IF($A393="","",INDEX('主表 Stock_Transaction_Log'!$G:$G,$A393))</f>
        <v/>
      </c>
      <c r="E393" s="172" t="str">
        <f t="array" ref="E393">IF($A393="","",INDEX('主表 Stock_Transaction_Log'!$H:$H,$A393))</f>
        <v/>
      </c>
      <c r="F393" s="172" t="str">
        <f t="array" ref="F393">IF($A393="","",INDEX('主表 Stock_Transaction_Log'!$I:$I,$A393))</f>
        <v/>
      </c>
      <c r="G393" s="172" t="str">
        <f t="array" ref="G393">IF($A393="","",IF(INDEX('主表 Stock_Transaction_Log'!$R:$R,$A393)=0,"",INDEX('主表 Stock_Transaction_Log'!$R:$R,$A393)))</f>
        <v/>
      </c>
      <c r="H393" s="172" t="str">
        <f t="array" ref="H393">IF($A393="","",SUMIF('主表 Stock_Transaction_Log'!$T:$T,INDEX('主表 Stock_Transaction_Log'!$T:$T,$A393),'主表 Stock_Transaction_Log'!$S:$S)+SUMIF('主表 Stock_Transaction_Log'!$AB:$AB,INDEX('主表 Stock_Transaction_Log'!$T:$T,$A393),'主表 Stock_Transaction_Log'!$AC:$AC))</f>
        <v/>
      </c>
      <c r="I393" s="172" t="str">
        <f t="shared" si="1"/>
        <v/>
      </c>
      <c r="J393" s="172" t="str">
        <f t="shared" si="2"/>
        <v/>
      </c>
      <c r="K393" s="172" t="str">
        <f t="shared" si="3"/>
        <v/>
      </c>
      <c r="L393" s="172" t="str">
        <f t="array" ref="L393">IF($A393="","",INDEX('主表 Stock_Transaction_Log'!$P:$P,$A393))</f>
        <v/>
      </c>
      <c r="M393" s="57" t="str">
        <f>IF($A393="","",IF($H393&lt;=0,0,SUMIFS('主表 Stock_Transaction_Log'!$K$2:$K1000,'主表 Stock_Transaction_Log'!$C$2:$C1000,"Prepared",'主表 Stock_Transaction_Log'!$L$2:$L1000,$B393,'主表 Stock_Transaction_Log'!$F$2:$F1000,$C393,'主表 Stock_Transaction_Log'!$G$2:$G1000,$D393,'主表 Stock_Transaction_Log'!$P$2:$P1000,$L393)))</f>
        <v/>
      </c>
      <c r="N393" s="172"/>
      <c r="O393" s="172" t="str">
        <f t="shared" si="4"/>
        <v/>
      </c>
      <c r="P393" s="172" t="str">
        <f t="shared" si="5"/>
        <v/>
      </c>
      <c r="Q393" s="172" t="str">
        <f t="shared" si="9"/>
        <v/>
      </c>
      <c r="R393" s="172" t="str">
        <f t="shared" si="7"/>
        <v/>
      </c>
      <c r="S393" s="172" t="str">
        <f t="shared" si="8"/>
        <v/>
      </c>
    </row>
    <row r="394">
      <c r="A394" s="172" t="str">
        <f>IF('主表 Stock_Transaction_Log'!$T394="","",IF(COUNTIF('主表 Stock_Transaction_Log'!$T$2:$T394,'主表 Stock_Transaction_Log'!$T394)=1,ROW('主表 Stock_Transaction_Log'!$T394),""))</f>
        <v/>
      </c>
      <c r="B394" s="172" t="str">
        <f t="array" ref="B394">IF($A394="","",INDEX('主表 Stock_Transaction_Log'!$Q:$Q,$A394))</f>
        <v/>
      </c>
      <c r="C394" s="172" t="str">
        <f t="array" ref="C394">IF($A394="","",IF(INDEX('主表 Stock_Transaction_Log'!$F:$F,$A394)=0,"",INDEX('主表 Stock_Transaction_Log'!$F:$F,$A394)))</f>
        <v/>
      </c>
      <c r="D394" s="172" t="str">
        <f t="array" ref="D394">IF($A394="","",INDEX('主表 Stock_Transaction_Log'!$G:$G,$A394))</f>
        <v/>
      </c>
      <c r="E394" s="172" t="str">
        <f t="array" ref="E394">IF($A394="","",INDEX('主表 Stock_Transaction_Log'!$H:$H,$A394))</f>
        <v/>
      </c>
      <c r="F394" s="172" t="str">
        <f t="array" ref="F394">IF($A394="","",INDEX('主表 Stock_Transaction_Log'!$I:$I,$A394))</f>
        <v/>
      </c>
      <c r="G394" s="172" t="str">
        <f t="array" ref="G394">IF($A394="","",IF(INDEX('主表 Stock_Transaction_Log'!$R:$R,$A394)=0,"",INDEX('主表 Stock_Transaction_Log'!$R:$R,$A394)))</f>
        <v/>
      </c>
      <c r="H394" s="172" t="str">
        <f t="array" ref="H394">IF($A394="","",SUMIF('主表 Stock_Transaction_Log'!$T:$T,INDEX('主表 Stock_Transaction_Log'!$T:$T,$A394),'主表 Stock_Transaction_Log'!$S:$S)+SUMIF('主表 Stock_Transaction_Log'!$AB:$AB,INDEX('主表 Stock_Transaction_Log'!$T:$T,$A394),'主表 Stock_Transaction_Log'!$AC:$AC))</f>
        <v/>
      </c>
      <c r="I394" s="172" t="str">
        <f t="shared" si="1"/>
        <v/>
      </c>
      <c r="J394" s="172" t="str">
        <f t="shared" si="2"/>
        <v/>
      </c>
      <c r="K394" s="172" t="str">
        <f t="shared" si="3"/>
        <v/>
      </c>
      <c r="L394" s="172" t="str">
        <f t="array" ref="L394">IF($A394="","",INDEX('主表 Stock_Transaction_Log'!$P:$P,$A394))</f>
        <v/>
      </c>
      <c r="M394" s="57" t="str">
        <f>IF($A394="","",IF($H394&lt;=0,0,SUMIFS('主表 Stock_Transaction_Log'!$K$2:$K1000,'主表 Stock_Transaction_Log'!$C$2:$C1000,"Prepared",'主表 Stock_Transaction_Log'!$L$2:$L1000,$B394,'主表 Stock_Transaction_Log'!$F$2:$F1000,$C394,'主表 Stock_Transaction_Log'!$G$2:$G1000,$D394,'主表 Stock_Transaction_Log'!$P$2:$P1000,$L394)))</f>
        <v/>
      </c>
      <c r="N394" s="172"/>
      <c r="O394" s="172" t="str">
        <f t="shared" si="4"/>
        <v/>
      </c>
      <c r="P394" s="172" t="str">
        <f t="shared" si="5"/>
        <v/>
      </c>
      <c r="Q394" s="172" t="str">
        <f t="shared" si="9"/>
        <v/>
      </c>
      <c r="R394" s="172" t="str">
        <f t="shared" si="7"/>
        <v/>
      </c>
      <c r="S394" s="172" t="str">
        <f t="shared" si="8"/>
        <v/>
      </c>
    </row>
    <row r="395">
      <c r="A395" s="172" t="str">
        <f>IF('主表 Stock_Transaction_Log'!$T395="","",IF(COUNTIF('主表 Stock_Transaction_Log'!$T$2:$T395,'主表 Stock_Transaction_Log'!$T395)=1,ROW('主表 Stock_Transaction_Log'!$T395),""))</f>
        <v/>
      </c>
      <c r="B395" s="172" t="str">
        <f t="array" ref="B395">IF($A395="","",INDEX('主表 Stock_Transaction_Log'!$Q:$Q,$A395))</f>
        <v/>
      </c>
      <c r="C395" s="172" t="str">
        <f t="array" ref="C395">IF($A395="","",IF(INDEX('主表 Stock_Transaction_Log'!$F:$F,$A395)=0,"",INDEX('主表 Stock_Transaction_Log'!$F:$F,$A395)))</f>
        <v/>
      </c>
      <c r="D395" s="172" t="str">
        <f t="array" ref="D395">IF($A395="","",INDEX('主表 Stock_Transaction_Log'!$G:$G,$A395))</f>
        <v/>
      </c>
      <c r="E395" s="172" t="str">
        <f t="array" ref="E395">IF($A395="","",INDEX('主表 Stock_Transaction_Log'!$H:$H,$A395))</f>
        <v/>
      </c>
      <c r="F395" s="172" t="str">
        <f t="array" ref="F395">IF($A395="","",INDEX('主表 Stock_Transaction_Log'!$I:$I,$A395))</f>
        <v/>
      </c>
      <c r="G395" s="172" t="str">
        <f t="array" ref="G395">IF($A395="","",IF(INDEX('主表 Stock_Transaction_Log'!$R:$R,$A395)=0,"",INDEX('主表 Stock_Transaction_Log'!$R:$R,$A395)))</f>
        <v/>
      </c>
      <c r="H395" s="172" t="str">
        <f t="array" ref="H395">IF($A395="","",SUMIF('主表 Stock_Transaction_Log'!$T:$T,INDEX('主表 Stock_Transaction_Log'!$T:$T,$A395),'主表 Stock_Transaction_Log'!$S:$S)+SUMIF('主表 Stock_Transaction_Log'!$AB:$AB,INDEX('主表 Stock_Transaction_Log'!$T:$T,$A395),'主表 Stock_Transaction_Log'!$AC:$AC))</f>
        <v/>
      </c>
      <c r="I395" s="172" t="str">
        <f t="shared" si="1"/>
        <v/>
      </c>
      <c r="J395" s="172" t="str">
        <f t="shared" si="2"/>
        <v/>
      </c>
      <c r="K395" s="172" t="str">
        <f t="shared" si="3"/>
        <v/>
      </c>
      <c r="L395" s="172" t="str">
        <f t="array" ref="L395">IF($A395="","",INDEX('主表 Stock_Transaction_Log'!$P:$P,$A395))</f>
        <v/>
      </c>
      <c r="M395" s="57" t="str">
        <f>IF($A395="","",IF($H395&lt;=0,0,SUMIFS('主表 Stock_Transaction_Log'!$K$2:$K1000,'主表 Stock_Transaction_Log'!$C$2:$C1000,"Prepared",'主表 Stock_Transaction_Log'!$L$2:$L1000,$B395,'主表 Stock_Transaction_Log'!$F$2:$F1000,$C395,'主表 Stock_Transaction_Log'!$G$2:$G1000,$D395,'主表 Stock_Transaction_Log'!$P$2:$P1000,$L395)))</f>
        <v/>
      </c>
      <c r="N395" s="172"/>
      <c r="O395" s="172" t="str">
        <f t="shared" si="4"/>
        <v/>
      </c>
      <c r="P395" s="172" t="str">
        <f t="shared" si="5"/>
        <v/>
      </c>
      <c r="Q395" s="172" t="str">
        <f t="shared" si="9"/>
        <v/>
      </c>
      <c r="R395" s="172" t="str">
        <f t="shared" si="7"/>
        <v/>
      </c>
      <c r="S395" s="172" t="str">
        <f t="shared" si="8"/>
        <v/>
      </c>
    </row>
    <row r="396">
      <c r="A396" s="172" t="str">
        <f>IF('主表 Stock_Transaction_Log'!$T396="","",IF(COUNTIF('主表 Stock_Transaction_Log'!$T$2:$T396,'主表 Stock_Transaction_Log'!$T396)=1,ROW('主表 Stock_Transaction_Log'!$T396),""))</f>
        <v/>
      </c>
      <c r="B396" s="172" t="str">
        <f t="array" ref="B396">IF($A396="","",INDEX('主表 Stock_Transaction_Log'!$Q:$Q,$A396))</f>
        <v/>
      </c>
      <c r="C396" s="172" t="str">
        <f t="array" ref="C396">IF($A396="","",IF(INDEX('主表 Stock_Transaction_Log'!$F:$F,$A396)=0,"",INDEX('主表 Stock_Transaction_Log'!$F:$F,$A396)))</f>
        <v/>
      </c>
      <c r="D396" s="172" t="str">
        <f t="array" ref="D396">IF($A396="","",INDEX('主表 Stock_Transaction_Log'!$G:$G,$A396))</f>
        <v/>
      </c>
      <c r="E396" s="172" t="str">
        <f t="array" ref="E396">IF($A396="","",INDEX('主表 Stock_Transaction_Log'!$H:$H,$A396))</f>
        <v/>
      </c>
      <c r="F396" s="172" t="str">
        <f t="array" ref="F396">IF($A396="","",INDEX('主表 Stock_Transaction_Log'!$I:$I,$A396))</f>
        <v/>
      </c>
      <c r="G396" s="172" t="str">
        <f t="array" ref="G396">IF($A396="","",IF(INDEX('主表 Stock_Transaction_Log'!$R:$R,$A396)=0,"",INDEX('主表 Stock_Transaction_Log'!$R:$R,$A396)))</f>
        <v/>
      </c>
      <c r="H396" s="172" t="str">
        <f t="array" ref="H396">IF($A396="","",SUMIF('主表 Stock_Transaction_Log'!$T:$T,INDEX('主表 Stock_Transaction_Log'!$T:$T,$A396),'主表 Stock_Transaction_Log'!$S:$S)+SUMIF('主表 Stock_Transaction_Log'!$AB:$AB,INDEX('主表 Stock_Transaction_Log'!$T:$T,$A396),'主表 Stock_Transaction_Log'!$AC:$AC))</f>
        <v/>
      </c>
      <c r="I396" s="172" t="str">
        <f t="shared" si="1"/>
        <v/>
      </c>
      <c r="J396" s="172" t="str">
        <f t="shared" si="2"/>
        <v/>
      </c>
      <c r="K396" s="172" t="str">
        <f t="shared" si="3"/>
        <v/>
      </c>
      <c r="L396" s="172" t="str">
        <f t="array" ref="L396">IF($A396="","",INDEX('主表 Stock_Transaction_Log'!$P:$P,$A396))</f>
        <v/>
      </c>
      <c r="M396" s="57" t="str">
        <f>IF($A396="","",IF($H396&lt;=0,0,SUMIFS('主表 Stock_Transaction_Log'!$K$2:$K1000,'主表 Stock_Transaction_Log'!$C$2:$C1000,"Prepared",'主表 Stock_Transaction_Log'!$L$2:$L1000,$B396,'主表 Stock_Transaction_Log'!$F$2:$F1000,$C396,'主表 Stock_Transaction_Log'!$G$2:$G1000,$D396,'主表 Stock_Transaction_Log'!$P$2:$P1000,$L396)))</f>
        <v/>
      </c>
      <c r="N396" s="172"/>
      <c r="O396" s="172" t="str">
        <f t="shared" si="4"/>
        <v/>
      </c>
      <c r="P396" s="172" t="str">
        <f t="shared" si="5"/>
        <v/>
      </c>
      <c r="Q396" s="172" t="str">
        <f t="shared" si="9"/>
        <v/>
      </c>
      <c r="R396" s="172" t="str">
        <f t="shared" si="7"/>
        <v/>
      </c>
      <c r="S396" s="172" t="str">
        <f t="shared" si="8"/>
        <v/>
      </c>
    </row>
    <row r="397">
      <c r="A397" s="172" t="str">
        <f>IF('主表 Stock_Transaction_Log'!$T397="","",IF(COUNTIF('主表 Stock_Transaction_Log'!$T$2:$T397,'主表 Stock_Transaction_Log'!$T397)=1,ROW('主表 Stock_Transaction_Log'!$T397),""))</f>
        <v/>
      </c>
      <c r="B397" s="172" t="str">
        <f t="array" ref="B397">IF($A397="","",INDEX('主表 Stock_Transaction_Log'!$Q:$Q,$A397))</f>
        <v/>
      </c>
      <c r="C397" s="172" t="str">
        <f t="array" ref="C397">IF($A397="","",IF(INDEX('主表 Stock_Transaction_Log'!$F:$F,$A397)=0,"",INDEX('主表 Stock_Transaction_Log'!$F:$F,$A397)))</f>
        <v/>
      </c>
      <c r="D397" s="172" t="str">
        <f t="array" ref="D397">IF($A397="","",INDEX('主表 Stock_Transaction_Log'!$G:$G,$A397))</f>
        <v/>
      </c>
      <c r="E397" s="172" t="str">
        <f t="array" ref="E397">IF($A397="","",INDEX('主表 Stock_Transaction_Log'!$H:$H,$A397))</f>
        <v/>
      </c>
      <c r="F397" s="172" t="str">
        <f t="array" ref="F397">IF($A397="","",INDEX('主表 Stock_Transaction_Log'!$I:$I,$A397))</f>
        <v/>
      </c>
      <c r="G397" s="172" t="str">
        <f t="array" ref="G397">IF($A397="","",IF(INDEX('主表 Stock_Transaction_Log'!$R:$R,$A397)=0,"",INDEX('主表 Stock_Transaction_Log'!$R:$R,$A397)))</f>
        <v/>
      </c>
      <c r="H397" s="172" t="str">
        <f t="array" ref="H397">IF($A397="","",SUMIF('主表 Stock_Transaction_Log'!$T:$T,INDEX('主表 Stock_Transaction_Log'!$T:$T,$A397),'主表 Stock_Transaction_Log'!$S:$S)+SUMIF('主表 Stock_Transaction_Log'!$AB:$AB,INDEX('主表 Stock_Transaction_Log'!$T:$T,$A397),'主表 Stock_Transaction_Log'!$AC:$AC))</f>
        <v/>
      </c>
      <c r="I397" s="172" t="str">
        <f t="shared" si="1"/>
        <v/>
      </c>
      <c r="J397" s="172" t="str">
        <f t="shared" si="2"/>
        <v/>
      </c>
      <c r="K397" s="172" t="str">
        <f t="shared" si="3"/>
        <v/>
      </c>
      <c r="L397" s="172" t="str">
        <f t="array" ref="L397">IF($A397="","",INDEX('主表 Stock_Transaction_Log'!$P:$P,$A397))</f>
        <v/>
      </c>
      <c r="M397" s="57" t="str">
        <f>IF($A397="","",IF($H397&lt;=0,0,SUMIFS('主表 Stock_Transaction_Log'!$K$2:$K1000,'主表 Stock_Transaction_Log'!$C$2:$C1000,"Prepared",'主表 Stock_Transaction_Log'!$L$2:$L1000,$B397,'主表 Stock_Transaction_Log'!$F$2:$F1000,$C397,'主表 Stock_Transaction_Log'!$G$2:$G1000,$D397,'主表 Stock_Transaction_Log'!$P$2:$P1000,$L397)))</f>
        <v/>
      </c>
      <c r="N397" s="172"/>
      <c r="O397" s="172" t="str">
        <f t="shared" si="4"/>
        <v/>
      </c>
      <c r="P397" s="172" t="str">
        <f t="shared" si="5"/>
        <v/>
      </c>
      <c r="Q397" s="172" t="str">
        <f t="shared" si="9"/>
        <v/>
      </c>
      <c r="R397" s="172" t="str">
        <f t="shared" si="7"/>
        <v/>
      </c>
      <c r="S397" s="172" t="str">
        <f t="shared" si="8"/>
        <v/>
      </c>
    </row>
    <row r="398">
      <c r="A398" s="172" t="str">
        <f>IF('主表 Stock_Transaction_Log'!$T398="","",IF(COUNTIF('主表 Stock_Transaction_Log'!$T$2:$T398,'主表 Stock_Transaction_Log'!$T398)=1,ROW('主表 Stock_Transaction_Log'!$T398),""))</f>
        <v/>
      </c>
      <c r="B398" s="172" t="str">
        <f t="array" ref="B398">IF($A398="","",INDEX('主表 Stock_Transaction_Log'!$Q:$Q,$A398))</f>
        <v/>
      </c>
      <c r="C398" s="172" t="str">
        <f t="array" ref="C398">IF($A398="","",IF(INDEX('主表 Stock_Transaction_Log'!$F:$F,$A398)=0,"",INDEX('主表 Stock_Transaction_Log'!$F:$F,$A398)))</f>
        <v/>
      </c>
      <c r="D398" s="172" t="str">
        <f t="array" ref="D398">IF($A398="","",INDEX('主表 Stock_Transaction_Log'!$G:$G,$A398))</f>
        <v/>
      </c>
      <c r="E398" s="172" t="str">
        <f t="array" ref="E398">IF($A398="","",INDEX('主表 Stock_Transaction_Log'!$H:$H,$A398))</f>
        <v/>
      </c>
      <c r="F398" s="172" t="str">
        <f t="array" ref="F398">IF($A398="","",INDEX('主表 Stock_Transaction_Log'!$I:$I,$A398))</f>
        <v/>
      </c>
      <c r="G398" s="172" t="str">
        <f t="array" ref="G398">IF($A398="","",IF(INDEX('主表 Stock_Transaction_Log'!$R:$R,$A398)=0,"",INDEX('主表 Stock_Transaction_Log'!$R:$R,$A398)))</f>
        <v/>
      </c>
      <c r="H398" s="172" t="str">
        <f t="array" ref="H398">IF($A398="","",SUMIF('主表 Stock_Transaction_Log'!$T:$T,INDEX('主表 Stock_Transaction_Log'!$T:$T,$A398),'主表 Stock_Transaction_Log'!$S:$S)+SUMIF('主表 Stock_Transaction_Log'!$AB:$AB,INDEX('主表 Stock_Transaction_Log'!$T:$T,$A398),'主表 Stock_Transaction_Log'!$AC:$AC))</f>
        <v/>
      </c>
      <c r="I398" s="172" t="str">
        <f t="shared" si="1"/>
        <v/>
      </c>
      <c r="J398" s="172" t="str">
        <f t="shared" si="2"/>
        <v/>
      </c>
      <c r="K398" s="172" t="str">
        <f t="shared" si="3"/>
        <v/>
      </c>
      <c r="L398" s="172" t="str">
        <f t="array" ref="L398">IF($A398="","",INDEX('主表 Stock_Transaction_Log'!$P:$P,$A398))</f>
        <v/>
      </c>
      <c r="M398" s="57" t="str">
        <f>IF($A398="","",IF($H398&lt;=0,0,SUMIFS('主表 Stock_Transaction_Log'!$K$2:$K1000,'主表 Stock_Transaction_Log'!$C$2:$C1000,"Prepared",'主表 Stock_Transaction_Log'!$L$2:$L1000,$B398,'主表 Stock_Transaction_Log'!$F$2:$F1000,$C398,'主表 Stock_Transaction_Log'!$G$2:$G1000,$D398,'主表 Stock_Transaction_Log'!$P$2:$P1000,$L398)))</f>
        <v/>
      </c>
      <c r="N398" s="172"/>
      <c r="O398" s="172" t="str">
        <f t="shared" si="4"/>
        <v/>
      </c>
      <c r="P398" s="172" t="str">
        <f t="shared" si="5"/>
        <v/>
      </c>
      <c r="Q398" s="172" t="str">
        <f t="shared" si="9"/>
        <v/>
      </c>
      <c r="R398" s="172" t="str">
        <f t="shared" si="7"/>
        <v/>
      </c>
      <c r="S398" s="172" t="str">
        <f t="shared" si="8"/>
        <v/>
      </c>
    </row>
    <row r="399">
      <c r="A399" s="172" t="str">
        <f>IF('主表 Stock_Transaction_Log'!$T399="","",IF(COUNTIF('主表 Stock_Transaction_Log'!$T$2:$T399,'主表 Stock_Transaction_Log'!$T399)=1,ROW('主表 Stock_Transaction_Log'!$T399),""))</f>
        <v/>
      </c>
      <c r="B399" s="172" t="str">
        <f t="array" ref="B399">IF($A399="","",INDEX('主表 Stock_Transaction_Log'!$Q:$Q,$A399))</f>
        <v/>
      </c>
      <c r="C399" s="172" t="str">
        <f t="array" ref="C399">IF($A399="","",IF(INDEX('主表 Stock_Transaction_Log'!$F:$F,$A399)=0,"",INDEX('主表 Stock_Transaction_Log'!$F:$F,$A399)))</f>
        <v/>
      </c>
      <c r="D399" s="172" t="str">
        <f t="array" ref="D399">IF($A399="","",INDEX('主表 Stock_Transaction_Log'!$G:$G,$A399))</f>
        <v/>
      </c>
      <c r="E399" s="172" t="str">
        <f t="array" ref="E399">IF($A399="","",INDEX('主表 Stock_Transaction_Log'!$H:$H,$A399))</f>
        <v/>
      </c>
      <c r="F399" s="172" t="str">
        <f t="array" ref="F399">IF($A399="","",INDEX('主表 Stock_Transaction_Log'!$I:$I,$A399))</f>
        <v/>
      </c>
      <c r="G399" s="172" t="str">
        <f t="array" ref="G399">IF($A399="","",IF(INDEX('主表 Stock_Transaction_Log'!$R:$R,$A399)=0,"",INDEX('主表 Stock_Transaction_Log'!$R:$R,$A399)))</f>
        <v/>
      </c>
      <c r="H399" s="172" t="str">
        <f t="array" ref="H399">IF($A399="","",SUMIF('主表 Stock_Transaction_Log'!$T:$T,INDEX('主表 Stock_Transaction_Log'!$T:$T,$A399),'主表 Stock_Transaction_Log'!$S:$S)+SUMIF('主表 Stock_Transaction_Log'!$AB:$AB,INDEX('主表 Stock_Transaction_Log'!$T:$T,$A399),'主表 Stock_Transaction_Log'!$AC:$AC))</f>
        <v/>
      </c>
      <c r="I399" s="172" t="str">
        <f t="shared" si="1"/>
        <v/>
      </c>
      <c r="J399" s="172" t="str">
        <f t="shared" si="2"/>
        <v/>
      </c>
      <c r="K399" s="172" t="str">
        <f t="shared" si="3"/>
        <v/>
      </c>
      <c r="L399" s="172" t="str">
        <f t="array" ref="L399">IF($A399="","",INDEX('主表 Stock_Transaction_Log'!$P:$P,$A399))</f>
        <v/>
      </c>
      <c r="M399" s="57" t="str">
        <f>IF($A399="","",IF($H399&lt;=0,0,SUMIFS('主表 Stock_Transaction_Log'!$K$2:$K1000,'主表 Stock_Transaction_Log'!$C$2:$C1000,"Prepared",'主表 Stock_Transaction_Log'!$L$2:$L1000,$B399,'主表 Stock_Transaction_Log'!$F$2:$F1000,$C399,'主表 Stock_Transaction_Log'!$G$2:$G1000,$D399,'主表 Stock_Transaction_Log'!$P$2:$P1000,$L399)))</f>
        <v/>
      </c>
      <c r="N399" s="172"/>
      <c r="O399" s="172" t="str">
        <f t="shared" si="4"/>
        <v/>
      </c>
      <c r="P399" s="172" t="str">
        <f t="shared" si="5"/>
        <v/>
      </c>
      <c r="Q399" s="172" t="str">
        <f t="shared" si="9"/>
        <v/>
      </c>
      <c r="R399" s="172" t="str">
        <f t="shared" si="7"/>
        <v/>
      </c>
      <c r="S399" s="172" t="str">
        <f t="shared" si="8"/>
        <v/>
      </c>
    </row>
    <row r="400">
      <c r="A400" s="172" t="str">
        <f>IF('主表 Stock_Transaction_Log'!$T400="","",IF(COUNTIF('主表 Stock_Transaction_Log'!$T$2:$T400,'主表 Stock_Transaction_Log'!$T400)=1,ROW('主表 Stock_Transaction_Log'!$T400),""))</f>
        <v/>
      </c>
      <c r="B400" s="172" t="str">
        <f t="array" ref="B400">IF($A400="","",INDEX('主表 Stock_Transaction_Log'!$Q:$Q,$A400))</f>
        <v/>
      </c>
      <c r="C400" s="172" t="str">
        <f t="array" ref="C400">IF($A400="","",IF(INDEX('主表 Stock_Transaction_Log'!$F:$F,$A400)=0,"",INDEX('主表 Stock_Transaction_Log'!$F:$F,$A400)))</f>
        <v/>
      </c>
      <c r="D400" s="172" t="str">
        <f t="array" ref="D400">IF($A400="","",INDEX('主表 Stock_Transaction_Log'!$G:$G,$A400))</f>
        <v/>
      </c>
      <c r="E400" s="172" t="str">
        <f t="array" ref="E400">IF($A400="","",INDEX('主表 Stock_Transaction_Log'!$H:$H,$A400))</f>
        <v/>
      </c>
      <c r="F400" s="172" t="str">
        <f t="array" ref="F400">IF($A400="","",INDEX('主表 Stock_Transaction_Log'!$I:$I,$A400))</f>
        <v/>
      </c>
      <c r="G400" s="172" t="str">
        <f t="array" ref="G400">IF($A400="","",IF(INDEX('主表 Stock_Transaction_Log'!$R:$R,$A400)=0,"",INDEX('主表 Stock_Transaction_Log'!$R:$R,$A400)))</f>
        <v/>
      </c>
      <c r="H400" s="172" t="str">
        <f t="array" ref="H400">IF($A400="","",SUMIF('主表 Stock_Transaction_Log'!$T:$T,INDEX('主表 Stock_Transaction_Log'!$T:$T,$A400),'主表 Stock_Transaction_Log'!$S:$S)+SUMIF('主表 Stock_Transaction_Log'!$AB:$AB,INDEX('主表 Stock_Transaction_Log'!$T:$T,$A400),'主表 Stock_Transaction_Log'!$AC:$AC))</f>
        <v/>
      </c>
      <c r="I400" s="172" t="str">
        <f t="shared" si="1"/>
        <v/>
      </c>
      <c r="J400" s="172" t="str">
        <f t="shared" si="2"/>
        <v/>
      </c>
      <c r="K400" s="172" t="str">
        <f t="shared" si="3"/>
        <v/>
      </c>
      <c r="L400" s="172" t="str">
        <f t="array" ref="L400">IF($A400="","",INDEX('主表 Stock_Transaction_Log'!$P:$P,$A400))</f>
        <v/>
      </c>
      <c r="M400" s="57" t="str">
        <f>IF($A400="","",IF($H400&lt;=0,0,SUMIFS('主表 Stock_Transaction_Log'!$K$2:$K1000,'主表 Stock_Transaction_Log'!$C$2:$C1000,"Prepared",'主表 Stock_Transaction_Log'!$L$2:$L1000,$B400,'主表 Stock_Transaction_Log'!$F$2:$F1000,$C400,'主表 Stock_Transaction_Log'!$G$2:$G1000,$D400,'主表 Stock_Transaction_Log'!$P$2:$P1000,$L400)))</f>
        <v/>
      </c>
      <c r="N400" s="172"/>
      <c r="O400" s="172" t="str">
        <f t="shared" si="4"/>
        <v/>
      </c>
      <c r="P400" s="172" t="str">
        <f t="shared" si="5"/>
        <v/>
      </c>
      <c r="Q400" s="172" t="str">
        <f t="shared" si="9"/>
        <v/>
      </c>
      <c r="R400" s="172" t="str">
        <f t="shared" si="7"/>
        <v/>
      </c>
      <c r="S400" s="172" t="str">
        <f t="shared" si="8"/>
        <v/>
      </c>
    </row>
    <row r="401">
      <c r="A401" s="172" t="str">
        <f>IF('主表 Stock_Transaction_Log'!$T401="","",IF(COUNTIF('主表 Stock_Transaction_Log'!$T$2:$T401,'主表 Stock_Transaction_Log'!$T401)=1,ROW('主表 Stock_Transaction_Log'!$T401),""))</f>
        <v/>
      </c>
      <c r="B401" s="172" t="str">
        <f t="array" ref="B401">IF($A401="","",INDEX('主表 Stock_Transaction_Log'!$Q:$Q,$A401))</f>
        <v/>
      </c>
      <c r="C401" s="172" t="str">
        <f t="array" ref="C401">IF($A401="","",IF(INDEX('主表 Stock_Transaction_Log'!$F:$F,$A401)=0,"",INDEX('主表 Stock_Transaction_Log'!$F:$F,$A401)))</f>
        <v/>
      </c>
      <c r="D401" s="172" t="str">
        <f t="array" ref="D401">IF($A401="","",INDEX('主表 Stock_Transaction_Log'!$G:$G,$A401))</f>
        <v/>
      </c>
      <c r="E401" s="172" t="str">
        <f t="array" ref="E401">IF($A401="","",INDEX('主表 Stock_Transaction_Log'!$H:$H,$A401))</f>
        <v/>
      </c>
      <c r="F401" s="172" t="str">
        <f t="array" ref="F401">IF($A401="","",INDEX('主表 Stock_Transaction_Log'!$I:$I,$A401))</f>
        <v/>
      </c>
      <c r="G401" s="172" t="str">
        <f t="array" ref="G401">IF($A401="","",IF(INDEX('主表 Stock_Transaction_Log'!$R:$R,$A401)=0,"",INDEX('主表 Stock_Transaction_Log'!$R:$R,$A401)))</f>
        <v/>
      </c>
      <c r="H401" s="172" t="str">
        <f t="array" ref="H401">IF($A401="","",SUMIF('主表 Stock_Transaction_Log'!$T:$T,INDEX('主表 Stock_Transaction_Log'!$T:$T,$A401),'主表 Stock_Transaction_Log'!$S:$S)+SUMIF('主表 Stock_Transaction_Log'!$AB:$AB,INDEX('主表 Stock_Transaction_Log'!$T:$T,$A401),'主表 Stock_Transaction_Log'!$AC:$AC))</f>
        <v/>
      </c>
      <c r="I401" s="172" t="str">
        <f t="shared" si="1"/>
        <v/>
      </c>
      <c r="J401" s="172" t="str">
        <f t="shared" si="2"/>
        <v/>
      </c>
      <c r="K401" s="172" t="str">
        <f t="shared" si="3"/>
        <v/>
      </c>
      <c r="L401" s="172" t="str">
        <f t="array" ref="L401">IF($A401="","",INDEX('主表 Stock_Transaction_Log'!$P:$P,$A401))</f>
        <v/>
      </c>
      <c r="M401" s="57" t="str">
        <f>IF($A401="","",IF($H401&lt;=0,0,SUMIFS('主表 Stock_Transaction_Log'!$K$2:$K1000,'主表 Stock_Transaction_Log'!$C$2:$C1000,"Prepared",'主表 Stock_Transaction_Log'!$L$2:$L1000,$B401,'主表 Stock_Transaction_Log'!$F$2:$F1000,$C401,'主表 Stock_Transaction_Log'!$G$2:$G1000,$D401,'主表 Stock_Transaction_Log'!$P$2:$P1000,$L401)))</f>
        <v/>
      </c>
      <c r="N401" s="172"/>
      <c r="O401" s="172" t="str">
        <f t="shared" si="4"/>
        <v/>
      </c>
      <c r="P401" s="172" t="str">
        <f t="shared" si="5"/>
        <v/>
      </c>
      <c r="Q401" s="172" t="str">
        <f t="shared" si="9"/>
        <v/>
      </c>
      <c r="R401" s="172" t="str">
        <f t="shared" si="7"/>
        <v/>
      </c>
      <c r="S401" s="172" t="str">
        <f t="shared" si="8"/>
        <v/>
      </c>
    </row>
    <row r="402">
      <c r="A402" s="172" t="str">
        <f>IF('主表 Stock_Transaction_Log'!$T402="","",IF(COUNTIF('主表 Stock_Transaction_Log'!$T$2:$T402,'主表 Stock_Transaction_Log'!$T402)=1,ROW('主表 Stock_Transaction_Log'!$T402),""))</f>
        <v/>
      </c>
      <c r="B402" s="172" t="str">
        <f t="array" ref="B402">IF($A402="","",INDEX('主表 Stock_Transaction_Log'!$Q:$Q,$A402))</f>
        <v/>
      </c>
      <c r="C402" s="172" t="str">
        <f t="array" ref="C402">IF($A402="","",IF(INDEX('主表 Stock_Transaction_Log'!$F:$F,$A402)=0,"",INDEX('主表 Stock_Transaction_Log'!$F:$F,$A402)))</f>
        <v/>
      </c>
      <c r="D402" s="172" t="str">
        <f t="array" ref="D402">IF($A402="","",INDEX('主表 Stock_Transaction_Log'!$G:$G,$A402))</f>
        <v/>
      </c>
      <c r="E402" s="172" t="str">
        <f t="array" ref="E402">IF($A402="","",INDEX('主表 Stock_Transaction_Log'!$H:$H,$A402))</f>
        <v/>
      </c>
      <c r="F402" s="172" t="str">
        <f t="array" ref="F402">IF($A402="","",INDEX('主表 Stock_Transaction_Log'!$I:$I,$A402))</f>
        <v/>
      </c>
      <c r="G402" s="172" t="str">
        <f t="array" ref="G402">IF($A402="","",IF(INDEX('主表 Stock_Transaction_Log'!$R:$R,$A402)=0,"",INDEX('主表 Stock_Transaction_Log'!$R:$R,$A402)))</f>
        <v/>
      </c>
      <c r="H402" s="172" t="str">
        <f t="array" ref="H402">IF($A402="","",SUMIF('主表 Stock_Transaction_Log'!$T:$T,INDEX('主表 Stock_Transaction_Log'!$T:$T,$A402),'主表 Stock_Transaction_Log'!$S:$S)+SUMIF('主表 Stock_Transaction_Log'!$AB:$AB,INDEX('主表 Stock_Transaction_Log'!$T:$T,$A402),'主表 Stock_Transaction_Log'!$AC:$AC))</f>
        <v/>
      </c>
      <c r="I402" s="172" t="str">
        <f t="shared" si="1"/>
        <v/>
      </c>
      <c r="J402" s="172" t="str">
        <f t="shared" si="2"/>
        <v/>
      </c>
      <c r="K402" s="172" t="str">
        <f t="shared" si="3"/>
        <v/>
      </c>
      <c r="L402" s="172" t="str">
        <f t="array" ref="L402">IF($A402="","",INDEX('主表 Stock_Transaction_Log'!$P:$P,$A402))</f>
        <v/>
      </c>
      <c r="M402" s="57" t="str">
        <f>IF($A402="","",IF($H402&lt;=0,0,SUMIFS('主表 Stock_Transaction_Log'!$K$2:$K1000,'主表 Stock_Transaction_Log'!$C$2:$C1000,"Prepared",'主表 Stock_Transaction_Log'!$L$2:$L1000,$B402,'主表 Stock_Transaction_Log'!$F$2:$F1000,$C402,'主表 Stock_Transaction_Log'!$G$2:$G1000,$D402,'主表 Stock_Transaction_Log'!$P$2:$P1000,$L402)))</f>
        <v/>
      </c>
      <c r="N402" s="172"/>
      <c r="O402" s="172" t="str">
        <f t="shared" si="4"/>
        <v/>
      </c>
      <c r="P402" s="172" t="str">
        <f t="shared" si="5"/>
        <v/>
      </c>
      <c r="Q402" s="172" t="str">
        <f t="shared" si="9"/>
        <v/>
      </c>
      <c r="R402" s="172" t="str">
        <f t="shared" si="7"/>
        <v/>
      </c>
      <c r="S402" s="172" t="str">
        <f t="shared" si="8"/>
        <v/>
      </c>
    </row>
    <row r="403">
      <c r="A403" s="172" t="str">
        <f>IF('主表 Stock_Transaction_Log'!$T403="","",IF(COUNTIF('主表 Stock_Transaction_Log'!$T$2:$T403,'主表 Stock_Transaction_Log'!$T403)=1,ROW('主表 Stock_Transaction_Log'!$T403),""))</f>
        <v/>
      </c>
      <c r="B403" s="172" t="str">
        <f t="array" ref="B403">IF($A403="","",INDEX('主表 Stock_Transaction_Log'!$Q:$Q,$A403))</f>
        <v/>
      </c>
      <c r="C403" s="172" t="str">
        <f t="array" ref="C403">IF($A403="","",IF(INDEX('主表 Stock_Transaction_Log'!$F:$F,$A403)=0,"",INDEX('主表 Stock_Transaction_Log'!$F:$F,$A403)))</f>
        <v/>
      </c>
      <c r="D403" s="172" t="str">
        <f t="array" ref="D403">IF($A403="","",INDEX('主表 Stock_Transaction_Log'!$G:$G,$A403))</f>
        <v/>
      </c>
      <c r="E403" s="172" t="str">
        <f t="array" ref="E403">IF($A403="","",INDEX('主表 Stock_Transaction_Log'!$H:$H,$A403))</f>
        <v/>
      </c>
      <c r="F403" s="172" t="str">
        <f t="array" ref="F403">IF($A403="","",INDEX('主表 Stock_Transaction_Log'!$I:$I,$A403))</f>
        <v/>
      </c>
      <c r="G403" s="172" t="str">
        <f t="array" ref="G403">IF($A403="","",IF(INDEX('主表 Stock_Transaction_Log'!$R:$R,$A403)=0,"",INDEX('主表 Stock_Transaction_Log'!$R:$R,$A403)))</f>
        <v/>
      </c>
      <c r="H403" s="172" t="str">
        <f t="array" ref="H403">IF($A403="","",SUMIF('主表 Stock_Transaction_Log'!$T:$T,INDEX('主表 Stock_Transaction_Log'!$T:$T,$A403),'主表 Stock_Transaction_Log'!$S:$S)+SUMIF('主表 Stock_Transaction_Log'!$AB:$AB,INDEX('主表 Stock_Transaction_Log'!$T:$T,$A403),'主表 Stock_Transaction_Log'!$AC:$AC))</f>
        <v/>
      </c>
      <c r="I403" s="172" t="str">
        <f t="shared" si="1"/>
        <v/>
      </c>
      <c r="J403" s="172" t="str">
        <f t="shared" si="2"/>
        <v/>
      </c>
      <c r="K403" s="172" t="str">
        <f t="shared" si="3"/>
        <v/>
      </c>
      <c r="L403" s="172" t="str">
        <f t="array" ref="L403">IF($A403="","",INDEX('主表 Stock_Transaction_Log'!$P:$P,$A403))</f>
        <v/>
      </c>
      <c r="M403" s="57" t="str">
        <f>IF($A403="","",IF($H403&lt;=0,0,SUMIFS('主表 Stock_Transaction_Log'!$K$2:$K1000,'主表 Stock_Transaction_Log'!$C$2:$C1000,"Prepared",'主表 Stock_Transaction_Log'!$L$2:$L1000,$B403,'主表 Stock_Transaction_Log'!$F$2:$F1000,$C403,'主表 Stock_Transaction_Log'!$G$2:$G1000,$D403,'主表 Stock_Transaction_Log'!$P$2:$P1000,$L403)))</f>
        <v/>
      </c>
      <c r="N403" s="172"/>
      <c r="O403" s="172" t="str">
        <f t="shared" si="4"/>
        <v/>
      </c>
      <c r="P403" s="172" t="str">
        <f t="shared" si="5"/>
        <v/>
      </c>
      <c r="Q403" s="172" t="str">
        <f t="shared" si="9"/>
        <v/>
      </c>
      <c r="R403" s="172" t="str">
        <f t="shared" si="7"/>
        <v/>
      </c>
      <c r="S403" s="172" t="str">
        <f t="shared" si="8"/>
        <v/>
      </c>
    </row>
    <row r="404">
      <c r="A404" s="172" t="str">
        <f>IF('主表 Stock_Transaction_Log'!$T404="","",IF(COUNTIF('主表 Stock_Transaction_Log'!$T$2:$T404,'主表 Stock_Transaction_Log'!$T404)=1,ROW('主表 Stock_Transaction_Log'!$T404),""))</f>
        <v/>
      </c>
      <c r="B404" s="172" t="str">
        <f t="array" ref="B404">IF($A404="","",INDEX('主表 Stock_Transaction_Log'!$Q:$Q,$A404))</f>
        <v/>
      </c>
      <c r="C404" s="172" t="str">
        <f t="array" ref="C404">IF($A404="","",IF(INDEX('主表 Stock_Transaction_Log'!$F:$F,$A404)=0,"",INDEX('主表 Stock_Transaction_Log'!$F:$F,$A404)))</f>
        <v/>
      </c>
      <c r="D404" s="172" t="str">
        <f t="array" ref="D404">IF($A404="","",INDEX('主表 Stock_Transaction_Log'!$G:$G,$A404))</f>
        <v/>
      </c>
      <c r="E404" s="172" t="str">
        <f t="array" ref="E404">IF($A404="","",INDEX('主表 Stock_Transaction_Log'!$H:$H,$A404))</f>
        <v/>
      </c>
      <c r="F404" s="172" t="str">
        <f t="array" ref="F404">IF($A404="","",INDEX('主表 Stock_Transaction_Log'!$I:$I,$A404))</f>
        <v/>
      </c>
      <c r="G404" s="172" t="str">
        <f t="array" ref="G404">IF($A404="","",IF(INDEX('主表 Stock_Transaction_Log'!$R:$R,$A404)=0,"",INDEX('主表 Stock_Transaction_Log'!$R:$R,$A404)))</f>
        <v/>
      </c>
      <c r="H404" s="172" t="str">
        <f t="array" ref="H404">IF($A404="","",SUMIF('主表 Stock_Transaction_Log'!$T:$T,INDEX('主表 Stock_Transaction_Log'!$T:$T,$A404),'主表 Stock_Transaction_Log'!$S:$S)+SUMIF('主表 Stock_Transaction_Log'!$AB:$AB,INDEX('主表 Stock_Transaction_Log'!$T:$T,$A404),'主表 Stock_Transaction_Log'!$AC:$AC))</f>
        <v/>
      </c>
      <c r="I404" s="172" t="str">
        <f t="shared" si="1"/>
        <v/>
      </c>
      <c r="J404" s="172" t="str">
        <f t="shared" si="2"/>
        <v/>
      </c>
      <c r="K404" s="172" t="str">
        <f t="shared" si="3"/>
        <v/>
      </c>
      <c r="L404" s="172" t="str">
        <f t="array" ref="L404">IF($A404="","",INDEX('主表 Stock_Transaction_Log'!$P:$P,$A404))</f>
        <v/>
      </c>
      <c r="M404" s="57" t="str">
        <f>IF($A404="","",IF($H404&lt;=0,0,SUMIFS('主表 Stock_Transaction_Log'!$K$2:$K1000,'主表 Stock_Transaction_Log'!$C$2:$C1000,"Prepared",'主表 Stock_Transaction_Log'!$L$2:$L1000,$B404,'主表 Stock_Transaction_Log'!$F$2:$F1000,$C404,'主表 Stock_Transaction_Log'!$G$2:$G1000,$D404,'主表 Stock_Transaction_Log'!$P$2:$P1000,$L404)))</f>
        <v/>
      </c>
      <c r="N404" s="172"/>
      <c r="O404" s="172" t="str">
        <f t="shared" si="4"/>
        <v/>
      </c>
      <c r="P404" s="172" t="str">
        <f t="shared" si="5"/>
        <v/>
      </c>
      <c r="Q404" s="172" t="str">
        <f t="shared" si="9"/>
        <v/>
      </c>
      <c r="R404" s="172" t="str">
        <f t="shared" si="7"/>
        <v/>
      </c>
      <c r="S404" s="172" t="str">
        <f t="shared" si="8"/>
        <v/>
      </c>
    </row>
    <row r="405">
      <c r="A405" s="172" t="str">
        <f>IF('主表 Stock_Transaction_Log'!$T405="","",IF(COUNTIF('主表 Stock_Transaction_Log'!$T$2:$T405,'主表 Stock_Transaction_Log'!$T405)=1,ROW('主表 Stock_Transaction_Log'!$T405),""))</f>
        <v/>
      </c>
      <c r="B405" s="172" t="str">
        <f t="array" ref="B405">IF($A405="","",INDEX('主表 Stock_Transaction_Log'!$Q:$Q,$A405))</f>
        <v/>
      </c>
      <c r="C405" s="172" t="str">
        <f t="array" ref="C405">IF($A405="","",IF(INDEX('主表 Stock_Transaction_Log'!$F:$F,$A405)=0,"",INDEX('主表 Stock_Transaction_Log'!$F:$F,$A405)))</f>
        <v/>
      </c>
      <c r="D405" s="172" t="str">
        <f t="array" ref="D405">IF($A405="","",INDEX('主表 Stock_Transaction_Log'!$G:$G,$A405))</f>
        <v/>
      </c>
      <c r="E405" s="172" t="str">
        <f t="array" ref="E405">IF($A405="","",INDEX('主表 Stock_Transaction_Log'!$H:$H,$A405))</f>
        <v/>
      </c>
      <c r="F405" s="172" t="str">
        <f t="array" ref="F405">IF($A405="","",INDEX('主表 Stock_Transaction_Log'!$I:$I,$A405))</f>
        <v/>
      </c>
      <c r="G405" s="172" t="str">
        <f t="array" ref="G405">IF($A405="","",IF(INDEX('主表 Stock_Transaction_Log'!$R:$R,$A405)=0,"",INDEX('主表 Stock_Transaction_Log'!$R:$R,$A405)))</f>
        <v/>
      </c>
      <c r="H405" s="172" t="str">
        <f t="array" ref="H405">IF($A405="","",SUMIF('主表 Stock_Transaction_Log'!$T:$T,INDEX('主表 Stock_Transaction_Log'!$T:$T,$A405),'主表 Stock_Transaction_Log'!$S:$S)+SUMIF('主表 Stock_Transaction_Log'!$AB:$AB,INDEX('主表 Stock_Transaction_Log'!$T:$T,$A405),'主表 Stock_Transaction_Log'!$AC:$AC))</f>
        <v/>
      </c>
      <c r="I405" s="172" t="str">
        <f t="shared" si="1"/>
        <v/>
      </c>
      <c r="J405" s="172" t="str">
        <f t="shared" si="2"/>
        <v/>
      </c>
      <c r="K405" s="172" t="str">
        <f t="shared" si="3"/>
        <v/>
      </c>
      <c r="L405" s="172" t="str">
        <f t="array" ref="L405">IF($A405="","",INDEX('主表 Stock_Transaction_Log'!$P:$P,$A405))</f>
        <v/>
      </c>
      <c r="M405" s="57" t="str">
        <f>IF($A405="","",IF($H405&lt;=0,0,SUMIFS('主表 Stock_Transaction_Log'!$K$2:$K1000,'主表 Stock_Transaction_Log'!$C$2:$C1000,"Prepared",'主表 Stock_Transaction_Log'!$L$2:$L1000,$B405,'主表 Stock_Transaction_Log'!$F$2:$F1000,$C405,'主表 Stock_Transaction_Log'!$G$2:$G1000,$D405,'主表 Stock_Transaction_Log'!$P$2:$P1000,$L405)))</f>
        <v/>
      </c>
      <c r="N405" s="172"/>
      <c r="O405" s="172" t="str">
        <f t="shared" si="4"/>
        <v/>
      </c>
      <c r="P405" s="172" t="str">
        <f t="shared" si="5"/>
        <v/>
      </c>
      <c r="Q405" s="172" t="str">
        <f t="shared" si="9"/>
        <v/>
      </c>
      <c r="R405" s="172" t="str">
        <f t="shared" si="7"/>
        <v/>
      </c>
      <c r="S405" s="172" t="str">
        <f t="shared" si="8"/>
        <v/>
      </c>
    </row>
    <row r="406">
      <c r="A406" s="172" t="str">
        <f>IF('主表 Stock_Transaction_Log'!$T406="","",IF(COUNTIF('主表 Stock_Transaction_Log'!$T$2:$T406,'主表 Stock_Transaction_Log'!$T406)=1,ROW('主表 Stock_Transaction_Log'!$T406),""))</f>
        <v/>
      </c>
      <c r="B406" s="172" t="str">
        <f t="array" ref="B406">IF($A406="","",INDEX('主表 Stock_Transaction_Log'!$Q:$Q,$A406))</f>
        <v/>
      </c>
      <c r="C406" s="172" t="str">
        <f t="array" ref="C406">IF($A406="","",IF(INDEX('主表 Stock_Transaction_Log'!$F:$F,$A406)=0,"",INDEX('主表 Stock_Transaction_Log'!$F:$F,$A406)))</f>
        <v/>
      </c>
      <c r="D406" s="172" t="str">
        <f t="array" ref="D406">IF($A406="","",INDEX('主表 Stock_Transaction_Log'!$G:$G,$A406))</f>
        <v/>
      </c>
      <c r="E406" s="172" t="str">
        <f t="array" ref="E406">IF($A406="","",INDEX('主表 Stock_Transaction_Log'!$H:$H,$A406))</f>
        <v/>
      </c>
      <c r="F406" s="172" t="str">
        <f t="array" ref="F406">IF($A406="","",INDEX('主表 Stock_Transaction_Log'!$I:$I,$A406))</f>
        <v/>
      </c>
      <c r="G406" s="172" t="str">
        <f t="array" ref="G406">IF($A406="","",IF(INDEX('主表 Stock_Transaction_Log'!$R:$R,$A406)=0,"",INDEX('主表 Stock_Transaction_Log'!$R:$R,$A406)))</f>
        <v/>
      </c>
      <c r="H406" s="172" t="str">
        <f t="array" ref="H406">IF($A406="","",SUMIF('主表 Stock_Transaction_Log'!$T:$T,INDEX('主表 Stock_Transaction_Log'!$T:$T,$A406),'主表 Stock_Transaction_Log'!$S:$S)+SUMIF('主表 Stock_Transaction_Log'!$AB:$AB,INDEX('主表 Stock_Transaction_Log'!$T:$T,$A406),'主表 Stock_Transaction_Log'!$AC:$AC))</f>
        <v/>
      </c>
      <c r="I406" s="172" t="str">
        <f t="shared" si="1"/>
        <v/>
      </c>
      <c r="J406" s="172" t="str">
        <f t="shared" si="2"/>
        <v/>
      </c>
      <c r="K406" s="172" t="str">
        <f t="shared" si="3"/>
        <v/>
      </c>
      <c r="L406" s="172" t="str">
        <f t="array" ref="L406">IF($A406="","",INDEX('主表 Stock_Transaction_Log'!$P:$P,$A406))</f>
        <v/>
      </c>
      <c r="M406" s="57" t="str">
        <f>IF($A406="","",IF($H406&lt;=0,0,SUMIFS('主表 Stock_Transaction_Log'!$K$2:$K1000,'主表 Stock_Transaction_Log'!$C$2:$C1000,"Prepared",'主表 Stock_Transaction_Log'!$L$2:$L1000,$B406,'主表 Stock_Transaction_Log'!$F$2:$F1000,$C406,'主表 Stock_Transaction_Log'!$G$2:$G1000,$D406,'主表 Stock_Transaction_Log'!$P$2:$P1000,$L406)))</f>
        <v/>
      </c>
      <c r="N406" s="172"/>
      <c r="O406" s="172" t="str">
        <f t="shared" si="4"/>
        <v/>
      </c>
      <c r="P406" s="172" t="str">
        <f t="shared" si="5"/>
        <v/>
      </c>
      <c r="Q406" s="172" t="str">
        <f t="shared" si="9"/>
        <v/>
      </c>
      <c r="R406" s="172" t="str">
        <f t="shared" si="7"/>
        <v/>
      </c>
      <c r="S406" s="172" t="str">
        <f t="shared" si="8"/>
        <v/>
      </c>
    </row>
    <row r="407">
      <c r="A407" s="172" t="str">
        <f>IF('主表 Stock_Transaction_Log'!$T407="","",IF(COUNTIF('主表 Stock_Transaction_Log'!$T$2:$T407,'主表 Stock_Transaction_Log'!$T407)=1,ROW('主表 Stock_Transaction_Log'!$T407),""))</f>
        <v/>
      </c>
      <c r="B407" s="172" t="str">
        <f t="array" ref="B407">IF($A407="","",INDEX('主表 Stock_Transaction_Log'!$Q:$Q,$A407))</f>
        <v/>
      </c>
      <c r="C407" s="172" t="str">
        <f t="array" ref="C407">IF($A407="","",IF(INDEX('主表 Stock_Transaction_Log'!$F:$F,$A407)=0,"",INDEX('主表 Stock_Transaction_Log'!$F:$F,$A407)))</f>
        <v/>
      </c>
      <c r="D407" s="172" t="str">
        <f t="array" ref="D407">IF($A407="","",INDEX('主表 Stock_Transaction_Log'!$G:$G,$A407))</f>
        <v/>
      </c>
      <c r="E407" s="172" t="str">
        <f t="array" ref="E407">IF($A407="","",INDEX('主表 Stock_Transaction_Log'!$H:$H,$A407))</f>
        <v/>
      </c>
      <c r="F407" s="172" t="str">
        <f t="array" ref="F407">IF($A407="","",INDEX('主表 Stock_Transaction_Log'!$I:$I,$A407))</f>
        <v/>
      </c>
      <c r="G407" s="172" t="str">
        <f t="array" ref="G407">IF($A407="","",IF(INDEX('主表 Stock_Transaction_Log'!$R:$R,$A407)=0,"",INDEX('主表 Stock_Transaction_Log'!$R:$R,$A407)))</f>
        <v/>
      </c>
      <c r="H407" s="172" t="str">
        <f t="array" ref="H407">IF($A407="","",SUMIF('主表 Stock_Transaction_Log'!$T:$T,INDEX('主表 Stock_Transaction_Log'!$T:$T,$A407),'主表 Stock_Transaction_Log'!$S:$S)+SUMIF('主表 Stock_Transaction_Log'!$AB:$AB,INDEX('主表 Stock_Transaction_Log'!$T:$T,$A407),'主表 Stock_Transaction_Log'!$AC:$AC))</f>
        <v/>
      </c>
      <c r="I407" s="172" t="str">
        <f t="shared" si="1"/>
        <v/>
      </c>
      <c r="J407" s="172" t="str">
        <f t="shared" si="2"/>
        <v/>
      </c>
      <c r="K407" s="172" t="str">
        <f t="shared" si="3"/>
        <v/>
      </c>
      <c r="L407" s="172" t="str">
        <f t="array" ref="L407">IF($A407="","",INDEX('主表 Stock_Transaction_Log'!$P:$P,$A407))</f>
        <v/>
      </c>
      <c r="M407" s="57" t="str">
        <f>IF($A407="","",IF($H407&lt;=0,0,SUMIFS('主表 Stock_Transaction_Log'!$K$2:$K1000,'主表 Stock_Transaction_Log'!$C$2:$C1000,"Prepared",'主表 Stock_Transaction_Log'!$L$2:$L1000,$B407,'主表 Stock_Transaction_Log'!$F$2:$F1000,$C407,'主表 Stock_Transaction_Log'!$G$2:$G1000,$D407,'主表 Stock_Transaction_Log'!$P$2:$P1000,$L407)))</f>
        <v/>
      </c>
      <c r="N407" s="172"/>
      <c r="O407" s="172" t="str">
        <f t="shared" si="4"/>
        <v/>
      </c>
      <c r="P407" s="172" t="str">
        <f t="shared" si="5"/>
        <v/>
      </c>
      <c r="Q407" s="172" t="str">
        <f t="shared" si="9"/>
        <v/>
      </c>
      <c r="R407" s="172" t="str">
        <f t="shared" si="7"/>
        <v/>
      </c>
      <c r="S407" s="172" t="str">
        <f t="shared" si="8"/>
        <v/>
      </c>
    </row>
    <row r="408">
      <c r="A408" s="172" t="str">
        <f>IF('主表 Stock_Transaction_Log'!$T408="","",IF(COUNTIF('主表 Stock_Transaction_Log'!$T$2:$T408,'主表 Stock_Transaction_Log'!$T408)=1,ROW('主表 Stock_Transaction_Log'!$T408),""))</f>
        <v/>
      </c>
      <c r="B408" s="172" t="str">
        <f t="array" ref="B408">IF($A408="","",INDEX('主表 Stock_Transaction_Log'!$Q:$Q,$A408))</f>
        <v/>
      </c>
      <c r="C408" s="172" t="str">
        <f t="array" ref="C408">IF($A408="","",IF(INDEX('主表 Stock_Transaction_Log'!$F:$F,$A408)=0,"",INDEX('主表 Stock_Transaction_Log'!$F:$F,$A408)))</f>
        <v/>
      </c>
      <c r="D408" s="172" t="str">
        <f t="array" ref="D408">IF($A408="","",INDEX('主表 Stock_Transaction_Log'!$G:$G,$A408))</f>
        <v/>
      </c>
      <c r="E408" s="172" t="str">
        <f t="array" ref="E408">IF($A408="","",INDEX('主表 Stock_Transaction_Log'!$H:$H,$A408))</f>
        <v/>
      </c>
      <c r="F408" s="172" t="str">
        <f t="array" ref="F408">IF($A408="","",INDEX('主表 Stock_Transaction_Log'!$I:$I,$A408))</f>
        <v/>
      </c>
      <c r="G408" s="172" t="str">
        <f t="array" ref="G408">IF($A408="","",IF(INDEX('主表 Stock_Transaction_Log'!$R:$R,$A408)=0,"",INDEX('主表 Stock_Transaction_Log'!$R:$R,$A408)))</f>
        <v/>
      </c>
      <c r="H408" s="172" t="str">
        <f t="array" ref="H408">IF($A408="","",SUMIF('主表 Stock_Transaction_Log'!$T:$T,INDEX('主表 Stock_Transaction_Log'!$T:$T,$A408),'主表 Stock_Transaction_Log'!$S:$S)+SUMIF('主表 Stock_Transaction_Log'!$AB:$AB,INDEX('主表 Stock_Transaction_Log'!$T:$T,$A408),'主表 Stock_Transaction_Log'!$AC:$AC))</f>
        <v/>
      </c>
      <c r="I408" s="172" t="str">
        <f t="shared" si="1"/>
        <v/>
      </c>
      <c r="J408" s="172" t="str">
        <f t="shared" si="2"/>
        <v/>
      </c>
      <c r="K408" s="172" t="str">
        <f t="shared" si="3"/>
        <v/>
      </c>
      <c r="L408" s="172" t="str">
        <f t="array" ref="L408">IF($A408="","",INDEX('主表 Stock_Transaction_Log'!$P:$P,$A408))</f>
        <v/>
      </c>
      <c r="M408" s="57" t="str">
        <f>IF($A408="","",IF($H408&lt;=0,0,SUMIFS('主表 Stock_Transaction_Log'!$K$2:$K1000,'主表 Stock_Transaction_Log'!$C$2:$C1000,"Prepared",'主表 Stock_Transaction_Log'!$L$2:$L1000,$B408,'主表 Stock_Transaction_Log'!$F$2:$F1000,$C408,'主表 Stock_Transaction_Log'!$G$2:$G1000,$D408,'主表 Stock_Transaction_Log'!$P$2:$P1000,$L408)))</f>
        <v/>
      </c>
      <c r="N408" s="172"/>
      <c r="O408" s="172" t="str">
        <f t="shared" si="4"/>
        <v/>
      </c>
      <c r="P408" s="172" t="str">
        <f t="shared" si="5"/>
        <v/>
      </c>
      <c r="Q408" s="172" t="str">
        <f t="shared" si="9"/>
        <v/>
      </c>
      <c r="R408" s="172" t="str">
        <f t="shared" si="7"/>
        <v/>
      </c>
      <c r="S408" s="172" t="str">
        <f t="shared" si="8"/>
        <v/>
      </c>
    </row>
    <row r="409">
      <c r="A409" s="172" t="str">
        <f>IF('主表 Stock_Transaction_Log'!$T409="","",IF(COUNTIF('主表 Stock_Transaction_Log'!$T$2:$T409,'主表 Stock_Transaction_Log'!$T409)=1,ROW('主表 Stock_Transaction_Log'!$T409),""))</f>
        <v/>
      </c>
      <c r="B409" s="172" t="str">
        <f t="array" ref="B409">IF($A409="","",INDEX('主表 Stock_Transaction_Log'!$Q:$Q,$A409))</f>
        <v/>
      </c>
      <c r="C409" s="172" t="str">
        <f t="array" ref="C409">IF($A409="","",IF(INDEX('主表 Stock_Transaction_Log'!$F:$F,$A409)=0,"",INDEX('主表 Stock_Transaction_Log'!$F:$F,$A409)))</f>
        <v/>
      </c>
      <c r="D409" s="172" t="str">
        <f t="array" ref="D409">IF($A409="","",INDEX('主表 Stock_Transaction_Log'!$G:$G,$A409))</f>
        <v/>
      </c>
      <c r="E409" s="172" t="str">
        <f t="array" ref="E409">IF($A409="","",INDEX('主表 Stock_Transaction_Log'!$H:$H,$A409))</f>
        <v/>
      </c>
      <c r="F409" s="172" t="str">
        <f t="array" ref="F409">IF($A409="","",INDEX('主表 Stock_Transaction_Log'!$I:$I,$A409))</f>
        <v/>
      </c>
      <c r="G409" s="172" t="str">
        <f t="array" ref="G409">IF($A409="","",IF(INDEX('主表 Stock_Transaction_Log'!$R:$R,$A409)=0,"",INDEX('主表 Stock_Transaction_Log'!$R:$R,$A409)))</f>
        <v/>
      </c>
      <c r="H409" s="172" t="str">
        <f t="array" ref="H409">IF($A409="","",SUMIF('主表 Stock_Transaction_Log'!$T:$T,INDEX('主表 Stock_Transaction_Log'!$T:$T,$A409),'主表 Stock_Transaction_Log'!$S:$S)+SUMIF('主表 Stock_Transaction_Log'!$AB:$AB,INDEX('主表 Stock_Transaction_Log'!$T:$T,$A409),'主表 Stock_Transaction_Log'!$AC:$AC))</f>
        <v/>
      </c>
      <c r="I409" s="172" t="str">
        <f t="shared" si="1"/>
        <v/>
      </c>
      <c r="J409" s="172" t="str">
        <f t="shared" si="2"/>
        <v/>
      </c>
      <c r="K409" s="172" t="str">
        <f t="shared" si="3"/>
        <v/>
      </c>
      <c r="L409" s="172" t="str">
        <f t="array" ref="L409">IF($A409="","",INDEX('主表 Stock_Transaction_Log'!$P:$P,$A409))</f>
        <v/>
      </c>
      <c r="M409" s="57" t="str">
        <f>IF($A409="","",IF($H409&lt;=0,0,SUMIFS('主表 Stock_Transaction_Log'!$K$2:$K1000,'主表 Stock_Transaction_Log'!$C$2:$C1000,"Prepared",'主表 Stock_Transaction_Log'!$L$2:$L1000,$B409,'主表 Stock_Transaction_Log'!$F$2:$F1000,$C409,'主表 Stock_Transaction_Log'!$G$2:$G1000,$D409,'主表 Stock_Transaction_Log'!$P$2:$P1000,$L409)))</f>
        <v/>
      </c>
      <c r="N409" s="172"/>
      <c r="O409" s="172" t="str">
        <f t="shared" si="4"/>
        <v/>
      </c>
      <c r="P409" s="172" t="str">
        <f t="shared" si="5"/>
        <v/>
      </c>
      <c r="Q409" s="172" t="str">
        <f t="shared" si="9"/>
        <v/>
      </c>
      <c r="R409" s="172" t="str">
        <f t="shared" si="7"/>
        <v/>
      </c>
      <c r="S409" s="172" t="str">
        <f t="shared" si="8"/>
        <v/>
      </c>
    </row>
    <row r="410">
      <c r="A410" s="172" t="str">
        <f>IF('主表 Stock_Transaction_Log'!$T410="","",IF(COUNTIF('主表 Stock_Transaction_Log'!$T$2:$T410,'主表 Stock_Transaction_Log'!$T410)=1,ROW('主表 Stock_Transaction_Log'!$T410),""))</f>
        <v/>
      </c>
      <c r="B410" s="172" t="str">
        <f t="array" ref="B410">IF($A410="","",INDEX('主表 Stock_Transaction_Log'!$Q:$Q,$A410))</f>
        <v/>
      </c>
      <c r="C410" s="172" t="str">
        <f t="array" ref="C410">IF($A410="","",IF(INDEX('主表 Stock_Transaction_Log'!$F:$F,$A410)=0,"",INDEX('主表 Stock_Transaction_Log'!$F:$F,$A410)))</f>
        <v/>
      </c>
      <c r="D410" s="172" t="str">
        <f t="array" ref="D410">IF($A410="","",INDEX('主表 Stock_Transaction_Log'!$G:$G,$A410))</f>
        <v/>
      </c>
      <c r="E410" s="172" t="str">
        <f t="array" ref="E410">IF($A410="","",INDEX('主表 Stock_Transaction_Log'!$H:$H,$A410))</f>
        <v/>
      </c>
      <c r="F410" s="172" t="str">
        <f t="array" ref="F410">IF($A410="","",INDEX('主表 Stock_Transaction_Log'!$I:$I,$A410))</f>
        <v/>
      </c>
      <c r="G410" s="172" t="str">
        <f t="array" ref="G410">IF($A410="","",IF(INDEX('主表 Stock_Transaction_Log'!$R:$R,$A410)=0,"",INDEX('主表 Stock_Transaction_Log'!$R:$R,$A410)))</f>
        <v/>
      </c>
      <c r="H410" s="172" t="str">
        <f t="array" ref="H410">IF($A410="","",SUMIF('主表 Stock_Transaction_Log'!$T:$T,INDEX('主表 Stock_Transaction_Log'!$T:$T,$A410),'主表 Stock_Transaction_Log'!$S:$S)+SUMIF('主表 Stock_Transaction_Log'!$AB:$AB,INDEX('主表 Stock_Transaction_Log'!$T:$T,$A410),'主表 Stock_Transaction_Log'!$AC:$AC))</f>
        <v/>
      </c>
      <c r="I410" s="172" t="str">
        <f t="shared" si="1"/>
        <v/>
      </c>
      <c r="J410" s="172" t="str">
        <f t="shared" si="2"/>
        <v/>
      </c>
      <c r="K410" s="172" t="str">
        <f t="shared" si="3"/>
        <v/>
      </c>
      <c r="L410" s="172" t="str">
        <f t="array" ref="L410">IF($A410="","",INDEX('主表 Stock_Transaction_Log'!$P:$P,$A410))</f>
        <v/>
      </c>
      <c r="M410" s="57" t="str">
        <f>IF($A410="","",IF($H410&lt;=0,0,SUMIFS('主表 Stock_Transaction_Log'!$K$2:$K1000,'主表 Stock_Transaction_Log'!$C$2:$C1000,"Prepared",'主表 Stock_Transaction_Log'!$L$2:$L1000,$B410,'主表 Stock_Transaction_Log'!$F$2:$F1000,$C410,'主表 Stock_Transaction_Log'!$G$2:$G1000,$D410,'主表 Stock_Transaction_Log'!$P$2:$P1000,$L410)))</f>
        <v/>
      </c>
      <c r="N410" s="172"/>
      <c r="O410" s="172" t="str">
        <f t="shared" si="4"/>
        <v/>
      </c>
      <c r="P410" s="172" t="str">
        <f t="shared" si="5"/>
        <v/>
      </c>
      <c r="Q410" s="172" t="str">
        <f t="shared" si="9"/>
        <v/>
      </c>
      <c r="R410" s="172" t="str">
        <f t="shared" si="7"/>
        <v/>
      </c>
      <c r="S410" s="172" t="str">
        <f t="shared" si="8"/>
        <v/>
      </c>
    </row>
    <row r="411">
      <c r="A411" s="172" t="str">
        <f>IF('主表 Stock_Transaction_Log'!$T411="","",IF(COUNTIF('主表 Stock_Transaction_Log'!$T$2:$T411,'主表 Stock_Transaction_Log'!$T411)=1,ROW('主表 Stock_Transaction_Log'!$T411),""))</f>
        <v/>
      </c>
      <c r="B411" s="172" t="str">
        <f t="array" ref="B411">IF($A411="","",INDEX('主表 Stock_Transaction_Log'!$Q:$Q,$A411))</f>
        <v/>
      </c>
      <c r="C411" s="172" t="str">
        <f t="array" ref="C411">IF($A411="","",IF(INDEX('主表 Stock_Transaction_Log'!$F:$F,$A411)=0,"",INDEX('主表 Stock_Transaction_Log'!$F:$F,$A411)))</f>
        <v/>
      </c>
      <c r="D411" s="172" t="str">
        <f t="array" ref="D411">IF($A411="","",INDEX('主表 Stock_Transaction_Log'!$G:$G,$A411))</f>
        <v/>
      </c>
      <c r="E411" s="172" t="str">
        <f t="array" ref="E411">IF($A411="","",INDEX('主表 Stock_Transaction_Log'!$H:$H,$A411))</f>
        <v/>
      </c>
      <c r="F411" s="172" t="str">
        <f t="array" ref="F411">IF($A411="","",INDEX('主表 Stock_Transaction_Log'!$I:$I,$A411))</f>
        <v/>
      </c>
      <c r="G411" s="172" t="str">
        <f t="array" ref="G411">IF($A411="","",IF(INDEX('主表 Stock_Transaction_Log'!$R:$R,$A411)=0,"",INDEX('主表 Stock_Transaction_Log'!$R:$R,$A411)))</f>
        <v/>
      </c>
      <c r="H411" s="172" t="str">
        <f t="array" ref="H411">IF($A411="","",SUMIF('主表 Stock_Transaction_Log'!$T:$T,INDEX('主表 Stock_Transaction_Log'!$T:$T,$A411),'主表 Stock_Transaction_Log'!$S:$S)+SUMIF('主表 Stock_Transaction_Log'!$AB:$AB,INDEX('主表 Stock_Transaction_Log'!$T:$T,$A411),'主表 Stock_Transaction_Log'!$AC:$AC))</f>
        <v/>
      </c>
      <c r="I411" s="172" t="str">
        <f t="shared" si="1"/>
        <v/>
      </c>
      <c r="J411" s="172" t="str">
        <f t="shared" si="2"/>
        <v/>
      </c>
      <c r="K411" s="172" t="str">
        <f t="shared" si="3"/>
        <v/>
      </c>
      <c r="L411" s="172" t="str">
        <f t="array" ref="L411">IF($A411="","",INDEX('主表 Stock_Transaction_Log'!$P:$P,$A411))</f>
        <v/>
      </c>
      <c r="M411" s="57" t="str">
        <f>IF($A411="","",IF($H411&lt;=0,0,SUMIFS('主表 Stock_Transaction_Log'!$K$2:$K1000,'主表 Stock_Transaction_Log'!$C$2:$C1000,"Prepared",'主表 Stock_Transaction_Log'!$L$2:$L1000,$B411,'主表 Stock_Transaction_Log'!$F$2:$F1000,$C411,'主表 Stock_Transaction_Log'!$G$2:$G1000,$D411,'主表 Stock_Transaction_Log'!$P$2:$P1000,$L411)))</f>
        <v/>
      </c>
      <c r="N411" s="172"/>
      <c r="O411" s="172" t="str">
        <f t="shared" si="4"/>
        <v/>
      </c>
      <c r="P411" s="172" t="str">
        <f t="shared" si="5"/>
        <v/>
      </c>
      <c r="Q411" s="172" t="str">
        <f t="shared" si="9"/>
        <v/>
      </c>
      <c r="R411" s="172" t="str">
        <f t="shared" si="7"/>
        <v/>
      </c>
      <c r="S411" s="172" t="str">
        <f t="shared" si="8"/>
        <v/>
      </c>
    </row>
    <row r="412">
      <c r="A412" s="172" t="str">
        <f>IF('主表 Stock_Transaction_Log'!$T412="","",IF(COUNTIF('主表 Stock_Transaction_Log'!$T$2:$T412,'主表 Stock_Transaction_Log'!$T412)=1,ROW('主表 Stock_Transaction_Log'!$T412),""))</f>
        <v/>
      </c>
      <c r="B412" s="172" t="str">
        <f t="array" ref="B412">IF($A412="","",INDEX('主表 Stock_Transaction_Log'!$Q:$Q,$A412))</f>
        <v/>
      </c>
      <c r="C412" s="172" t="str">
        <f t="array" ref="C412">IF($A412="","",IF(INDEX('主表 Stock_Transaction_Log'!$F:$F,$A412)=0,"",INDEX('主表 Stock_Transaction_Log'!$F:$F,$A412)))</f>
        <v/>
      </c>
      <c r="D412" s="172" t="str">
        <f t="array" ref="D412">IF($A412="","",INDEX('主表 Stock_Transaction_Log'!$G:$G,$A412))</f>
        <v/>
      </c>
      <c r="E412" s="172" t="str">
        <f t="array" ref="E412">IF($A412="","",INDEX('主表 Stock_Transaction_Log'!$H:$H,$A412))</f>
        <v/>
      </c>
      <c r="F412" s="172" t="str">
        <f t="array" ref="F412">IF($A412="","",INDEX('主表 Stock_Transaction_Log'!$I:$I,$A412))</f>
        <v/>
      </c>
      <c r="G412" s="172" t="str">
        <f t="array" ref="G412">IF($A412="","",IF(INDEX('主表 Stock_Transaction_Log'!$R:$R,$A412)=0,"",INDEX('主表 Stock_Transaction_Log'!$R:$R,$A412)))</f>
        <v/>
      </c>
      <c r="H412" s="172" t="str">
        <f t="array" ref="H412">IF($A412="","",SUMIF('主表 Stock_Transaction_Log'!$T:$T,INDEX('主表 Stock_Transaction_Log'!$T:$T,$A412),'主表 Stock_Transaction_Log'!$S:$S)+SUMIF('主表 Stock_Transaction_Log'!$AB:$AB,INDEX('主表 Stock_Transaction_Log'!$T:$T,$A412),'主表 Stock_Transaction_Log'!$AC:$AC))</f>
        <v/>
      </c>
      <c r="I412" s="172" t="str">
        <f t="shared" si="1"/>
        <v/>
      </c>
      <c r="J412" s="172" t="str">
        <f t="shared" si="2"/>
        <v/>
      </c>
      <c r="K412" s="172" t="str">
        <f t="shared" si="3"/>
        <v/>
      </c>
      <c r="L412" s="172" t="str">
        <f t="array" ref="L412">IF($A412="","",INDEX('主表 Stock_Transaction_Log'!$P:$P,$A412))</f>
        <v/>
      </c>
      <c r="M412" s="57" t="str">
        <f>IF($A412="","",IF($H412&lt;=0,0,SUMIFS('主表 Stock_Transaction_Log'!$K$2:$K1000,'主表 Stock_Transaction_Log'!$C$2:$C1000,"Prepared",'主表 Stock_Transaction_Log'!$L$2:$L1000,$B412,'主表 Stock_Transaction_Log'!$F$2:$F1000,$C412,'主表 Stock_Transaction_Log'!$G$2:$G1000,$D412,'主表 Stock_Transaction_Log'!$P$2:$P1000,$L412)))</f>
        <v/>
      </c>
      <c r="N412" s="172"/>
      <c r="O412" s="172" t="str">
        <f t="shared" si="4"/>
        <v/>
      </c>
      <c r="P412" s="172" t="str">
        <f t="shared" si="5"/>
        <v/>
      </c>
      <c r="Q412" s="172" t="str">
        <f t="shared" si="9"/>
        <v/>
      </c>
      <c r="R412" s="172" t="str">
        <f t="shared" si="7"/>
        <v/>
      </c>
      <c r="S412" s="172" t="str">
        <f t="shared" si="8"/>
        <v/>
      </c>
    </row>
    <row r="413">
      <c r="A413" s="172" t="str">
        <f>IF('主表 Stock_Transaction_Log'!$T413="","",IF(COUNTIF('主表 Stock_Transaction_Log'!$T$2:$T413,'主表 Stock_Transaction_Log'!$T413)=1,ROW('主表 Stock_Transaction_Log'!$T413),""))</f>
        <v/>
      </c>
      <c r="B413" s="172" t="str">
        <f t="array" ref="B413">IF($A413="","",INDEX('主表 Stock_Transaction_Log'!$Q:$Q,$A413))</f>
        <v/>
      </c>
      <c r="C413" s="172" t="str">
        <f t="array" ref="C413">IF($A413="","",IF(INDEX('主表 Stock_Transaction_Log'!$F:$F,$A413)=0,"",INDEX('主表 Stock_Transaction_Log'!$F:$F,$A413)))</f>
        <v/>
      </c>
      <c r="D413" s="172" t="str">
        <f t="array" ref="D413">IF($A413="","",INDEX('主表 Stock_Transaction_Log'!$G:$G,$A413))</f>
        <v/>
      </c>
      <c r="E413" s="172" t="str">
        <f t="array" ref="E413">IF($A413="","",INDEX('主表 Stock_Transaction_Log'!$H:$H,$A413))</f>
        <v/>
      </c>
      <c r="F413" s="172" t="str">
        <f t="array" ref="F413">IF($A413="","",INDEX('主表 Stock_Transaction_Log'!$I:$I,$A413))</f>
        <v/>
      </c>
      <c r="G413" s="172" t="str">
        <f t="array" ref="G413">IF($A413="","",IF(INDEX('主表 Stock_Transaction_Log'!$R:$R,$A413)=0,"",INDEX('主表 Stock_Transaction_Log'!$R:$R,$A413)))</f>
        <v/>
      </c>
      <c r="H413" s="172" t="str">
        <f t="array" ref="H413">IF($A413="","",SUMIF('主表 Stock_Transaction_Log'!$T:$T,INDEX('主表 Stock_Transaction_Log'!$T:$T,$A413),'主表 Stock_Transaction_Log'!$S:$S)+SUMIF('主表 Stock_Transaction_Log'!$AB:$AB,INDEX('主表 Stock_Transaction_Log'!$T:$T,$A413),'主表 Stock_Transaction_Log'!$AC:$AC))</f>
        <v/>
      </c>
      <c r="I413" s="172" t="str">
        <f t="shared" si="1"/>
        <v/>
      </c>
      <c r="J413" s="172" t="str">
        <f t="shared" si="2"/>
        <v/>
      </c>
      <c r="K413" s="172" t="str">
        <f t="shared" si="3"/>
        <v/>
      </c>
      <c r="L413" s="172" t="str">
        <f t="array" ref="L413">IF($A413="","",INDEX('主表 Stock_Transaction_Log'!$P:$P,$A413))</f>
        <v/>
      </c>
      <c r="M413" s="57" t="str">
        <f>IF($A413="","",IF($H413&lt;=0,0,SUMIFS('主表 Stock_Transaction_Log'!$K$2:$K1000,'主表 Stock_Transaction_Log'!$C$2:$C1000,"Prepared",'主表 Stock_Transaction_Log'!$L$2:$L1000,$B413,'主表 Stock_Transaction_Log'!$F$2:$F1000,$C413,'主表 Stock_Transaction_Log'!$G$2:$G1000,$D413,'主表 Stock_Transaction_Log'!$P$2:$P1000,$L413)))</f>
        <v/>
      </c>
      <c r="N413" s="172"/>
      <c r="O413" s="172" t="str">
        <f t="shared" si="4"/>
        <v/>
      </c>
      <c r="P413" s="172" t="str">
        <f t="shared" si="5"/>
        <v/>
      </c>
      <c r="Q413" s="172" t="str">
        <f t="shared" si="9"/>
        <v/>
      </c>
      <c r="R413" s="172" t="str">
        <f t="shared" si="7"/>
        <v/>
      </c>
      <c r="S413" s="172" t="str">
        <f t="shared" si="8"/>
        <v/>
      </c>
    </row>
    <row r="414">
      <c r="A414" s="172" t="str">
        <f>IF('主表 Stock_Transaction_Log'!$T414="","",IF(COUNTIF('主表 Stock_Transaction_Log'!$T$2:$T414,'主表 Stock_Transaction_Log'!$T414)=1,ROW('主表 Stock_Transaction_Log'!$T414),""))</f>
        <v/>
      </c>
      <c r="B414" s="172" t="str">
        <f t="array" ref="B414">IF($A414="","",INDEX('主表 Stock_Transaction_Log'!$Q:$Q,$A414))</f>
        <v/>
      </c>
      <c r="C414" s="172" t="str">
        <f t="array" ref="C414">IF($A414="","",IF(INDEX('主表 Stock_Transaction_Log'!$F:$F,$A414)=0,"",INDEX('主表 Stock_Transaction_Log'!$F:$F,$A414)))</f>
        <v/>
      </c>
      <c r="D414" s="172" t="str">
        <f t="array" ref="D414">IF($A414="","",INDEX('主表 Stock_Transaction_Log'!$G:$G,$A414))</f>
        <v/>
      </c>
      <c r="E414" s="172" t="str">
        <f t="array" ref="E414">IF($A414="","",INDEX('主表 Stock_Transaction_Log'!$H:$H,$A414))</f>
        <v/>
      </c>
      <c r="F414" s="172" t="str">
        <f t="array" ref="F414">IF($A414="","",INDEX('主表 Stock_Transaction_Log'!$I:$I,$A414))</f>
        <v/>
      </c>
      <c r="G414" s="172" t="str">
        <f t="array" ref="G414">IF($A414="","",IF(INDEX('主表 Stock_Transaction_Log'!$R:$R,$A414)=0,"",INDEX('主表 Stock_Transaction_Log'!$R:$R,$A414)))</f>
        <v/>
      </c>
      <c r="H414" s="172" t="str">
        <f t="array" ref="H414">IF($A414="","",SUMIF('主表 Stock_Transaction_Log'!$T:$T,INDEX('主表 Stock_Transaction_Log'!$T:$T,$A414),'主表 Stock_Transaction_Log'!$S:$S)+SUMIF('主表 Stock_Transaction_Log'!$AB:$AB,INDEX('主表 Stock_Transaction_Log'!$T:$T,$A414),'主表 Stock_Transaction_Log'!$AC:$AC))</f>
        <v/>
      </c>
      <c r="I414" s="172" t="str">
        <f t="shared" si="1"/>
        <v/>
      </c>
      <c r="J414" s="172" t="str">
        <f t="shared" si="2"/>
        <v/>
      </c>
      <c r="K414" s="172" t="str">
        <f t="shared" si="3"/>
        <v/>
      </c>
      <c r="L414" s="172" t="str">
        <f t="array" ref="L414">IF($A414="","",INDEX('主表 Stock_Transaction_Log'!$P:$P,$A414))</f>
        <v/>
      </c>
      <c r="M414" s="57" t="str">
        <f>IF($A414="","",IF($H414&lt;=0,0,SUMIFS('主表 Stock_Transaction_Log'!$K$2:$K1000,'主表 Stock_Transaction_Log'!$C$2:$C1000,"Prepared",'主表 Stock_Transaction_Log'!$L$2:$L1000,$B414,'主表 Stock_Transaction_Log'!$F$2:$F1000,$C414,'主表 Stock_Transaction_Log'!$G$2:$G1000,$D414,'主表 Stock_Transaction_Log'!$P$2:$P1000,$L414)))</f>
        <v/>
      </c>
      <c r="N414" s="172"/>
      <c r="O414" s="172" t="str">
        <f t="shared" si="4"/>
        <v/>
      </c>
      <c r="P414" s="172" t="str">
        <f t="shared" si="5"/>
        <v/>
      </c>
      <c r="Q414" s="172" t="str">
        <f t="shared" si="9"/>
        <v/>
      </c>
      <c r="R414" s="172" t="str">
        <f t="shared" si="7"/>
        <v/>
      </c>
      <c r="S414" s="172" t="str">
        <f t="shared" si="8"/>
        <v/>
      </c>
    </row>
    <row r="415">
      <c r="A415" s="172" t="str">
        <f>IF('主表 Stock_Transaction_Log'!$T415="","",IF(COUNTIF('主表 Stock_Transaction_Log'!$T$2:$T415,'主表 Stock_Transaction_Log'!$T415)=1,ROW('主表 Stock_Transaction_Log'!$T415),""))</f>
        <v/>
      </c>
      <c r="B415" s="172" t="str">
        <f t="array" ref="B415">IF($A415="","",INDEX('主表 Stock_Transaction_Log'!$Q:$Q,$A415))</f>
        <v/>
      </c>
      <c r="C415" s="172" t="str">
        <f t="array" ref="C415">IF($A415="","",IF(INDEX('主表 Stock_Transaction_Log'!$F:$F,$A415)=0,"",INDEX('主表 Stock_Transaction_Log'!$F:$F,$A415)))</f>
        <v/>
      </c>
      <c r="D415" s="172" t="str">
        <f t="array" ref="D415">IF($A415="","",INDEX('主表 Stock_Transaction_Log'!$G:$G,$A415))</f>
        <v/>
      </c>
      <c r="E415" s="172" t="str">
        <f t="array" ref="E415">IF($A415="","",INDEX('主表 Stock_Transaction_Log'!$H:$H,$A415))</f>
        <v/>
      </c>
      <c r="F415" s="172" t="str">
        <f t="array" ref="F415">IF($A415="","",INDEX('主表 Stock_Transaction_Log'!$I:$I,$A415))</f>
        <v/>
      </c>
      <c r="G415" s="172" t="str">
        <f t="array" ref="G415">IF($A415="","",IF(INDEX('主表 Stock_Transaction_Log'!$R:$R,$A415)=0,"",INDEX('主表 Stock_Transaction_Log'!$R:$R,$A415)))</f>
        <v/>
      </c>
      <c r="H415" s="172" t="str">
        <f t="array" ref="H415">IF($A415="","",SUMIF('主表 Stock_Transaction_Log'!$T:$T,INDEX('主表 Stock_Transaction_Log'!$T:$T,$A415),'主表 Stock_Transaction_Log'!$S:$S)+SUMIF('主表 Stock_Transaction_Log'!$AB:$AB,INDEX('主表 Stock_Transaction_Log'!$T:$T,$A415),'主表 Stock_Transaction_Log'!$AC:$AC))</f>
        <v/>
      </c>
      <c r="I415" s="172" t="str">
        <f t="shared" si="1"/>
        <v/>
      </c>
      <c r="J415" s="172" t="str">
        <f t="shared" si="2"/>
        <v/>
      </c>
      <c r="K415" s="172" t="str">
        <f t="shared" si="3"/>
        <v/>
      </c>
      <c r="L415" s="172" t="str">
        <f t="array" ref="L415">IF($A415="","",INDEX('主表 Stock_Transaction_Log'!$P:$P,$A415))</f>
        <v/>
      </c>
      <c r="M415" s="57" t="str">
        <f>IF($A415="","",IF($H415&lt;=0,0,SUMIFS('主表 Stock_Transaction_Log'!$K$2:$K1000,'主表 Stock_Transaction_Log'!$C$2:$C1000,"Prepared",'主表 Stock_Transaction_Log'!$L$2:$L1000,$B415,'主表 Stock_Transaction_Log'!$F$2:$F1000,$C415,'主表 Stock_Transaction_Log'!$G$2:$G1000,$D415,'主表 Stock_Transaction_Log'!$P$2:$P1000,$L415)))</f>
        <v/>
      </c>
      <c r="N415" s="172"/>
      <c r="O415" s="172" t="str">
        <f t="shared" si="4"/>
        <v/>
      </c>
      <c r="P415" s="172" t="str">
        <f t="shared" si="5"/>
        <v/>
      </c>
      <c r="Q415" s="172" t="str">
        <f t="shared" si="9"/>
        <v/>
      </c>
      <c r="R415" s="172" t="str">
        <f t="shared" si="7"/>
        <v/>
      </c>
      <c r="S415" s="172" t="str">
        <f t="shared" si="8"/>
        <v/>
      </c>
    </row>
    <row r="416">
      <c r="A416" s="172" t="str">
        <f>IF('主表 Stock_Transaction_Log'!$T416="","",IF(COUNTIF('主表 Stock_Transaction_Log'!$T$2:$T416,'主表 Stock_Transaction_Log'!$T416)=1,ROW('主表 Stock_Transaction_Log'!$T416),""))</f>
        <v/>
      </c>
      <c r="B416" s="172" t="str">
        <f t="array" ref="B416">IF($A416="","",INDEX('主表 Stock_Transaction_Log'!$Q:$Q,$A416))</f>
        <v/>
      </c>
      <c r="C416" s="172" t="str">
        <f t="array" ref="C416">IF($A416="","",IF(INDEX('主表 Stock_Transaction_Log'!$F:$F,$A416)=0,"",INDEX('主表 Stock_Transaction_Log'!$F:$F,$A416)))</f>
        <v/>
      </c>
      <c r="D416" s="172" t="str">
        <f t="array" ref="D416">IF($A416="","",INDEX('主表 Stock_Transaction_Log'!$G:$G,$A416))</f>
        <v/>
      </c>
      <c r="E416" s="172" t="str">
        <f t="array" ref="E416">IF($A416="","",INDEX('主表 Stock_Transaction_Log'!$H:$H,$A416))</f>
        <v/>
      </c>
      <c r="F416" s="172" t="str">
        <f t="array" ref="F416">IF($A416="","",INDEX('主表 Stock_Transaction_Log'!$I:$I,$A416))</f>
        <v/>
      </c>
      <c r="G416" s="172" t="str">
        <f t="array" ref="G416">IF($A416="","",IF(INDEX('主表 Stock_Transaction_Log'!$R:$R,$A416)=0,"",INDEX('主表 Stock_Transaction_Log'!$R:$R,$A416)))</f>
        <v/>
      </c>
      <c r="H416" s="172" t="str">
        <f t="array" ref="H416">IF($A416="","",SUMIF('主表 Stock_Transaction_Log'!$T:$T,INDEX('主表 Stock_Transaction_Log'!$T:$T,$A416),'主表 Stock_Transaction_Log'!$S:$S)+SUMIF('主表 Stock_Transaction_Log'!$AB:$AB,INDEX('主表 Stock_Transaction_Log'!$T:$T,$A416),'主表 Stock_Transaction_Log'!$AC:$AC))</f>
        <v/>
      </c>
      <c r="I416" s="172" t="str">
        <f t="shared" si="1"/>
        <v/>
      </c>
      <c r="J416" s="172" t="str">
        <f t="shared" si="2"/>
        <v/>
      </c>
      <c r="K416" s="172" t="str">
        <f t="shared" si="3"/>
        <v/>
      </c>
      <c r="L416" s="172" t="str">
        <f t="array" ref="L416">IF($A416="","",INDEX('主表 Stock_Transaction_Log'!$P:$P,$A416))</f>
        <v/>
      </c>
      <c r="M416" s="57" t="str">
        <f>IF($A416="","",IF($H416&lt;=0,0,SUMIFS('主表 Stock_Transaction_Log'!$K$2:$K1000,'主表 Stock_Transaction_Log'!$C$2:$C1000,"Prepared",'主表 Stock_Transaction_Log'!$L$2:$L1000,$B416,'主表 Stock_Transaction_Log'!$F$2:$F1000,$C416,'主表 Stock_Transaction_Log'!$G$2:$G1000,$D416,'主表 Stock_Transaction_Log'!$P$2:$P1000,$L416)))</f>
        <v/>
      </c>
      <c r="N416" s="172"/>
      <c r="O416" s="172" t="str">
        <f t="shared" si="4"/>
        <v/>
      </c>
      <c r="P416" s="172" t="str">
        <f t="shared" si="5"/>
        <v/>
      </c>
      <c r="Q416" s="172" t="str">
        <f t="shared" si="9"/>
        <v/>
      </c>
      <c r="R416" s="172" t="str">
        <f t="shared" si="7"/>
        <v/>
      </c>
      <c r="S416" s="172" t="str">
        <f t="shared" si="8"/>
        <v/>
      </c>
    </row>
    <row r="417">
      <c r="A417" s="172" t="str">
        <f>IF('主表 Stock_Transaction_Log'!$T417="","",IF(COUNTIF('主表 Stock_Transaction_Log'!$T$2:$T417,'主表 Stock_Transaction_Log'!$T417)=1,ROW('主表 Stock_Transaction_Log'!$T417),""))</f>
        <v/>
      </c>
      <c r="B417" s="172" t="str">
        <f t="array" ref="B417">IF($A417="","",INDEX('主表 Stock_Transaction_Log'!$Q:$Q,$A417))</f>
        <v/>
      </c>
      <c r="C417" s="172" t="str">
        <f t="array" ref="C417">IF($A417="","",IF(INDEX('主表 Stock_Transaction_Log'!$F:$F,$A417)=0,"",INDEX('主表 Stock_Transaction_Log'!$F:$F,$A417)))</f>
        <v/>
      </c>
      <c r="D417" s="172" t="str">
        <f t="array" ref="D417">IF($A417="","",INDEX('主表 Stock_Transaction_Log'!$G:$G,$A417))</f>
        <v/>
      </c>
      <c r="E417" s="172" t="str">
        <f t="array" ref="E417">IF($A417="","",INDEX('主表 Stock_Transaction_Log'!$H:$H,$A417))</f>
        <v/>
      </c>
      <c r="F417" s="172" t="str">
        <f t="array" ref="F417">IF($A417="","",INDEX('主表 Stock_Transaction_Log'!$I:$I,$A417))</f>
        <v/>
      </c>
      <c r="G417" s="172" t="str">
        <f t="array" ref="G417">IF($A417="","",IF(INDEX('主表 Stock_Transaction_Log'!$R:$R,$A417)=0,"",INDEX('主表 Stock_Transaction_Log'!$R:$R,$A417)))</f>
        <v/>
      </c>
      <c r="H417" s="172" t="str">
        <f t="array" ref="H417">IF($A417="","",SUMIF('主表 Stock_Transaction_Log'!$T:$T,INDEX('主表 Stock_Transaction_Log'!$T:$T,$A417),'主表 Stock_Transaction_Log'!$S:$S)+SUMIF('主表 Stock_Transaction_Log'!$AB:$AB,INDEX('主表 Stock_Transaction_Log'!$T:$T,$A417),'主表 Stock_Transaction_Log'!$AC:$AC))</f>
        <v/>
      </c>
      <c r="I417" s="172" t="str">
        <f t="shared" si="1"/>
        <v/>
      </c>
      <c r="J417" s="172" t="str">
        <f t="shared" si="2"/>
        <v/>
      </c>
      <c r="K417" s="172" t="str">
        <f t="shared" si="3"/>
        <v/>
      </c>
      <c r="L417" s="172" t="str">
        <f t="array" ref="L417">IF($A417="","",INDEX('主表 Stock_Transaction_Log'!$P:$P,$A417))</f>
        <v/>
      </c>
      <c r="M417" s="57" t="str">
        <f>IF($A417="","",IF($H417&lt;=0,0,SUMIFS('主表 Stock_Transaction_Log'!$K$2:$K1000,'主表 Stock_Transaction_Log'!$C$2:$C1000,"Prepared",'主表 Stock_Transaction_Log'!$L$2:$L1000,$B417,'主表 Stock_Transaction_Log'!$F$2:$F1000,$C417,'主表 Stock_Transaction_Log'!$G$2:$G1000,$D417,'主表 Stock_Transaction_Log'!$P$2:$P1000,$L417)))</f>
        <v/>
      </c>
      <c r="N417" s="172"/>
      <c r="O417" s="172" t="str">
        <f t="shared" si="4"/>
        <v/>
      </c>
      <c r="P417" s="172" t="str">
        <f t="shared" si="5"/>
        <v/>
      </c>
      <c r="Q417" s="172" t="str">
        <f t="shared" si="9"/>
        <v/>
      </c>
      <c r="R417" s="172" t="str">
        <f t="shared" si="7"/>
        <v/>
      </c>
      <c r="S417" s="172" t="str">
        <f t="shared" si="8"/>
        <v/>
      </c>
    </row>
    <row r="418">
      <c r="A418" s="172" t="str">
        <f>IF('主表 Stock_Transaction_Log'!$T418="","",IF(COUNTIF('主表 Stock_Transaction_Log'!$T$2:$T418,'主表 Stock_Transaction_Log'!$T418)=1,ROW('主表 Stock_Transaction_Log'!$T418),""))</f>
        <v/>
      </c>
      <c r="B418" s="172" t="str">
        <f t="array" ref="B418">IF($A418="","",INDEX('主表 Stock_Transaction_Log'!$Q:$Q,$A418))</f>
        <v/>
      </c>
      <c r="C418" s="172" t="str">
        <f t="array" ref="C418">IF($A418="","",IF(INDEX('主表 Stock_Transaction_Log'!$F:$F,$A418)=0,"",INDEX('主表 Stock_Transaction_Log'!$F:$F,$A418)))</f>
        <v/>
      </c>
      <c r="D418" s="172" t="str">
        <f t="array" ref="D418">IF($A418="","",INDEX('主表 Stock_Transaction_Log'!$G:$G,$A418))</f>
        <v/>
      </c>
      <c r="E418" s="172" t="str">
        <f t="array" ref="E418">IF($A418="","",INDEX('主表 Stock_Transaction_Log'!$H:$H,$A418))</f>
        <v/>
      </c>
      <c r="F418" s="172" t="str">
        <f t="array" ref="F418">IF($A418="","",INDEX('主表 Stock_Transaction_Log'!$I:$I,$A418))</f>
        <v/>
      </c>
      <c r="G418" s="172" t="str">
        <f t="array" ref="G418">IF($A418="","",IF(INDEX('主表 Stock_Transaction_Log'!$R:$R,$A418)=0,"",INDEX('主表 Stock_Transaction_Log'!$R:$R,$A418)))</f>
        <v/>
      </c>
      <c r="H418" s="172" t="str">
        <f t="array" ref="H418">IF($A418="","",SUMIF('主表 Stock_Transaction_Log'!$T:$T,INDEX('主表 Stock_Transaction_Log'!$T:$T,$A418),'主表 Stock_Transaction_Log'!$S:$S)+SUMIF('主表 Stock_Transaction_Log'!$AB:$AB,INDEX('主表 Stock_Transaction_Log'!$T:$T,$A418),'主表 Stock_Transaction_Log'!$AC:$AC))</f>
        <v/>
      </c>
      <c r="I418" s="172" t="str">
        <f t="shared" si="1"/>
        <v/>
      </c>
      <c r="J418" s="172" t="str">
        <f t="shared" si="2"/>
        <v/>
      </c>
      <c r="K418" s="172" t="str">
        <f t="shared" si="3"/>
        <v/>
      </c>
      <c r="L418" s="172" t="str">
        <f t="array" ref="L418">IF($A418="","",INDEX('主表 Stock_Transaction_Log'!$P:$P,$A418))</f>
        <v/>
      </c>
      <c r="M418" s="57" t="str">
        <f>IF($A418="","",IF($H418&lt;=0,0,SUMIFS('主表 Stock_Transaction_Log'!$K$2:$K1000,'主表 Stock_Transaction_Log'!$C$2:$C1000,"Prepared",'主表 Stock_Transaction_Log'!$L$2:$L1000,$B418,'主表 Stock_Transaction_Log'!$F$2:$F1000,$C418,'主表 Stock_Transaction_Log'!$G$2:$G1000,$D418,'主表 Stock_Transaction_Log'!$P$2:$P1000,$L418)))</f>
        <v/>
      </c>
      <c r="N418" s="172"/>
      <c r="O418" s="172" t="str">
        <f t="shared" si="4"/>
        <v/>
      </c>
      <c r="P418" s="172" t="str">
        <f t="shared" si="5"/>
        <v/>
      </c>
      <c r="Q418" s="172" t="str">
        <f t="shared" si="9"/>
        <v/>
      </c>
      <c r="R418" s="172" t="str">
        <f t="shared" si="7"/>
        <v/>
      </c>
      <c r="S418" s="172" t="str">
        <f t="shared" si="8"/>
        <v/>
      </c>
    </row>
    <row r="419">
      <c r="A419" s="172" t="str">
        <f>IF('主表 Stock_Transaction_Log'!$T419="","",IF(COUNTIF('主表 Stock_Transaction_Log'!$T$2:$T419,'主表 Stock_Transaction_Log'!$T419)=1,ROW('主表 Stock_Transaction_Log'!$T419),""))</f>
        <v/>
      </c>
      <c r="B419" s="172" t="str">
        <f t="array" ref="B419">IF($A419="","",INDEX('主表 Stock_Transaction_Log'!$Q:$Q,$A419))</f>
        <v/>
      </c>
      <c r="C419" s="172" t="str">
        <f t="array" ref="C419">IF($A419="","",IF(INDEX('主表 Stock_Transaction_Log'!$F:$F,$A419)=0,"",INDEX('主表 Stock_Transaction_Log'!$F:$F,$A419)))</f>
        <v/>
      </c>
      <c r="D419" s="172" t="str">
        <f t="array" ref="D419">IF($A419="","",INDEX('主表 Stock_Transaction_Log'!$G:$G,$A419))</f>
        <v/>
      </c>
      <c r="E419" s="172" t="str">
        <f t="array" ref="E419">IF($A419="","",INDEX('主表 Stock_Transaction_Log'!$H:$H,$A419))</f>
        <v/>
      </c>
      <c r="F419" s="172" t="str">
        <f t="array" ref="F419">IF($A419="","",INDEX('主表 Stock_Transaction_Log'!$I:$I,$A419))</f>
        <v/>
      </c>
      <c r="G419" s="172" t="str">
        <f t="array" ref="G419">IF($A419="","",IF(INDEX('主表 Stock_Transaction_Log'!$R:$R,$A419)=0,"",INDEX('主表 Stock_Transaction_Log'!$R:$R,$A419)))</f>
        <v/>
      </c>
      <c r="H419" s="172" t="str">
        <f t="array" ref="H419">IF($A419="","",SUMIF('主表 Stock_Transaction_Log'!$T:$T,INDEX('主表 Stock_Transaction_Log'!$T:$T,$A419),'主表 Stock_Transaction_Log'!$S:$S)+SUMIF('主表 Stock_Transaction_Log'!$AB:$AB,INDEX('主表 Stock_Transaction_Log'!$T:$T,$A419),'主表 Stock_Transaction_Log'!$AC:$AC))</f>
        <v/>
      </c>
      <c r="I419" s="172" t="str">
        <f t="shared" si="1"/>
        <v/>
      </c>
      <c r="J419" s="172" t="str">
        <f t="shared" si="2"/>
        <v/>
      </c>
      <c r="K419" s="172" t="str">
        <f t="shared" si="3"/>
        <v/>
      </c>
      <c r="L419" s="172" t="str">
        <f t="array" ref="L419">IF($A419="","",INDEX('主表 Stock_Transaction_Log'!$P:$P,$A419))</f>
        <v/>
      </c>
      <c r="M419" s="57" t="str">
        <f>IF($A419="","",IF($H419&lt;=0,0,SUMIFS('主表 Stock_Transaction_Log'!$K$2:$K1000,'主表 Stock_Transaction_Log'!$C$2:$C1000,"Prepared",'主表 Stock_Transaction_Log'!$L$2:$L1000,$B419,'主表 Stock_Transaction_Log'!$F$2:$F1000,$C419,'主表 Stock_Transaction_Log'!$G$2:$G1000,$D419,'主表 Stock_Transaction_Log'!$P$2:$P1000,$L419)))</f>
        <v/>
      </c>
      <c r="N419" s="172"/>
      <c r="O419" s="172" t="str">
        <f t="shared" si="4"/>
        <v/>
      </c>
      <c r="P419" s="172" t="str">
        <f t="shared" si="5"/>
        <v/>
      </c>
      <c r="Q419" s="172" t="str">
        <f t="shared" si="9"/>
        <v/>
      </c>
      <c r="R419" s="172" t="str">
        <f t="shared" si="7"/>
        <v/>
      </c>
      <c r="S419" s="172" t="str">
        <f t="shared" si="8"/>
        <v/>
      </c>
    </row>
    <row r="420">
      <c r="A420" s="172" t="str">
        <f>IF('主表 Stock_Transaction_Log'!$T420="","",IF(COUNTIF('主表 Stock_Transaction_Log'!$T$2:$T420,'主表 Stock_Transaction_Log'!$T420)=1,ROW('主表 Stock_Transaction_Log'!$T420),""))</f>
        <v/>
      </c>
      <c r="B420" s="172" t="str">
        <f t="array" ref="B420">IF($A420="","",INDEX('主表 Stock_Transaction_Log'!$Q:$Q,$A420))</f>
        <v/>
      </c>
      <c r="C420" s="172" t="str">
        <f t="array" ref="C420">IF($A420="","",IF(INDEX('主表 Stock_Transaction_Log'!$F:$F,$A420)=0,"",INDEX('主表 Stock_Transaction_Log'!$F:$F,$A420)))</f>
        <v/>
      </c>
      <c r="D420" s="172" t="str">
        <f t="array" ref="D420">IF($A420="","",INDEX('主表 Stock_Transaction_Log'!$G:$G,$A420))</f>
        <v/>
      </c>
      <c r="E420" s="172" t="str">
        <f t="array" ref="E420">IF($A420="","",INDEX('主表 Stock_Transaction_Log'!$H:$H,$A420))</f>
        <v/>
      </c>
      <c r="F420" s="172" t="str">
        <f t="array" ref="F420">IF($A420="","",INDEX('主表 Stock_Transaction_Log'!$I:$I,$A420))</f>
        <v/>
      </c>
      <c r="G420" s="172" t="str">
        <f t="array" ref="G420">IF($A420="","",IF(INDEX('主表 Stock_Transaction_Log'!$R:$R,$A420)=0,"",INDEX('主表 Stock_Transaction_Log'!$R:$R,$A420)))</f>
        <v/>
      </c>
      <c r="H420" s="172" t="str">
        <f t="array" ref="H420">IF($A420="","",SUMIF('主表 Stock_Transaction_Log'!$T:$T,INDEX('主表 Stock_Transaction_Log'!$T:$T,$A420),'主表 Stock_Transaction_Log'!$S:$S)+SUMIF('主表 Stock_Transaction_Log'!$AB:$AB,INDEX('主表 Stock_Transaction_Log'!$T:$T,$A420),'主表 Stock_Transaction_Log'!$AC:$AC))</f>
        <v/>
      </c>
      <c r="I420" s="172" t="str">
        <f t="shared" si="1"/>
        <v/>
      </c>
      <c r="J420" s="172" t="str">
        <f t="shared" si="2"/>
        <v/>
      </c>
      <c r="K420" s="172" t="str">
        <f t="shared" si="3"/>
        <v/>
      </c>
      <c r="L420" s="172" t="str">
        <f t="array" ref="L420">IF($A420="","",INDEX('主表 Stock_Transaction_Log'!$P:$P,$A420))</f>
        <v/>
      </c>
      <c r="M420" s="57" t="str">
        <f>IF($A420="","",IF($H420&lt;=0,0,SUMIFS('主表 Stock_Transaction_Log'!$K$2:$K1000,'主表 Stock_Transaction_Log'!$C$2:$C1000,"Prepared",'主表 Stock_Transaction_Log'!$L$2:$L1000,$B420,'主表 Stock_Transaction_Log'!$F$2:$F1000,$C420,'主表 Stock_Transaction_Log'!$G$2:$G1000,$D420,'主表 Stock_Transaction_Log'!$P$2:$P1000,$L420)))</f>
        <v/>
      </c>
      <c r="N420" s="172"/>
      <c r="O420" s="172" t="str">
        <f t="shared" si="4"/>
        <v/>
      </c>
      <c r="P420" s="172" t="str">
        <f t="shared" si="5"/>
        <v/>
      </c>
      <c r="Q420" s="172" t="str">
        <f t="shared" si="9"/>
        <v/>
      </c>
      <c r="R420" s="172" t="str">
        <f t="shared" si="7"/>
        <v/>
      </c>
      <c r="S420" s="172" t="str">
        <f t="shared" si="8"/>
        <v/>
      </c>
    </row>
    <row r="421">
      <c r="A421" s="172" t="str">
        <f>IF('主表 Stock_Transaction_Log'!$T421="","",IF(COUNTIF('主表 Stock_Transaction_Log'!$T$2:$T421,'主表 Stock_Transaction_Log'!$T421)=1,ROW('主表 Stock_Transaction_Log'!$T421),""))</f>
        <v/>
      </c>
      <c r="B421" s="172" t="str">
        <f t="array" ref="B421">IF($A421="","",INDEX('主表 Stock_Transaction_Log'!$Q:$Q,$A421))</f>
        <v/>
      </c>
      <c r="C421" s="172" t="str">
        <f t="array" ref="C421">IF($A421="","",IF(INDEX('主表 Stock_Transaction_Log'!$F:$F,$A421)=0,"",INDEX('主表 Stock_Transaction_Log'!$F:$F,$A421)))</f>
        <v/>
      </c>
      <c r="D421" s="172" t="str">
        <f t="array" ref="D421">IF($A421="","",INDEX('主表 Stock_Transaction_Log'!$G:$G,$A421))</f>
        <v/>
      </c>
      <c r="E421" s="172" t="str">
        <f t="array" ref="E421">IF($A421="","",INDEX('主表 Stock_Transaction_Log'!$H:$H,$A421))</f>
        <v/>
      </c>
      <c r="F421" s="172" t="str">
        <f t="array" ref="F421">IF($A421="","",INDEX('主表 Stock_Transaction_Log'!$I:$I,$A421))</f>
        <v/>
      </c>
      <c r="G421" s="172" t="str">
        <f t="array" ref="G421">IF($A421="","",IF(INDEX('主表 Stock_Transaction_Log'!$R:$R,$A421)=0,"",INDEX('主表 Stock_Transaction_Log'!$R:$R,$A421)))</f>
        <v/>
      </c>
      <c r="H421" s="172" t="str">
        <f t="array" ref="H421">IF($A421="","",SUMIF('主表 Stock_Transaction_Log'!$T:$T,INDEX('主表 Stock_Transaction_Log'!$T:$T,$A421),'主表 Stock_Transaction_Log'!$S:$S)+SUMIF('主表 Stock_Transaction_Log'!$AB:$AB,INDEX('主表 Stock_Transaction_Log'!$T:$T,$A421),'主表 Stock_Transaction_Log'!$AC:$AC))</f>
        <v/>
      </c>
      <c r="I421" s="172" t="str">
        <f t="shared" si="1"/>
        <v/>
      </c>
      <c r="J421" s="172" t="str">
        <f t="shared" si="2"/>
        <v/>
      </c>
      <c r="K421" s="172" t="str">
        <f t="shared" si="3"/>
        <v/>
      </c>
      <c r="L421" s="172" t="str">
        <f t="array" ref="L421">IF($A421="","",INDEX('主表 Stock_Transaction_Log'!$P:$P,$A421))</f>
        <v/>
      </c>
      <c r="M421" s="57" t="str">
        <f>IF($A421="","",IF($H421&lt;=0,0,SUMIFS('主表 Stock_Transaction_Log'!$K$2:$K1000,'主表 Stock_Transaction_Log'!$C$2:$C1000,"Prepared",'主表 Stock_Transaction_Log'!$L$2:$L1000,$B421,'主表 Stock_Transaction_Log'!$F$2:$F1000,$C421,'主表 Stock_Transaction_Log'!$G$2:$G1000,$D421,'主表 Stock_Transaction_Log'!$P$2:$P1000,$L421)))</f>
        <v/>
      </c>
      <c r="N421" s="172"/>
      <c r="O421" s="172" t="str">
        <f t="shared" si="4"/>
        <v/>
      </c>
      <c r="P421" s="172" t="str">
        <f t="shared" si="5"/>
        <v/>
      </c>
      <c r="Q421" s="172" t="str">
        <f t="shared" si="9"/>
        <v/>
      </c>
      <c r="R421" s="172" t="str">
        <f t="shared" si="7"/>
        <v/>
      </c>
      <c r="S421" s="172" t="str">
        <f t="shared" si="8"/>
        <v/>
      </c>
    </row>
    <row r="422">
      <c r="A422" s="172" t="str">
        <f>IF('主表 Stock_Transaction_Log'!$T422="","",IF(COUNTIF('主表 Stock_Transaction_Log'!$T$2:$T422,'主表 Stock_Transaction_Log'!$T422)=1,ROW('主表 Stock_Transaction_Log'!$T422),""))</f>
        <v/>
      </c>
      <c r="B422" s="172" t="str">
        <f t="array" ref="B422">IF($A422="","",INDEX('主表 Stock_Transaction_Log'!$Q:$Q,$A422))</f>
        <v/>
      </c>
      <c r="C422" s="172" t="str">
        <f t="array" ref="C422">IF($A422="","",IF(INDEX('主表 Stock_Transaction_Log'!$F:$F,$A422)=0,"",INDEX('主表 Stock_Transaction_Log'!$F:$F,$A422)))</f>
        <v/>
      </c>
      <c r="D422" s="172" t="str">
        <f t="array" ref="D422">IF($A422="","",INDEX('主表 Stock_Transaction_Log'!$G:$G,$A422))</f>
        <v/>
      </c>
      <c r="E422" s="172" t="str">
        <f t="array" ref="E422">IF($A422="","",INDEX('主表 Stock_Transaction_Log'!$H:$H,$A422))</f>
        <v/>
      </c>
      <c r="F422" s="172" t="str">
        <f t="array" ref="F422">IF($A422="","",INDEX('主表 Stock_Transaction_Log'!$I:$I,$A422))</f>
        <v/>
      </c>
      <c r="G422" s="172" t="str">
        <f t="array" ref="G422">IF($A422="","",IF(INDEX('主表 Stock_Transaction_Log'!$R:$R,$A422)=0,"",INDEX('主表 Stock_Transaction_Log'!$R:$R,$A422)))</f>
        <v/>
      </c>
      <c r="H422" s="172" t="str">
        <f t="array" ref="H422">IF($A422="","",SUMIF('主表 Stock_Transaction_Log'!$T:$T,INDEX('主表 Stock_Transaction_Log'!$T:$T,$A422),'主表 Stock_Transaction_Log'!$S:$S)+SUMIF('主表 Stock_Transaction_Log'!$AB:$AB,INDEX('主表 Stock_Transaction_Log'!$T:$T,$A422),'主表 Stock_Transaction_Log'!$AC:$AC))</f>
        <v/>
      </c>
      <c r="I422" s="172" t="str">
        <f t="shared" si="1"/>
        <v/>
      </c>
      <c r="J422" s="172" t="str">
        <f t="shared" si="2"/>
        <v/>
      </c>
      <c r="K422" s="172" t="str">
        <f t="shared" si="3"/>
        <v/>
      </c>
      <c r="L422" s="172" t="str">
        <f t="array" ref="L422">IF($A422="","",INDEX('主表 Stock_Transaction_Log'!$P:$P,$A422))</f>
        <v/>
      </c>
      <c r="M422" s="57" t="str">
        <f>IF($A422="","",IF($H422&lt;=0,0,SUMIFS('主表 Stock_Transaction_Log'!$K$2:$K1000,'主表 Stock_Transaction_Log'!$C$2:$C1000,"Prepared",'主表 Stock_Transaction_Log'!$L$2:$L1000,$B422,'主表 Stock_Transaction_Log'!$F$2:$F1000,$C422,'主表 Stock_Transaction_Log'!$G$2:$G1000,$D422,'主表 Stock_Transaction_Log'!$P$2:$P1000,$L422)))</f>
        <v/>
      </c>
      <c r="N422" s="172"/>
      <c r="O422" s="172" t="str">
        <f t="shared" si="4"/>
        <v/>
      </c>
      <c r="P422" s="172" t="str">
        <f t="shared" si="5"/>
        <v/>
      </c>
      <c r="Q422" s="172" t="str">
        <f t="shared" si="9"/>
        <v/>
      </c>
      <c r="R422" s="172" t="str">
        <f t="shared" si="7"/>
        <v/>
      </c>
      <c r="S422" s="172" t="str">
        <f t="shared" si="8"/>
        <v/>
      </c>
    </row>
    <row r="423">
      <c r="A423" s="172" t="str">
        <f>IF('主表 Stock_Transaction_Log'!$T423="","",IF(COUNTIF('主表 Stock_Transaction_Log'!$T$2:$T423,'主表 Stock_Transaction_Log'!$T423)=1,ROW('主表 Stock_Transaction_Log'!$T423),""))</f>
        <v/>
      </c>
      <c r="B423" s="172" t="str">
        <f t="array" ref="B423">IF($A423="","",INDEX('主表 Stock_Transaction_Log'!$Q:$Q,$A423))</f>
        <v/>
      </c>
      <c r="C423" s="172" t="str">
        <f t="array" ref="C423">IF($A423="","",IF(INDEX('主表 Stock_Transaction_Log'!$F:$F,$A423)=0,"",INDEX('主表 Stock_Transaction_Log'!$F:$F,$A423)))</f>
        <v/>
      </c>
      <c r="D423" s="172" t="str">
        <f t="array" ref="D423">IF($A423="","",INDEX('主表 Stock_Transaction_Log'!$G:$G,$A423))</f>
        <v/>
      </c>
      <c r="E423" s="172" t="str">
        <f t="array" ref="E423">IF($A423="","",INDEX('主表 Stock_Transaction_Log'!$H:$H,$A423))</f>
        <v/>
      </c>
      <c r="F423" s="172" t="str">
        <f t="array" ref="F423">IF($A423="","",INDEX('主表 Stock_Transaction_Log'!$I:$I,$A423))</f>
        <v/>
      </c>
      <c r="G423" s="172" t="str">
        <f t="array" ref="G423">IF($A423="","",IF(INDEX('主表 Stock_Transaction_Log'!$R:$R,$A423)=0,"",INDEX('主表 Stock_Transaction_Log'!$R:$R,$A423)))</f>
        <v/>
      </c>
      <c r="H423" s="172" t="str">
        <f t="array" ref="H423">IF($A423="","",SUMIF('主表 Stock_Transaction_Log'!$T:$T,INDEX('主表 Stock_Transaction_Log'!$T:$T,$A423),'主表 Stock_Transaction_Log'!$S:$S)+SUMIF('主表 Stock_Transaction_Log'!$AB:$AB,INDEX('主表 Stock_Transaction_Log'!$T:$T,$A423),'主表 Stock_Transaction_Log'!$AC:$AC))</f>
        <v/>
      </c>
      <c r="I423" s="172" t="str">
        <f t="shared" si="1"/>
        <v/>
      </c>
      <c r="J423" s="172" t="str">
        <f t="shared" si="2"/>
        <v/>
      </c>
      <c r="K423" s="172" t="str">
        <f t="shared" si="3"/>
        <v/>
      </c>
      <c r="L423" s="172" t="str">
        <f t="array" ref="L423">IF($A423="","",INDEX('主表 Stock_Transaction_Log'!$P:$P,$A423))</f>
        <v/>
      </c>
      <c r="M423" s="57" t="str">
        <f>IF($A423="","",IF($H423&lt;=0,0,SUMIFS('主表 Stock_Transaction_Log'!$K$2:$K1000,'主表 Stock_Transaction_Log'!$C$2:$C1000,"Prepared",'主表 Stock_Transaction_Log'!$L$2:$L1000,$B423,'主表 Stock_Transaction_Log'!$F$2:$F1000,$C423,'主表 Stock_Transaction_Log'!$G$2:$G1000,$D423,'主表 Stock_Transaction_Log'!$P$2:$P1000,$L423)))</f>
        <v/>
      </c>
      <c r="N423" s="172"/>
      <c r="O423" s="172" t="str">
        <f t="shared" si="4"/>
        <v/>
      </c>
      <c r="P423" s="172" t="str">
        <f t="shared" si="5"/>
        <v/>
      </c>
      <c r="Q423" s="172" t="str">
        <f t="shared" si="9"/>
        <v/>
      </c>
      <c r="R423" s="172" t="str">
        <f t="shared" si="7"/>
        <v/>
      </c>
      <c r="S423" s="172" t="str">
        <f t="shared" si="8"/>
        <v/>
      </c>
    </row>
    <row r="424">
      <c r="A424" s="172" t="str">
        <f>IF('主表 Stock_Transaction_Log'!$T424="","",IF(COUNTIF('主表 Stock_Transaction_Log'!$T$2:$T424,'主表 Stock_Transaction_Log'!$T424)=1,ROW('主表 Stock_Transaction_Log'!$T424),""))</f>
        <v/>
      </c>
      <c r="B424" s="172" t="str">
        <f t="array" ref="B424">IF($A424="","",INDEX('主表 Stock_Transaction_Log'!$Q:$Q,$A424))</f>
        <v/>
      </c>
      <c r="C424" s="172" t="str">
        <f t="array" ref="C424">IF($A424="","",IF(INDEX('主表 Stock_Transaction_Log'!$F:$F,$A424)=0,"",INDEX('主表 Stock_Transaction_Log'!$F:$F,$A424)))</f>
        <v/>
      </c>
      <c r="D424" s="172" t="str">
        <f t="array" ref="D424">IF($A424="","",INDEX('主表 Stock_Transaction_Log'!$G:$G,$A424))</f>
        <v/>
      </c>
      <c r="E424" s="172" t="str">
        <f t="array" ref="E424">IF($A424="","",INDEX('主表 Stock_Transaction_Log'!$H:$H,$A424))</f>
        <v/>
      </c>
      <c r="F424" s="172" t="str">
        <f t="array" ref="F424">IF($A424="","",INDEX('主表 Stock_Transaction_Log'!$I:$I,$A424))</f>
        <v/>
      </c>
      <c r="G424" s="172" t="str">
        <f t="array" ref="G424">IF($A424="","",IF(INDEX('主表 Stock_Transaction_Log'!$R:$R,$A424)=0,"",INDEX('主表 Stock_Transaction_Log'!$R:$R,$A424)))</f>
        <v/>
      </c>
      <c r="H424" s="172" t="str">
        <f t="array" ref="H424">IF($A424="","",SUMIF('主表 Stock_Transaction_Log'!$T:$T,INDEX('主表 Stock_Transaction_Log'!$T:$T,$A424),'主表 Stock_Transaction_Log'!$S:$S)+SUMIF('主表 Stock_Transaction_Log'!$AB:$AB,INDEX('主表 Stock_Transaction_Log'!$T:$T,$A424),'主表 Stock_Transaction_Log'!$AC:$AC))</f>
        <v/>
      </c>
      <c r="I424" s="172" t="str">
        <f t="shared" si="1"/>
        <v/>
      </c>
      <c r="J424" s="172" t="str">
        <f t="shared" si="2"/>
        <v/>
      </c>
      <c r="K424" s="172" t="str">
        <f t="shared" si="3"/>
        <v/>
      </c>
      <c r="L424" s="172" t="str">
        <f t="array" ref="L424">IF($A424="","",INDEX('主表 Stock_Transaction_Log'!$P:$P,$A424))</f>
        <v/>
      </c>
      <c r="M424" s="57" t="str">
        <f>IF($A424="","",IF($H424&lt;=0,0,SUMIFS('主表 Stock_Transaction_Log'!$K$2:$K1000,'主表 Stock_Transaction_Log'!$C$2:$C1000,"Prepared",'主表 Stock_Transaction_Log'!$L$2:$L1000,$B424,'主表 Stock_Transaction_Log'!$F$2:$F1000,$C424,'主表 Stock_Transaction_Log'!$G$2:$G1000,$D424,'主表 Stock_Transaction_Log'!$P$2:$P1000,$L424)))</f>
        <v/>
      </c>
      <c r="N424" s="172"/>
      <c r="O424" s="172" t="str">
        <f t="shared" si="4"/>
        <v/>
      </c>
      <c r="P424" s="172" t="str">
        <f t="shared" si="5"/>
        <v/>
      </c>
      <c r="Q424" s="172" t="str">
        <f t="shared" si="9"/>
        <v/>
      </c>
      <c r="R424" s="172" t="str">
        <f t="shared" si="7"/>
        <v/>
      </c>
      <c r="S424" s="172" t="str">
        <f t="shared" si="8"/>
        <v/>
      </c>
    </row>
    <row r="425">
      <c r="A425" s="172" t="str">
        <f>IF('主表 Stock_Transaction_Log'!$T425="","",IF(COUNTIF('主表 Stock_Transaction_Log'!$T$2:$T425,'主表 Stock_Transaction_Log'!$T425)=1,ROW('主表 Stock_Transaction_Log'!$T425),""))</f>
        <v/>
      </c>
      <c r="B425" s="172" t="str">
        <f t="array" ref="B425">IF($A425="","",INDEX('主表 Stock_Transaction_Log'!$Q:$Q,$A425))</f>
        <v/>
      </c>
      <c r="C425" s="172" t="str">
        <f t="array" ref="C425">IF($A425="","",IF(INDEX('主表 Stock_Transaction_Log'!$F:$F,$A425)=0,"",INDEX('主表 Stock_Transaction_Log'!$F:$F,$A425)))</f>
        <v/>
      </c>
      <c r="D425" s="172" t="str">
        <f t="array" ref="D425">IF($A425="","",INDEX('主表 Stock_Transaction_Log'!$G:$G,$A425))</f>
        <v/>
      </c>
      <c r="E425" s="172" t="str">
        <f t="array" ref="E425">IF($A425="","",INDEX('主表 Stock_Transaction_Log'!$H:$H,$A425))</f>
        <v/>
      </c>
      <c r="F425" s="172" t="str">
        <f t="array" ref="F425">IF($A425="","",INDEX('主表 Stock_Transaction_Log'!$I:$I,$A425))</f>
        <v/>
      </c>
      <c r="G425" s="172" t="str">
        <f t="array" ref="G425">IF($A425="","",IF(INDEX('主表 Stock_Transaction_Log'!$R:$R,$A425)=0,"",INDEX('主表 Stock_Transaction_Log'!$R:$R,$A425)))</f>
        <v/>
      </c>
      <c r="H425" s="172" t="str">
        <f t="array" ref="H425">IF($A425="","",SUMIF('主表 Stock_Transaction_Log'!$T:$T,INDEX('主表 Stock_Transaction_Log'!$T:$T,$A425),'主表 Stock_Transaction_Log'!$S:$S)+SUMIF('主表 Stock_Transaction_Log'!$AB:$AB,INDEX('主表 Stock_Transaction_Log'!$T:$T,$A425),'主表 Stock_Transaction_Log'!$AC:$AC))</f>
        <v/>
      </c>
      <c r="I425" s="172" t="str">
        <f t="shared" si="1"/>
        <v/>
      </c>
      <c r="J425" s="172" t="str">
        <f t="shared" si="2"/>
        <v/>
      </c>
      <c r="K425" s="172" t="str">
        <f t="shared" si="3"/>
        <v/>
      </c>
      <c r="L425" s="172" t="str">
        <f t="array" ref="L425">IF($A425="","",INDEX('主表 Stock_Transaction_Log'!$P:$P,$A425))</f>
        <v/>
      </c>
      <c r="M425" s="57" t="str">
        <f>IF($A425="","",IF($H425&lt;=0,0,SUMIFS('主表 Stock_Transaction_Log'!$K$2:$K1000,'主表 Stock_Transaction_Log'!$C$2:$C1000,"Prepared",'主表 Stock_Transaction_Log'!$L$2:$L1000,$B425,'主表 Stock_Transaction_Log'!$F$2:$F1000,$C425,'主表 Stock_Transaction_Log'!$G$2:$G1000,$D425,'主表 Stock_Transaction_Log'!$P$2:$P1000,$L425)))</f>
        <v/>
      </c>
      <c r="N425" s="172"/>
      <c r="O425" s="172" t="str">
        <f t="shared" si="4"/>
        <v/>
      </c>
      <c r="P425" s="172" t="str">
        <f t="shared" si="5"/>
        <v/>
      </c>
      <c r="Q425" s="172" t="str">
        <f t="shared" si="9"/>
        <v/>
      </c>
      <c r="R425" s="172" t="str">
        <f t="shared" si="7"/>
        <v/>
      </c>
      <c r="S425" s="172" t="str">
        <f t="shared" si="8"/>
        <v/>
      </c>
    </row>
    <row r="426">
      <c r="A426" s="172" t="str">
        <f>IF('主表 Stock_Transaction_Log'!$T426="","",IF(COUNTIF('主表 Stock_Transaction_Log'!$T$2:$T426,'主表 Stock_Transaction_Log'!$T426)=1,ROW('主表 Stock_Transaction_Log'!$T426),""))</f>
        <v/>
      </c>
      <c r="B426" s="172" t="str">
        <f t="array" ref="B426">IF($A426="","",INDEX('主表 Stock_Transaction_Log'!$Q:$Q,$A426))</f>
        <v/>
      </c>
      <c r="C426" s="172" t="str">
        <f t="array" ref="C426">IF($A426="","",IF(INDEX('主表 Stock_Transaction_Log'!$F:$F,$A426)=0,"",INDEX('主表 Stock_Transaction_Log'!$F:$F,$A426)))</f>
        <v/>
      </c>
      <c r="D426" s="172" t="str">
        <f t="array" ref="D426">IF($A426="","",INDEX('主表 Stock_Transaction_Log'!$G:$G,$A426))</f>
        <v/>
      </c>
      <c r="E426" s="172" t="str">
        <f t="array" ref="E426">IF($A426="","",INDEX('主表 Stock_Transaction_Log'!$H:$H,$A426))</f>
        <v/>
      </c>
      <c r="F426" s="172" t="str">
        <f t="array" ref="F426">IF($A426="","",INDEX('主表 Stock_Transaction_Log'!$I:$I,$A426))</f>
        <v/>
      </c>
      <c r="G426" s="172" t="str">
        <f t="array" ref="G426">IF($A426="","",IF(INDEX('主表 Stock_Transaction_Log'!$R:$R,$A426)=0,"",INDEX('主表 Stock_Transaction_Log'!$R:$R,$A426)))</f>
        <v/>
      </c>
      <c r="H426" s="172" t="str">
        <f t="array" ref="H426">IF($A426="","",SUMIF('主表 Stock_Transaction_Log'!$T:$T,INDEX('主表 Stock_Transaction_Log'!$T:$T,$A426),'主表 Stock_Transaction_Log'!$S:$S)+SUMIF('主表 Stock_Transaction_Log'!$AB:$AB,INDEX('主表 Stock_Transaction_Log'!$T:$T,$A426),'主表 Stock_Transaction_Log'!$AC:$AC))</f>
        <v/>
      </c>
      <c r="I426" s="172" t="str">
        <f t="shared" si="1"/>
        <v/>
      </c>
      <c r="J426" s="172" t="str">
        <f t="shared" si="2"/>
        <v/>
      </c>
      <c r="K426" s="172" t="str">
        <f t="shared" si="3"/>
        <v/>
      </c>
      <c r="L426" s="172" t="str">
        <f t="array" ref="L426">IF($A426="","",INDEX('主表 Stock_Transaction_Log'!$P:$P,$A426))</f>
        <v/>
      </c>
      <c r="M426" s="57" t="str">
        <f>IF($A426="","",IF($H426&lt;=0,0,SUMIFS('主表 Stock_Transaction_Log'!$K$2:$K1000,'主表 Stock_Transaction_Log'!$C$2:$C1000,"Prepared",'主表 Stock_Transaction_Log'!$L$2:$L1000,$B426,'主表 Stock_Transaction_Log'!$F$2:$F1000,$C426,'主表 Stock_Transaction_Log'!$G$2:$G1000,$D426,'主表 Stock_Transaction_Log'!$P$2:$P1000,$L426)))</f>
        <v/>
      </c>
      <c r="N426" s="172"/>
      <c r="O426" s="172" t="str">
        <f t="shared" si="4"/>
        <v/>
      </c>
      <c r="P426" s="172" t="str">
        <f t="shared" si="5"/>
        <v/>
      </c>
      <c r="Q426" s="172" t="str">
        <f t="shared" si="9"/>
        <v/>
      </c>
      <c r="R426" s="172" t="str">
        <f t="shared" si="7"/>
        <v/>
      </c>
      <c r="S426" s="172" t="str">
        <f t="shared" si="8"/>
        <v/>
      </c>
    </row>
    <row r="427">
      <c r="A427" s="172" t="str">
        <f>IF('主表 Stock_Transaction_Log'!$T427="","",IF(COUNTIF('主表 Stock_Transaction_Log'!$T$2:$T427,'主表 Stock_Transaction_Log'!$T427)=1,ROW('主表 Stock_Transaction_Log'!$T427),""))</f>
        <v/>
      </c>
      <c r="B427" s="172" t="str">
        <f t="array" ref="B427">IF($A427="","",INDEX('主表 Stock_Transaction_Log'!$Q:$Q,$A427))</f>
        <v/>
      </c>
      <c r="C427" s="172" t="str">
        <f t="array" ref="C427">IF($A427="","",IF(INDEX('主表 Stock_Transaction_Log'!$F:$F,$A427)=0,"",INDEX('主表 Stock_Transaction_Log'!$F:$F,$A427)))</f>
        <v/>
      </c>
      <c r="D427" s="172" t="str">
        <f t="array" ref="D427">IF($A427="","",INDEX('主表 Stock_Transaction_Log'!$G:$G,$A427))</f>
        <v/>
      </c>
      <c r="E427" s="172" t="str">
        <f t="array" ref="E427">IF($A427="","",INDEX('主表 Stock_Transaction_Log'!$H:$H,$A427))</f>
        <v/>
      </c>
      <c r="F427" s="172" t="str">
        <f t="array" ref="F427">IF($A427="","",INDEX('主表 Stock_Transaction_Log'!$I:$I,$A427))</f>
        <v/>
      </c>
      <c r="G427" s="172" t="str">
        <f t="array" ref="G427">IF($A427="","",IF(INDEX('主表 Stock_Transaction_Log'!$R:$R,$A427)=0,"",INDEX('主表 Stock_Transaction_Log'!$R:$R,$A427)))</f>
        <v/>
      </c>
      <c r="H427" s="172" t="str">
        <f t="array" ref="H427">IF($A427="","",SUMIF('主表 Stock_Transaction_Log'!$T:$T,INDEX('主表 Stock_Transaction_Log'!$T:$T,$A427),'主表 Stock_Transaction_Log'!$S:$S)+SUMIF('主表 Stock_Transaction_Log'!$AB:$AB,INDEX('主表 Stock_Transaction_Log'!$T:$T,$A427),'主表 Stock_Transaction_Log'!$AC:$AC))</f>
        <v/>
      </c>
      <c r="I427" s="172" t="str">
        <f t="shared" si="1"/>
        <v/>
      </c>
      <c r="J427" s="172" t="str">
        <f t="shared" si="2"/>
        <v/>
      </c>
      <c r="K427" s="172" t="str">
        <f t="shared" si="3"/>
        <v/>
      </c>
      <c r="L427" s="172" t="str">
        <f t="array" ref="L427">IF($A427="","",INDEX('主表 Stock_Transaction_Log'!$P:$P,$A427))</f>
        <v/>
      </c>
      <c r="M427" s="57" t="str">
        <f>IF($A427="","",IF($H427&lt;=0,0,SUMIFS('主表 Stock_Transaction_Log'!$K$2:$K1000,'主表 Stock_Transaction_Log'!$C$2:$C1000,"Prepared",'主表 Stock_Transaction_Log'!$L$2:$L1000,$B427,'主表 Stock_Transaction_Log'!$F$2:$F1000,$C427,'主表 Stock_Transaction_Log'!$G$2:$G1000,$D427,'主表 Stock_Transaction_Log'!$P$2:$P1000,$L427)))</f>
        <v/>
      </c>
      <c r="N427" s="172"/>
      <c r="O427" s="172" t="str">
        <f t="shared" si="4"/>
        <v/>
      </c>
      <c r="P427" s="172" t="str">
        <f t="shared" si="5"/>
        <v/>
      </c>
      <c r="Q427" s="172" t="str">
        <f t="shared" si="9"/>
        <v/>
      </c>
      <c r="R427" s="172" t="str">
        <f t="shared" si="7"/>
        <v/>
      </c>
      <c r="S427" s="172" t="str">
        <f t="shared" si="8"/>
        <v/>
      </c>
    </row>
    <row r="428">
      <c r="A428" s="172" t="str">
        <f>IF('主表 Stock_Transaction_Log'!$T428="","",IF(COUNTIF('主表 Stock_Transaction_Log'!$T$2:$T428,'主表 Stock_Transaction_Log'!$T428)=1,ROW('主表 Stock_Transaction_Log'!$T428),""))</f>
        <v/>
      </c>
      <c r="B428" s="172" t="str">
        <f t="array" ref="B428">IF($A428="","",INDEX('主表 Stock_Transaction_Log'!$Q:$Q,$A428))</f>
        <v/>
      </c>
      <c r="C428" s="172" t="str">
        <f t="array" ref="C428">IF($A428="","",IF(INDEX('主表 Stock_Transaction_Log'!$F:$F,$A428)=0,"",INDEX('主表 Stock_Transaction_Log'!$F:$F,$A428)))</f>
        <v/>
      </c>
      <c r="D428" s="172" t="str">
        <f t="array" ref="D428">IF($A428="","",INDEX('主表 Stock_Transaction_Log'!$G:$G,$A428))</f>
        <v/>
      </c>
      <c r="E428" s="172" t="str">
        <f t="array" ref="E428">IF($A428="","",INDEX('主表 Stock_Transaction_Log'!$H:$H,$A428))</f>
        <v/>
      </c>
      <c r="F428" s="172" t="str">
        <f t="array" ref="F428">IF($A428="","",INDEX('主表 Stock_Transaction_Log'!$I:$I,$A428))</f>
        <v/>
      </c>
      <c r="G428" s="172" t="str">
        <f t="array" ref="G428">IF($A428="","",IF(INDEX('主表 Stock_Transaction_Log'!$R:$R,$A428)=0,"",INDEX('主表 Stock_Transaction_Log'!$R:$R,$A428)))</f>
        <v/>
      </c>
      <c r="H428" s="172" t="str">
        <f t="array" ref="H428">IF($A428="","",SUMIF('主表 Stock_Transaction_Log'!$T:$T,INDEX('主表 Stock_Transaction_Log'!$T:$T,$A428),'主表 Stock_Transaction_Log'!$S:$S)+SUMIF('主表 Stock_Transaction_Log'!$AB:$AB,INDEX('主表 Stock_Transaction_Log'!$T:$T,$A428),'主表 Stock_Transaction_Log'!$AC:$AC))</f>
        <v/>
      </c>
      <c r="I428" s="172" t="str">
        <f t="shared" si="1"/>
        <v/>
      </c>
      <c r="J428" s="172" t="str">
        <f t="shared" si="2"/>
        <v/>
      </c>
      <c r="K428" s="172" t="str">
        <f t="shared" si="3"/>
        <v/>
      </c>
      <c r="L428" s="172" t="str">
        <f t="array" ref="L428">IF($A428="","",INDEX('主表 Stock_Transaction_Log'!$P:$P,$A428))</f>
        <v/>
      </c>
      <c r="M428" s="57" t="str">
        <f>IF($A428="","",IF($H428&lt;=0,0,SUMIFS('主表 Stock_Transaction_Log'!$K$2:$K1000,'主表 Stock_Transaction_Log'!$C$2:$C1000,"Prepared",'主表 Stock_Transaction_Log'!$L$2:$L1000,$B428,'主表 Stock_Transaction_Log'!$F$2:$F1000,$C428,'主表 Stock_Transaction_Log'!$G$2:$G1000,$D428,'主表 Stock_Transaction_Log'!$P$2:$P1000,$L428)))</f>
        <v/>
      </c>
      <c r="N428" s="172"/>
      <c r="O428" s="172" t="str">
        <f t="shared" si="4"/>
        <v/>
      </c>
      <c r="P428" s="172" t="str">
        <f t="shared" si="5"/>
        <v/>
      </c>
      <c r="Q428" s="172" t="str">
        <f t="shared" si="9"/>
        <v/>
      </c>
      <c r="R428" s="172" t="str">
        <f t="shared" si="7"/>
        <v/>
      </c>
      <c r="S428" s="172" t="str">
        <f t="shared" si="8"/>
        <v/>
      </c>
    </row>
    <row r="429">
      <c r="A429" s="172" t="str">
        <f>IF('主表 Stock_Transaction_Log'!$T429="","",IF(COUNTIF('主表 Stock_Transaction_Log'!$T$2:$T429,'主表 Stock_Transaction_Log'!$T429)=1,ROW('主表 Stock_Transaction_Log'!$T429),""))</f>
        <v/>
      </c>
      <c r="B429" s="172" t="str">
        <f t="array" ref="B429">IF($A429="","",INDEX('主表 Stock_Transaction_Log'!$Q:$Q,$A429))</f>
        <v/>
      </c>
      <c r="C429" s="172" t="str">
        <f t="array" ref="C429">IF($A429="","",IF(INDEX('主表 Stock_Transaction_Log'!$F:$F,$A429)=0,"",INDEX('主表 Stock_Transaction_Log'!$F:$F,$A429)))</f>
        <v/>
      </c>
      <c r="D429" s="172" t="str">
        <f t="array" ref="D429">IF($A429="","",INDEX('主表 Stock_Transaction_Log'!$G:$G,$A429))</f>
        <v/>
      </c>
      <c r="E429" s="172" t="str">
        <f t="array" ref="E429">IF($A429="","",INDEX('主表 Stock_Transaction_Log'!$H:$H,$A429))</f>
        <v/>
      </c>
      <c r="F429" s="172" t="str">
        <f t="array" ref="F429">IF($A429="","",INDEX('主表 Stock_Transaction_Log'!$I:$I,$A429))</f>
        <v/>
      </c>
      <c r="G429" s="172" t="str">
        <f t="array" ref="G429">IF($A429="","",IF(INDEX('主表 Stock_Transaction_Log'!$R:$R,$A429)=0,"",INDEX('主表 Stock_Transaction_Log'!$R:$R,$A429)))</f>
        <v/>
      </c>
      <c r="H429" s="172" t="str">
        <f t="array" ref="H429">IF($A429="","",SUMIF('主表 Stock_Transaction_Log'!$T:$T,INDEX('主表 Stock_Transaction_Log'!$T:$T,$A429),'主表 Stock_Transaction_Log'!$S:$S)+SUMIF('主表 Stock_Transaction_Log'!$AB:$AB,INDEX('主表 Stock_Transaction_Log'!$T:$T,$A429),'主表 Stock_Transaction_Log'!$AC:$AC))</f>
        <v/>
      </c>
      <c r="I429" s="172" t="str">
        <f t="shared" si="1"/>
        <v/>
      </c>
      <c r="J429" s="172" t="str">
        <f t="shared" si="2"/>
        <v/>
      </c>
      <c r="K429" s="172" t="str">
        <f t="shared" si="3"/>
        <v/>
      </c>
      <c r="L429" s="172" t="str">
        <f t="array" ref="L429">IF($A429="","",INDEX('主表 Stock_Transaction_Log'!$P:$P,$A429))</f>
        <v/>
      </c>
      <c r="M429" s="57" t="str">
        <f>IF($A429="","",IF($H429&lt;=0,0,SUMIFS('主表 Stock_Transaction_Log'!$K$2:$K1000,'主表 Stock_Transaction_Log'!$C$2:$C1000,"Prepared",'主表 Stock_Transaction_Log'!$L$2:$L1000,$B429,'主表 Stock_Transaction_Log'!$F$2:$F1000,$C429,'主表 Stock_Transaction_Log'!$G$2:$G1000,$D429,'主表 Stock_Transaction_Log'!$P$2:$P1000,$L429)))</f>
        <v/>
      </c>
      <c r="N429" s="172"/>
      <c r="O429" s="172" t="str">
        <f t="shared" si="4"/>
        <v/>
      </c>
      <c r="P429" s="172" t="str">
        <f t="shared" si="5"/>
        <v/>
      </c>
      <c r="Q429" s="172" t="str">
        <f t="shared" si="9"/>
        <v/>
      </c>
      <c r="R429" s="172" t="str">
        <f t="shared" si="7"/>
        <v/>
      </c>
      <c r="S429" s="172" t="str">
        <f t="shared" si="8"/>
        <v/>
      </c>
    </row>
    <row r="430">
      <c r="A430" s="172" t="str">
        <f>IF('主表 Stock_Transaction_Log'!$T430="","",IF(COUNTIF('主表 Stock_Transaction_Log'!$T$2:$T430,'主表 Stock_Transaction_Log'!$T430)=1,ROW('主表 Stock_Transaction_Log'!$T430),""))</f>
        <v/>
      </c>
      <c r="B430" s="172" t="str">
        <f t="array" ref="B430">IF($A430="","",INDEX('主表 Stock_Transaction_Log'!$Q:$Q,$A430))</f>
        <v/>
      </c>
      <c r="C430" s="172" t="str">
        <f t="array" ref="C430">IF($A430="","",IF(INDEX('主表 Stock_Transaction_Log'!$F:$F,$A430)=0,"",INDEX('主表 Stock_Transaction_Log'!$F:$F,$A430)))</f>
        <v/>
      </c>
      <c r="D430" s="172" t="str">
        <f t="array" ref="D430">IF($A430="","",INDEX('主表 Stock_Transaction_Log'!$G:$G,$A430))</f>
        <v/>
      </c>
      <c r="E430" s="172" t="str">
        <f t="array" ref="E430">IF($A430="","",INDEX('主表 Stock_Transaction_Log'!$H:$H,$A430))</f>
        <v/>
      </c>
      <c r="F430" s="172" t="str">
        <f t="array" ref="F430">IF($A430="","",INDEX('主表 Stock_Transaction_Log'!$I:$I,$A430))</f>
        <v/>
      </c>
      <c r="G430" s="172" t="str">
        <f t="array" ref="G430">IF($A430="","",IF(INDEX('主表 Stock_Transaction_Log'!$R:$R,$A430)=0,"",INDEX('主表 Stock_Transaction_Log'!$R:$R,$A430)))</f>
        <v/>
      </c>
      <c r="H430" s="172" t="str">
        <f t="array" ref="H430">IF($A430="","",SUMIF('主表 Stock_Transaction_Log'!$T:$T,INDEX('主表 Stock_Transaction_Log'!$T:$T,$A430),'主表 Stock_Transaction_Log'!$S:$S)+SUMIF('主表 Stock_Transaction_Log'!$AB:$AB,INDEX('主表 Stock_Transaction_Log'!$T:$T,$A430),'主表 Stock_Transaction_Log'!$AC:$AC))</f>
        <v/>
      </c>
      <c r="I430" s="172" t="str">
        <f t="shared" si="1"/>
        <v/>
      </c>
      <c r="J430" s="172" t="str">
        <f t="shared" si="2"/>
        <v/>
      </c>
      <c r="K430" s="172" t="str">
        <f t="shared" si="3"/>
        <v/>
      </c>
      <c r="L430" s="172" t="str">
        <f t="array" ref="L430">IF($A430="","",INDEX('主表 Stock_Transaction_Log'!$P:$P,$A430))</f>
        <v/>
      </c>
      <c r="M430" s="57" t="str">
        <f>IF($A430="","",IF($H430&lt;=0,0,SUMIFS('主表 Stock_Transaction_Log'!$K$2:$K1000,'主表 Stock_Transaction_Log'!$C$2:$C1000,"Prepared",'主表 Stock_Transaction_Log'!$L$2:$L1000,$B430,'主表 Stock_Transaction_Log'!$F$2:$F1000,$C430,'主表 Stock_Transaction_Log'!$G$2:$G1000,$D430,'主表 Stock_Transaction_Log'!$P$2:$P1000,$L430)))</f>
        <v/>
      </c>
      <c r="N430" s="172"/>
      <c r="O430" s="172" t="str">
        <f t="shared" si="4"/>
        <v/>
      </c>
      <c r="P430" s="172" t="str">
        <f t="shared" si="5"/>
        <v/>
      </c>
      <c r="Q430" s="172" t="str">
        <f t="shared" si="9"/>
        <v/>
      </c>
      <c r="R430" s="172" t="str">
        <f t="shared" si="7"/>
        <v/>
      </c>
      <c r="S430" s="172" t="str">
        <f t="shared" si="8"/>
        <v/>
      </c>
    </row>
    <row r="431">
      <c r="A431" s="172" t="str">
        <f>IF('主表 Stock_Transaction_Log'!$T431="","",IF(COUNTIF('主表 Stock_Transaction_Log'!$T$2:$T431,'主表 Stock_Transaction_Log'!$T431)=1,ROW('主表 Stock_Transaction_Log'!$T431),""))</f>
        <v/>
      </c>
      <c r="B431" s="172" t="str">
        <f t="array" ref="B431">IF($A431="","",INDEX('主表 Stock_Transaction_Log'!$Q:$Q,$A431))</f>
        <v/>
      </c>
      <c r="C431" s="172" t="str">
        <f t="array" ref="C431">IF($A431="","",IF(INDEX('主表 Stock_Transaction_Log'!$F:$F,$A431)=0,"",INDEX('主表 Stock_Transaction_Log'!$F:$F,$A431)))</f>
        <v/>
      </c>
      <c r="D431" s="172" t="str">
        <f t="array" ref="D431">IF($A431="","",INDEX('主表 Stock_Transaction_Log'!$G:$G,$A431))</f>
        <v/>
      </c>
      <c r="E431" s="172" t="str">
        <f t="array" ref="E431">IF($A431="","",INDEX('主表 Stock_Transaction_Log'!$H:$H,$A431))</f>
        <v/>
      </c>
      <c r="F431" s="172" t="str">
        <f t="array" ref="F431">IF($A431="","",INDEX('主表 Stock_Transaction_Log'!$I:$I,$A431))</f>
        <v/>
      </c>
      <c r="G431" s="172" t="str">
        <f t="array" ref="G431">IF($A431="","",IF(INDEX('主表 Stock_Transaction_Log'!$R:$R,$A431)=0,"",INDEX('主表 Stock_Transaction_Log'!$R:$R,$A431)))</f>
        <v/>
      </c>
      <c r="H431" s="172" t="str">
        <f t="array" ref="H431">IF($A431="","",SUMIF('主表 Stock_Transaction_Log'!$T:$T,INDEX('主表 Stock_Transaction_Log'!$T:$T,$A431),'主表 Stock_Transaction_Log'!$S:$S)+SUMIF('主表 Stock_Transaction_Log'!$AB:$AB,INDEX('主表 Stock_Transaction_Log'!$T:$T,$A431),'主表 Stock_Transaction_Log'!$AC:$AC))</f>
        <v/>
      </c>
      <c r="I431" s="172" t="str">
        <f t="shared" si="1"/>
        <v/>
      </c>
      <c r="J431" s="172" t="str">
        <f t="shared" si="2"/>
        <v/>
      </c>
      <c r="K431" s="172" t="str">
        <f t="shared" si="3"/>
        <v/>
      </c>
      <c r="L431" s="172" t="str">
        <f t="array" ref="L431">IF($A431="","",INDEX('主表 Stock_Transaction_Log'!$P:$P,$A431))</f>
        <v/>
      </c>
      <c r="M431" s="57" t="str">
        <f>IF($A431="","",IF($H431&lt;=0,0,SUMIFS('主表 Stock_Transaction_Log'!$K$2:$K1000,'主表 Stock_Transaction_Log'!$C$2:$C1000,"Prepared",'主表 Stock_Transaction_Log'!$L$2:$L1000,$B431,'主表 Stock_Transaction_Log'!$F$2:$F1000,$C431,'主表 Stock_Transaction_Log'!$G$2:$G1000,$D431,'主表 Stock_Transaction_Log'!$P$2:$P1000,$L431)))</f>
        <v/>
      </c>
      <c r="N431" s="172"/>
      <c r="O431" s="172" t="str">
        <f t="shared" si="4"/>
        <v/>
      </c>
      <c r="P431" s="172" t="str">
        <f t="shared" si="5"/>
        <v/>
      </c>
      <c r="Q431" s="172" t="str">
        <f t="shared" si="9"/>
        <v/>
      </c>
      <c r="R431" s="172" t="str">
        <f t="shared" si="7"/>
        <v/>
      </c>
      <c r="S431" s="172" t="str">
        <f t="shared" si="8"/>
        <v/>
      </c>
    </row>
    <row r="432">
      <c r="A432" s="172" t="str">
        <f>IF('主表 Stock_Transaction_Log'!$T432="","",IF(COUNTIF('主表 Stock_Transaction_Log'!$T$2:$T432,'主表 Stock_Transaction_Log'!$T432)=1,ROW('主表 Stock_Transaction_Log'!$T432),""))</f>
        <v/>
      </c>
      <c r="B432" s="172" t="str">
        <f t="array" ref="B432">IF($A432="","",INDEX('主表 Stock_Transaction_Log'!$Q:$Q,$A432))</f>
        <v/>
      </c>
      <c r="C432" s="172" t="str">
        <f t="array" ref="C432">IF($A432="","",IF(INDEX('主表 Stock_Transaction_Log'!$F:$F,$A432)=0,"",INDEX('主表 Stock_Transaction_Log'!$F:$F,$A432)))</f>
        <v/>
      </c>
      <c r="D432" s="172" t="str">
        <f t="array" ref="D432">IF($A432="","",INDEX('主表 Stock_Transaction_Log'!$G:$G,$A432))</f>
        <v/>
      </c>
      <c r="E432" s="172" t="str">
        <f t="array" ref="E432">IF($A432="","",INDEX('主表 Stock_Transaction_Log'!$H:$H,$A432))</f>
        <v/>
      </c>
      <c r="F432" s="172" t="str">
        <f t="array" ref="F432">IF($A432="","",INDEX('主表 Stock_Transaction_Log'!$I:$I,$A432))</f>
        <v/>
      </c>
      <c r="G432" s="172" t="str">
        <f t="array" ref="G432">IF($A432="","",IF(INDEX('主表 Stock_Transaction_Log'!$R:$R,$A432)=0,"",INDEX('主表 Stock_Transaction_Log'!$R:$R,$A432)))</f>
        <v/>
      </c>
      <c r="H432" s="172" t="str">
        <f t="array" ref="H432">IF($A432="","",SUMIF('主表 Stock_Transaction_Log'!$T:$T,INDEX('主表 Stock_Transaction_Log'!$T:$T,$A432),'主表 Stock_Transaction_Log'!$S:$S)+SUMIF('主表 Stock_Transaction_Log'!$AB:$AB,INDEX('主表 Stock_Transaction_Log'!$T:$T,$A432),'主表 Stock_Transaction_Log'!$AC:$AC))</f>
        <v/>
      </c>
      <c r="I432" s="172" t="str">
        <f t="shared" si="1"/>
        <v/>
      </c>
      <c r="J432" s="172" t="str">
        <f t="shared" si="2"/>
        <v/>
      </c>
      <c r="K432" s="172" t="str">
        <f t="shared" si="3"/>
        <v/>
      </c>
      <c r="L432" s="172" t="str">
        <f t="array" ref="L432">IF($A432="","",INDEX('主表 Stock_Transaction_Log'!$P:$P,$A432))</f>
        <v/>
      </c>
      <c r="M432" s="57" t="str">
        <f>IF($A432="","",IF($H432&lt;=0,0,SUMIFS('主表 Stock_Transaction_Log'!$K$2:$K1000,'主表 Stock_Transaction_Log'!$C$2:$C1000,"Prepared",'主表 Stock_Transaction_Log'!$L$2:$L1000,$B432,'主表 Stock_Transaction_Log'!$F$2:$F1000,$C432,'主表 Stock_Transaction_Log'!$G$2:$G1000,$D432,'主表 Stock_Transaction_Log'!$P$2:$P1000,$L432)))</f>
        <v/>
      </c>
      <c r="N432" s="172"/>
      <c r="O432" s="172" t="str">
        <f t="shared" si="4"/>
        <v/>
      </c>
      <c r="P432" s="172" t="str">
        <f t="shared" si="5"/>
        <v/>
      </c>
      <c r="Q432" s="172" t="str">
        <f t="shared" si="9"/>
        <v/>
      </c>
      <c r="R432" s="172" t="str">
        <f t="shared" si="7"/>
        <v/>
      </c>
      <c r="S432" s="172" t="str">
        <f t="shared" si="8"/>
        <v/>
      </c>
    </row>
    <row r="433">
      <c r="A433" s="172" t="str">
        <f>IF('主表 Stock_Transaction_Log'!$T433="","",IF(COUNTIF('主表 Stock_Transaction_Log'!$T$2:$T433,'主表 Stock_Transaction_Log'!$T433)=1,ROW('主表 Stock_Transaction_Log'!$T433),""))</f>
        <v/>
      </c>
      <c r="B433" s="172" t="str">
        <f t="array" ref="B433">IF($A433="","",INDEX('主表 Stock_Transaction_Log'!$Q:$Q,$A433))</f>
        <v/>
      </c>
      <c r="C433" s="172" t="str">
        <f t="array" ref="C433">IF($A433="","",IF(INDEX('主表 Stock_Transaction_Log'!$F:$F,$A433)=0,"",INDEX('主表 Stock_Transaction_Log'!$F:$F,$A433)))</f>
        <v/>
      </c>
      <c r="D433" s="172" t="str">
        <f t="array" ref="D433">IF($A433="","",INDEX('主表 Stock_Transaction_Log'!$G:$G,$A433))</f>
        <v/>
      </c>
      <c r="E433" s="172" t="str">
        <f t="array" ref="E433">IF($A433="","",INDEX('主表 Stock_Transaction_Log'!$H:$H,$A433))</f>
        <v/>
      </c>
      <c r="F433" s="172" t="str">
        <f t="array" ref="F433">IF($A433="","",INDEX('主表 Stock_Transaction_Log'!$I:$I,$A433))</f>
        <v/>
      </c>
      <c r="G433" s="172" t="str">
        <f t="array" ref="G433">IF($A433="","",IF(INDEX('主表 Stock_Transaction_Log'!$R:$R,$A433)=0,"",INDEX('主表 Stock_Transaction_Log'!$R:$R,$A433)))</f>
        <v/>
      </c>
      <c r="H433" s="172" t="str">
        <f t="array" ref="H433">IF($A433="","",SUMIF('主表 Stock_Transaction_Log'!$T:$T,INDEX('主表 Stock_Transaction_Log'!$T:$T,$A433),'主表 Stock_Transaction_Log'!$S:$S)+SUMIF('主表 Stock_Transaction_Log'!$AB:$AB,INDEX('主表 Stock_Transaction_Log'!$T:$T,$A433),'主表 Stock_Transaction_Log'!$AC:$AC))</f>
        <v/>
      </c>
      <c r="I433" s="172" t="str">
        <f t="shared" si="1"/>
        <v/>
      </c>
      <c r="J433" s="172" t="str">
        <f t="shared" si="2"/>
        <v/>
      </c>
      <c r="K433" s="172" t="str">
        <f t="shared" si="3"/>
        <v/>
      </c>
      <c r="L433" s="172" t="str">
        <f t="array" ref="L433">IF($A433="","",INDEX('主表 Stock_Transaction_Log'!$P:$P,$A433))</f>
        <v/>
      </c>
      <c r="M433" s="57" t="str">
        <f>IF($A433="","",IF($H433&lt;=0,0,SUMIFS('主表 Stock_Transaction_Log'!$K$2:$K1000,'主表 Stock_Transaction_Log'!$C$2:$C1000,"Prepared",'主表 Stock_Transaction_Log'!$L$2:$L1000,$B433,'主表 Stock_Transaction_Log'!$F$2:$F1000,$C433,'主表 Stock_Transaction_Log'!$G$2:$G1000,$D433,'主表 Stock_Transaction_Log'!$P$2:$P1000,$L433)))</f>
        <v/>
      </c>
      <c r="N433" s="172"/>
      <c r="O433" s="172" t="str">
        <f t="shared" si="4"/>
        <v/>
      </c>
      <c r="P433" s="172" t="str">
        <f t="shared" si="5"/>
        <v/>
      </c>
      <c r="Q433" s="172" t="str">
        <f t="shared" si="9"/>
        <v/>
      </c>
      <c r="R433" s="172" t="str">
        <f t="shared" si="7"/>
        <v/>
      </c>
      <c r="S433" s="172" t="str">
        <f t="shared" si="8"/>
        <v/>
      </c>
    </row>
    <row r="434">
      <c r="A434" s="172" t="str">
        <f>IF('主表 Stock_Transaction_Log'!$T434="","",IF(COUNTIF('主表 Stock_Transaction_Log'!$T$2:$T434,'主表 Stock_Transaction_Log'!$T434)=1,ROW('主表 Stock_Transaction_Log'!$T434),""))</f>
        <v/>
      </c>
      <c r="B434" s="172" t="str">
        <f t="array" ref="B434">IF($A434="","",INDEX('主表 Stock_Transaction_Log'!$Q:$Q,$A434))</f>
        <v/>
      </c>
      <c r="C434" s="172" t="str">
        <f t="array" ref="C434">IF($A434="","",IF(INDEX('主表 Stock_Transaction_Log'!$F:$F,$A434)=0,"",INDEX('主表 Stock_Transaction_Log'!$F:$F,$A434)))</f>
        <v/>
      </c>
      <c r="D434" s="172" t="str">
        <f t="array" ref="D434">IF($A434="","",INDEX('主表 Stock_Transaction_Log'!$G:$G,$A434))</f>
        <v/>
      </c>
      <c r="E434" s="172" t="str">
        <f t="array" ref="E434">IF($A434="","",INDEX('主表 Stock_Transaction_Log'!$H:$H,$A434))</f>
        <v/>
      </c>
      <c r="F434" s="172" t="str">
        <f t="array" ref="F434">IF($A434="","",INDEX('主表 Stock_Transaction_Log'!$I:$I,$A434))</f>
        <v/>
      </c>
      <c r="G434" s="172" t="str">
        <f t="array" ref="G434">IF($A434="","",IF(INDEX('主表 Stock_Transaction_Log'!$R:$R,$A434)=0,"",INDEX('主表 Stock_Transaction_Log'!$R:$R,$A434)))</f>
        <v/>
      </c>
      <c r="H434" s="172" t="str">
        <f t="array" ref="H434">IF($A434="","",SUMIF('主表 Stock_Transaction_Log'!$T:$T,INDEX('主表 Stock_Transaction_Log'!$T:$T,$A434),'主表 Stock_Transaction_Log'!$S:$S)+SUMIF('主表 Stock_Transaction_Log'!$AB:$AB,INDEX('主表 Stock_Transaction_Log'!$T:$T,$A434),'主表 Stock_Transaction_Log'!$AC:$AC))</f>
        <v/>
      </c>
      <c r="I434" s="172" t="str">
        <f t="shared" si="1"/>
        <v/>
      </c>
      <c r="J434" s="172" t="str">
        <f t="shared" si="2"/>
        <v/>
      </c>
      <c r="K434" s="172" t="str">
        <f t="shared" si="3"/>
        <v/>
      </c>
      <c r="L434" s="172" t="str">
        <f t="array" ref="L434">IF($A434="","",INDEX('主表 Stock_Transaction_Log'!$P:$P,$A434))</f>
        <v/>
      </c>
      <c r="M434" s="57" t="str">
        <f>IF($A434="","",IF($H434&lt;=0,0,SUMIFS('主表 Stock_Transaction_Log'!$K$2:$K1000,'主表 Stock_Transaction_Log'!$C$2:$C1000,"Prepared",'主表 Stock_Transaction_Log'!$L$2:$L1000,$B434,'主表 Stock_Transaction_Log'!$F$2:$F1000,$C434,'主表 Stock_Transaction_Log'!$G$2:$G1000,$D434,'主表 Stock_Transaction_Log'!$P$2:$P1000,$L434)))</f>
        <v/>
      </c>
      <c r="N434" s="172"/>
      <c r="O434" s="172" t="str">
        <f t="shared" si="4"/>
        <v/>
      </c>
      <c r="P434" s="172" t="str">
        <f t="shared" si="5"/>
        <v/>
      </c>
      <c r="Q434" s="172" t="str">
        <f t="shared" si="9"/>
        <v/>
      </c>
      <c r="R434" s="172" t="str">
        <f t="shared" si="7"/>
        <v/>
      </c>
      <c r="S434" s="172" t="str">
        <f t="shared" si="8"/>
        <v/>
      </c>
    </row>
    <row r="435">
      <c r="A435" s="172" t="str">
        <f>IF('主表 Stock_Transaction_Log'!$T435="","",IF(COUNTIF('主表 Stock_Transaction_Log'!$T$2:$T435,'主表 Stock_Transaction_Log'!$T435)=1,ROW('主表 Stock_Transaction_Log'!$T435),""))</f>
        <v/>
      </c>
      <c r="B435" s="172" t="str">
        <f t="array" ref="B435">IF($A435="","",INDEX('主表 Stock_Transaction_Log'!$Q:$Q,$A435))</f>
        <v/>
      </c>
      <c r="C435" s="172" t="str">
        <f t="array" ref="C435">IF($A435="","",IF(INDEX('主表 Stock_Transaction_Log'!$F:$F,$A435)=0,"",INDEX('主表 Stock_Transaction_Log'!$F:$F,$A435)))</f>
        <v/>
      </c>
      <c r="D435" s="172" t="str">
        <f t="array" ref="D435">IF($A435="","",INDEX('主表 Stock_Transaction_Log'!$G:$G,$A435))</f>
        <v/>
      </c>
      <c r="E435" s="172" t="str">
        <f t="array" ref="E435">IF($A435="","",INDEX('主表 Stock_Transaction_Log'!$H:$H,$A435))</f>
        <v/>
      </c>
      <c r="F435" s="172" t="str">
        <f t="array" ref="F435">IF($A435="","",INDEX('主表 Stock_Transaction_Log'!$I:$I,$A435))</f>
        <v/>
      </c>
      <c r="G435" s="172" t="str">
        <f t="array" ref="G435">IF($A435="","",IF(INDEX('主表 Stock_Transaction_Log'!$R:$R,$A435)=0,"",INDEX('主表 Stock_Transaction_Log'!$R:$R,$A435)))</f>
        <v/>
      </c>
      <c r="H435" s="172" t="str">
        <f t="array" ref="H435">IF($A435="","",SUMIF('主表 Stock_Transaction_Log'!$T:$T,INDEX('主表 Stock_Transaction_Log'!$T:$T,$A435),'主表 Stock_Transaction_Log'!$S:$S)+SUMIF('主表 Stock_Transaction_Log'!$AB:$AB,INDEX('主表 Stock_Transaction_Log'!$T:$T,$A435),'主表 Stock_Transaction_Log'!$AC:$AC))</f>
        <v/>
      </c>
      <c r="I435" s="172" t="str">
        <f t="shared" si="1"/>
        <v/>
      </c>
      <c r="J435" s="172" t="str">
        <f t="shared" si="2"/>
        <v/>
      </c>
      <c r="K435" s="172" t="str">
        <f t="shared" si="3"/>
        <v/>
      </c>
      <c r="L435" s="172" t="str">
        <f t="array" ref="L435">IF($A435="","",INDEX('主表 Stock_Transaction_Log'!$P:$P,$A435))</f>
        <v/>
      </c>
      <c r="M435" s="57" t="str">
        <f>IF($A435="","",IF($H435&lt;=0,0,SUMIFS('主表 Stock_Transaction_Log'!$K$2:$K1000,'主表 Stock_Transaction_Log'!$C$2:$C1000,"Prepared",'主表 Stock_Transaction_Log'!$L$2:$L1000,$B435,'主表 Stock_Transaction_Log'!$F$2:$F1000,$C435,'主表 Stock_Transaction_Log'!$G$2:$G1000,$D435,'主表 Stock_Transaction_Log'!$P$2:$P1000,$L435)))</f>
        <v/>
      </c>
      <c r="N435" s="172"/>
      <c r="O435" s="172" t="str">
        <f t="shared" si="4"/>
        <v/>
      </c>
      <c r="P435" s="172" t="str">
        <f t="shared" si="5"/>
        <v/>
      </c>
      <c r="Q435" s="172" t="str">
        <f t="shared" si="9"/>
        <v/>
      </c>
      <c r="R435" s="172" t="str">
        <f t="shared" si="7"/>
        <v/>
      </c>
      <c r="S435" s="172" t="str">
        <f t="shared" si="8"/>
        <v/>
      </c>
    </row>
    <row r="436">
      <c r="A436" s="172" t="str">
        <f>IF('主表 Stock_Transaction_Log'!$T436="","",IF(COUNTIF('主表 Stock_Transaction_Log'!$T$2:$T436,'主表 Stock_Transaction_Log'!$T436)=1,ROW('主表 Stock_Transaction_Log'!$T436),""))</f>
        <v/>
      </c>
      <c r="B436" s="172" t="str">
        <f t="array" ref="B436">IF($A436="","",INDEX('主表 Stock_Transaction_Log'!$Q:$Q,$A436))</f>
        <v/>
      </c>
      <c r="C436" s="172" t="str">
        <f t="array" ref="C436">IF($A436="","",IF(INDEX('主表 Stock_Transaction_Log'!$F:$F,$A436)=0,"",INDEX('主表 Stock_Transaction_Log'!$F:$F,$A436)))</f>
        <v/>
      </c>
      <c r="D436" s="172" t="str">
        <f t="array" ref="D436">IF($A436="","",INDEX('主表 Stock_Transaction_Log'!$G:$G,$A436))</f>
        <v/>
      </c>
      <c r="E436" s="172" t="str">
        <f t="array" ref="E436">IF($A436="","",INDEX('主表 Stock_Transaction_Log'!$H:$H,$A436))</f>
        <v/>
      </c>
      <c r="F436" s="172" t="str">
        <f t="array" ref="F436">IF($A436="","",INDEX('主表 Stock_Transaction_Log'!$I:$I,$A436))</f>
        <v/>
      </c>
      <c r="G436" s="172" t="str">
        <f t="array" ref="G436">IF($A436="","",IF(INDEX('主表 Stock_Transaction_Log'!$R:$R,$A436)=0,"",INDEX('主表 Stock_Transaction_Log'!$R:$R,$A436)))</f>
        <v/>
      </c>
      <c r="H436" s="172" t="str">
        <f t="array" ref="H436">IF($A436="","",SUMIF('主表 Stock_Transaction_Log'!$T:$T,INDEX('主表 Stock_Transaction_Log'!$T:$T,$A436),'主表 Stock_Transaction_Log'!$S:$S)+SUMIF('主表 Stock_Transaction_Log'!$AB:$AB,INDEX('主表 Stock_Transaction_Log'!$T:$T,$A436),'主表 Stock_Transaction_Log'!$AC:$AC))</f>
        <v/>
      </c>
      <c r="I436" s="172" t="str">
        <f t="shared" si="1"/>
        <v/>
      </c>
      <c r="J436" s="172" t="str">
        <f t="shared" si="2"/>
        <v/>
      </c>
      <c r="K436" s="172" t="str">
        <f t="shared" si="3"/>
        <v/>
      </c>
      <c r="L436" s="172" t="str">
        <f t="array" ref="L436">IF($A436="","",INDEX('主表 Stock_Transaction_Log'!$P:$P,$A436))</f>
        <v/>
      </c>
      <c r="M436" s="57" t="str">
        <f>IF($A436="","",IF($H436&lt;=0,0,SUMIFS('主表 Stock_Transaction_Log'!$K$2:$K1000,'主表 Stock_Transaction_Log'!$C$2:$C1000,"Prepared",'主表 Stock_Transaction_Log'!$L$2:$L1000,$B436,'主表 Stock_Transaction_Log'!$F$2:$F1000,$C436,'主表 Stock_Transaction_Log'!$G$2:$G1000,$D436,'主表 Stock_Transaction_Log'!$P$2:$P1000,$L436)))</f>
        <v/>
      </c>
      <c r="N436" s="172"/>
      <c r="O436" s="172" t="str">
        <f t="shared" si="4"/>
        <v/>
      </c>
      <c r="P436" s="172" t="str">
        <f t="shared" si="5"/>
        <v/>
      </c>
      <c r="Q436" s="172" t="str">
        <f t="shared" si="9"/>
        <v/>
      </c>
      <c r="R436" s="172" t="str">
        <f t="shared" si="7"/>
        <v/>
      </c>
      <c r="S436" s="172" t="str">
        <f t="shared" si="8"/>
        <v/>
      </c>
    </row>
    <row r="437">
      <c r="A437" s="172" t="str">
        <f>IF('主表 Stock_Transaction_Log'!$T437="","",IF(COUNTIF('主表 Stock_Transaction_Log'!$T$2:$T437,'主表 Stock_Transaction_Log'!$T437)=1,ROW('主表 Stock_Transaction_Log'!$T437),""))</f>
        <v/>
      </c>
      <c r="B437" s="172" t="str">
        <f t="array" ref="B437">IF($A437="","",INDEX('主表 Stock_Transaction_Log'!$Q:$Q,$A437))</f>
        <v/>
      </c>
      <c r="C437" s="172" t="str">
        <f t="array" ref="C437">IF($A437="","",IF(INDEX('主表 Stock_Transaction_Log'!$F:$F,$A437)=0,"",INDEX('主表 Stock_Transaction_Log'!$F:$F,$A437)))</f>
        <v/>
      </c>
      <c r="D437" s="172" t="str">
        <f t="array" ref="D437">IF($A437="","",INDEX('主表 Stock_Transaction_Log'!$G:$G,$A437))</f>
        <v/>
      </c>
      <c r="E437" s="172" t="str">
        <f t="array" ref="E437">IF($A437="","",INDEX('主表 Stock_Transaction_Log'!$H:$H,$A437))</f>
        <v/>
      </c>
      <c r="F437" s="172" t="str">
        <f t="array" ref="F437">IF($A437="","",INDEX('主表 Stock_Transaction_Log'!$I:$I,$A437))</f>
        <v/>
      </c>
      <c r="G437" s="172" t="str">
        <f t="array" ref="G437">IF($A437="","",IF(INDEX('主表 Stock_Transaction_Log'!$R:$R,$A437)=0,"",INDEX('主表 Stock_Transaction_Log'!$R:$R,$A437)))</f>
        <v/>
      </c>
      <c r="H437" s="172" t="str">
        <f t="array" ref="H437">IF($A437="","",SUMIF('主表 Stock_Transaction_Log'!$T:$T,INDEX('主表 Stock_Transaction_Log'!$T:$T,$A437),'主表 Stock_Transaction_Log'!$S:$S)+SUMIF('主表 Stock_Transaction_Log'!$AB:$AB,INDEX('主表 Stock_Transaction_Log'!$T:$T,$A437),'主表 Stock_Transaction_Log'!$AC:$AC))</f>
        <v/>
      </c>
      <c r="I437" s="172" t="str">
        <f t="shared" si="1"/>
        <v/>
      </c>
      <c r="J437" s="172" t="str">
        <f t="shared" si="2"/>
        <v/>
      </c>
      <c r="K437" s="172" t="str">
        <f t="shared" si="3"/>
        <v/>
      </c>
      <c r="L437" s="172" t="str">
        <f t="array" ref="L437">IF($A437="","",INDEX('主表 Stock_Transaction_Log'!$P:$P,$A437))</f>
        <v/>
      </c>
      <c r="M437" s="57" t="str">
        <f>IF($A437="","",IF($H437&lt;=0,0,SUMIFS('主表 Stock_Transaction_Log'!$K$2:$K1000,'主表 Stock_Transaction_Log'!$C$2:$C1000,"Prepared",'主表 Stock_Transaction_Log'!$L$2:$L1000,$B437,'主表 Stock_Transaction_Log'!$F$2:$F1000,$C437,'主表 Stock_Transaction_Log'!$G$2:$G1000,$D437,'主表 Stock_Transaction_Log'!$P$2:$P1000,$L437)))</f>
        <v/>
      </c>
      <c r="N437" s="172"/>
      <c r="O437" s="172" t="str">
        <f t="shared" si="4"/>
        <v/>
      </c>
      <c r="P437" s="172" t="str">
        <f t="shared" si="5"/>
        <v/>
      </c>
      <c r="Q437" s="172" t="str">
        <f t="shared" si="9"/>
        <v/>
      </c>
      <c r="R437" s="172" t="str">
        <f t="shared" si="7"/>
        <v/>
      </c>
      <c r="S437" s="172" t="str">
        <f t="shared" si="8"/>
        <v/>
      </c>
    </row>
    <row r="438">
      <c r="A438" s="172" t="str">
        <f>IF('主表 Stock_Transaction_Log'!$T438="","",IF(COUNTIF('主表 Stock_Transaction_Log'!$T$2:$T438,'主表 Stock_Transaction_Log'!$T438)=1,ROW('主表 Stock_Transaction_Log'!$T438),""))</f>
        <v/>
      </c>
      <c r="B438" s="172" t="str">
        <f t="array" ref="B438">IF($A438="","",INDEX('主表 Stock_Transaction_Log'!$Q:$Q,$A438))</f>
        <v/>
      </c>
      <c r="C438" s="172" t="str">
        <f t="array" ref="C438">IF($A438="","",IF(INDEX('主表 Stock_Transaction_Log'!$F:$F,$A438)=0,"",INDEX('主表 Stock_Transaction_Log'!$F:$F,$A438)))</f>
        <v/>
      </c>
      <c r="D438" s="172" t="str">
        <f t="array" ref="D438">IF($A438="","",INDEX('主表 Stock_Transaction_Log'!$G:$G,$A438))</f>
        <v/>
      </c>
      <c r="E438" s="172" t="str">
        <f t="array" ref="E438">IF($A438="","",INDEX('主表 Stock_Transaction_Log'!$H:$H,$A438))</f>
        <v/>
      </c>
      <c r="F438" s="172" t="str">
        <f t="array" ref="F438">IF($A438="","",INDEX('主表 Stock_Transaction_Log'!$I:$I,$A438))</f>
        <v/>
      </c>
      <c r="G438" s="172" t="str">
        <f t="array" ref="G438">IF($A438="","",IF(INDEX('主表 Stock_Transaction_Log'!$R:$R,$A438)=0,"",INDEX('主表 Stock_Transaction_Log'!$R:$R,$A438)))</f>
        <v/>
      </c>
      <c r="H438" s="172" t="str">
        <f t="array" ref="H438">IF($A438="","",SUMIF('主表 Stock_Transaction_Log'!$T:$T,INDEX('主表 Stock_Transaction_Log'!$T:$T,$A438),'主表 Stock_Transaction_Log'!$S:$S)+SUMIF('主表 Stock_Transaction_Log'!$AB:$AB,INDEX('主表 Stock_Transaction_Log'!$T:$T,$A438),'主表 Stock_Transaction_Log'!$AC:$AC))</f>
        <v/>
      </c>
      <c r="I438" s="172" t="str">
        <f t="shared" si="1"/>
        <v/>
      </c>
      <c r="J438" s="172" t="str">
        <f t="shared" si="2"/>
        <v/>
      </c>
      <c r="K438" s="172" t="str">
        <f t="shared" si="3"/>
        <v/>
      </c>
      <c r="L438" s="172" t="str">
        <f t="array" ref="L438">IF($A438="","",INDEX('主表 Stock_Transaction_Log'!$P:$P,$A438))</f>
        <v/>
      </c>
      <c r="M438" s="57" t="str">
        <f>IF($A438="","",IF($H438&lt;=0,0,SUMIFS('主表 Stock_Transaction_Log'!$K$2:$K1000,'主表 Stock_Transaction_Log'!$C$2:$C1000,"Prepared",'主表 Stock_Transaction_Log'!$L$2:$L1000,$B438,'主表 Stock_Transaction_Log'!$F$2:$F1000,$C438,'主表 Stock_Transaction_Log'!$G$2:$G1000,$D438,'主表 Stock_Transaction_Log'!$P$2:$P1000,$L438)))</f>
        <v/>
      </c>
      <c r="N438" s="172"/>
      <c r="O438" s="172" t="str">
        <f t="shared" si="4"/>
        <v/>
      </c>
      <c r="P438" s="172" t="str">
        <f t="shared" si="5"/>
        <v/>
      </c>
      <c r="Q438" s="172" t="str">
        <f t="shared" si="9"/>
        <v/>
      </c>
      <c r="R438" s="172" t="str">
        <f t="shared" si="7"/>
        <v/>
      </c>
      <c r="S438" s="172" t="str">
        <f t="shared" si="8"/>
        <v/>
      </c>
    </row>
    <row r="439">
      <c r="A439" s="172" t="str">
        <f>IF('主表 Stock_Transaction_Log'!$T439="","",IF(COUNTIF('主表 Stock_Transaction_Log'!$T$2:$T439,'主表 Stock_Transaction_Log'!$T439)=1,ROW('主表 Stock_Transaction_Log'!$T439),""))</f>
        <v/>
      </c>
      <c r="B439" s="172" t="str">
        <f t="array" ref="B439">IF($A439="","",INDEX('主表 Stock_Transaction_Log'!$Q:$Q,$A439))</f>
        <v/>
      </c>
      <c r="C439" s="172" t="str">
        <f t="array" ref="C439">IF($A439="","",IF(INDEX('主表 Stock_Transaction_Log'!$F:$F,$A439)=0,"",INDEX('主表 Stock_Transaction_Log'!$F:$F,$A439)))</f>
        <v/>
      </c>
      <c r="D439" s="172" t="str">
        <f t="array" ref="D439">IF($A439="","",INDEX('主表 Stock_Transaction_Log'!$G:$G,$A439))</f>
        <v/>
      </c>
      <c r="E439" s="172" t="str">
        <f t="array" ref="E439">IF($A439="","",INDEX('主表 Stock_Transaction_Log'!$H:$H,$A439))</f>
        <v/>
      </c>
      <c r="F439" s="172" t="str">
        <f t="array" ref="F439">IF($A439="","",INDEX('主表 Stock_Transaction_Log'!$I:$I,$A439))</f>
        <v/>
      </c>
      <c r="G439" s="172" t="str">
        <f t="array" ref="G439">IF($A439="","",IF(INDEX('主表 Stock_Transaction_Log'!$R:$R,$A439)=0,"",INDEX('主表 Stock_Transaction_Log'!$R:$R,$A439)))</f>
        <v/>
      </c>
      <c r="H439" s="172" t="str">
        <f t="array" ref="H439">IF($A439="","",SUMIF('主表 Stock_Transaction_Log'!$T:$T,INDEX('主表 Stock_Transaction_Log'!$T:$T,$A439),'主表 Stock_Transaction_Log'!$S:$S)+SUMIF('主表 Stock_Transaction_Log'!$AB:$AB,INDEX('主表 Stock_Transaction_Log'!$T:$T,$A439),'主表 Stock_Transaction_Log'!$AC:$AC))</f>
        <v/>
      </c>
      <c r="I439" s="172" t="str">
        <f t="shared" si="1"/>
        <v/>
      </c>
      <c r="J439" s="172" t="str">
        <f t="shared" si="2"/>
        <v/>
      </c>
      <c r="K439" s="172" t="str">
        <f t="shared" si="3"/>
        <v/>
      </c>
      <c r="L439" s="172" t="str">
        <f t="array" ref="L439">IF($A439="","",INDEX('主表 Stock_Transaction_Log'!$P:$P,$A439))</f>
        <v/>
      </c>
      <c r="M439" s="57" t="str">
        <f>IF($A439="","",IF($H439&lt;=0,0,SUMIFS('主表 Stock_Transaction_Log'!$K$2:$K1000,'主表 Stock_Transaction_Log'!$C$2:$C1000,"Prepared",'主表 Stock_Transaction_Log'!$L$2:$L1000,$B439,'主表 Stock_Transaction_Log'!$F$2:$F1000,$C439,'主表 Stock_Transaction_Log'!$G$2:$G1000,$D439,'主表 Stock_Transaction_Log'!$P$2:$P1000,$L439)))</f>
        <v/>
      </c>
      <c r="N439" s="172"/>
      <c r="O439" s="172" t="str">
        <f t="shared" si="4"/>
        <v/>
      </c>
      <c r="P439" s="172" t="str">
        <f t="shared" si="5"/>
        <v/>
      </c>
      <c r="Q439" s="172" t="str">
        <f t="shared" si="9"/>
        <v/>
      </c>
      <c r="R439" s="172" t="str">
        <f t="shared" si="7"/>
        <v/>
      </c>
      <c r="S439" s="172" t="str">
        <f t="shared" si="8"/>
        <v/>
      </c>
    </row>
    <row r="440">
      <c r="A440" s="172" t="str">
        <f>IF('主表 Stock_Transaction_Log'!$T440="","",IF(COUNTIF('主表 Stock_Transaction_Log'!$T$2:$T440,'主表 Stock_Transaction_Log'!$T440)=1,ROW('主表 Stock_Transaction_Log'!$T440),""))</f>
        <v/>
      </c>
      <c r="B440" s="172" t="str">
        <f t="array" ref="B440">IF($A440="","",INDEX('主表 Stock_Transaction_Log'!$Q:$Q,$A440))</f>
        <v/>
      </c>
      <c r="C440" s="172" t="str">
        <f t="array" ref="C440">IF($A440="","",IF(INDEX('主表 Stock_Transaction_Log'!$F:$F,$A440)=0,"",INDEX('主表 Stock_Transaction_Log'!$F:$F,$A440)))</f>
        <v/>
      </c>
      <c r="D440" s="172" t="str">
        <f t="array" ref="D440">IF($A440="","",INDEX('主表 Stock_Transaction_Log'!$G:$G,$A440))</f>
        <v/>
      </c>
      <c r="E440" s="172" t="str">
        <f t="array" ref="E440">IF($A440="","",INDEX('主表 Stock_Transaction_Log'!$H:$H,$A440))</f>
        <v/>
      </c>
      <c r="F440" s="172" t="str">
        <f t="array" ref="F440">IF($A440="","",INDEX('主表 Stock_Transaction_Log'!$I:$I,$A440))</f>
        <v/>
      </c>
      <c r="G440" s="172" t="str">
        <f t="array" ref="G440">IF($A440="","",IF(INDEX('主表 Stock_Transaction_Log'!$R:$R,$A440)=0,"",INDEX('主表 Stock_Transaction_Log'!$R:$R,$A440)))</f>
        <v/>
      </c>
      <c r="H440" s="172" t="str">
        <f t="array" ref="H440">IF($A440="","",SUMIF('主表 Stock_Transaction_Log'!$T:$T,INDEX('主表 Stock_Transaction_Log'!$T:$T,$A440),'主表 Stock_Transaction_Log'!$S:$S)+SUMIF('主表 Stock_Transaction_Log'!$AB:$AB,INDEX('主表 Stock_Transaction_Log'!$T:$T,$A440),'主表 Stock_Transaction_Log'!$AC:$AC))</f>
        <v/>
      </c>
      <c r="I440" s="172" t="str">
        <f t="shared" si="1"/>
        <v/>
      </c>
      <c r="J440" s="172" t="str">
        <f t="shared" si="2"/>
        <v/>
      </c>
      <c r="K440" s="172" t="str">
        <f t="shared" si="3"/>
        <v/>
      </c>
      <c r="L440" s="172" t="str">
        <f t="array" ref="L440">IF($A440="","",INDEX('主表 Stock_Transaction_Log'!$P:$P,$A440))</f>
        <v/>
      </c>
      <c r="M440" s="57" t="str">
        <f>IF($A440="","",IF($H440&lt;=0,0,SUMIFS('主表 Stock_Transaction_Log'!$K$2:$K1000,'主表 Stock_Transaction_Log'!$C$2:$C1000,"Prepared",'主表 Stock_Transaction_Log'!$L$2:$L1000,$B440,'主表 Stock_Transaction_Log'!$F$2:$F1000,$C440,'主表 Stock_Transaction_Log'!$G$2:$G1000,$D440,'主表 Stock_Transaction_Log'!$P$2:$P1000,$L440)))</f>
        <v/>
      </c>
      <c r="N440" s="172"/>
      <c r="O440" s="172" t="str">
        <f t="shared" si="4"/>
        <v/>
      </c>
      <c r="P440" s="172" t="str">
        <f t="shared" si="5"/>
        <v/>
      </c>
      <c r="Q440" s="172" t="str">
        <f t="shared" si="9"/>
        <v/>
      </c>
      <c r="R440" s="172" t="str">
        <f t="shared" si="7"/>
        <v/>
      </c>
      <c r="S440" s="172" t="str">
        <f t="shared" si="8"/>
        <v/>
      </c>
    </row>
    <row r="441">
      <c r="A441" s="172" t="str">
        <f>IF('主表 Stock_Transaction_Log'!$T441="","",IF(COUNTIF('主表 Stock_Transaction_Log'!$T$2:$T441,'主表 Stock_Transaction_Log'!$T441)=1,ROW('主表 Stock_Transaction_Log'!$T441),""))</f>
        <v/>
      </c>
      <c r="B441" s="172" t="str">
        <f t="array" ref="B441">IF($A441="","",INDEX('主表 Stock_Transaction_Log'!$Q:$Q,$A441))</f>
        <v/>
      </c>
      <c r="C441" s="172" t="str">
        <f t="array" ref="C441">IF($A441="","",IF(INDEX('主表 Stock_Transaction_Log'!$F:$F,$A441)=0,"",INDEX('主表 Stock_Transaction_Log'!$F:$F,$A441)))</f>
        <v/>
      </c>
      <c r="D441" s="172" t="str">
        <f t="array" ref="D441">IF($A441="","",INDEX('主表 Stock_Transaction_Log'!$G:$G,$A441))</f>
        <v/>
      </c>
      <c r="E441" s="172" t="str">
        <f t="array" ref="E441">IF($A441="","",INDEX('主表 Stock_Transaction_Log'!$H:$H,$A441))</f>
        <v/>
      </c>
      <c r="F441" s="172" t="str">
        <f t="array" ref="F441">IF($A441="","",INDEX('主表 Stock_Transaction_Log'!$I:$I,$A441))</f>
        <v/>
      </c>
      <c r="G441" s="172" t="str">
        <f t="array" ref="G441">IF($A441="","",IF(INDEX('主表 Stock_Transaction_Log'!$R:$R,$A441)=0,"",INDEX('主表 Stock_Transaction_Log'!$R:$R,$A441)))</f>
        <v/>
      </c>
      <c r="H441" s="172" t="str">
        <f t="array" ref="H441">IF($A441="","",SUMIF('主表 Stock_Transaction_Log'!$T:$T,INDEX('主表 Stock_Transaction_Log'!$T:$T,$A441),'主表 Stock_Transaction_Log'!$S:$S)+SUMIF('主表 Stock_Transaction_Log'!$AB:$AB,INDEX('主表 Stock_Transaction_Log'!$T:$T,$A441),'主表 Stock_Transaction_Log'!$AC:$AC))</f>
        <v/>
      </c>
      <c r="I441" s="172" t="str">
        <f t="shared" si="1"/>
        <v/>
      </c>
      <c r="J441" s="172" t="str">
        <f t="shared" si="2"/>
        <v/>
      </c>
      <c r="K441" s="172" t="str">
        <f t="shared" si="3"/>
        <v/>
      </c>
      <c r="L441" s="172" t="str">
        <f t="array" ref="L441">IF($A441="","",INDEX('主表 Stock_Transaction_Log'!$P:$P,$A441))</f>
        <v/>
      </c>
      <c r="M441" s="57" t="str">
        <f>IF($A441="","",IF($H441&lt;=0,0,SUMIFS('主表 Stock_Transaction_Log'!$K$2:$K1000,'主表 Stock_Transaction_Log'!$C$2:$C1000,"Prepared",'主表 Stock_Transaction_Log'!$L$2:$L1000,$B441,'主表 Stock_Transaction_Log'!$F$2:$F1000,$C441,'主表 Stock_Transaction_Log'!$G$2:$G1000,$D441,'主表 Stock_Transaction_Log'!$P$2:$P1000,$L441)))</f>
        <v/>
      </c>
      <c r="N441" s="172"/>
      <c r="O441" s="172" t="str">
        <f t="shared" si="4"/>
        <v/>
      </c>
      <c r="P441" s="172" t="str">
        <f t="shared" si="5"/>
        <v/>
      </c>
      <c r="Q441" s="172" t="str">
        <f t="shared" si="9"/>
        <v/>
      </c>
      <c r="R441" s="172" t="str">
        <f t="shared" si="7"/>
        <v/>
      </c>
      <c r="S441" s="172" t="str">
        <f t="shared" si="8"/>
        <v/>
      </c>
    </row>
    <row r="442">
      <c r="A442" s="172" t="str">
        <f>IF('主表 Stock_Transaction_Log'!$T442="","",IF(COUNTIF('主表 Stock_Transaction_Log'!$T$2:$T442,'主表 Stock_Transaction_Log'!$T442)=1,ROW('主表 Stock_Transaction_Log'!$T442),""))</f>
        <v/>
      </c>
      <c r="B442" s="172" t="str">
        <f t="array" ref="B442">IF($A442="","",INDEX('主表 Stock_Transaction_Log'!$Q:$Q,$A442))</f>
        <v/>
      </c>
      <c r="C442" s="172" t="str">
        <f t="array" ref="C442">IF($A442="","",IF(INDEX('主表 Stock_Transaction_Log'!$F:$F,$A442)=0,"",INDEX('主表 Stock_Transaction_Log'!$F:$F,$A442)))</f>
        <v/>
      </c>
      <c r="D442" s="172" t="str">
        <f t="array" ref="D442">IF($A442="","",INDEX('主表 Stock_Transaction_Log'!$G:$G,$A442))</f>
        <v/>
      </c>
      <c r="E442" s="172" t="str">
        <f t="array" ref="E442">IF($A442="","",INDEX('主表 Stock_Transaction_Log'!$H:$H,$A442))</f>
        <v/>
      </c>
      <c r="F442" s="172" t="str">
        <f t="array" ref="F442">IF($A442="","",INDEX('主表 Stock_Transaction_Log'!$I:$I,$A442))</f>
        <v/>
      </c>
      <c r="G442" s="172" t="str">
        <f t="array" ref="G442">IF($A442="","",IF(INDEX('主表 Stock_Transaction_Log'!$R:$R,$A442)=0,"",INDEX('主表 Stock_Transaction_Log'!$R:$R,$A442)))</f>
        <v/>
      </c>
      <c r="H442" s="172" t="str">
        <f t="array" ref="H442">IF($A442="","",SUMIF('主表 Stock_Transaction_Log'!$T:$T,INDEX('主表 Stock_Transaction_Log'!$T:$T,$A442),'主表 Stock_Transaction_Log'!$S:$S)+SUMIF('主表 Stock_Transaction_Log'!$AB:$AB,INDEX('主表 Stock_Transaction_Log'!$T:$T,$A442),'主表 Stock_Transaction_Log'!$AC:$AC))</f>
        <v/>
      </c>
      <c r="I442" s="172" t="str">
        <f t="shared" si="1"/>
        <v/>
      </c>
      <c r="J442" s="172" t="str">
        <f t="shared" si="2"/>
        <v/>
      </c>
      <c r="K442" s="172" t="str">
        <f t="shared" si="3"/>
        <v/>
      </c>
      <c r="L442" s="172" t="str">
        <f t="array" ref="L442">IF($A442="","",INDEX('主表 Stock_Transaction_Log'!$P:$P,$A442))</f>
        <v/>
      </c>
      <c r="M442" s="57" t="str">
        <f>IF($A442="","",IF($H442&lt;=0,0,SUMIFS('主表 Stock_Transaction_Log'!$K$2:$K1000,'主表 Stock_Transaction_Log'!$C$2:$C1000,"Prepared",'主表 Stock_Transaction_Log'!$L$2:$L1000,$B442,'主表 Stock_Transaction_Log'!$F$2:$F1000,$C442,'主表 Stock_Transaction_Log'!$G$2:$G1000,$D442,'主表 Stock_Transaction_Log'!$P$2:$P1000,$L442)))</f>
        <v/>
      </c>
      <c r="N442" s="172"/>
      <c r="O442" s="172" t="str">
        <f t="shared" si="4"/>
        <v/>
      </c>
      <c r="P442" s="172" t="str">
        <f t="shared" si="5"/>
        <v/>
      </c>
      <c r="Q442" s="172" t="str">
        <f t="shared" si="9"/>
        <v/>
      </c>
      <c r="R442" s="172" t="str">
        <f t="shared" si="7"/>
        <v/>
      </c>
      <c r="S442" s="172" t="str">
        <f t="shared" si="8"/>
        <v/>
      </c>
    </row>
    <row r="443">
      <c r="A443" s="172" t="str">
        <f>IF('主表 Stock_Transaction_Log'!$T443="","",IF(COUNTIF('主表 Stock_Transaction_Log'!$T$2:$T443,'主表 Stock_Transaction_Log'!$T443)=1,ROW('主表 Stock_Transaction_Log'!$T443),""))</f>
        <v/>
      </c>
      <c r="B443" s="172" t="str">
        <f t="array" ref="B443">IF($A443="","",INDEX('主表 Stock_Transaction_Log'!$Q:$Q,$A443))</f>
        <v/>
      </c>
      <c r="C443" s="172" t="str">
        <f t="array" ref="C443">IF($A443="","",IF(INDEX('主表 Stock_Transaction_Log'!$F:$F,$A443)=0,"",INDEX('主表 Stock_Transaction_Log'!$F:$F,$A443)))</f>
        <v/>
      </c>
      <c r="D443" s="172" t="str">
        <f t="array" ref="D443">IF($A443="","",INDEX('主表 Stock_Transaction_Log'!$G:$G,$A443))</f>
        <v/>
      </c>
      <c r="E443" s="172" t="str">
        <f t="array" ref="E443">IF($A443="","",INDEX('主表 Stock_Transaction_Log'!$H:$H,$A443))</f>
        <v/>
      </c>
      <c r="F443" s="172" t="str">
        <f t="array" ref="F443">IF($A443="","",INDEX('主表 Stock_Transaction_Log'!$I:$I,$A443))</f>
        <v/>
      </c>
      <c r="G443" s="172" t="str">
        <f t="array" ref="G443">IF($A443="","",IF(INDEX('主表 Stock_Transaction_Log'!$R:$R,$A443)=0,"",INDEX('主表 Stock_Transaction_Log'!$R:$R,$A443)))</f>
        <v/>
      </c>
      <c r="H443" s="172" t="str">
        <f t="array" ref="H443">IF($A443="","",SUMIF('主表 Stock_Transaction_Log'!$T:$T,INDEX('主表 Stock_Transaction_Log'!$T:$T,$A443),'主表 Stock_Transaction_Log'!$S:$S)+SUMIF('主表 Stock_Transaction_Log'!$AB:$AB,INDEX('主表 Stock_Transaction_Log'!$T:$T,$A443),'主表 Stock_Transaction_Log'!$AC:$AC))</f>
        <v/>
      </c>
      <c r="I443" s="172" t="str">
        <f t="shared" si="1"/>
        <v/>
      </c>
      <c r="J443" s="172" t="str">
        <f t="shared" si="2"/>
        <v/>
      </c>
      <c r="K443" s="172" t="str">
        <f t="shared" si="3"/>
        <v/>
      </c>
      <c r="L443" s="172" t="str">
        <f t="array" ref="L443">IF($A443="","",INDEX('主表 Stock_Transaction_Log'!$P:$P,$A443))</f>
        <v/>
      </c>
      <c r="M443" s="57" t="str">
        <f>IF($A443="","",IF($H443&lt;=0,0,SUMIFS('主表 Stock_Transaction_Log'!$K$2:$K1000,'主表 Stock_Transaction_Log'!$C$2:$C1000,"Prepared",'主表 Stock_Transaction_Log'!$L$2:$L1000,$B443,'主表 Stock_Transaction_Log'!$F$2:$F1000,$C443,'主表 Stock_Transaction_Log'!$G$2:$G1000,$D443,'主表 Stock_Transaction_Log'!$P$2:$P1000,$L443)))</f>
        <v/>
      </c>
      <c r="N443" s="172"/>
      <c r="O443" s="172" t="str">
        <f t="shared" si="4"/>
        <v/>
      </c>
      <c r="P443" s="172" t="str">
        <f t="shared" si="5"/>
        <v/>
      </c>
      <c r="Q443" s="172" t="str">
        <f t="shared" si="9"/>
        <v/>
      </c>
      <c r="R443" s="172" t="str">
        <f t="shared" si="7"/>
        <v/>
      </c>
      <c r="S443" s="172" t="str">
        <f t="shared" si="8"/>
        <v/>
      </c>
    </row>
    <row r="444">
      <c r="A444" s="172" t="str">
        <f>IF('主表 Stock_Transaction_Log'!$T444="","",IF(COUNTIF('主表 Stock_Transaction_Log'!$T$2:$T444,'主表 Stock_Transaction_Log'!$T444)=1,ROW('主表 Stock_Transaction_Log'!$T444),""))</f>
        <v/>
      </c>
      <c r="B444" s="172" t="str">
        <f t="array" ref="B444">IF($A444="","",INDEX('主表 Stock_Transaction_Log'!$Q:$Q,$A444))</f>
        <v/>
      </c>
      <c r="C444" s="172" t="str">
        <f t="array" ref="C444">IF($A444="","",IF(INDEX('主表 Stock_Transaction_Log'!$F:$F,$A444)=0,"",INDEX('主表 Stock_Transaction_Log'!$F:$F,$A444)))</f>
        <v/>
      </c>
      <c r="D444" s="172" t="str">
        <f t="array" ref="D444">IF($A444="","",INDEX('主表 Stock_Transaction_Log'!$G:$G,$A444))</f>
        <v/>
      </c>
      <c r="E444" s="172" t="str">
        <f t="array" ref="E444">IF($A444="","",INDEX('主表 Stock_Transaction_Log'!$H:$H,$A444))</f>
        <v/>
      </c>
      <c r="F444" s="172" t="str">
        <f t="array" ref="F444">IF($A444="","",INDEX('主表 Stock_Transaction_Log'!$I:$I,$A444))</f>
        <v/>
      </c>
      <c r="G444" s="172" t="str">
        <f t="array" ref="G444">IF($A444="","",IF(INDEX('主表 Stock_Transaction_Log'!$R:$R,$A444)=0,"",INDEX('主表 Stock_Transaction_Log'!$R:$R,$A444)))</f>
        <v/>
      </c>
      <c r="H444" s="172" t="str">
        <f t="array" ref="H444">IF($A444="","",SUMIF('主表 Stock_Transaction_Log'!$T:$T,INDEX('主表 Stock_Transaction_Log'!$T:$T,$A444),'主表 Stock_Transaction_Log'!$S:$S)+SUMIF('主表 Stock_Transaction_Log'!$AB:$AB,INDEX('主表 Stock_Transaction_Log'!$T:$T,$A444),'主表 Stock_Transaction_Log'!$AC:$AC))</f>
        <v/>
      </c>
      <c r="I444" s="172" t="str">
        <f t="shared" si="1"/>
        <v/>
      </c>
      <c r="J444" s="172" t="str">
        <f t="shared" si="2"/>
        <v/>
      </c>
      <c r="K444" s="172" t="str">
        <f t="shared" si="3"/>
        <v/>
      </c>
      <c r="L444" s="172" t="str">
        <f t="array" ref="L444">IF($A444="","",INDEX('主表 Stock_Transaction_Log'!$P:$P,$A444))</f>
        <v/>
      </c>
      <c r="M444" s="57" t="str">
        <f>IF($A444="","",IF($H444&lt;=0,0,SUMIFS('主表 Stock_Transaction_Log'!$K$2:$K1000,'主表 Stock_Transaction_Log'!$C$2:$C1000,"Prepared",'主表 Stock_Transaction_Log'!$L$2:$L1000,$B444,'主表 Stock_Transaction_Log'!$F$2:$F1000,$C444,'主表 Stock_Transaction_Log'!$G$2:$G1000,$D444,'主表 Stock_Transaction_Log'!$P$2:$P1000,$L444)))</f>
        <v/>
      </c>
      <c r="N444" s="172"/>
      <c r="O444" s="172" t="str">
        <f t="shared" si="4"/>
        <v/>
      </c>
      <c r="P444" s="172" t="str">
        <f t="shared" si="5"/>
        <v/>
      </c>
      <c r="Q444" s="172" t="str">
        <f t="shared" si="9"/>
        <v/>
      </c>
      <c r="R444" s="172" t="str">
        <f t="shared" si="7"/>
        <v/>
      </c>
      <c r="S444" s="172" t="str">
        <f t="shared" si="8"/>
        <v/>
      </c>
    </row>
    <row r="445">
      <c r="A445" s="172" t="str">
        <f>IF('主表 Stock_Transaction_Log'!$T445="","",IF(COUNTIF('主表 Stock_Transaction_Log'!$T$2:$T445,'主表 Stock_Transaction_Log'!$T445)=1,ROW('主表 Stock_Transaction_Log'!$T445),""))</f>
        <v/>
      </c>
      <c r="B445" s="172" t="str">
        <f t="array" ref="B445">IF($A445="","",INDEX('主表 Stock_Transaction_Log'!$Q:$Q,$A445))</f>
        <v/>
      </c>
      <c r="C445" s="172" t="str">
        <f t="array" ref="C445">IF($A445="","",IF(INDEX('主表 Stock_Transaction_Log'!$F:$F,$A445)=0,"",INDEX('主表 Stock_Transaction_Log'!$F:$F,$A445)))</f>
        <v/>
      </c>
      <c r="D445" s="172" t="str">
        <f t="array" ref="D445">IF($A445="","",INDEX('主表 Stock_Transaction_Log'!$G:$G,$A445))</f>
        <v/>
      </c>
      <c r="E445" s="172" t="str">
        <f t="array" ref="E445">IF($A445="","",INDEX('主表 Stock_Transaction_Log'!$H:$H,$A445))</f>
        <v/>
      </c>
      <c r="F445" s="172" t="str">
        <f t="array" ref="F445">IF($A445="","",INDEX('主表 Stock_Transaction_Log'!$I:$I,$A445))</f>
        <v/>
      </c>
      <c r="G445" s="172" t="str">
        <f t="array" ref="G445">IF($A445="","",IF(INDEX('主表 Stock_Transaction_Log'!$R:$R,$A445)=0,"",INDEX('主表 Stock_Transaction_Log'!$R:$R,$A445)))</f>
        <v/>
      </c>
      <c r="H445" s="172" t="str">
        <f t="array" ref="H445">IF($A445="","",SUMIF('主表 Stock_Transaction_Log'!$T:$T,INDEX('主表 Stock_Transaction_Log'!$T:$T,$A445),'主表 Stock_Transaction_Log'!$S:$S)+SUMIF('主表 Stock_Transaction_Log'!$AB:$AB,INDEX('主表 Stock_Transaction_Log'!$T:$T,$A445),'主表 Stock_Transaction_Log'!$AC:$AC))</f>
        <v/>
      </c>
      <c r="I445" s="172" t="str">
        <f t="shared" si="1"/>
        <v/>
      </c>
      <c r="J445" s="172" t="str">
        <f t="shared" si="2"/>
        <v/>
      </c>
      <c r="K445" s="172" t="str">
        <f t="shared" si="3"/>
        <v/>
      </c>
      <c r="L445" s="172" t="str">
        <f t="array" ref="L445">IF($A445="","",INDEX('主表 Stock_Transaction_Log'!$P:$P,$A445))</f>
        <v/>
      </c>
      <c r="M445" s="57" t="str">
        <f>IF($A445="","",IF($H445&lt;=0,0,SUMIFS('主表 Stock_Transaction_Log'!$K$2:$K1000,'主表 Stock_Transaction_Log'!$C$2:$C1000,"Prepared",'主表 Stock_Transaction_Log'!$L$2:$L1000,$B445,'主表 Stock_Transaction_Log'!$F$2:$F1000,$C445,'主表 Stock_Transaction_Log'!$G$2:$G1000,$D445,'主表 Stock_Transaction_Log'!$P$2:$P1000,$L445)))</f>
        <v/>
      </c>
      <c r="N445" s="172"/>
      <c r="O445" s="172" t="str">
        <f t="shared" si="4"/>
        <v/>
      </c>
      <c r="P445" s="172" t="str">
        <f t="shared" si="5"/>
        <v/>
      </c>
      <c r="Q445" s="172" t="str">
        <f t="shared" si="9"/>
        <v/>
      </c>
      <c r="R445" s="172" t="str">
        <f t="shared" si="7"/>
        <v/>
      </c>
      <c r="S445" s="172" t="str">
        <f t="shared" si="8"/>
        <v/>
      </c>
    </row>
    <row r="446">
      <c r="A446" s="172" t="str">
        <f>IF('主表 Stock_Transaction_Log'!$T446="","",IF(COUNTIF('主表 Stock_Transaction_Log'!$T$2:$T446,'主表 Stock_Transaction_Log'!$T446)=1,ROW('主表 Stock_Transaction_Log'!$T446),""))</f>
        <v/>
      </c>
      <c r="B446" s="172" t="str">
        <f t="array" ref="B446">IF($A446="","",INDEX('主表 Stock_Transaction_Log'!$Q:$Q,$A446))</f>
        <v/>
      </c>
      <c r="C446" s="172" t="str">
        <f t="array" ref="C446">IF($A446="","",IF(INDEX('主表 Stock_Transaction_Log'!$F:$F,$A446)=0,"",INDEX('主表 Stock_Transaction_Log'!$F:$F,$A446)))</f>
        <v/>
      </c>
      <c r="D446" s="172" t="str">
        <f t="array" ref="D446">IF($A446="","",INDEX('主表 Stock_Transaction_Log'!$G:$G,$A446))</f>
        <v/>
      </c>
      <c r="E446" s="172" t="str">
        <f t="array" ref="E446">IF($A446="","",INDEX('主表 Stock_Transaction_Log'!$H:$H,$A446))</f>
        <v/>
      </c>
      <c r="F446" s="172" t="str">
        <f t="array" ref="F446">IF($A446="","",INDEX('主表 Stock_Transaction_Log'!$I:$I,$A446))</f>
        <v/>
      </c>
      <c r="G446" s="172" t="str">
        <f t="array" ref="G446">IF($A446="","",IF(INDEX('主表 Stock_Transaction_Log'!$R:$R,$A446)=0,"",INDEX('主表 Stock_Transaction_Log'!$R:$R,$A446)))</f>
        <v/>
      </c>
      <c r="H446" s="172" t="str">
        <f t="array" ref="H446">IF($A446="","",SUMIF('主表 Stock_Transaction_Log'!$T:$T,INDEX('主表 Stock_Transaction_Log'!$T:$T,$A446),'主表 Stock_Transaction_Log'!$S:$S)+SUMIF('主表 Stock_Transaction_Log'!$AB:$AB,INDEX('主表 Stock_Transaction_Log'!$T:$T,$A446),'主表 Stock_Transaction_Log'!$AC:$AC))</f>
        <v/>
      </c>
      <c r="I446" s="172" t="str">
        <f t="shared" si="1"/>
        <v/>
      </c>
      <c r="J446" s="172" t="str">
        <f t="shared" si="2"/>
        <v/>
      </c>
      <c r="K446" s="172" t="str">
        <f t="shared" si="3"/>
        <v/>
      </c>
      <c r="L446" s="172" t="str">
        <f t="array" ref="L446">IF($A446="","",INDEX('主表 Stock_Transaction_Log'!$P:$P,$A446))</f>
        <v/>
      </c>
      <c r="M446" s="57" t="str">
        <f>IF($A446="","",IF($H446&lt;=0,0,SUMIFS('主表 Stock_Transaction_Log'!$K$2:$K1000,'主表 Stock_Transaction_Log'!$C$2:$C1000,"Prepared",'主表 Stock_Transaction_Log'!$L$2:$L1000,$B446,'主表 Stock_Transaction_Log'!$F$2:$F1000,$C446,'主表 Stock_Transaction_Log'!$G$2:$G1000,$D446,'主表 Stock_Transaction_Log'!$P$2:$P1000,$L446)))</f>
        <v/>
      </c>
      <c r="N446" s="172"/>
      <c r="O446" s="172" t="str">
        <f t="shared" si="4"/>
        <v/>
      </c>
      <c r="P446" s="172" t="str">
        <f t="shared" si="5"/>
        <v/>
      </c>
      <c r="Q446" s="172" t="str">
        <f t="shared" si="9"/>
        <v/>
      </c>
      <c r="R446" s="172" t="str">
        <f t="shared" si="7"/>
        <v/>
      </c>
      <c r="S446" s="172" t="str">
        <f t="shared" si="8"/>
        <v/>
      </c>
    </row>
    <row r="447">
      <c r="A447" s="172" t="str">
        <f>IF('主表 Stock_Transaction_Log'!$T447="","",IF(COUNTIF('主表 Stock_Transaction_Log'!$T$2:$T447,'主表 Stock_Transaction_Log'!$T447)=1,ROW('主表 Stock_Transaction_Log'!$T447),""))</f>
        <v/>
      </c>
      <c r="B447" s="172" t="str">
        <f t="array" ref="B447">IF($A447="","",INDEX('主表 Stock_Transaction_Log'!$Q:$Q,$A447))</f>
        <v/>
      </c>
      <c r="C447" s="172" t="str">
        <f t="array" ref="C447">IF($A447="","",IF(INDEX('主表 Stock_Transaction_Log'!$F:$F,$A447)=0,"",INDEX('主表 Stock_Transaction_Log'!$F:$F,$A447)))</f>
        <v/>
      </c>
      <c r="D447" s="172" t="str">
        <f t="array" ref="D447">IF($A447="","",INDEX('主表 Stock_Transaction_Log'!$G:$G,$A447))</f>
        <v/>
      </c>
      <c r="E447" s="172" t="str">
        <f t="array" ref="E447">IF($A447="","",INDEX('主表 Stock_Transaction_Log'!$H:$H,$A447))</f>
        <v/>
      </c>
      <c r="F447" s="172" t="str">
        <f t="array" ref="F447">IF($A447="","",INDEX('主表 Stock_Transaction_Log'!$I:$I,$A447))</f>
        <v/>
      </c>
      <c r="G447" s="172" t="str">
        <f t="array" ref="G447">IF($A447="","",IF(INDEX('主表 Stock_Transaction_Log'!$R:$R,$A447)=0,"",INDEX('主表 Stock_Transaction_Log'!$R:$R,$A447)))</f>
        <v/>
      </c>
      <c r="H447" s="172" t="str">
        <f t="array" ref="H447">IF($A447="","",SUMIF('主表 Stock_Transaction_Log'!$T:$T,INDEX('主表 Stock_Transaction_Log'!$T:$T,$A447),'主表 Stock_Transaction_Log'!$S:$S)+SUMIF('主表 Stock_Transaction_Log'!$AB:$AB,INDEX('主表 Stock_Transaction_Log'!$T:$T,$A447),'主表 Stock_Transaction_Log'!$AC:$AC))</f>
        <v/>
      </c>
      <c r="I447" s="172" t="str">
        <f t="shared" si="1"/>
        <v/>
      </c>
      <c r="J447" s="172" t="str">
        <f t="shared" si="2"/>
        <v/>
      </c>
      <c r="K447" s="172" t="str">
        <f t="shared" si="3"/>
        <v/>
      </c>
      <c r="L447" s="172" t="str">
        <f t="array" ref="L447">IF($A447="","",INDEX('主表 Stock_Transaction_Log'!$P:$P,$A447))</f>
        <v/>
      </c>
      <c r="M447" s="57" t="str">
        <f>IF($A447="","",IF($H447&lt;=0,0,SUMIFS('主表 Stock_Transaction_Log'!$K$2:$K1000,'主表 Stock_Transaction_Log'!$C$2:$C1000,"Prepared",'主表 Stock_Transaction_Log'!$L$2:$L1000,$B447,'主表 Stock_Transaction_Log'!$F$2:$F1000,$C447,'主表 Stock_Transaction_Log'!$G$2:$G1000,$D447,'主表 Stock_Transaction_Log'!$P$2:$P1000,$L447)))</f>
        <v/>
      </c>
      <c r="N447" s="172"/>
      <c r="O447" s="172" t="str">
        <f t="shared" si="4"/>
        <v/>
      </c>
      <c r="P447" s="172" t="str">
        <f t="shared" si="5"/>
        <v/>
      </c>
      <c r="Q447" s="172" t="str">
        <f t="shared" si="9"/>
        <v/>
      </c>
      <c r="R447" s="172" t="str">
        <f t="shared" si="7"/>
        <v/>
      </c>
      <c r="S447" s="172" t="str">
        <f t="shared" si="8"/>
        <v/>
      </c>
    </row>
    <row r="448">
      <c r="A448" s="172" t="str">
        <f>IF('主表 Stock_Transaction_Log'!$T448="","",IF(COUNTIF('主表 Stock_Transaction_Log'!$T$2:$T448,'主表 Stock_Transaction_Log'!$T448)=1,ROW('主表 Stock_Transaction_Log'!$T448),""))</f>
        <v/>
      </c>
      <c r="B448" s="172" t="str">
        <f t="array" ref="B448">IF($A448="","",INDEX('主表 Stock_Transaction_Log'!$Q:$Q,$A448))</f>
        <v/>
      </c>
      <c r="C448" s="172" t="str">
        <f t="array" ref="C448">IF($A448="","",IF(INDEX('主表 Stock_Transaction_Log'!$F:$F,$A448)=0,"",INDEX('主表 Stock_Transaction_Log'!$F:$F,$A448)))</f>
        <v/>
      </c>
      <c r="D448" s="172" t="str">
        <f t="array" ref="D448">IF($A448="","",INDEX('主表 Stock_Transaction_Log'!$G:$G,$A448))</f>
        <v/>
      </c>
      <c r="E448" s="172" t="str">
        <f t="array" ref="E448">IF($A448="","",INDEX('主表 Stock_Transaction_Log'!$H:$H,$A448))</f>
        <v/>
      </c>
      <c r="F448" s="172" t="str">
        <f t="array" ref="F448">IF($A448="","",INDEX('主表 Stock_Transaction_Log'!$I:$I,$A448))</f>
        <v/>
      </c>
      <c r="G448" s="172" t="str">
        <f t="array" ref="G448">IF($A448="","",IF(INDEX('主表 Stock_Transaction_Log'!$R:$R,$A448)=0,"",INDEX('主表 Stock_Transaction_Log'!$R:$R,$A448)))</f>
        <v/>
      </c>
      <c r="H448" s="172" t="str">
        <f t="array" ref="H448">IF($A448="","",SUMIF('主表 Stock_Transaction_Log'!$T:$T,INDEX('主表 Stock_Transaction_Log'!$T:$T,$A448),'主表 Stock_Transaction_Log'!$S:$S)+SUMIF('主表 Stock_Transaction_Log'!$AB:$AB,INDEX('主表 Stock_Transaction_Log'!$T:$T,$A448),'主表 Stock_Transaction_Log'!$AC:$AC))</f>
        <v/>
      </c>
      <c r="I448" s="172" t="str">
        <f t="shared" si="1"/>
        <v/>
      </c>
      <c r="J448" s="172" t="str">
        <f t="shared" si="2"/>
        <v/>
      </c>
      <c r="K448" s="172" t="str">
        <f t="shared" si="3"/>
        <v/>
      </c>
      <c r="L448" s="172" t="str">
        <f t="array" ref="L448">IF($A448="","",INDEX('主表 Stock_Transaction_Log'!$P:$P,$A448))</f>
        <v/>
      </c>
      <c r="M448" s="57" t="str">
        <f>IF($A448="","",IF($H448&lt;=0,0,SUMIFS('主表 Stock_Transaction_Log'!$K$2:$K1000,'主表 Stock_Transaction_Log'!$C$2:$C1000,"Prepared",'主表 Stock_Transaction_Log'!$L$2:$L1000,$B448,'主表 Stock_Transaction_Log'!$F$2:$F1000,$C448,'主表 Stock_Transaction_Log'!$G$2:$G1000,$D448,'主表 Stock_Transaction_Log'!$P$2:$P1000,$L448)))</f>
        <v/>
      </c>
      <c r="N448" s="172"/>
      <c r="O448" s="172" t="str">
        <f t="shared" si="4"/>
        <v/>
      </c>
      <c r="P448" s="172" t="str">
        <f t="shared" si="5"/>
        <v/>
      </c>
      <c r="Q448" s="172" t="str">
        <f t="shared" si="9"/>
        <v/>
      </c>
      <c r="R448" s="172" t="str">
        <f t="shared" si="7"/>
        <v/>
      </c>
      <c r="S448" s="172" t="str">
        <f t="shared" si="8"/>
        <v/>
      </c>
    </row>
    <row r="449">
      <c r="A449" s="172" t="str">
        <f>IF('主表 Stock_Transaction_Log'!$T449="","",IF(COUNTIF('主表 Stock_Transaction_Log'!$T$2:$T449,'主表 Stock_Transaction_Log'!$T449)=1,ROW('主表 Stock_Transaction_Log'!$T449),""))</f>
        <v/>
      </c>
      <c r="B449" s="172" t="str">
        <f t="array" ref="B449">IF($A449="","",INDEX('主表 Stock_Transaction_Log'!$Q:$Q,$A449))</f>
        <v/>
      </c>
      <c r="C449" s="172" t="str">
        <f t="array" ref="C449">IF($A449="","",IF(INDEX('主表 Stock_Transaction_Log'!$F:$F,$A449)=0,"",INDEX('主表 Stock_Transaction_Log'!$F:$F,$A449)))</f>
        <v/>
      </c>
      <c r="D449" s="172" t="str">
        <f t="array" ref="D449">IF($A449="","",INDEX('主表 Stock_Transaction_Log'!$G:$G,$A449))</f>
        <v/>
      </c>
      <c r="E449" s="172" t="str">
        <f t="array" ref="E449">IF($A449="","",INDEX('主表 Stock_Transaction_Log'!$H:$H,$A449))</f>
        <v/>
      </c>
      <c r="F449" s="172" t="str">
        <f t="array" ref="F449">IF($A449="","",INDEX('主表 Stock_Transaction_Log'!$I:$I,$A449))</f>
        <v/>
      </c>
      <c r="G449" s="172" t="str">
        <f t="array" ref="G449">IF($A449="","",IF(INDEX('主表 Stock_Transaction_Log'!$R:$R,$A449)=0,"",INDEX('主表 Stock_Transaction_Log'!$R:$R,$A449)))</f>
        <v/>
      </c>
      <c r="H449" s="172" t="str">
        <f t="array" ref="H449">IF($A449="","",SUMIF('主表 Stock_Transaction_Log'!$T:$T,INDEX('主表 Stock_Transaction_Log'!$T:$T,$A449),'主表 Stock_Transaction_Log'!$S:$S)+SUMIF('主表 Stock_Transaction_Log'!$AB:$AB,INDEX('主表 Stock_Transaction_Log'!$T:$T,$A449),'主表 Stock_Transaction_Log'!$AC:$AC))</f>
        <v/>
      </c>
      <c r="I449" s="172" t="str">
        <f t="shared" si="1"/>
        <v/>
      </c>
      <c r="J449" s="172" t="str">
        <f t="shared" si="2"/>
        <v/>
      </c>
      <c r="K449" s="172" t="str">
        <f t="shared" si="3"/>
        <v/>
      </c>
      <c r="L449" s="172" t="str">
        <f t="array" ref="L449">IF($A449="","",INDEX('主表 Stock_Transaction_Log'!$P:$P,$A449))</f>
        <v/>
      </c>
      <c r="M449" s="57" t="str">
        <f>IF($A449="","",IF($H449&lt;=0,0,SUMIFS('主表 Stock_Transaction_Log'!$K$2:$K1000,'主表 Stock_Transaction_Log'!$C$2:$C1000,"Prepared",'主表 Stock_Transaction_Log'!$L$2:$L1000,$B449,'主表 Stock_Transaction_Log'!$F$2:$F1000,$C449,'主表 Stock_Transaction_Log'!$G$2:$G1000,$D449,'主表 Stock_Transaction_Log'!$P$2:$P1000,$L449)))</f>
        <v/>
      </c>
      <c r="N449" s="172"/>
      <c r="O449" s="172" t="str">
        <f t="shared" si="4"/>
        <v/>
      </c>
      <c r="P449" s="172" t="str">
        <f t="shared" si="5"/>
        <v/>
      </c>
      <c r="Q449" s="172" t="str">
        <f t="shared" si="9"/>
        <v/>
      </c>
      <c r="R449" s="172" t="str">
        <f t="shared" si="7"/>
        <v/>
      </c>
      <c r="S449" s="172" t="str">
        <f t="shared" si="8"/>
        <v/>
      </c>
    </row>
    <row r="450">
      <c r="A450" s="172" t="str">
        <f>IF('主表 Stock_Transaction_Log'!$T450="","",IF(COUNTIF('主表 Stock_Transaction_Log'!$T$2:$T450,'主表 Stock_Transaction_Log'!$T450)=1,ROW('主表 Stock_Transaction_Log'!$T450),""))</f>
        <v/>
      </c>
      <c r="B450" s="172" t="str">
        <f t="array" ref="B450">IF($A450="","",INDEX('主表 Stock_Transaction_Log'!$Q:$Q,$A450))</f>
        <v/>
      </c>
      <c r="C450" s="172" t="str">
        <f t="array" ref="C450">IF($A450="","",IF(INDEX('主表 Stock_Transaction_Log'!$F:$F,$A450)=0,"",INDEX('主表 Stock_Transaction_Log'!$F:$F,$A450)))</f>
        <v/>
      </c>
      <c r="D450" s="172" t="str">
        <f t="array" ref="D450">IF($A450="","",INDEX('主表 Stock_Transaction_Log'!$G:$G,$A450))</f>
        <v/>
      </c>
      <c r="E450" s="172" t="str">
        <f t="array" ref="E450">IF($A450="","",INDEX('主表 Stock_Transaction_Log'!$H:$H,$A450))</f>
        <v/>
      </c>
      <c r="F450" s="172" t="str">
        <f t="array" ref="F450">IF($A450="","",INDEX('主表 Stock_Transaction_Log'!$I:$I,$A450))</f>
        <v/>
      </c>
      <c r="G450" s="172" t="str">
        <f t="array" ref="G450">IF($A450="","",IF(INDEX('主表 Stock_Transaction_Log'!$R:$R,$A450)=0,"",INDEX('主表 Stock_Transaction_Log'!$R:$R,$A450)))</f>
        <v/>
      </c>
      <c r="H450" s="172" t="str">
        <f t="array" ref="H450">IF($A450="","",SUMIF('主表 Stock_Transaction_Log'!$T:$T,INDEX('主表 Stock_Transaction_Log'!$T:$T,$A450),'主表 Stock_Transaction_Log'!$S:$S)+SUMIF('主表 Stock_Transaction_Log'!$AB:$AB,INDEX('主表 Stock_Transaction_Log'!$T:$T,$A450),'主表 Stock_Transaction_Log'!$AC:$AC))</f>
        <v/>
      </c>
      <c r="I450" s="172" t="str">
        <f t="shared" si="1"/>
        <v/>
      </c>
      <c r="J450" s="172" t="str">
        <f t="shared" si="2"/>
        <v/>
      </c>
      <c r="K450" s="172" t="str">
        <f t="shared" si="3"/>
        <v/>
      </c>
      <c r="L450" s="172" t="str">
        <f t="array" ref="L450">IF($A450="","",INDEX('主表 Stock_Transaction_Log'!$P:$P,$A450))</f>
        <v/>
      </c>
      <c r="M450" s="57" t="str">
        <f>IF($A450="","",IF($H450&lt;=0,0,SUMIFS('主表 Stock_Transaction_Log'!$K$2:$K1000,'主表 Stock_Transaction_Log'!$C$2:$C1000,"Prepared",'主表 Stock_Transaction_Log'!$L$2:$L1000,$B450,'主表 Stock_Transaction_Log'!$F$2:$F1000,$C450,'主表 Stock_Transaction_Log'!$G$2:$G1000,$D450,'主表 Stock_Transaction_Log'!$P$2:$P1000,$L450)))</f>
        <v/>
      </c>
      <c r="N450" s="172"/>
      <c r="O450" s="172" t="str">
        <f t="shared" si="4"/>
        <v/>
      </c>
      <c r="P450" s="172" t="str">
        <f t="shared" si="5"/>
        <v/>
      </c>
      <c r="Q450" s="172" t="str">
        <f t="shared" si="9"/>
        <v/>
      </c>
      <c r="R450" s="172" t="str">
        <f t="shared" si="7"/>
        <v/>
      </c>
      <c r="S450" s="172" t="str">
        <f t="shared" si="8"/>
        <v/>
      </c>
    </row>
    <row r="451">
      <c r="A451" s="172" t="str">
        <f>IF('主表 Stock_Transaction_Log'!$T451="","",IF(COUNTIF('主表 Stock_Transaction_Log'!$T$2:$T451,'主表 Stock_Transaction_Log'!$T451)=1,ROW('主表 Stock_Transaction_Log'!$T451),""))</f>
        <v/>
      </c>
      <c r="B451" s="172" t="str">
        <f t="array" ref="B451">IF($A451="","",INDEX('主表 Stock_Transaction_Log'!$Q:$Q,$A451))</f>
        <v/>
      </c>
      <c r="C451" s="172" t="str">
        <f t="array" ref="C451">IF($A451="","",IF(INDEX('主表 Stock_Transaction_Log'!$F:$F,$A451)=0,"",INDEX('主表 Stock_Transaction_Log'!$F:$F,$A451)))</f>
        <v/>
      </c>
      <c r="D451" s="172" t="str">
        <f t="array" ref="D451">IF($A451="","",INDEX('主表 Stock_Transaction_Log'!$G:$G,$A451))</f>
        <v/>
      </c>
      <c r="E451" s="172" t="str">
        <f t="array" ref="E451">IF($A451="","",INDEX('主表 Stock_Transaction_Log'!$H:$H,$A451))</f>
        <v/>
      </c>
      <c r="F451" s="172" t="str">
        <f t="array" ref="F451">IF($A451="","",INDEX('主表 Stock_Transaction_Log'!$I:$I,$A451))</f>
        <v/>
      </c>
      <c r="G451" s="172" t="str">
        <f t="array" ref="G451">IF($A451="","",IF(INDEX('主表 Stock_Transaction_Log'!$R:$R,$A451)=0,"",INDEX('主表 Stock_Transaction_Log'!$R:$R,$A451)))</f>
        <v/>
      </c>
      <c r="H451" s="172" t="str">
        <f t="array" ref="H451">IF($A451="","",SUMIF('主表 Stock_Transaction_Log'!$T:$T,INDEX('主表 Stock_Transaction_Log'!$T:$T,$A451),'主表 Stock_Transaction_Log'!$S:$S)+SUMIF('主表 Stock_Transaction_Log'!$AB:$AB,INDEX('主表 Stock_Transaction_Log'!$T:$T,$A451),'主表 Stock_Transaction_Log'!$AC:$AC))</f>
        <v/>
      </c>
      <c r="I451" s="172" t="str">
        <f t="shared" si="1"/>
        <v/>
      </c>
      <c r="J451" s="172" t="str">
        <f t="shared" si="2"/>
        <v/>
      </c>
      <c r="K451" s="172" t="str">
        <f t="shared" si="3"/>
        <v/>
      </c>
      <c r="L451" s="172" t="str">
        <f t="array" ref="L451">IF($A451="","",INDEX('主表 Stock_Transaction_Log'!$P:$P,$A451))</f>
        <v/>
      </c>
      <c r="M451" s="57" t="str">
        <f>IF($A451="","",IF($H451&lt;=0,0,SUMIFS('主表 Stock_Transaction_Log'!$K$2:$K1000,'主表 Stock_Transaction_Log'!$C$2:$C1000,"Prepared",'主表 Stock_Transaction_Log'!$L$2:$L1000,$B451,'主表 Stock_Transaction_Log'!$F$2:$F1000,$C451,'主表 Stock_Transaction_Log'!$G$2:$G1000,$D451,'主表 Stock_Transaction_Log'!$P$2:$P1000,$L451)))</f>
        <v/>
      </c>
      <c r="N451" s="172"/>
      <c r="O451" s="172" t="str">
        <f t="shared" si="4"/>
        <v/>
      </c>
      <c r="P451" s="172" t="str">
        <f t="shared" si="5"/>
        <v/>
      </c>
      <c r="Q451" s="172" t="str">
        <f t="shared" si="9"/>
        <v/>
      </c>
      <c r="R451" s="172" t="str">
        <f t="shared" si="7"/>
        <v/>
      </c>
      <c r="S451" s="172" t="str">
        <f t="shared" si="8"/>
        <v/>
      </c>
    </row>
    <row r="452">
      <c r="A452" s="172" t="str">
        <f>IF('主表 Stock_Transaction_Log'!$T452="","",IF(COUNTIF('主表 Stock_Transaction_Log'!$T$2:$T452,'主表 Stock_Transaction_Log'!$T452)=1,ROW('主表 Stock_Transaction_Log'!$T452),""))</f>
        <v/>
      </c>
      <c r="B452" s="172" t="str">
        <f t="array" ref="B452">IF($A452="","",INDEX('主表 Stock_Transaction_Log'!$Q:$Q,$A452))</f>
        <v/>
      </c>
      <c r="C452" s="172" t="str">
        <f t="array" ref="C452">IF($A452="","",IF(INDEX('主表 Stock_Transaction_Log'!$F:$F,$A452)=0,"",INDEX('主表 Stock_Transaction_Log'!$F:$F,$A452)))</f>
        <v/>
      </c>
      <c r="D452" s="172" t="str">
        <f t="array" ref="D452">IF($A452="","",INDEX('主表 Stock_Transaction_Log'!$G:$G,$A452))</f>
        <v/>
      </c>
      <c r="E452" s="172" t="str">
        <f t="array" ref="E452">IF($A452="","",INDEX('主表 Stock_Transaction_Log'!$H:$H,$A452))</f>
        <v/>
      </c>
      <c r="F452" s="172" t="str">
        <f t="array" ref="F452">IF($A452="","",INDEX('主表 Stock_Transaction_Log'!$I:$I,$A452))</f>
        <v/>
      </c>
      <c r="G452" s="172" t="str">
        <f t="array" ref="G452">IF($A452="","",IF(INDEX('主表 Stock_Transaction_Log'!$R:$R,$A452)=0,"",INDEX('主表 Stock_Transaction_Log'!$R:$R,$A452)))</f>
        <v/>
      </c>
      <c r="H452" s="172" t="str">
        <f t="array" ref="H452">IF($A452="","",SUMIF('主表 Stock_Transaction_Log'!$T:$T,INDEX('主表 Stock_Transaction_Log'!$T:$T,$A452),'主表 Stock_Transaction_Log'!$S:$S)+SUMIF('主表 Stock_Transaction_Log'!$AB:$AB,INDEX('主表 Stock_Transaction_Log'!$T:$T,$A452),'主表 Stock_Transaction_Log'!$AC:$AC))</f>
        <v/>
      </c>
      <c r="I452" s="172" t="str">
        <f t="shared" si="1"/>
        <v/>
      </c>
      <c r="J452" s="172" t="str">
        <f t="shared" si="2"/>
        <v/>
      </c>
      <c r="K452" s="172" t="str">
        <f t="shared" si="3"/>
        <v/>
      </c>
      <c r="L452" s="172" t="str">
        <f t="array" ref="L452">IF($A452="","",INDEX('主表 Stock_Transaction_Log'!$P:$P,$A452))</f>
        <v/>
      </c>
      <c r="M452" s="57" t="str">
        <f>IF($A452="","",IF($H452&lt;=0,0,SUMIFS('主表 Stock_Transaction_Log'!$K$2:$K1000,'主表 Stock_Transaction_Log'!$C$2:$C1000,"Prepared",'主表 Stock_Transaction_Log'!$L$2:$L1000,$B452,'主表 Stock_Transaction_Log'!$F$2:$F1000,$C452,'主表 Stock_Transaction_Log'!$G$2:$G1000,$D452,'主表 Stock_Transaction_Log'!$P$2:$P1000,$L452)))</f>
        <v/>
      </c>
      <c r="N452" s="172"/>
      <c r="O452" s="172" t="str">
        <f t="shared" si="4"/>
        <v/>
      </c>
      <c r="P452" s="172" t="str">
        <f t="shared" si="5"/>
        <v/>
      </c>
      <c r="Q452" s="172" t="str">
        <f t="shared" si="9"/>
        <v/>
      </c>
      <c r="R452" s="172" t="str">
        <f t="shared" si="7"/>
        <v/>
      </c>
      <c r="S452" s="172" t="str">
        <f t="shared" si="8"/>
        <v/>
      </c>
    </row>
    <row r="453">
      <c r="A453" s="172" t="str">
        <f>IF('主表 Stock_Transaction_Log'!$T453="","",IF(COUNTIF('主表 Stock_Transaction_Log'!$T$2:$T453,'主表 Stock_Transaction_Log'!$T453)=1,ROW('主表 Stock_Transaction_Log'!$T453),""))</f>
        <v/>
      </c>
      <c r="B453" s="172" t="str">
        <f t="array" ref="B453">IF($A453="","",INDEX('主表 Stock_Transaction_Log'!$Q:$Q,$A453))</f>
        <v/>
      </c>
      <c r="C453" s="172" t="str">
        <f t="array" ref="C453">IF($A453="","",IF(INDEX('主表 Stock_Transaction_Log'!$F:$F,$A453)=0,"",INDEX('主表 Stock_Transaction_Log'!$F:$F,$A453)))</f>
        <v/>
      </c>
      <c r="D453" s="172" t="str">
        <f t="array" ref="D453">IF($A453="","",INDEX('主表 Stock_Transaction_Log'!$G:$G,$A453))</f>
        <v/>
      </c>
      <c r="E453" s="172" t="str">
        <f t="array" ref="E453">IF($A453="","",INDEX('主表 Stock_Transaction_Log'!$H:$H,$A453))</f>
        <v/>
      </c>
      <c r="F453" s="172" t="str">
        <f t="array" ref="F453">IF($A453="","",INDEX('主表 Stock_Transaction_Log'!$I:$I,$A453))</f>
        <v/>
      </c>
      <c r="G453" s="172" t="str">
        <f t="array" ref="G453">IF($A453="","",IF(INDEX('主表 Stock_Transaction_Log'!$R:$R,$A453)=0,"",INDEX('主表 Stock_Transaction_Log'!$R:$R,$A453)))</f>
        <v/>
      </c>
      <c r="H453" s="172" t="str">
        <f t="array" ref="H453">IF($A453="","",SUMIF('主表 Stock_Transaction_Log'!$T:$T,INDEX('主表 Stock_Transaction_Log'!$T:$T,$A453),'主表 Stock_Transaction_Log'!$S:$S)+SUMIF('主表 Stock_Transaction_Log'!$AB:$AB,INDEX('主表 Stock_Transaction_Log'!$T:$T,$A453),'主表 Stock_Transaction_Log'!$AC:$AC))</f>
        <v/>
      </c>
      <c r="I453" s="172" t="str">
        <f t="shared" si="1"/>
        <v/>
      </c>
      <c r="J453" s="172" t="str">
        <f t="shared" si="2"/>
        <v/>
      </c>
      <c r="K453" s="172" t="str">
        <f t="shared" si="3"/>
        <v/>
      </c>
      <c r="L453" s="172" t="str">
        <f t="array" ref="L453">IF($A453="","",INDEX('主表 Stock_Transaction_Log'!$P:$P,$A453))</f>
        <v/>
      </c>
      <c r="M453" s="57" t="str">
        <f>IF($A453="","",IF($H453&lt;=0,0,SUMIFS('主表 Stock_Transaction_Log'!$K$2:$K1000,'主表 Stock_Transaction_Log'!$C$2:$C1000,"Prepared",'主表 Stock_Transaction_Log'!$L$2:$L1000,$B453,'主表 Stock_Transaction_Log'!$F$2:$F1000,$C453,'主表 Stock_Transaction_Log'!$G$2:$G1000,$D453,'主表 Stock_Transaction_Log'!$P$2:$P1000,$L453)))</f>
        <v/>
      </c>
      <c r="N453" s="172"/>
      <c r="O453" s="172" t="str">
        <f t="shared" si="4"/>
        <v/>
      </c>
      <c r="P453" s="172" t="str">
        <f t="shared" si="5"/>
        <v/>
      </c>
      <c r="Q453" s="172" t="str">
        <f t="shared" si="9"/>
        <v/>
      </c>
      <c r="R453" s="172" t="str">
        <f t="shared" si="7"/>
        <v/>
      </c>
      <c r="S453" s="172" t="str">
        <f t="shared" si="8"/>
        <v/>
      </c>
    </row>
    <row r="454">
      <c r="A454" s="172" t="str">
        <f>IF('主表 Stock_Transaction_Log'!$T454="","",IF(COUNTIF('主表 Stock_Transaction_Log'!$T$2:$T454,'主表 Stock_Transaction_Log'!$T454)=1,ROW('主表 Stock_Transaction_Log'!$T454),""))</f>
        <v/>
      </c>
      <c r="B454" s="172" t="str">
        <f t="array" ref="B454">IF($A454="","",INDEX('主表 Stock_Transaction_Log'!$Q:$Q,$A454))</f>
        <v/>
      </c>
      <c r="C454" s="172" t="str">
        <f t="array" ref="C454">IF($A454="","",IF(INDEX('主表 Stock_Transaction_Log'!$F:$F,$A454)=0,"",INDEX('主表 Stock_Transaction_Log'!$F:$F,$A454)))</f>
        <v/>
      </c>
      <c r="D454" s="172" t="str">
        <f t="array" ref="D454">IF($A454="","",INDEX('主表 Stock_Transaction_Log'!$G:$G,$A454))</f>
        <v/>
      </c>
      <c r="E454" s="172" t="str">
        <f t="array" ref="E454">IF($A454="","",INDEX('主表 Stock_Transaction_Log'!$H:$H,$A454))</f>
        <v/>
      </c>
      <c r="F454" s="172" t="str">
        <f t="array" ref="F454">IF($A454="","",INDEX('主表 Stock_Transaction_Log'!$I:$I,$A454))</f>
        <v/>
      </c>
      <c r="G454" s="172" t="str">
        <f t="array" ref="G454">IF($A454="","",IF(INDEX('主表 Stock_Transaction_Log'!$R:$R,$A454)=0,"",INDEX('主表 Stock_Transaction_Log'!$R:$R,$A454)))</f>
        <v/>
      </c>
      <c r="H454" s="172" t="str">
        <f t="array" ref="H454">IF($A454="","",SUMIF('主表 Stock_Transaction_Log'!$T:$T,INDEX('主表 Stock_Transaction_Log'!$T:$T,$A454),'主表 Stock_Transaction_Log'!$S:$S)+SUMIF('主表 Stock_Transaction_Log'!$AB:$AB,INDEX('主表 Stock_Transaction_Log'!$T:$T,$A454),'主表 Stock_Transaction_Log'!$AC:$AC))</f>
        <v/>
      </c>
      <c r="I454" s="172" t="str">
        <f t="shared" si="1"/>
        <v/>
      </c>
      <c r="J454" s="172" t="str">
        <f t="shared" si="2"/>
        <v/>
      </c>
      <c r="K454" s="172" t="str">
        <f t="shared" si="3"/>
        <v/>
      </c>
      <c r="L454" s="172" t="str">
        <f t="array" ref="L454">IF($A454="","",INDEX('主表 Stock_Transaction_Log'!$P:$P,$A454))</f>
        <v/>
      </c>
      <c r="M454" s="57" t="str">
        <f>IF($A454="","",IF($H454&lt;=0,0,SUMIFS('主表 Stock_Transaction_Log'!$K$2:$K1000,'主表 Stock_Transaction_Log'!$C$2:$C1000,"Prepared",'主表 Stock_Transaction_Log'!$L$2:$L1000,$B454,'主表 Stock_Transaction_Log'!$F$2:$F1000,$C454,'主表 Stock_Transaction_Log'!$G$2:$G1000,$D454,'主表 Stock_Transaction_Log'!$P$2:$P1000,$L454)))</f>
        <v/>
      </c>
      <c r="N454" s="172"/>
      <c r="O454" s="172" t="str">
        <f t="shared" si="4"/>
        <v/>
      </c>
      <c r="P454" s="172" t="str">
        <f t="shared" si="5"/>
        <v/>
      </c>
      <c r="Q454" s="172" t="str">
        <f t="shared" si="9"/>
        <v/>
      </c>
      <c r="R454" s="172" t="str">
        <f t="shared" si="7"/>
        <v/>
      </c>
      <c r="S454" s="172" t="str">
        <f t="shared" si="8"/>
        <v/>
      </c>
    </row>
    <row r="455">
      <c r="A455" s="172" t="str">
        <f>IF('主表 Stock_Transaction_Log'!$T455="","",IF(COUNTIF('主表 Stock_Transaction_Log'!$T$2:$T455,'主表 Stock_Transaction_Log'!$T455)=1,ROW('主表 Stock_Transaction_Log'!$T455),""))</f>
        <v/>
      </c>
      <c r="B455" s="172" t="str">
        <f t="array" ref="B455">IF($A455="","",INDEX('主表 Stock_Transaction_Log'!$Q:$Q,$A455))</f>
        <v/>
      </c>
      <c r="C455" s="172" t="str">
        <f t="array" ref="C455">IF($A455="","",IF(INDEX('主表 Stock_Transaction_Log'!$F:$F,$A455)=0,"",INDEX('主表 Stock_Transaction_Log'!$F:$F,$A455)))</f>
        <v/>
      </c>
      <c r="D455" s="172" t="str">
        <f t="array" ref="D455">IF($A455="","",INDEX('主表 Stock_Transaction_Log'!$G:$G,$A455))</f>
        <v/>
      </c>
      <c r="E455" s="172" t="str">
        <f t="array" ref="E455">IF($A455="","",INDEX('主表 Stock_Transaction_Log'!$H:$H,$A455))</f>
        <v/>
      </c>
      <c r="F455" s="172" t="str">
        <f t="array" ref="F455">IF($A455="","",INDEX('主表 Stock_Transaction_Log'!$I:$I,$A455))</f>
        <v/>
      </c>
      <c r="G455" s="172" t="str">
        <f t="array" ref="G455">IF($A455="","",IF(INDEX('主表 Stock_Transaction_Log'!$R:$R,$A455)=0,"",INDEX('主表 Stock_Transaction_Log'!$R:$R,$A455)))</f>
        <v/>
      </c>
      <c r="H455" s="172" t="str">
        <f t="array" ref="H455">IF($A455="","",SUMIF('主表 Stock_Transaction_Log'!$T:$T,INDEX('主表 Stock_Transaction_Log'!$T:$T,$A455),'主表 Stock_Transaction_Log'!$S:$S)+SUMIF('主表 Stock_Transaction_Log'!$AB:$AB,INDEX('主表 Stock_Transaction_Log'!$T:$T,$A455),'主表 Stock_Transaction_Log'!$AC:$AC))</f>
        <v/>
      </c>
      <c r="I455" s="172" t="str">
        <f t="shared" si="1"/>
        <v/>
      </c>
      <c r="J455" s="172" t="str">
        <f t="shared" si="2"/>
        <v/>
      </c>
      <c r="K455" s="172" t="str">
        <f t="shared" si="3"/>
        <v/>
      </c>
      <c r="L455" s="172" t="str">
        <f t="array" ref="L455">IF($A455="","",INDEX('主表 Stock_Transaction_Log'!$P:$P,$A455))</f>
        <v/>
      </c>
      <c r="M455" s="57" t="str">
        <f>IF($A455="","",IF($H455&lt;=0,0,SUMIFS('主表 Stock_Transaction_Log'!$K$2:$K1000,'主表 Stock_Transaction_Log'!$C$2:$C1000,"Prepared",'主表 Stock_Transaction_Log'!$L$2:$L1000,$B455,'主表 Stock_Transaction_Log'!$F$2:$F1000,$C455,'主表 Stock_Transaction_Log'!$G$2:$G1000,$D455,'主表 Stock_Transaction_Log'!$P$2:$P1000,$L455)))</f>
        <v/>
      </c>
      <c r="N455" s="172"/>
      <c r="O455" s="172" t="str">
        <f t="shared" si="4"/>
        <v/>
      </c>
      <c r="P455" s="172" t="str">
        <f t="shared" si="5"/>
        <v/>
      </c>
      <c r="Q455" s="172" t="str">
        <f t="shared" si="9"/>
        <v/>
      </c>
      <c r="R455" s="172" t="str">
        <f t="shared" si="7"/>
        <v/>
      </c>
      <c r="S455" s="172" t="str">
        <f t="shared" si="8"/>
        <v/>
      </c>
    </row>
    <row r="456">
      <c r="A456" s="172" t="str">
        <f>IF('主表 Stock_Transaction_Log'!$T456="","",IF(COUNTIF('主表 Stock_Transaction_Log'!$T$2:$T456,'主表 Stock_Transaction_Log'!$T456)=1,ROW('主表 Stock_Transaction_Log'!$T456),""))</f>
        <v/>
      </c>
      <c r="B456" s="172" t="str">
        <f t="array" ref="B456">IF($A456="","",INDEX('主表 Stock_Transaction_Log'!$Q:$Q,$A456))</f>
        <v/>
      </c>
      <c r="C456" s="172" t="str">
        <f t="array" ref="C456">IF($A456="","",IF(INDEX('主表 Stock_Transaction_Log'!$F:$F,$A456)=0,"",INDEX('主表 Stock_Transaction_Log'!$F:$F,$A456)))</f>
        <v/>
      </c>
      <c r="D456" s="172" t="str">
        <f t="array" ref="D456">IF($A456="","",INDEX('主表 Stock_Transaction_Log'!$G:$G,$A456))</f>
        <v/>
      </c>
      <c r="E456" s="172" t="str">
        <f t="array" ref="E456">IF($A456="","",INDEX('主表 Stock_Transaction_Log'!$H:$H,$A456))</f>
        <v/>
      </c>
      <c r="F456" s="172" t="str">
        <f t="array" ref="F456">IF($A456="","",INDEX('主表 Stock_Transaction_Log'!$I:$I,$A456))</f>
        <v/>
      </c>
      <c r="G456" s="172" t="str">
        <f t="array" ref="G456">IF($A456="","",IF(INDEX('主表 Stock_Transaction_Log'!$R:$R,$A456)=0,"",INDEX('主表 Stock_Transaction_Log'!$R:$R,$A456)))</f>
        <v/>
      </c>
      <c r="H456" s="172" t="str">
        <f t="array" ref="H456">IF($A456="","",SUMIF('主表 Stock_Transaction_Log'!$T:$T,INDEX('主表 Stock_Transaction_Log'!$T:$T,$A456),'主表 Stock_Transaction_Log'!$S:$S)+SUMIF('主表 Stock_Transaction_Log'!$AB:$AB,INDEX('主表 Stock_Transaction_Log'!$T:$T,$A456),'主表 Stock_Transaction_Log'!$AC:$AC))</f>
        <v/>
      </c>
      <c r="I456" s="172" t="str">
        <f t="shared" si="1"/>
        <v/>
      </c>
      <c r="J456" s="172" t="str">
        <f t="shared" si="2"/>
        <v/>
      </c>
      <c r="K456" s="172" t="str">
        <f t="shared" si="3"/>
        <v/>
      </c>
      <c r="L456" s="172" t="str">
        <f t="array" ref="L456">IF($A456="","",INDEX('主表 Stock_Transaction_Log'!$P:$P,$A456))</f>
        <v/>
      </c>
      <c r="M456" s="57" t="str">
        <f>IF($A456="","",IF($H456&lt;=0,0,SUMIFS('主表 Stock_Transaction_Log'!$K$2:$K1000,'主表 Stock_Transaction_Log'!$C$2:$C1000,"Prepared",'主表 Stock_Transaction_Log'!$L$2:$L1000,$B456,'主表 Stock_Transaction_Log'!$F$2:$F1000,$C456,'主表 Stock_Transaction_Log'!$G$2:$G1000,$D456,'主表 Stock_Transaction_Log'!$P$2:$P1000,$L456)))</f>
        <v/>
      </c>
      <c r="N456" s="172"/>
      <c r="O456" s="172" t="str">
        <f t="shared" si="4"/>
        <v/>
      </c>
      <c r="P456" s="172" t="str">
        <f t="shared" si="5"/>
        <v/>
      </c>
      <c r="Q456" s="172" t="str">
        <f t="shared" si="9"/>
        <v/>
      </c>
      <c r="R456" s="172" t="str">
        <f t="shared" si="7"/>
        <v/>
      </c>
      <c r="S456" s="172" t="str">
        <f t="shared" si="8"/>
        <v/>
      </c>
    </row>
    <row r="457">
      <c r="A457" s="172" t="str">
        <f>IF('主表 Stock_Transaction_Log'!$T457="","",IF(COUNTIF('主表 Stock_Transaction_Log'!$T$2:$T457,'主表 Stock_Transaction_Log'!$T457)=1,ROW('主表 Stock_Transaction_Log'!$T457),""))</f>
        <v/>
      </c>
      <c r="B457" s="172" t="str">
        <f t="array" ref="B457">IF($A457="","",INDEX('主表 Stock_Transaction_Log'!$Q:$Q,$A457))</f>
        <v/>
      </c>
      <c r="C457" s="172" t="str">
        <f t="array" ref="C457">IF($A457="","",IF(INDEX('主表 Stock_Transaction_Log'!$F:$F,$A457)=0,"",INDEX('主表 Stock_Transaction_Log'!$F:$F,$A457)))</f>
        <v/>
      </c>
      <c r="D457" s="172" t="str">
        <f t="array" ref="D457">IF($A457="","",INDEX('主表 Stock_Transaction_Log'!$G:$G,$A457))</f>
        <v/>
      </c>
      <c r="E457" s="172" t="str">
        <f t="array" ref="E457">IF($A457="","",INDEX('主表 Stock_Transaction_Log'!$H:$H,$A457))</f>
        <v/>
      </c>
      <c r="F457" s="172" t="str">
        <f t="array" ref="F457">IF($A457="","",INDEX('主表 Stock_Transaction_Log'!$I:$I,$A457))</f>
        <v/>
      </c>
      <c r="G457" s="172" t="str">
        <f t="array" ref="G457">IF($A457="","",IF(INDEX('主表 Stock_Transaction_Log'!$R:$R,$A457)=0,"",INDEX('主表 Stock_Transaction_Log'!$R:$R,$A457)))</f>
        <v/>
      </c>
      <c r="H457" s="172" t="str">
        <f t="array" ref="H457">IF($A457="","",SUMIF('主表 Stock_Transaction_Log'!$T:$T,INDEX('主表 Stock_Transaction_Log'!$T:$T,$A457),'主表 Stock_Transaction_Log'!$S:$S)+SUMIF('主表 Stock_Transaction_Log'!$AB:$AB,INDEX('主表 Stock_Transaction_Log'!$T:$T,$A457),'主表 Stock_Transaction_Log'!$AC:$AC))</f>
        <v/>
      </c>
      <c r="I457" s="172" t="str">
        <f t="shared" si="1"/>
        <v/>
      </c>
      <c r="J457" s="172" t="str">
        <f t="shared" si="2"/>
        <v/>
      </c>
      <c r="K457" s="172" t="str">
        <f t="shared" si="3"/>
        <v/>
      </c>
      <c r="L457" s="172" t="str">
        <f t="array" ref="L457">IF($A457="","",INDEX('主表 Stock_Transaction_Log'!$P:$P,$A457))</f>
        <v/>
      </c>
      <c r="M457" s="57" t="str">
        <f>IF($A457="","",IF($H457&lt;=0,0,SUMIFS('主表 Stock_Transaction_Log'!$K$2:$K1000,'主表 Stock_Transaction_Log'!$C$2:$C1000,"Prepared",'主表 Stock_Transaction_Log'!$L$2:$L1000,$B457,'主表 Stock_Transaction_Log'!$F$2:$F1000,$C457,'主表 Stock_Transaction_Log'!$G$2:$G1000,$D457,'主表 Stock_Transaction_Log'!$P$2:$P1000,$L457)))</f>
        <v/>
      </c>
      <c r="N457" s="172"/>
      <c r="O457" s="172" t="str">
        <f t="shared" si="4"/>
        <v/>
      </c>
      <c r="P457" s="172" t="str">
        <f t="shared" si="5"/>
        <v/>
      </c>
      <c r="Q457" s="172" t="str">
        <f t="shared" si="9"/>
        <v/>
      </c>
      <c r="R457" s="172" t="str">
        <f t="shared" si="7"/>
        <v/>
      </c>
      <c r="S457" s="172" t="str">
        <f t="shared" si="8"/>
        <v/>
      </c>
    </row>
    <row r="458">
      <c r="A458" s="172" t="str">
        <f>IF('主表 Stock_Transaction_Log'!$T458="","",IF(COUNTIF('主表 Stock_Transaction_Log'!$T$2:$T458,'主表 Stock_Transaction_Log'!$T458)=1,ROW('主表 Stock_Transaction_Log'!$T458),""))</f>
        <v/>
      </c>
      <c r="B458" s="172" t="str">
        <f t="array" ref="B458">IF($A458="","",INDEX('主表 Stock_Transaction_Log'!$Q:$Q,$A458))</f>
        <v/>
      </c>
      <c r="C458" s="172" t="str">
        <f t="array" ref="C458">IF($A458="","",IF(INDEX('主表 Stock_Transaction_Log'!$F:$F,$A458)=0,"",INDEX('主表 Stock_Transaction_Log'!$F:$F,$A458)))</f>
        <v/>
      </c>
      <c r="D458" s="172" t="str">
        <f t="array" ref="D458">IF($A458="","",INDEX('主表 Stock_Transaction_Log'!$G:$G,$A458))</f>
        <v/>
      </c>
      <c r="E458" s="172" t="str">
        <f t="array" ref="E458">IF($A458="","",INDEX('主表 Stock_Transaction_Log'!$H:$H,$A458))</f>
        <v/>
      </c>
      <c r="F458" s="172" t="str">
        <f t="array" ref="F458">IF($A458="","",INDEX('主表 Stock_Transaction_Log'!$I:$I,$A458))</f>
        <v/>
      </c>
      <c r="G458" s="172" t="str">
        <f t="array" ref="G458">IF($A458="","",IF(INDEX('主表 Stock_Transaction_Log'!$R:$R,$A458)=0,"",INDEX('主表 Stock_Transaction_Log'!$R:$R,$A458)))</f>
        <v/>
      </c>
      <c r="H458" s="172" t="str">
        <f t="array" ref="H458">IF($A458="","",SUMIF('主表 Stock_Transaction_Log'!$T:$T,INDEX('主表 Stock_Transaction_Log'!$T:$T,$A458),'主表 Stock_Transaction_Log'!$S:$S)+SUMIF('主表 Stock_Transaction_Log'!$AB:$AB,INDEX('主表 Stock_Transaction_Log'!$T:$T,$A458),'主表 Stock_Transaction_Log'!$AC:$AC))</f>
        <v/>
      </c>
      <c r="I458" s="172" t="str">
        <f t="shared" si="1"/>
        <v/>
      </c>
      <c r="J458" s="172" t="str">
        <f t="shared" si="2"/>
        <v/>
      </c>
      <c r="K458" s="172" t="str">
        <f t="shared" si="3"/>
        <v/>
      </c>
      <c r="L458" s="172" t="str">
        <f t="array" ref="L458">IF($A458="","",INDEX('主表 Stock_Transaction_Log'!$P:$P,$A458))</f>
        <v/>
      </c>
      <c r="M458" s="57" t="str">
        <f>IF($A458="","",IF($H458&lt;=0,0,SUMIFS('主表 Stock_Transaction_Log'!$K$2:$K1000,'主表 Stock_Transaction_Log'!$C$2:$C1000,"Prepared",'主表 Stock_Transaction_Log'!$L$2:$L1000,$B458,'主表 Stock_Transaction_Log'!$F$2:$F1000,$C458,'主表 Stock_Transaction_Log'!$G$2:$G1000,$D458,'主表 Stock_Transaction_Log'!$P$2:$P1000,$L458)))</f>
        <v/>
      </c>
      <c r="N458" s="172"/>
      <c r="O458" s="172" t="str">
        <f t="shared" si="4"/>
        <v/>
      </c>
      <c r="P458" s="172" t="str">
        <f t="shared" si="5"/>
        <v/>
      </c>
      <c r="Q458" s="172" t="str">
        <f t="shared" si="9"/>
        <v/>
      </c>
      <c r="R458" s="172" t="str">
        <f t="shared" si="7"/>
        <v/>
      </c>
      <c r="S458" s="172" t="str">
        <f t="shared" si="8"/>
        <v/>
      </c>
    </row>
    <row r="459">
      <c r="A459" s="172" t="str">
        <f>IF('主表 Stock_Transaction_Log'!$T459="","",IF(COUNTIF('主表 Stock_Transaction_Log'!$T$2:$T459,'主表 Stock_Transaction_Log'!$T459)=1,ROW('主表 Stock_Transaction_Log'!$T459),""))</f>
        <v/>
      </c>
      <c r="B459" s="172" t="str">
        <f t="array" ref="B459">IF($A459="","",INDEX('主表 Stock_Transaction_Log'!$Q:$Q,$A459))</f>
        <v/>
      </c>
      <c r="C459" s="172" t="str">
        <f t="array" ref="C459">IF($A459="","",IF(INDEX('主表 Stock_Transaction_Log'!$F:$F,$A459)=0,"",INDEX('主表 Stock_Transaction_Log'!$F:$F,$A459)))</f>
        <v/>
      </c>
      <c r="D459" s="172" t="str">
        <f t="array" ref="D459">IF($A459="","",INDEX('主表 Stock_Transaction_Log'!$G:$G,$A459))</f>
        <v/>
      </c>
      <c r="E459" s="172" t="str">
        <f t="array" ref="E459">IF($A459="","",INDEX('主表 Stock_Transaction_Log'!$H:$H,$A459))</f>
        <v/>
      </c>
      <c r="F459" s="172" t="str">
        <f t="array" ref="F459">IF($A459="","",INDEX('主表 Stock_Transaction_Log'!$I:$I,$A459))</f>
        <v/>
      </c>
      <c r="G459" s="172" t="str">
        <f t="array" ref="G459">IF($A459="","",IF(INDEX('主表 Stock_Transaction_Log'!$R:$R,$A459)=0,"",INDEX('主表 Stock_Transaction_Log'!$R:$R,$A459)))</f>
        <v/>
      </c>
      <c r="H459" s="172" t="str">
        <f t="array" ref="H459">IF($A459="","",SUMIF('主表 Stock_Transaction_Log'!$T:$T,INDEX('主表 Stock_Transaction_Log'!$T:$T,$A459),'主表 Stock_Transaction_Log'!$S:$S)+SUMIF('主表 Stock_Transaction_Log'!$AB:$AB,INDEX('主表 Stock_Transaction_Log'!$T:$T,$A459),'主表 Stock_Transaction_Log'!$AC:$AC))</f>
        <v/>
      </c>
      <c r="I459" s="172" t="str">
        <f t="shared" si="1"/>
        <v/>
      </c>
      <c r="J459" s="172" t="str">
        <f t="shared" si="2"/>
        <v/>
      </c>
      <c r="K459" s="172" t="str">
        <f t="shared" si="3"/>
        <v/>
      </c>
      <c r="L459" s="172" t="str">
        <f t="array" ref="L459">IF($A459="","",INDEX('主表 Stock_Transaction_Log'!$P:$P,$A459))</f>
        <v/>
      </c>
      <c r="M459" s="57" t="str">
        <f>IF($A459="","",IF($H459&lt;=0,0,SUMIFS('主表 Stock_Transaction_Log'!$K$2:$K1000,'主表 Stock_Transaction_Log'!$C$2:$C1000,"Prepared",'主表 Stock_Transaction_Log'!$L$2:$L1000,$B459,'主表 Stock_Transaction_Log'!$F$2:$F1000,$C459,'主表 Stock_Transaction_Log'!$G$2:$G1000,$D459,'主表 Stock_Transaction_Log'!$P$2:$P1000,$L459)))</f>
        <v/>
      </c>
      <c r="N459" s="172"/>
      <c r="O459" s="172" t="str">
        <f t="shared" si="4"/>
        <v/>
      </c>
      <c r="P459" s="172" t="str">
        <f t="shared" si="5"/>
        <v/>
      </c>
      <c r="Q459" s="172" t="str">
        <f t="shared" si="9"/>
        <v/>
      </c>
      <c r="R459" s="172" t="str">
        <f t="shared" si="7"/>
        <v/>
      </c>
      <c r="S459" s="172" t="str">
        <f t="shared" si="8"/>
        <v/>
      </c>
    </row>
    <row r="460">
      <c r="A460" s="172" t="str">
        <f>IF('主表 Stock_Transaction_Log'!$T460="","",IF(COUNTIF('主表 Stock_Transaction_Log'!$T$2:$T460,'主表 Stock_Transaction_Log'!$T460)=1,ROW('主表 Stock_Transaction_Log'!$T460),""))</f>
        <v/>
      </c>
      <c r="B460" s="172" t="str">
        <f t="array" ref="B460">IF($A460="","",INDEX('主表 Stock_Transaction_Log'!$Q:$Q,$A460))</f>
        <v/>
      </c>
      <c r="C460" s="172" t="str">
        <f t="array" ref="C460">IF($A460="","",IF(INDEX('主表 Stock_Transaction_Log'!$F:$F,$A460)=0,"",INDEX('主表 Stock_Transaction_Log'!$F:$F,$A460)))</f>
        <v/>
      </c>
      <c r="D460" s="172" t="str">
        <f t="array" ref="D460">IF($A460="","",INDEX('主表 Stock_Transaction_Log'!$G:$G,$A460))</f>
        <v/>
      </c>
      <c r="E460" s="172" t="str">
        <f t="array" ref="E460">IF($A460="","",INDEX('主表 Stock_Transaction_Log'!$H:$H,$A460))</f>
        <v/>
      </c>
      <c r="F460" s="172" t="str">
        <f t="array" ref="F460">IF($A460="","",INDEX('主表 Stock_Transaction_Log'!$I:$I,$A460))</f>
        <v/>
      </c>
      <c r="G460" s="172" t="str">
        <f t="array" ref="G460">IF($A460="","",IF(INDEX('主表 Stock_Transaction_Log'!$R:$R,$A460)=0,"",INDEX('主表 Stock_Transaction_Log'!$R:$R,$A460)))</f>
        <v/>
      </c>
      <c r="H460" s="172" t="str">
        <f t="array" ref="H460">IF($A460="","",SUMIF('主表 Stock_Transaction_Log'!$T:$T,INDEX('主表 Stock_Transaction_Log'!$T:$T,$A460),'主表 Stock_Transaction_Log'!$S:$S)+SUMIF('主表 Stock_Transaction_Log'!$AB:$AB,INDEX('主表 Stock_Transaction_Log'!$T:$T,$A460),'主表 Stock_Transaction_Log'!$AC:$AC))</f>
        <v/>
      </c>
      <c r="I460" s="172" t="str">
        <f t="shared" si="1"/>
        <v/>
      </c>
      <c r="J460" s="172" t="str">
        <f t="shared" si="2"/>
        <v/>
      </c>
      <c r="K460" s="172" t="str">
        <f t="shared" si="3"/>
        <v/>
      </c>
      <c r="L460" s="172" t="str">
        <f t="array" ref="L460">IF($A460="","",INDEX('主表 Stock_Transaction_Log'!$P:$P,$A460))</f>
        <v/>
      </c>
      <c r="M460" s="57" t="str">
        <f>IF($A460="","",IF($H460&lt;=0,0,SUMIFS('主表 Stock_Transaction_Log'!$K$2:$K1000,'主表 Stock_Transaction_Log'!$C$2:$C1000,"Prepared",'主表 Stock_Transaction_Log'!$L$2:$L1000,$B460,'主表 Stock_Transaction_Log'!$F$2:$F1000,$C460,'主表 Stock_Transaction_Log'!$G$2:$G1000,$D460,'主表 Stock_Transaction_Log'!$P$2:$P1000,$L460)))</f>
        <v/>
      </c>
      <c r="N460" s="172"/>
      <c r="O460" s="172" t="str">
        <f t="shared" si="4"/>
        <v/>
      </c>
      <c r="P460" s="172" t="str">
        <f t="shared" si="5"/>
        <v/>
      </c>
      <c r="Q460" s="172" t="str">
        <f t="shared" si="9"/>
        <v/>
      </c>
      <c r="R460" s="172" t="str">
        <f t="shared" si="7"/>
        <v/>
      </c>
      <c r="S460" s="172" t="str">
        <f t="shared" si="8"/>
        <v/>
      </c>
    </row>
    <row r="461">
      <c r="A461" s="172" t="str">
        <f>IF('主表 Stock_Transaction_Log'!$T461="","",IF(COUNTIF('主表 Stock_Transaction_Log'!$T$2:$T461,'主表 Stock_Transaction_Log'!$T461)=1,ROW('主表 Stock_Transaction_Log'!$T461),""))</f>
        <v/>
      </c>
      <c r="B461" s="172" t="str">
        <f t="array" ref="B461">IF($A461="","",INDEX('主表 Stock_Transaction_Log'!$Q:$Q,$A461))</f>
        <v/>
      </c>
      <c r="C461" s="172" t="str">
        <f t="array" ref="C461">IF($A461="","",IF(INDEX('主表 Stock_Transaction_Log'!$F:$F,$A461)=0,"",INDEX('主表 Stock_Transaction_Log'!$F:$F,$A461)))</f>
        <v/>
      </c>
      <c r="D461" s="172" t="str">
        <f t="array" ref="D461">IF($A461="","",INDEX('主表 Stock_Transaction_Log'!$G:$G,$A461))</f>
        <v/>
      </c>
      <c r="E461" s="172" t="str">
        <f t="array" ref="E461">IF($A461="","",INDEX('主表 Stock_Transaction_Log'!$H:$H,$A461))</f>
        <v/>
      </c>
      <c r="F461" s="172" t="str">
        <f t="array" ref="F461">IF($A461="","",INDEX('主表 Stock_Transaction_Log'!$I:$I,$A461))</f>
        <v/>
      </c>
      <c r="G461" s="172" t="str">
        <f t="array" ref="G461">IF($A461="","",IF(INDEX('主表 Stock_Transaction_Log'!$R:$R,$A461)=0,"",INDEX('主表 Stock_Transaction_Log'!$R:$R,$A461)))</f>
        <v/>
      </c>
      <c r="H461" s="172" t="str">
        <f t="array" ref="H461">IF($A461="","",SUMIF('主表 Stock_Transaction_Log'!$T:$T,INDEX('主表 Stock_Transaction_Log'!$T:$T,$A461),'主表 Stock_Transaction_Log'!$S:$S)+SUMIF('主表 Stock_Transaction_Log'!$AB:$AB,INDEX('主表 Stock_Transaction_Log'!$T:$T,$A461),'主表 Stock_Transaction_Log'!$AC:$AC))</f>
        <v/>
      </c>
      <c r="I461" s="172" t="str">
        <f t="shared" si="1"/>
        <v/>
      </c>
      <c r="J461" s="172" t="str">
        <f t="shared" si="2"/>
        <v/>
      </c>
      <c r="K461" s="172" t="str">
        <f t="shared" si="3"/>
        <v/>
      </c>
      <c r="L461" s="172" t="str">
        <f t="array" ref="L461">IF($A461="","",INDEX('主表 Stock_Transaction_Log'!$P:$P,$A461))</f>
        <v/>
      </c>
      <c r="M461" s="57" t="str">
        <f>IF($A461="","",IF($H461&lt;=0,0,SUMIFS('主表 Stock_Transaction_Log'!$K$2:$K1000,'主表 Stock_Transaction_Log'!$C$2:$C1000,"Prepared",'主表 Stock_Transaction_Log'!$L$2:$L1000,$B461,'主表 Stock_Transaction_Log'!$F$2:$F1000,$C461,'主表 Stock_Transaction_Log'!$G$2:$G1000,$D461,'主表 Stock_Transaction_Log'!$P$2:$P1000,$L461)))</f>
        <v/>
      </c>
      <c r="N461" s="172"/>
      <c r="O461" s="172" t="str">
        <f t="shared" si="4"/>
        <v/>
      </c>
      <c r="P461" s="172" t="str">
        <f t="shared" si="5"/>
        <v/>
      </c>
      <c r="Q461" s="172" t="str">
        <f t="shared" si="9"/>
        <v/>
      </c>
      <c r="R461" s="172" t="str">
        <f t="shared" si="7"/>
        <v/>
      </c>
      <c r="S461" s="172" t="str">
        <f t="shared" si="8"/>
        <v/>
      </c>
    </row>
    <row r="462">
      <c r="A462" s="172" t="str">
        <f>IF('主表 Stock_Transaction_Log'!$T462="","",IF(COUNTIF('主表 Stock_Transaction_Log'!$T$2:$T462,'主表 Stock_Transaction_Log'!$T462)=1,ROW('主表 Stock_Transaction_Log'!$T462),""))</f>
        <v/>
      </c>
      <c r="B462" s="172" t="str">
        <f t="array" ref="B462">IF($A462="","",INDEX('主表 Stock_Transaction_Log'!$Q:$Q,$A462))</f>
        <v/>
      </c>
      <c r="C462" s="172" t="str">
        <f t="array" ref="C462">IF($A462="","",IF(INDEX('主表 Stock_Transaction_Log'!$F:$F,$A462)=0,"",INDEX('主表 Stock_Transaction_Log'!$F:$F,$A462)))</f>
        <v/>
      </c>
      <c r="D462" s="172" t="str">
        <f t="array" ref="D462">IF($A462="","",INDEX('主表 Stock_Transaction_Log'!$G:$G,$A462))</f>
        <v/>
      </c>
      <c r="E462" s="172" t="str">
        <f t="array" ref="E462">IF($A462="","",INDEX('主表 Stock_Transaction_Log'!$H:$H,$A462))</f>
        <v/>
      </c>
      <c r="F462" s="172" t="str">
        <f t="array" ref="F462">IF($A462="","",INDEX('主表 Stock_Transaction_Log'!$I:$I,$A462))</f>
        <v/>
      </c>
      <c r="G462" s="172" t="str">
        <f t="array" ref="G462">IF($A462="","",IF(INDEX('主表 Stock_Transaction_Log'!$R:$R,$A462)=0,"",INDEX('主表 Stock_Transaction_Log'!$R:$R,$A462)))</f>
        <v/>
      </c>
      <c r="H462" s="172" t="str">
        <f t="array" ref="H462">IF($A462="","",SUMIF('主表 Stock_Transaction_Log'!$T:$T,INDEX('主表 Stock_Transaction_Log'!$T:$T,$A462),'主表 Stock_Transaction_Log'!$S:$S)+SUMIF('主表 Stock_Transaction_Log'!$AB:$AB,INDEX('主表 Stock_Transaction_Log'!$T:$T,$A462),'主表 Stock_Transaction_Log'!$AC:$AC))</f>
        <v/>
      </c>
      <c r="I462" s="172" t="str">
        <f t="shared" si="1"/>
        <v/>
      </c>
      <c r="J462" s="172" t="str">
        <f t="shared" si="2"/>
        <v/>
      </c>
      <c r="K462" s="172" t="str">
        <f t="shared" si="3"/>
        <v/>
      </c>
      <c r="L462" s="172" t="str">
        <f t="array" ref="L462">IF($A462="","",INDEX('主表 Stock_Transaction_Log'!$P:$P,$A462))</f>
        <v/>
      </c>
      <c r="M462" s="57" t="str">
        <f>IF($A462="","",IF($H462&lt;=0,0,SUMIFS('主表 Stock_Transaction_Log'!$K$2:$K1000,'主表 Stock_Transaction_Log'!$C$2:$C1000,"Prepared",'主表 Stock_Transaction_Log'!$L$2:$L1000,$B462,'主表 Stock_Transaction_Log'!$F$2:$F1000,$C462,'主表 Stock_Transaction_Log'!$G$2:$G1000,$D462,'主表 Stock_Transaction_Log'!$P$2:$P1000,$L462)))</f>
        <v/>
      </c>
      <c r="N462" s="172"/>
      <c r="O462" s="172" t="str">
        <f t="shared" si="4"/>
        <v/>
      </c>
      <c r="P462" s="172" t="str">
        <f t="shared" si="5"/>
        <v/>
      </c>
      <c r="Q462" s="172" t="str">
        <f t="shared" si="9"/>
        <v/>
      </c>
      <c r="R462" s="172" t="str">
        <f t="shared" si="7"/>
        <v/>
      </c>
      <c r="S462" s="172" t="str">
        <f t="shared" si="8"/>
        <v/>
      </c>
    </row>
    <row r="463">
      <c r="A463" s="172" t="str">
        <f>IF('主表 Stock_Transaction_Log'!$T463="","",IF(COUNTIF('主表 Stock_Transaction_Log'!$T$2:$T463,'主表 Stock_Transaction_Log'!$T463)=1,ROW('主表 Stock_Transaction_Log'!$T463),""))</f>
        <v/>
      </c>
      <c r="B463" s="172" t="str">
        <f t="array" ref="B463">IF($A463="","",INDEX('主表 Stock_Transaction_Log'!$Q:$Q,$A463))</f>
        <v/>
      </c>
      <c r="C463" s="172" t="str">
        <f t="array" ref="C463">IF($A463="","",IF(INDEX('主表 Stock_Transaction_Log'!$F:$F,$A463)=0,"",INDEX('主表 Stock_Transaction_Log'!$F:$F,$A463)))</f>
        <v/>
      </c>
      <c r="D463" s="172" t="str">
        <f t="array" ref="D463">IF($A463="","",INDEX('主表 Stock_Transaction_Log'!$G:$G,$A463))</f>
        <v/>
      </c>
      <c r="E463" s="172" t="str">
        <f t="array" ref="E463">IF($A463="","",INDEX('主表 Stock_Transaction_Log'!$H:$H,$A463))</f>
        <v/>
      </c>
      <c r="F463" s="172" t="str">
        <f t="array" ref="F463">IF($A463="","",INDEX('主表 Stock_Transaction_Log'!$I:$I,$A463))</f>
        <v/>
      </c>
      <c r="G463" s="172" t="str">
        <f t="array" ref="G463">IF($A463="","",IF(INDEX('主表 Stock_Transaction_Log'!$R:$R,$A463)=0,"",INDEX('主表 Stock_Transaction_Log'!$R:$R,$A463)))</f>
        <v/>
      </c>
      <c r="H463" s="172" t="str">
        <f t="array" ref="H463">IF($A463="","",SUMIF('主表 Stock_Transaction_Log'!$T:$T,INDEX('主表 Stock_Transaction_Log'!$T:$T,$A463),'主表 Stock_Transaction_Log'!$S:$S)+SUMIF('主表 Stock_Transaction_Log'!$AB:$AB,INDEX('主表 Stock_Transaction_Log'!$T:$T,$A463),'主表 Stock_Transaction_Log'!$AC:$AC))</f>
        <v/>
      </c>
      <c r="I463" s="172" t="str">
        <f t="shared" si="1"/>
        <v/>
      </c>
      <c r="J463" s="172" t="str">
        <f t="shared" si="2"/>
        <v/>
      </c>
      <c r="K463" s="172" t="str">
        <f t="shared" si="3"/>
        <v/>
      </c>
      <c r="L463" s="172" t="str">
        <f t="array" ref="L463">IF($A463="","",INDEX('主表 Stock_Transaction_Log'!$P:$P,$A463))</f>
        <v/>
      </c>
      <c r="M463" s="57" t="str">
        <f>IF($A463="","",IF($H463&lt;=0,0,SUMIFS('主表 Stock_Transaction_Log'!$K$2:$K1000,'主表 Stock_Transaction_Log'!$C$2:$C1000,"Prepared",'主表 Stock_Transaction_Log'!$L$2:$L1000,$B463,'主表 Stock_Transaction_Log'!$F$2:$F1000,$C463,'主表 Stock_Transaction_Log'!$G$2:$G1000,$D463,'主表 Stock_Transaction_Log'!$P$2:$P1000,$L463)))</f>
        <v/>
      </c>
      <c r="N463" s="172"/>
      <c r="O463" s="172" t="str">
        <f t="shared" si="4"/>
        <v/>
      </c>
      <c r="P463" s="172" t="str">
        <f t="shared" si="5"/>
        <v/>
      </c>
      <c r="Q463" s="172" t="str">
        <f t="shared" si="9"/>
        <v/>
      </c>
      <c r="R463" s="172" t="str">
        <f t="shared" si="7"/>
        <v/>
      </c>
      <c r="S463" s="172" t="str">
        <f t="shared" si="8"/>
        <v/>
      </c>
    </row>
    <row r="464">
      <c r="A464" s="172" t="str">
        <f>IF('主表 Stock_Transaction_Log'!$T464="","",IF(COUNTIF('主表 Stock_Transaction_Log'!$T$2:$T464,'主表 Stock_Transaction_Log'!$T464)=1,ROW('主表 Stock_Transaction_Log'!$T464),""))</f>
        <v/>
      </c>
      <c r="B464" s="172" t="str">
        <f t="array" ref="B464">IF($A464="","",INDEX('主表 Stock_Transaction_Log'!$Q:$Q,$A464))</f>
        <v/>
      </c>
      <c r="C464" s="172" t="str">
        <f t="array" ref="C464">IF($A464="","",IF(INDEX('主表 Stock_Transaction_Log'!$F:$F,$A464)=0,"",INDEX('主表 Stock_Transaction_Log'!$F:$F,$A464)))</f>
        <v/>
      </c>
      <c r="D464" s="172" t="str">
        <f t="array" ref="D464">IF($A464="","",INDEX('主表 Stock_Transaction_Log'!$G:$G,$A464))</f>
        <v/>
      </c>
      <c r="E464" s="172" t="str">
        <f t="array" ref="E464">IF($A464="","",INDEX('主表 Stock_Transaction_Log'!$H:$H,$A464))</f>
        <v/>
      </c>
      <c r="F464" s="172" t="str">
        <f t="array" ref="F464">IF($A464="","",INDEX('主表 Stock_Transaction_Log'!$I:$I,$A464))</f>
        <v/>
      </c>
      <c r="G464" s="172" t="str">
        <f t="array" ref="G464">IF($A464="","",IF(INDEX('主表 Stock_Transaction_Log'!$R:$R,$A464)=0,"",INDEX('主表 Stock_Transaction_Log'!$R:$R,$A464)))</f>
        <v/>
      </c>
      <c r="H464" s="172" t="str">
        <f t="array" ref="H464">IF($A464="","",SUMIF('主表 Stock_Transaction_Log'!$T:$T,INDEX('主表 Stock_Transaction_Log'!$T:$T,$A464),'主表 Stock_Transaction_Log'!$S:$S)+SUMIF('主表 Stock_Transaction_Log'!$AB:$AB,INDEX('主表 Stock_Transaction_Log'!$T:$T,$A464),'主表 Stock_Transaction_Log'!$AC:$AC))</f>
        <v/>
      </c>
      <c r="I464" s="172" t="str">
        <f t="shared" si="1"/>
        <v/>
      </c>
      <c r="J464" s="172" t="str">
        <f t="shared" si="2"/>
        <v/>
      </c>
      <c r="K464" s="172" t="str">
        <f t="shared" si="3"/>
        <v/>
      </c>
      <c r="L464" s="172" t="str">
        <f t="array" ref="L464">IF($A464="","",INDEX('主表 Stock_Transaction_Log'!$P:$P,$A464))</f>
        <v/>
      </c>
      <c r="M464" s="57" t="str">
        <f>IF($A464="","",IF($H464&lt;=0,0,SUMIFS('主表 Stock_Transaction_Log'!$K$2:$K1000,'主表 Stock_Transaction_Log'!$C$2:$C1000,"Prepared",'主表 Stock_Transaction_Log'!$L$2:$L1000,$B464,'主表 Stock_Transaction_Log'!$F$2:$F1000,$C464,'主表 Stock_Transaction_Log'!$G$2:$G1000,$D464,'主表 Stock_Transaction_Log'!$P$2:$P1000,$L464)))</f>
        <v/>
      </c>
      <c r="N464" s="172"/>
      <c r="O464" s="172" t="str">
        <f t="shared" si="4"/>
        <v/>
      </c>
      <c r="P464" s="172" t="str">
        <f t="shared" si="5"/>
        <v/>
      </c>
      <c r="Q464" s="172" t="str">
        <f t="shared" si="9"/>
        <v/>
      </c>
      <c r="R464" s="172" t="str">
        <f t="shared" si="7"/>
        <v/>
      </c>
      <c r="S464" s="172" t="str">
        <f t="shared" si="8"/>
        <v/>
      </c>
    </row>
    <row r="465">
      <c r="A465" s="172" t="str">
        <f>IF('主表 Stock_Transaction_Log'!$T465="","",IF(COUNTIF('主表 Stock_Transaction_Log'!$T$2:$T465,'主表 Stock_Transaction_Log'!$T465)=1,ROW('主表 Stock_Transaction_Log'!$T465),""))</f>
        <v/>
      </c>
      <c r="B465" s="172" t="str">
        <f t="array" ref="B465">IF($A465="","",INDEX('主表 Stock_Transaction_Log'!$Q:$Q,$A465))</f>
        <v/>
      </c>
      <c r="C465" s="172" t="str">
        <f t="array" ref="C465">IF($A465="","",IF(INDEX('主表 Stock_Transaction_Log'!$F:$F,$A465)=0,"",INDEX('主表 Stock_Transaction_Log'!$F:$F,$A465)))</f>
        <v/>
      </c>
      <c r="D465" s="172" t="str">
        <f t="array" ref="D465">IF($A465="","",INDEX('主表 Stock_Transaction_Log'!$G:$G,$A465))</f>
        <v/>
      </c>
      <c r="E465" s="172" t="str">
        <f t="array" ref="E465">IF($A465="","",INDEX('主表 Stock_Transaction_Log'!$H:$H,$A465))</f>
        <v/>
      </c>
      <c r="F465" s="172" t="str">
        <f t="array" ref="F465">IF($A465="","",INDEX('主表 Stock_Transaction_Log'!$I:$I,$A465))</f>
        <v/>
      </c>
      <c r="G465" s="172" t="str">
        <f t="array" ref="G465">IF($A465="","",IF(INDEX('主表 Stock_Transaction_Log'!$R:$R,$A465)=0,"",INDEX('主表 Stock_Transaction_Log'!$R:$R,$A465)))</f>
        <v/>
      </c>
      <c r="H465" s="172" t="str">
        <f t="array" ref="H465">IF($A465="","",SUMIF('主表 Stock_Transaction_Log'!$T:$T,INDEX('主表 Stock_Transaction_Log'!$T:$T,$A465),'主表 Stock_Transaction_Log'!$S:$S)+SUMIF('主表 Stock_Transaction_Log'!$AB:$AB,INDEX('主表 Stock_Transaction_Log'!$T:$T,$A465),'主表 Stock_Transaction_Log'!$AC:$AC))</f>
        <v/>
      </c>
      <c r="I465" s="172" t="str">
        <f t="shared" si="1"/>
        <v/>
      </c>
      <c r="J465" s="172" t="str">
        <f t="shared" si="2"/>
        <v/>
      </c>
      <c r="K465" s="172" t="str">
        <f t="shared" si="3"/>
        <v/>
      </c>
      <c r="L465" s="172" t="str">
        <f t="array" ref="L465">IF($A465="","",INDEX('主表 Stock_Transaction_Log'!$P:$P,$A465))</f>
        <v/>
      </c>
      <c r="M465" s="57" t="str">
        <f>IF($A465="","",IF($H465&lt;=0,0,SUMIFS('主表 Stock_Transaction_Log'!$K$2:$K1000,'主表 Stock_Transaction_Log'!$C$2:$C1000,"Prepared",'主表 Stock_Transaction_Log'!$L$2:$L1000,$B465,'主表 Stock_Transaction_Log'!$F$2:$F1000,$C465,'主表 Stock_Transaction_Log'!$G$2:$G1000,$D465,'主表 Stock_Transaction_Log'!$P$2:$P1000,$L465)))</f>
        <v/>
      </c>
      <c r="N465" s="172"/>
      <c r="O465" s="172" t="str">
        <f t="shared" si="4"/>
        <v/>
      </c>
      <c r="P465" s="172" t="str">
        <f t="shared" si="5"/>
        <v/>
      </c>
      <c r="Q465" s="172" t="str">
        <f t="shared" si="9"/>
        <v/>
      </c>
      <c r="R465" s="172" t="str">
        <f t="shared" si="7"/>
        <v/>
      </c>
      <c r="S465" s="172" t="str">
        <f t="shared" si="8"/>
        <v/>
      </c>
    </row>
    <row r="466">
      <c r="A466" s="172" t="str">
        <f>IF('主表 Stock_Transaction_Log'!$T466="","",IF(COUNTIF('主表 Stock_Transaction_Log'!$T$2:$T466,'主表 Stock_Transaction_Log'!$T466)=1,ROW('主表 Stock_Transaction_Log'!$T466),""))</f>
        <v/>
      </c>
      <c r="B466" s="172" t="str">
        <f t="array" ref="B466">IF($A466="","",INDEX('主表 Stock_Transaction_Log'!$Q:$Q,$A466))</f>
        <v/>
      </c>
      <c r="C466" s="172" t="str">
        <f t="array" ref="C466">IF($A466="","",IF(INDEX('主表 Stock_Transaction_Log'!$F:$F,$A466)=0,"",INDEX('主表 Stock_Transaction_Log'!$F:$F,$A466)))</f>
        <v/>
      </c>
      <c r="D466" s="172" t="str">
        <f t="array" ref="D466">IF($A466="","",INDEX('主表 Stock_Transaction_Log'!$G:$G,$A466))</f>
        <v/>
      </c>
      <c r="E466" s="172" t="str">
        <f t="array" ref="E466">IF($A466="","",INDEX('主表 Stock_Transaction_Log'!$H:$H,$A466))</f>
        <v/>
      </c>
      <c r="F466" s="172" t="str">
        <f t="array" ref="F466">IF($A466="","",INDEX('主表 Stock_Transaction_Log'!$I:$I,$A466))</f>
        <v/>
      </c>
      <c r="G466" s="172" t="str">
        <f t="array" ref="G466">IF($A466="","",IF(INDEX('主表 Stock_Transaction_Log'!$R:$R,$A466)=0,"",INDEX('主表 Stock_Transaction_Log'!$R:$R,$A466)))</f>
        <v/>
      </c>
      <c r="H466" s="172" t="str">
        <f t="array" ref="H466">IF($A466="","",SUMIF('主表 Stock_Transaction_Log'!$T:$T,INDEX('主表 Stock_Transaction_Log'!$T:$T,$A466),'主表 Stock_Transaction_Log'!$S:$S)+SUMIF('主表 Stock_Transaction_Log'!$AB:$AB,INDEX('主表 Stock_Transaction_Log'!$T:$T,$A466),'主表 Stock_Transaction_Log'!$AC:$AC))</f>
        <v/>
      </c>
      <c r="I466" s="172" t="str">
        <f t="shared" si="1"/>
        <v/>
      </c>
      <c r="J466" s="172" t="str">
        <f t="shared" si="2"/>
        <v/>
      </c>
      <c r="K466" s="172" t="str">
        <f t="shared" si="3"/>
        <v/>
      </c>
      <c r="L466" s="172" t="str">
        <f t="array" ref="L466">IF($A466="","",INDEX('主表 Stock_Transaction_Log'!$P:$P,$A466))</f>
        <v/>
      </c>
      <c r="M466" s="57" t="str">
        <f>IF($A466="","",IF($H466&lt;=0,0,SUMIFS('主表 Stock_Transaction_Log'!$K$2:$K1000,'主表 Stock_Transaction_Log'!$C$2:$C1000,"Prepared",'主表 Stock_Transaction_Log'!$L$2:$L1000,$B466,'主表 Stock_Transaction_Log'!$F$2:$F1000,$C466,'主表 Stock_Transaction_Log'!$G$2:$G1000,$D466,'主表 Stock_Transaction_Log'!$P$2:$P1000,$L466)))</f>
        <v/>
      </c>
      <c r="N466" s="172"/>
      <c r="O466" s="172" t="str">
        <f t="shared" si="4"/>
        <v/>
      </c>
      <c r="P466" s="172" t="str">
        <f t="shared" si="5"/>
        <v/>
      </c>
      <c r="Q466" s="172" t="str">
        <f t="shared" si="9"/>
        <v/>
      </c>
      <c r="R466" s="172" t="str">
        <f t="shared" si="7"/>
        <v/>
      </c>
      <c r="S466" s="172" t="str">
        <f t="shared" si="8"/>
        <v/>
      </c>
    </row>
    <row r="467">
      <c r="A467" s="172" t="str">
        <f>IF('主表 Stock_Transaction_Log'!$T467="","",IF(COUNTIF('主表 Stock_Transaction_Log'!$T$2:$T467,'主表 Stock_Transaction_Log'!$T467)=1,ROW('主表 Stock_Transaction_Log'!$T467),""))</f>
        <v/>
      </c>
      <c r="B467" s="172" t="str">
        <f t="array" ref="B467">IF($A467="","",INDEX('主表 Stock_Transaction_Log'!$Q:$Q,$A467))</f>
        <v/>
      </c>
      <c r="C467" s="172" t="str">
        <f t="array" ref="C467">IF($A467="","",IF(INDEX('主表 Stock_Transaction_Log'!$F:$F,$A467)=0,"",INDEX('主表 Stock_Transaction_Log'!$F:$F,$A467)))</f>
        <v/>
      </c>
      <c r="D467" s="172" t="str">
        <f t="array" ref="D467">IF($A467="","",INDEX('主表 Stock_Transaction_Log'!$G:$G,$A467))</f>
        <v/>
      </c>
      <c r="E467" s="172" t="str">
        <f t="array" ref="E467">IF($A467="","",INDEX('主表 Stock_Transaction_Log'!$H:$H,$A467))</f>
        <v/>
      </c>
      <c r="F467" s="172" t="str">
        <f t="array" ref="F467">IF($A467="","",INDEX('主表 Stock_Transaction_Log'!$I:$I,$A467))</f>
        <v/>
      </c>
      <c r="G467" s="172" t="str">
        <f t="array" ref="G467">IF($A467="","",IF(INDEX('主表 Stock_Transaction_Log'!$R:$R,$A467)=0,"",INDEX('主表 Stock_Transaction_Log'!$R:$R,$A467)))</f>
        <v/>
      </c>
      <c r="H467" s="172" t="str">
        <f t="array" ref="H467">IF($A467="","",SUMIF('主表 Stock_Transaction_Log'!$T:$T,INDEX('主表 Stock_Transaction_Log'!$T:$T,$A467),'主表 Stock_Transaction_Log'!$S:$S)+SUMIF('主表 Stock_Transaction_Log'!$AB:$AB,INDEX('主表 Stock_Transaction_Log'!$T:$T,$A467),'主表 Stock_Transaction_Log'!$AC:$AC))</f>
        <v/>
      </c>
      <c r="I467" s="172" t="str">
        <f t="shared" si="1"/>
        <v/>
      </c>
      <c r="J467" s="172" t="str">
        <f t="shared" si="2"/>
        <v/>
      </c>
      <c r="K467" s="172" t="str">
        <f t="shared" si="3"/>
        <v/>
      </c>
      <c r="L467" s="172" t="str">
        <f t="array" ref="L467">IF($A467="","",INDEX('主表 Stock_Transaction_Log'!$P:$P,$A467))</f>
        <v/>
      </c>
      <c r="M467" s="57" t="str">
        <f>IF($A467="","",IF($H467&lt;=0,0,SUMIFS('主表 Stock_Transaction_Log'!$K$2:$K1000,'主表 Stock_Transaction_Log'!$C$2:$C1000,"Prepared",'主表 Stock_Transaction_Log'!$L$2:$L1000,$B467,'主表 Stock_Transaction_Log'!$F$2:$F1000,$C467,'主表 Stock_Transaction_Log'!$G$2:$G1000,$D467,'主表 Stock_Transaction_Log'!$P$2:$P1000,$L467)))</f>
        <v/>
      </c>
      <c r="N467" s="172"/>
      <c r="O467" s="172" t="str">
        <f t="shared" si="4"/>
        <v/>
      </c>
      <c r="P467" s="172" t="str">
        <f t="shared" si="5"/>
        <v/>
      </c>
      <c r="Q467" s="172" t="str">
        <f t="shared" si="9"/>
        <v/>
      </c>
      <c r="R467" s="172" t="str">
        <f t="shared" si="7"/>
        <v/>
      </c>
      <c r="S467" s="172" t="str">
        <f t="shared" si="8"/>
        <v/>
      </c>
    </row>
    <row r="468">
      <c r="A468" s="172" t="str">
        <f>IF('主表 Stock_Transaction_Log'!$T468="","",IF(COUNTIF('主表 Stock_Transaction_Log'!$T$2:$T468,'主表 Stock_Transaction_Log'!$T468)=1,ROW('主表 Stock_Transaction_Log'!$T468),""))</f>
        <v/>
      </c>
      <c r="B468" s="172" t="str">
        <f t="array" ref="B468">IF($A468="","",INDEX('主表 Stock_Transaction_Log'!$Q:$Q,$A468))</f>
        <v/>
      </c>
      <c r="C468" s="172" t="str">
        <f t="array" ref="C468">IF($A468="","",IF(INDEX('主表 Stock_Transaction_Log'!$F:$F,$A468)=0,"",INDEX('主表 Stock_Transaction_Log'!$F:$F,$A468)))</f>
        <v/>
      </c>
      <c r="D468" s="172" t="str">
        <f t="array" ref="D468">IF($A468="","",INDEX('主表 Stock_Transaction_Log'!$G:$G,$A468))</f>
        <v/>
      </c>
      <c r="E468" s="172" t="str">
        <f t="array" ref="E468">IF($A468="","",INDEX('主表 Stock_Transaction_Log'!$H:$H,$A468))</f>
        <v/>
      </c>
      <c r="F468" s="172" t="str">
        <f t="array" ref="F468">IF($A468="","",INDEX('主表 Stock_Transaction_Log'!$I:$I,$A468))</f>
        <v/>
      </c>
      <c r="G468" s="172" t="str">
        <f t="array" ref="G468">IF($A468="","",IF(INDEX('主表 Stock_Transaction_Log'!$R:$R,$A468)=0,"",INDEX('主表 Stock_Transaction_Log'!$R:$R,$A468)))</f>
        <v/>
      </c>
      <c r="H468" s="172" t="str">
        <f t="array" ref="H468">IF($A468="","",SUMIF('主表 Stock_Transaction_Log'!$T:$T,INDEX('主表 Stock_Transaction_Log'!$T:$T,$A468),'主表 Stock_Transaction_Log'!$S:$S)+SUMIF('主表 Stock_Transaction_Log'!$AB:$AB,INDEX('主表 Stock_Transaction_Log'!$T:$T,$A468),'主表 Stock_Transaction_Log'!$AC:$AC))</f>
        <v/>
      </c>
      <c r="I468" s="172" t="str">
        <f t="shared" si="1"/>
        <v/>
      </c>
      <c r="J468" s="172" t="str">
        <f t="shared" si="2"/>
        <v/>
      </c>
      <c r="K468" s="172" t="str">
        <f t="shared" si="3"/>
        <v/>
      </c>
      <c r="L468" s="172" t="str">
        <f t="array" ref="L468">IF($A468="","",INDEX('主表 Stock_Transaction_Log'!$P:$P,$A468))</f>
        <v/>
      </c>
      <c r="M468" s="57" t="str">
        <f>IF($A468="","",IF($H468&lt;=0,0,SUMIFS('主表 Stock_Transaction_Log'!$K$2:$K1000,'主表 Stock_Transaction_Log'!$C$2:$C1000,"Prepared",'主表 Stock_Transaction_Log'!$L$2:$L1000,$B468,'主表 Stock_Transaction_Log'!$F$2:$F1000,$C468,'主表 Stock_Transaction_Log'!$G$2:$G1000,$D468,'主表 Stock_Transaction_Log'!$P$2:$P1000,$L468)))</f>
        <v/>
      </c>
      <c r="N468" s="172"/>
      <c r="O468" s="172" t="str">
        <f t="shared" si="4"/>
        <v/>
      </c>
      <c r="P468" s="172" t="str">
        <f t="shared" si="5"/>
        <v/>
      </c>
      <c r="Q468" s="172" t="str">
        <f t="shared" si="9"/>
        <v/>
      </c>
      <c r="R468" s="172" t="str">
        <f t="shared" si="7"/>
        <v/>
      </c>
      <c r="S468" s="172" t="str">
        <f t="shared" si="8"/>
        <v/>
      </c>
    </row>
    <row r="469">
      <c r="A469" s="172" t="str">
        <f>IF('主表 Stock_Transaction_Log'!$T469="","",IF(COUNTIF('主表 Stock_Transaction_Log'!$T$2:$T469,'主表 Stock_Transaction_Log'!$T469)=1,ROW('主表 Stock_Transaction_Log'!$T469),""))</f>
        <v/>
      </c>
      <c r="B469" s="172" t="str">
        <f t="array" ref="B469">IF($A469="","",INDEX('主表 Stock_Transaction_Log'!$Q:$Q,$A469))</f>
        <v/>
      </c>
      <c r="C469" s="172" t="str">
        <f t="array" ref="C469">IF($A469="","",IF(INDEX('主表 Stock_Transaction_Log'!$F:$F,$A469)=0,"",INDEX('主表 Stock_Transaction_Log'!$F:$F,$A469)))</f>
        <v/>
      </c>
      <c r="D469" s="172" t="str">
        <f t="array" ref="D469">IF($A469="","",INDEX('主表 Stock_Transaction_Log'!$G:$G,$A469))</f>
        <v/>
      </c>
      <c r="E469" s="172" t="str">
        <f t="array" ref="E469">IF($A469="","",INDEX('主表 Stock_Transaction_Log'!$H:$H,$A469))</f>
        <v/>
      </c>
      <c r="F469" s="172" t="str">
        <f t="array" ref="F469">IF($A469="","",INDEX('主表 Stock_Transaction_Log'!$I:$I,$A469))</f>
        <v/>
      </c>
      <c r="G469" s="172" t="str">
        <f t="array" ref="G469">IF($A469="","",IF(INDEX('主表 Stock_Transaction_Log'!$R:$R,$A469)=0,"",INDEX('主表 Stock_Transaction_Log'!$R:$R,$A469)))</f>
        <v/>
      </c>
      <c r="H469" s="172" t="str">
        <f t="array" ref="H469">IF($A469="","",SUMIF('主表 Stock_Transaction_Log'!$T:$T,INDEX('主表 Stock_Transaction_Log'!$T:$T,$A469),'主表 Stock_Transaction_Log'!$S:$S)+SUMIF('主表 Stock_Transaction_Log'!$AB:$AB,INDEX('主表 Stock_Transaction_Log'!$T:$T,$A469),'主表 Stock_Transaction_Log'!$AC:$AC))</f>
        <v/>
      </c>
      <c r="I469" s="172" t="str">
        <f t="shared" si="1"/>
        <v/>
      </c>
      <c r="J469" s="172" t="str">
        <f t="shared" si="2"/>
        <v/>
      </c>
      <c r="K469" s="172" t="str">
        <f t="shared" si="3"/>
        <v/>
      </c>
      <c r="L469" s="172" t="str">
        <f t="array" ref="L469">IF($A469="","",INDEX('主表 Stock_Transaction_Log'!$P:$P,$A469))</f>
        <v/>
      </c>
      <c r="M469" s="57" t="str">
        <f>IF($A469="","",IF($H469&lt;=0,0,SUMIFS('主表 Stock_Transaction_Log'!$K$2:$K1000,'主表 Stock_Transaction_Log'!$C$2:$C1000,"Prepared",'主表 Stock_Transaction_Log'!$L$2:$L1000,$B469,'主表 Stock_Transaction_Log'!$F$2:$F1000,$C469,'主表 Stock_Transaction_Log'!$G$2:$G1000,$D469,'主表 Stock_Transaction_Log'!$P$2:$P1000,$L469)))</f>
        <v/>
      </c>
      <c r="N469" s="172"/>
      <c r="O469" s="172" t="str">
        <f t="shared" si="4"/>
        <v/>
      </c>
      <c r="P469" s="172" t="str">
        <f t="shared" si="5"/>
        <v/>
      </c>
      <c r="Q469" s="172" t="str">
        <f t="shared" si="9"/>
        <v/>
      </c>
      <c r="R469" s="172" t="str">
        <f t="shared" si="7"/>
        <v/>
      </c>
      <c r="S469" s="172" t="str">
        <f t="shared" si="8"/>
        <v/>
      </c>
    </row>
    <row r="470">
      <c r="A470" s="172" t="str">
        <f>IF('主表 Stock_Transaction_Log'!$T470="","",IF(COUNTIF('主表 Stock_Transaction_Log'!$T$2:$T470,'主表 Stock_Transaction_Log'!$T470)=1,ROW('主表 Stock_Transaction_Log'!$T470),""))</f>
        <v/>
      </c>
      <c r="B470" s="172" t="str">
        <f t="array" ref="B470">IF($A470="","",INDEX('主表 Stock_Transaction_Log'!$Q:$Q,$A470))</f>
        <v/>
      </c>
      <c r="C470" s="172" t="str">
        <f t="array" ref="C470">IF($A470="","",IF(INDEX('主表 Stock_Transaction_Log'!$F:$F,$A470)=0,"",INDEX('主表 Stock_Transaction_Log'!$F:$F,$A470)))</f>
        <v/>
      </c>
      <c r="D470" s="172" t="str">
        <f t="array" ref="D470">IF($A470="","",INDEX('主表 Stock_Transaction_Log'!$G:$G,$A470))</f>
        <v/>
      </c>
      <c r="E470" s="172" t="str">
        <f t="array" ref="E470">IF($A470="","",INDEX('主表 Stock_Transaction_Log'!$H:$H,$A470))</f>
        <v/>
      </c>
      <c r="F470" s="172" t="str">
        <f t="array" ref="F470">IF($A470="","",INDEX('主表 Stock_Transaction_Log'!$I:$I,$A470))</f>
        <v/>
      </c>
      <c r="G470" s="172" t="str">
        <f t="array" ref="G470">IF($A470="","",IF(INDEX('主表 Stock_Transaction_Log'!$R:$R,$A470)=0,"",INDEX('主表 Stock_Transaction_Log'!$R:$R,$A470)))</f>
        <v/>
      </c>
      <c r="H470" s="172" t="str">
        <f t="array" ref="H470">IF($A470="","",SUMIF('主表 Stock_Transaction_Log'!$T:$T,INDEX('主表 Stock_Transaction_Log'!$T:$T,$A470),'主表 Stock_Transaction_Log'!$S:$S)+SUMIF('主表 Stock_Transaction_Log'!$AB:$AB,INDEX('主表 Stock_Transaction_Log'!$T:$T,$A470),'主表 Stock_Transaction_Log'!$AC:$AC))</f>
        <v/>
      </c>
      <c r="I470" s="172" t="str">
        <f t="shared" si="1"/>
        <v/>
      </c>
      <c r="J470" s="172" t="str">
        <f t="shared" si="2"/>
        <v/>
      </c>
      <c r="K470" s="172" t="str">
        <f t="shared" si="3"/>
        <v/>
      </c>
      <c r="L470" s="172" t="str">
        <f t="array" ref="L470">IF($A470="","",INDEX('主表 Stock_Transaction_Log'!$P:$P,$A470))</f>
        <v/>
      </c>
      <c r="M470" s="57" t="str">
        <f>IF($A470="","",IF($H470&lt;=0,0,SUMIFS('主表 Stock_Transaction_Log'!$K$2:$K1000,'主表 Stock_Transaction_Log'!$C$2:$C1000,"Prepared",'主表 Stock_Transaction_Log'!$L$2:$L1000,$B470,'主表 Stock_Transaction_Log'!$F$2:$F1000,$C470,'主表 Stock_Transaction_Log'!$G$2:$G1000,$D470,'主表 Stock_Transaction_Log'!$P$2:$P1000,$L470)))</f>
        <v/>
      </c>
      <c r="N470" s="172"/>
      <c r="O470" s="172" t="str">
        <f t="shared" si="4"/>
        <v/>
      </c>
      <c r="P470" s="172" t="str">
        <f t="shared" si="5"/>
        <v/>
      </c>
      <c r="Q470" s="172" t="str">
        <f t="shared" si="9"/>
        <v/>
      </c>
      <c r="R470" s="172" t="str">
        <f t="shared" si="7"/>
        <v/>
      </c>
      <c r="S470" s="172" t="str">
        <f t="shared" si="8"/>
        <v/>
      </c>
    </row>
    <row r="471">
      <c r="A471" s="172" t="str">
        <f>IF('主表 Stock_Transaction_Log'!$T471="","",IF(COUNTIF('主表 Stock_Transaction_Log'!$T$2:$T471,'主表 Stock_Transaction_Log'!$T471)=1,ROW('主表 Stock_Transaction_Log'!$T471),""))</f>
        <v/>
      </c>
      <c r="B471" s="172" t="str">
        <f t="array" ref="B471">IF($A471="","",INDEX('主表 Stock_Transaction_Log'!$Q:$Q,$A471))</f>
        <v/>
      </c>
      <c r="C471" s="172" t="str">
        <f t="array" ref="C471">IF($A471="","",IF(INDEX('主表 Stock_Transaction_Log'!$F:$F,$A471)=0,"",INDEX('主表 Stock_Transaction_Log'!$F:$F,$A471)))</f>
        <v/>
      </c>
      <c r="D471" s="172" t="str">
        <f t="array" ref="D471">IF($A471="","",INDEX('主表 Stock_Transaction_Log'!$G:$G,$A471))</f>
        <v/>
      </c>
      <c r="E471" s="172" t="str">
        <f t="array" ref="E471">IF($A471="","",INDEX('主表 Stock_Transaction_Log'!$H:$H,$A471))</f>
        <v/>
      </c>
      <c r="F471" s="172" t="str">
        <f t="array" ref="F471">IF($A471="","",INDEX('主表 Stock_Transaction_Log'!$I:$I,$A471))</f>
        <v/>
      </c>
      <c r="G471" s="172" t="str">
        <f t="array" ref="G471">IF($A471="","",IF(INDEX('主表 Stock_Transaction_Log'!$R:$R,$A471)=0,"",INDEX('主表 Stock_Transaction_Log'!$R:$R,$A471)))</f>
        <v/>
      </c>
      <c r="H471" s="172" t="str">
        <f t="array" ref="H471">IF($A471="","",SUMIF('主表 Stock_Transaction_Log'!$T:$T,INDEX('主表 Stock_Transaction_Log'!$T:$T,$A471),'主表 Stock_Transaction_Log'!$S:$S)+SUMIF('主表 Stock_Transaction_Log'!$AB:$AB,INDEX('主表 Stock_Transaction_Log'!$T:$T,$A471),'主表 Stock_Transaction_Log'!$AC:$AC))</f>
        <v/>
      </c>
      <c r="I471" s="172" t="str">
        <f t="shared" si="1"/>
        <v/>
      </c>
      <c r="J471" s="172" t="str">
        <f t="shared" si="2"/>
        <v/>
      </c>
      <c r="K471" s="172" t="str">
        <f t="shared" si="3"/>
        <v/>
      </c>
      <c r="L471" s="172" t="str">
        <f t="array" ref="L471">IF($A471="","",INDEX('主表 Stock_Transaction_Log'!$P:$P,$A471))</f>
        <v/>
      </c>
      <c r="M471" s="57" t="str">
        <f>IF($A471="","",IF($H471&lt;=0,0,SUMIFS('主表 Stock_Transaction_Log'!$K$2:$K1000,'主表 Stock_Transaction_Log'!$C$2:$C1000,"Prepared",'主表 Stock_Transaction_Log'!$L$2:$L1000,$B471,'主表 Stock_Transaction_Log'!$F$2:$F1000,$C471,'主表 Stock_Transaction_Log'!$G$2:$G1000,$D471,'主表 Stock_Transaction_Log'!$P$2:$P1000,$L471)))</f>
        <v/>
      </c>
      <c r="N471" s="172"/>
      <c r="O471" s="172" t="str">
        <f t="shared" si="4"/>
        <v/>
      </c>
      <c r="P471" s="172" t="str">
        <f t="shared" si="5"/>
        <v/>
      </c>
      <c r="Q471" s="172" t="str">
        <f t="shared" si="9"/>
        <v/>
      </c>
      <c r="R471" s="172" t="str">
        <f t="shared" si="7"/>
        <v/>
      </c>
      <c r="S471" s="172" t="str">
        <f t="shared" si="8"/>
        <v/>
      </c>
    </row>
    <row r="472">
      <c r="A472" s="172" t="str">
        <f>IF('主表 Stock_Transaction_Log'!$T472="","",IF(COUNTIF('主表 Stock_Transaction_Log'!$T$2:$T472,'主表 Stock_Transaction_Log'!$T472)=1,ROW('主表 Stock_Transaction_Log'!$T472),""))</f>
        <v/>
      </c>
      <c r="B472" s="172" t="str">
        <f t="array" ref="B472">IF($A472="","",INDEX('主表 Stock_Transaction_Log'!$Q:$Q,$A472))</f>
        <v/>
      </c>
      <c r="C472" s="172" t="str">
        <f t="array" ref="C472">IF($A472="","",IF(INDEX('主表 Stock_Transaction_Log'!$F:$F,$A472)=0,"",INDEX('主表 Stock_Transaction_Log'!$F:$F,$A472)))</f>
        <v/>
      </c>
      <c r="D472" s="172" t="str">
        <f t="array" ref="D472">IF($A472="","",INDEX('主表 Stock_Transaction_Log'!$G:$G,$A472))</f>
        <v/>
      </c>
      <c r="E472" s="172" t="str">
        <f t="array" ref="E472">IF($A472="","",INDEX('主表 Stock_Transaction_Log'!$H:$H,$A472))</f>
        <v/>
      </c>
      <c r="F472" s="172" t="str">
        <f t="array" ref="F472">IF($A472="","",INDEX('主表 Stock_Transaction_Log'!$I:$I,$A472))</f>
        <v/>
      </c>
      <c r="G472" s="172" t="str">
        <f t="array" ref="G472">IF($A472="","",IF(INDEX('主表 Stock_Transaction_Log'!$R:$R,$A472)=0,"",INDEX('主表 Stock_Transaction_Log'!$R:$R,$A472)))</f>
        <v/>
      </c>
      <c r="H472" s="172" t="str">
        <f t="array" ref="H472">IF($A472="","",SUMIF('主表 Stock_Transaction_Log'!$T:$T,INDEX('主表 Stock_Transaction_Log'!$T:$T,$A472),'主表 Stock_Transaction_Log'!$S:$S)+SUMIF('主表 Stock_Transaction_Log'!$AB:$AB,INDEX('主表 Stock_Transaction_Log'!$T:$T,$A472),'主表 Stock_Transaction_Log'!$AC:$AC))</f>
        <v/>
      </c>
      <c r="I472" s="172" t="str">
        <f t="shared" si="1"/>
        <v/>
      </c>
      <c r="J472" s="172" t="str">
        <f t="shared" si="2"/>
        <v/>
      </c>
      <c r="K472" s="172" t="str">
        <f t="shared" si="3"/>
        <v/>
      </c>
      <c r="L472" s="172" t="str">
        <f t="array" ref="L472">IF($A472="","",INDEX('主表 Stock_Transaction_Log'!$P:$P,$A472))</f>
        <v/>
      </c>
      <c r="M472" s="57" t="str">
        <f>IF($A472="","",IF($H472&lt;=0,0,SUMIFS('主表 Stock_Transaction_Log'!$K$2:$K1000,'主表 Stock_Transaction_Log'!$C$2:$C1000,"Prepared",'主表 Stock_Transaction_Log'!$L$2:$L1000,$B472,'主表 Stock_Transaction_Log'!$F$2:$F1000,$C472,'主表 Stock_Transaction_Log'!$G$2:$G1000,$D472,'主表 Stock_Transaction_Log'!$P$2:$P1000,$L472)))</f>
        <v/>
      </c>
      <c r="N472" s="172"/>
      <c r="O472" s="172" t="str">
        <f t="shared" si="4"/>
        <v/>
      </c>
      <c r="P472" s="172" t="str">
        <f t="shared" si="5"/>
        <v/>
      </c>
      <c r="Q472" s="172" t="str">
        <f t="shared" si="9"/>
        <v/>
      </c>
      <c r="R472" s="172" t="str">
        <f t="shared" si="7"/>
        <v/>
      </c>
      <c r="S472" s="172" t="str">
        <f t="shared" si="8"/>
        <v/>
      </c>
    </row>
    <row r="473">
      <c r="A473" s="172" t="str">
        <f>IF('主表 Stock_Transaction_Log'!$T473="","",IF(COUNTIF('主表 Stock_Transaction_Log'!$T$2:$T473,'主表 Stock_Transaction_Log'!$T473)=1,ROW('主表 Stock_Transaction_Log'!$T473),""))</f>
        <v/>
      </c>
      <c r="B473" s="172" t="str">
        <f t="array" ref="B473">IF($A473="","",INDEX('主表 Stock_Transaction_Log'!$Q:$Q,$A473))</f>
        <v/>
      </c>
      <c r="C473" s="172" t="str">
        <f t="array" ref="C473">IF($A473="","",IF(INDEX('主表 Stock_Transaction_Log'!$F:$F,$A473)=0,"",INDEX('主表 Stock_Transaction_Log'!$F:$F,$A473)))</f>
        <v/>
      </c>
      <c r="D473" s="172" t="str">
        <f t="array" ref="D473">IF($A473="","",INDEX('主表 Stock_Transaction_Log'!$G:$G,$A473))</f>
        <v/>
      </c>
      <c r="E473" s="172" t="str">
        <f t="array" ref="E473">IF($A473="","",INDEX('主表 Stock_Transaction_Log'!$H:$H,$A473))</f>
        <v/>
      </c>
      <c r="F473" s="172" t="str">
        <f t="array" ref="F473">IF($A473="","",INDEX('主表 Stock_Transaction_Log'!$I:$I,$A473))</f>
        <v/>
      </c>
      <c r="G473" s="172" t="str">
        <f t="array" ref="G473">IF($A473="","",IF(INDEX('主表 Stock_Transaction_Log'!$R:$R,$A473)=0,"",INDEX('主表 Stock_Transaction_Log'!$R:$R,$A473)))</f>
        <v/>
      </c>
      <c r="H473" s="172" t="str">
        <f t="array" ref="H473">IF($A473="","",SUMIF('主表 Stock_Transaction_Log'!$T:$T,INDEX('主表 Stock_Transaction_Log'!$T:$T,$A473),'主表 Stock_Transaction_Log'!$S:$S)+SUMIF('主表 Stock_Transaction_Log'!$AB:$AB,INDEX('主表 Stock_Transaction_Log'!$T:$T,$A473),'主表 Stock_Transaction_Log'!$AC:$AC))</f>
        <v/>
      </c>
      <c r="I473" s="172" t="str">
        <f t="shared" si="1"/>
        <v/>
      </c>
      <c r="J473" s="172" t="str">
        <f t="shared" si="2"/>
        <v/>
      </c>
      <c r="K473" s="172" t="str">
        <f t="shared" si="3"/>
        <v/>
      </c>
      <c r="L473" s="172" t="str">
        <f t="array" ref="L473">IF($A473="","",INDEX('主表 Stock_Transaction_Log'!$P:$P,$A473))</f>
        <v/>
      </c>
      <c r="M473" s="57" t="str">
        <f>IF($A473="","",IF($H473&lt;=0,0,SUMIFS('主表 Stock_Transaction_Log'!$K$2:$K1000,'主表 Stock_Transaction_Log'!$C$2:$C1000,"Prepared",'主表 Stock_Transaction_Log'!$L$2:$L1000,$B473,'主表 Stock_Transaction_Log'!$F$2:$F1000,$C473,'主表 Stock_Transaction_Log'!$G$2:$G1000,$D473,'主表 Stock_Transaction_Log'!$P$2:$P1000,$L473)))</f>
        <v/>
      </c>
      <c r="N473" s="172"/>
      <c r="O473" s="172" t="str">
        <f t="shared" si="4"/>
        <v/>
      </c>
      <c r="P473" s="172" t="str">
        <f t="shared" si="5"/>
        <v/>
      </c>
      <c r="Q473" s="172" t="str">
        <f t="shared" si="9"/>
        <v/>
      </c>
      <c r="R473" s="172" t="str">
        <f t="shared" si="7"/>
        <v/>
      </c>
      <c r="S473" s="172" t="str">
        <f t="shared" si="8"/>
        <v/>
      </c>
    </row>
    <row r="474">
      <c r="A474" s="172" t="str">
        <f>IF('主表 Stock_Transaction_Log'!$T474="","",IF(COUNTIF('主表 Stock_Transaction_Log'!$T$2:$T474,'主表 Stock_Transaction_Log'!$T474)=1,ROW('主表 Stock_Transaction_Log'!$T474),""))</f>
        <v/>
      </c>
      <c r="B474" s="172" t="str">
        <f t="array" ref="B474">IF($A474="","",INDEX('主表 Stock_Transaction_Log'!$Q:$Q,$A474))</f>
        <v/>
      </c>
      <c r="C474" s="172" t="str">
        <f t="array" ref="C474">IF($A474="","",IF(INDEX('主表 Stock_Transaction_Log'!$F:$F,$A474)=0,"",INDEX('主表 Stock_Transaction_Log'!$F:$F,$A474)))</f>
        <v/>
      </c>
      <c r="D474" s="172" t="str">
        <f t="array" ref="D474">IF($A474="","",INDEX('主表 Stock_Transaction_Log'!$G:$G,$A474))</f>
        <v/>
      </c>
      <c r="E474" s="172" t="str">
        <f t="array" ref="E474">IF($A474="","",INDEX('主表 Stock_Transaction_Log'!$H:$H,$A474))</f>
        <v/>
      </c>
      <c r="F474" s="172" t="str">
        <f t="array" ref="F474">IF($A474="","",INDEX('主表 Stock_Transaction_Log'!$I:$I,$A474))</f>
        <v/>
      </c>
      <c r="G474" s="172" t="str">
        <f t="array" ref="G474">IF($A474="","",IF(INDEX('主表 Stock_Transaction_Log'!$R:$R,$A474)=0,"",INDEX('主表 Stock_Transaction_Log'!$R:$R,$A474)))</f>
        <v/>
      </c>
      <c r="H474" s="172" t="str">
        <f t="array" ref="H474">IF($A474="","",SUMIF('主表 Stock_Transaction_Log'!$T:$T,INDEX('主表 Stock_Transaction_Log'!$T:$T,$A474),'主表 Stock_Transaction_Log'!$S:$S)+SUMIF('主表 Stock_Transaction_Log'!$AB:$AB,INDEX('主表 Stock_Transaction_Log'!$T:$T,$A474),'主表 Stock_Transaction_Log'!$AC:$AC))</f>
        <v/>
      </c>
      <c r="I474" s="172" t="str">
        <f t="shared" si="1"/>
        <v/>
      </c>
      <c r="J474" s="172" t="str">
        <f t="shared" si="2"/>
        <v/>
      </c>
      <c r="K474" s="172" t="str">
        <f t="shared" si="3"/>
        <v/>
      </c>
      <c r="L474" s="172" t="str">
        <f t="array" ref="L474">IF($A474="","",INDEX('主表 Stock_Transaction_Log'!$P:$P,$A474))</f>
        <v/>
      </c>
      <c r="M474" s="57" t="str">
        <f>IF($A474="","",IF($H474&lt;=0,0,SUMIFS('主表 Stock_Transaction_Log'!$K$2:$K1000,'主表 Stock_Transaction_Log'!$C$2:$C1000,"Prepared",'主表 Stock_Transaction_Log'!$L$2:$L1000,$B474,'主表 Stock_Transaction_Log'!$F$2:$F1000,$C474,'主表 Stock_Transaction_Log'!$G$2:$G1000,$D474,'主表 Stock_Transaction_Log'!$P$2:$P1000,$L474)))</f>
        <v/>
      </c>
      <c r="N474" s="172"/>
      <c r="O474" s="172" t="str">
        <f t="shared" si="4"/>
        <v/>
      </c>
      <c r="P474" s="172" t="str">
        <f t="shared" si="5"/>
        <v/>
      </c>
      <c r="Q474" s="172" t="str">
        <f t="shared" si="9"/>
        <v/>
      </c>
      <c r="R474" s="172" t="str">
        <f t="shared" si="7"/>
        <v/>
      </c>
      <c r="S474" s="172" t="str">
        <f t="shared" si="8"/>
        <v/>
      </c>
    </row>
    <row r="475">
      <c r="A475" s="172" t="str">
        <f>IF('主表 Stock_Transaction_Log'!$T475="","",IF(COUNTIF('主表 Stock_Transaction_Log'!$T$2:$T475,'主表 Stock_Transaction_Log'!$T475)=1,ROW('主表 Stock_Transaction_Log'!$T475),""))</f>
        <v/>
      </c>
      <c r="B475" s="172" t="str">
        <f t="array" ref="B475">IF($A475="","",INDEX('主表 Stock_Transaction_Log'!$Q:$Q,$A475))</f>
        <v/>
      </c>
      <c r="C475" s="172" t="str">
        <f t="array" ref="C475">IF($A475="","",IF(INDEX('主表 Stock_Transaction_Log'!$F:$F,$A475)=0,"",INDEX('主表 Stock_Transaction_Log'!$F:$F,$A475)))</f>
        <v/>
      </c>
      <c r="D475" s="172" t="str">
        <f t="array" ref="D475">IF($A475="","",INDEX('主表 Stock_Transaction_Log'!$G:$G,$A475))</f>
        <v/>
      </c>
      <c r="E475" s="172" t="str">
        <f t="array" ref="E475">IF($A475="","",INDEX('主表 Stock_Transaction_Log'!$H:$H,$A475))</f>
        <v/>
      </c>
      <c r="F475" s="172" t="str">
        <f t="array" ref="F475">IF($A475="","",INDEX('主表 Stock_Transaction_Log'!$I:$I,$A475))</f>
        <v/>
      </c>
      <c r="G475" s="172" t="str">
        <f t="array" ref="G475">IF($A475="","",IF(INDEX('主表 Stock_Transaction_Log'!$R:$R,$A475)=0,"",INDEX('主表 Stock_Transaction_Log'!$R:$R,$A475)))</f>
        <v/>
      </c>
      <c r="H475" s="172" t="str">
        <f t="array" ref="H475">IF($A475="","",SUMIF('主表 Stock_Transaction_Log'!$T:$T,INDEX('主表 Stock_Transaction_Log'!$T:$T,$A475),'主表 Stock_Transaction_Log'!$S:$S)+SUMIF('主表 Stock_Transaction_Log'!$AB:$AB,INDEX('主表 Stock_Transaction_Log'!$T:$T,$A475),'主表 Stock_Transaction_Log'!$AC:$AC))</f>
        <v/>
      </c>
      <c r="I475" s="172" t="str">
        <f t="shared" si="1"/>
        <v/>
      </c>
      <c r="J475" s="172" t="str">
        <f t="shared" si="2"/>
        <v/>
      </c>
      <c r="K475" s="172" t="str">
        <f t="shared" si="3"/>
        <v/>
      </c>
      <c r="L475" s="172" t="str">
        <f t="array" ref="L475">IF($A475="","",INDEX('主表 Stock_Transaction_Log'!$P:$P,$A475))</f>
        <v/>
      </c>
      <c r="M475" s="57" t="str">
        <f>IF($A475="","",IF($H475&lt;=0,0,SUMIFS('主表 Stock_Transaction_Log'!$K$2:$K1000,'主表 Stock_Transaction_Log'!$C$2:$C1000,"Prepared",'主表 Stock_Transaction_Log'!$L$2:$L1000,$B475,'主表 Stock_Transaction_Log'!$F$2:$F1000,$C475,'主表 Stock_Transaction_Log'!$G$2:$G1000,$D475,'主表 Stock_Transaction_Log'!$P$2:$P1000,$L475)))</f>
        <v/>
      </c>
      <c r="N475" s="172"/>
      <c r="O475" s="172" t="str">
        <f t="shared" si="4"/>
        <v/>
      </c>
      <c r="P475" s="172" t="str">
        <f t="shared" si="5"/>
        <v/>
      </c>
      <c r="Q475" s="172" t="str">
        <f t="shared" si="9"/>
        <v/>
      </c>
      <c r="R475" s="172" t="str">
        <f t="shared" si="7"/>
        <v/>
      </c>
      <c r="S475" s="172" t="str">
        <f t="shared" si="8"/>
        <v/>
      </c>
    </row>
    <row r="476">
      <c r="A476" s="172" t="str">
        <f>IF('主表 Stock_Transaction_Log'!$T476="","",IF(COUNTIF('主表 Stock_Transaction_Log'!$T$2:$T476,'主表 Stock_Transaction_Log'!$T476)=1,ROW('主表 Stock_Transaction_Log'!$T476),""))</f>
        <v/>
      </c>
      <c r="B476" s="172" t="str">
        <f t="array" ref="B476">IF($A476="","",INDEX('主表 Stock_Transaction_Log'!$Q:$Q,$A476))</f>
        <v/>
      </c>
      <c r="C476" s="172" t="str">
        <f t="array" ref="C476">IF($A476="","",IF(INDEX('主表 Stock_Transaction_Log'!$F:$F,$A476)=0,"",INDEX('主表 Stock_Transaction_Log'!$F:$F,$A476)))</f>
        <v/>
      </c>
      <c r="D476" s="172" t="str">
        <f t="array" ref="D476">IF($A476="","",INDEX('主表 Stock_Transaction_Log'!$G:$G,$A476))</f>
        <v/>
      </c>
      <c r="E476" s="172" t="str">
        <f t="array" ref="E476">IF($A476="","",INDEX('主表 Stock_Transaction_Log'!$H:$H,$A476))</f>
        <v/>
      </c>
      <c r="F476" s="172" t="str">
        <f t="array" ref="F476">IF($A476="","",INDEX('主表 Stock_Transaction_Log'!$I:$I,$A476))</f>
        <v/>
      </c>
      <c r="G476" s="172" t="str">
        <f t="array" ref="G476">IF($A476="","",IF(INDEX('主表 Stock_Transaction_Log'!$R:$R,$A476)=0,"",INDEX('主表 Stock_Transaction_Log'!$R:$R,$A476)))</f>
        <v/>
      </c>
      <c r="H476" s="172" t="str">
        <f t="array" ref="H476">IF($A476="","",SUMIF('主表 Stock_Transaction_Log'!$T:$T,INDEX('主表 Stock_Transaction_Log'!$T:$T,$A476),'主表 Stock_Transaction_Log'!$S:$S)+SUMIF('主表 Stock_Transaction_Log'!$AB:$AB,INDEX('主表 Stock_Transaction_Log'!$T:$T,$A476),'主表 Stock_Transaction_Log'!$AC:$AC))</f>
        <v/>
      </c>
      <c r="I476" s="172" t="str">
        <f t="shared" si="1"/>
        <v/>
      </c>
      <c r="J476" s="172" t="str">
        <f t="shared" si="2"/>
        <v/>
      </c>
      <c r="K476" s="172" t="str">
        <f t="shared" si="3"/>
        <v/>
      </c>
      <c r="L476" s="172" t="str">
        <f t="array" ref="L476">IF($A476="","",INDEX('主表 Stock_Transaction_Log'!$P:$P,$A476))</f>
        <v/>
      </c>
      <c r="M476" s="57" t="str">
        <f>IF($A476="","",IF($H476&lt;=0,0,SUMIFS('主表 Stock_Transaction_Log'!$K$2:$K1000,'主表 Stock_Transaction_Log'!$C$2:$C1000,"Prepared",'主表 Stock_Transaction_Log'!$L$2:$L1000,$B476,'主表 Stock_Transaction_Log'!$F$2:$F1000,$C476,'主表 Stock_Transaction_Log'!$G$2:$G1000,$D476,'主表 Stock_Transaction_Log'!$P$2:$P1000,$L476)))</f>
        <v/>
      </c>
      <c r="N476" s="172"/>
      <c r="O476" s="172" t="str">
        <f t="shared" si="4"/>
        <v/>
      </c>
      <c r="P476" s="172" t="str">
        <f t="shared" si="5"/>
        <v/>
      </c>
      <c r="Q476" s="172" t="str">
        <f t="shared" si="9"/>
        <v/>
      </c>
      <c r="R476" s="172" t="str">
        <f t="shared" si="7"/>
        <v/>
      </c>
      <c r="S476" s="172" t="str">
        <f t="shared" si="8"/>
        <v/>
      </c>
    </row>
    <row r="477">
      <c r="A477" s="172" t="str">
        <f>IF('主表 Stock_Transaction_Log'!$T477="","",IF(COUNTIF('主表 Stock_Transaction_Log'!$T$2:$T477,'主表 Stock_Transaction_Log'!$T477)=1,ROW('主表 Stock_Transaction_Log'!$T477),""))</f>
        <v/>
      </c>
      <c r="B477" s="172" t="str">
        <f t="array" ref="B477">IF($A477="","",INDEX('主表 Stock_Transaction_Log'!$Q:$Q,$A477))</f>
        <v/>
      </c>
      <c r="C477" s="172" t="str">
        <f t="array" ref="C477">IF($A477="","",IF(INDEX('主表 Stock_Transaction_Log'!$F:$F,$A477)=0,"",INDEX('主表 Stock_Transaction_Log'!$F:$F,$A477)))</f>
        <v/>
      </c>
      <c r="D477" s="172" t="str">
        <f t="array" ref="D477">IF($A477="","",INDEX('主表 Stock_Transaction_Log'!$G:$G,$A477))</f>
        <v/>
      </c>
      <c r="E477" s="172" t="str">
        <f t="array" ref="E477">IF($A477="","",INDEX('主表 Stock_Transaction_Log'!$H:$H,$A477))</f>
        <v/>
      </c>
      <c r="F477" s="172" t="str">
        <f t="array" ref="F477">IF($A477="","",INDEX('主表 Stock_Transaction_Log'!$I:$I,$A477))</f>
        <v/>
      </c>
      <c r="G477" s="172" t="str">
        <f t="array" ref="G477">IF($A477="","",IF(INDEX('主表 Stock_Transaction_Log'!$R:$R,$A477)=0,"",INDEX('主表 Stock_Transaction_Log'!$R:$R,$A477)))</f>
        <v/>
      </c>
      <c r="H477" s="172" t="str">
        <f t="array" ref="H477">IF($A477="","",SUMIF('主表 Stock_Transaction_Log'!$T:$T,INDEX('主表 Stock_Transaction_Log'!$T:$T,$A477),'主表 Stock_Transaction_Log'!$S:$S)+SUMIF('主表 Stock_Transaction_Log'!$AB:$AB,INDEX('主表 Stock_Transaction_Log'!$T:$T,$A477),'主表 Stock_Transaction_Log'!$AC:$AC))</f>
        <v/>
      </c>
      <c r="I477" s="172" t="str">
        <f t="shared" si="1"/>
        <v/>
      </c>
      <c r="J477" s="172" t="str">
        <f t="shared" si="2"/>
        <v/>
      </c>
      <c r="K477" s="172" t="str">
        <f t="shared" si="3"/>
        <v/>
      </c>
      <c r="L477" s="172" t="str">
        <f t="array" ref="L477">IF($A477="","",INDEX('主表 Stock_Transaction_Log'!$P:$P,$A477))</f>
        <v/>
      </c>
      <c r="M477" s="57" t="str">
        <f>IF($A477="","",IF($H477&lt;=0,0,SUMIFS('主表 Stock_Transaction_Log'!$K$2:$K1000,'主表 Stock_Transaction_Log'!$C$2:$C1000,"Prepared",'主表 Stock_Transaction_Log'!$L$2:$L1000,$B477,'主表 Stock_Transaction_Log'!$F$2:$F1000,$C477,'主表 Stock_Transaction_Log'!$G$2:$G1000,$D477,'主表 Stock_Transaction_Log'!$P$2:$P1000,$L477)))</f>
        <v/>
      </c>
      <c r="N477" s="172"/>
      <c r="O477" s="172" t="str">
        <f t="shared" si="4"/>
        <v/>
      </c>
      <c r="P477" s="172" t="str">
        <f t="shared" si="5"/>
        <v/>
      </c>
      <c r="Q477" s="172" t="str">
        <f t="shared" si="9"/>
        <v/>
      </c>
      <c r="R477" s="172" t="str">
        <f t="shared" si="7"/>
        <v/>
      </c>
      <c r="S477" s="172" t="str">
        <f t="shared" si="8"/>
        <v/>
      </c>
    </row>
    <row r="478">
      <c r="A478" s="172" t="str">
        <f>IF('主表 Stock_Transaction_Log'!$T478="","",IF(COUNTIF('主表 Stock_Transaction_Log'!$T$2:$T478,'主表 Stock_Transaction_Log'!$T478)=1,ROW('主表 Stock_Transaction_Log'!$T478),""))</f>
        <v/>
      </c>
      <c r="B478" s="172" t="str">
        <f t="array" ref="B478">IF($A478="","",INDEX('主表 Stock_Transaction_Log'!$Q:$Q,$A478))</f>
        <v/>
      </c>
      <c r="C478" s="172" t="str">
        <f t="array" ref="C478">IF($A478="","",IF(INDEX('主表 Stock_Transaction_Log'!$F:$F,$A478)=0,"",INDEX('主表 Stock_Transaction_Log'!$F:$F,$A478)))</f>
        <v/>
      </c>
      <c r="D478" s="172" t="str">
        <f t="array" ref="D478">IF($A478="","",INDEX('主表 Stock_Transaction_Log'!$G:$G,$A478))</f>
        <v/>
      </c>
      <c r="E478" s="172" t="str">
        <f t="array" ref="E478">IF($A478="","",INDEX('主表 Stock_Transaction_Log'!$H:$H,$A478))</f>
        <v/>
      </c>
      <c r="F478" s="172" t="str">
        <f t="array" ref="F478">IF($A478="","",INDEX('主表 Stock_Transaction_Log'!$I:$I,$A478))</f>
        <v/>
      </c>
      <c r="G478" s="172" t="str">
        <f t="array" ref="G478">IF($A478="","",IF(INDEX('主表 Stock_Transaction_Log'!$R:$R,$A478)=0,"",INDEX('主表 Stock_Transaction_Log'!$R:$R,$A478)))</f>
        <v/>
      </c>
      <c r="H478" s="172" t="str">
        <f t="array" ref="H478">IF($A478="","",SUMIF('主表 Stock_Transaction_Log'!$T:$T,INDEX('主表 Stock_Transaction_Log'!$T:$T,$A478),'主表 Stock_Transaction_Log'!$S:$S)+SUMIF('主表 Stock_Transaction_Log'!$AB:$AB,INDEX('主表 Stock_Transaction_Log'!$T:$T,$A478),'主表 Stock_Transaction_Log'!$AC:$AC))</f>
        <v/>
      </c>
      <c r="I478" s="172" t="str">
        <f t="shared" si="1"/>
        <v/>
      </c>
      <c r="J478" s="172" t="str">
        <f t="shared" si="2"/>
        <v/>
      </c>
      <c r="K478" s="172" t="str">
        <f t="shared" si="3"/>
        <v/>
      </c>
      <c r="L478" s="172" t="str">
        <f t="array" ref="L478">IF($A478="","",INDEX('主表 Stock_Transaction_Log'!$P:$P,$A478))</f>
        <v/>
      </c>
      <c r="M478" s="57" t="str">
        <f>IF($A478="","",IF($H478&lt;=0,0,SUMIFS('主表 Stock_Transaction_Log'!$K$2:$K1000,'主表 Stock_Transaction_Log'!$C$2:$C1000,"Prepared",'主表 Stock_Transaction_Log'!$L$2:$L1000,$B478,'主表 Stock_Transaction_Log'!$F$2:$F1000,$C478,'主表 Stock_Transaction_Log'!$G$2:$G1000,$D478,'主表 Stock_Transaction_Log'!$P$2:$P1000,$L478)))</f>
        <v/>
      </c>
      <c r="N478" s="172"/>
      <c r="O478" s="172" t="str">
        <f t="shared" si="4"/>
        <v/>
      </c>
      <c r="P478" s="172" t="str">
        <f t="shared" si="5"/>
        <v/>
      </c>
      <c r="Q478" s="172" t="str">
        <f t="shared" si="9"/>
        <v/>
      </c>
      <c r="R478" s="172" t="str">
        <f t="shared" si="7"/>
        <v/>
      </c>
      <c r="S478" s="172" t="str">
        <f t="shared" si="8"/>
        <v/>
      </c>
    </row>
    <row r="479">
      <c r="A479" s="172" t="str">
        <f>IF('主表 Stock_Transaction_Log'!$T479="","",IF(COUNTIF('主表 Stock_Transaction_Log'!$T$2:$T479,'主表 Stock_Transaction_Log'!$T479)=1,ROW('主表 Stock_Transaction_Log'!$T479),""))</f>
        <v/>
      </c>
      <c r="B479" s="172" t="str">
        <f t="array" ref="B479">IF($A479="","",INDEX('主表 Stock_Transaction_Log'!$Q:$Q,$A479))</f>
        <v/>
      </c>
      <c r="C479" s="172" t="str">
        <f t="array" ref="C479">IF($A479="","",IF(INDEX('主表 Stock_Transaction_Log'!$F:$F,$A479)=0,"",INDEX('主表 Stock_Transaction_Log'!$F:$F,$A479)))</f>
        <v/>
      </c>
      <c r="D479" s="172" t="str">
        <f t="array" ref="D479">IF($A479="","",INDEX('主表 Stock_Transaction_Log'!$G:$G,$A479))</f>
        <v/>
      </c>
      <c r="E479" s="172" t="str">
        <f t="array" ref="E479">IF($A479="","",INDEX('主表 Stock_Transaction_Log'!$H:$H,$A479))</f>
        <v/>
      </c>
      <c r="F479" s="172" t="str">
        <f t="array" ref="F479">IF($A479="","",INDEX('主表 Stock_Transaction_Log'!$I:$I,$A479))</f>
        <v/>
      </c>
      <c r="G479" s="172" t="str">
        <f t="array" ref="G479">IF($A479="","",IF(INDEX('主表 Stock_Transaction_Log'!$R:$R,$A479)=0,"",INDEX('主表 Stock_Transaction_Log'!$R:$R,$A479)))</f>
        <v/>
      </c>
      <c r="H479" s="172" t="str">
        <f t="array" ref="H479">IF($A479="","",SUMIF('主表 Stock_Transaction_Log'!$T:$T,INDEX('主表 Stock_Transaction_Log'!$T:$T,$A479),'主表 Stock_Transaction_Log'!$S:$S)+SUMIF('主表 Stock_Transaction_Log'!$AB:$AB,INDEX('主表 Stock_Transaction_Log'!$T:$T,$A479),'主表 Stock_Transaction_Log'!$AC:$AC))</f>
        <v/>
      </c>
      <c r="I479" s="172" t="str">
        <f t="shared" si="1"/>
        <v/>
      </c>
      <c r="J479" s="172" t="str">
        <f t="shared" si="2"/>
        <v/>
      </c>
      <c r="K479" s="172" t="str">
        <f t="shared" si="3"/>
        <v/>
      </c>
      <c r="L479" s="172" t="str">
        <f t="array" ref="L479">IF($A479="","",INDEX('主表 Stock_Transaction_Log'!$P:$P,$A479))</f>
        <v/>
      </c>
      <c r="M479" s="57" t="str">
        <f>IF($A479="","",IF($H479&lt;=0,0,SUMIFS('主表 Stock_Transaction_Log'!$K$2:$K1000,'主表 Stock_Transaction_Log'!$C$2:$C1000,"Prepared",'主表 Stock_Transaction_Log'!$L$2:$L1000,$B479,'主表 Stock_Transaction_Log'!$F$2:$F1000,$C479,'主表 Stock_Transaction_Log'!$G$2:$G1000,$D479,'主表 Stock_Transaction_Log'!$P$2:$P1000,$L479)))</f>
        <v/>
      </c>
      <c r="N479" s="172"/>
      <c r="O479" s="172" t="str">
        <f t="shared" si="4"/>
        <v/>
      </c>
      <c r="P479" s="172" t="str">
        <f t="shared" si="5"/>
        <v/>
      </c>
      <c r="Q479" s="172" t="str">
        <f t="shared" si="9"/>
        <v/>
      </c>
      <c r="R479" s="172" t="str">
        <f t="shared" si="7"/>
        <v/>
      </c>
      <c r="S479" s="172" t="str">
        <f t="shared" si="8"/>
        <v/>
      </c>
    </row>
    <row r="480">
      <c r="A480" s="172" t="str">
        <f>IF('主表 Stock_Transaction_Log'!$T480="","",IF(COUNTIF('主表 Stock_Transaction_Log'!$T$2:$T480,'主表 Stock_Transaction_Log'!$T480)=1,ROW('主表 Stock_Transaction_Log'!$T480),""))</f>
        <v/>
      </c>
      <c r="B480" s="172" t="str">
        <f t="array" ref="B480">IF($A480="","",INDEX('主表 Stock_Transaction_Log'!$Q:$Q,$A480))</f>
        <v/>
      </c>
      <c r="C480" s="172" t="str">
        <f t="array" ref="C480">IF($A480="","",IF(INDEX('主表 Stock_Transaction_Log'!$F:$F,$A480)=0,"",INDEX('主表 Stock_Transaction_Log'!$F:$F,$A480)))</f>
        <v/>
      </c>
      <c r="D480" s="172" t="str">
        <f t="array" ref="D480">IF($A480="","",INDEX('主表 Stock_Transaction_Log'!$G:$G,$A480))</f>
        <v/>
      </c>
      <c r="E480" s="172" t="str">
        <f t="array" ref="E480">IF($A480="","",INDEX('主表 Stock_Transaction_Log'!$H:$H,$A480))</f>
        <v/>
      </c>
      <c r="F480" s="172" t="str">
        <f t="array" ref="F480">IF($A480="","",INDEX('主表 Stock_Transaction_Log'!$I:$I,$A480))</f>
        <v/>
      </c>
      <c r="G480" s="172" t="str">
        <f t="array" ref="G480">IF($A480="","",IF(INDEX('主表 Stock_Transaction_Log'!$R:$R,$A480)=0,"",INDEX('主表 Stock_Transaction_Log'!$R:$R,$A480)))</f>
        <v/>
      </c>
      <c r="H480" s="172" t="str">
        <f t="array" ref="H480">IF($A480="","",SUMIF('主表 Stock_Transaction_Log'!$T:$T,INDEX('主表 Stock_Transaction_Log'!$T:$T,$A480),'主表 Stock_Transaction_Log'!$S:$S)+SUMIF('主表 Stock_Transaction_Log'!$AB:$AB,INDEX('主表 Stock_Transaction_Log'!$T:$T,$A480),'主表 Stock_Transaction_Log'!$AC:$AC))</f>
        <v/>
      </c>
      <c r="I480" s="172" t="str">
        <f t="shared" si="1"/>
        <v/>
      </c>
      <c r="J480" s="172" t="str">
        <f t="shared" si="2"/>
        <v/>
      </c>
      <c r="K480" s="172" t="str">
        <f t="shared" si="3"/>
        <v/>
      </c>
      <c r="L480" s="172" t="str">
        <f t="array" ref="L480">IF($A480="","",INDEX('主表 Stock_Transaction_Log'!$P:$P,$A480))</f>
        <v/>
      </c>
      <c r="M480" s="57" t="str">
        <f>IF($A480="","",IF($H480&lt;=0,0,SUMIFS('主表 Stock_Transaction_Log'!$K$2:$K1000,'主表 Stock_Transaction_Log'!$C$2:$C1000,"Prepared",'主表 Stock_Transaction_Log'!$L$2:$L1000,$B480,'主表 Stock_Transaction_Log'!$F$2:$F1000,$C480,'主表 Stock_Transaction_Log'!$G$2:$G1000,$D480,'主表 Stock_Transaction_Log'!$P$2:$P1000,$L480)))</f>
        <v/>
      </c>
      <c r="N480" s="172"/>
      <c r="O480" s="172" t="str">
        <f t="shared" si="4"/>
        <v/>
      </c>
      <c r="P480" s="172" t="str">
        <f t="shared" si="5"/>
        <v/>
      </c>
      <c r="Q480" s="172" t="str">
        <f t="shared" si="9"/>
        <v/>
      </c>
      <c r="R480" s="172" t="str">
        <f t="shared" si="7"/>
        <v/>
      </c>
      <c r="S480" s="172" t="str">
        <f t="shared" si="8"/>
        <v/>
      </c>
    </row>
    <row r="481">
      <c r="A481" s="172" t="str">
        <f>IF('主表 Stock_Transaction_Log'!$T481="","",IF(COUNTIF('主表 Stock_Transaction_Log'!$T$2:$T481,'主表 Stock_Transaction_Log'!$T481)=1,ROW('主表 Stock_Transaction_Log'!$T481),""))</f>
        <v/>
      </c>
      <c r="B481" s="172" t="str">
        <f t="array" ref="B481">IF($A481="","",INDEX('主表 Stock_Transaction_Log'!$Q:$Q,$A481))</f>
        <v/>
      </c>
      <c r="C481" s="172" t="str">
        <f t="array" ref="C481">IF($A481="","",IF(INDEX('主表 Stock_Transaction_Log'!$F:$F,$A481)=0,"",INDEX('主表 Stock_Transaction_Log'!$F:$F,$A481)))</f>
        <v/>
      </c>
      <c r="D481" s="172" t="str">
        <f t="array" ref="D481">IF($A481="","",INDEX('主表 Stock_Transaction_Log'!$G:$G,$A481))</f>
        <v/>
      </c>
      <c r="E481" s="172" t="str">
        <f t="array" ref="E481">IF($A481="","",INDEX('主表 Stock_Transaction_Log'!$H:$H,$A481))</f>
        <v/>
      </c>
      <c r="F481" s="172" t="str">
        <f t="array" ref="F481">IF($A481="","",INDEX('主表 Stock_Transaction_Log'!$I:$I,$A481))</f>
        <v/>
      </c>
      <c r="G481" s="172" t="str">
        <f t="array" ref="G481">IF($A481="","",IF(INDEX('主表 Stock_Transaction_Log'!$R:$R,$A481)=0,"",INDEX('主表 Stock_Transaction_Log'!$R:$R,$A481)))</f>
        <v/>
      </c>
      <c r="H481" s="172" t="str">
        <f t="array" ref="H481">IF($A481="","",SUMIF('主表 Stock_Transaction_Log'!$T:$T,INDEX('主表 Stock_Transaction_Log'!$T:$T,$A481),'主表 Stock_Transaction_Log'!$S:$S)+SUMIF('主表 Stock_Transaction_Log'!$AB:$AB,INDEX('主表 Stock_Transaction_Log'!$T:$T,$A481),'主表 Stock_Transaction_Log'!$AC:$AC))</f>
        <v/>
      </c>
      <c r="I481" s="172" t="str">
        <f t="shared" si="1"/>
        <v/>
      </c>
      <c r="J481" s="172" t="str">
        <f t="shared" si="2"/>
        <v/>
      </c>
      <c r="K481" s="172" t="str">
        <f t="shared" si="3"/>
        <v/>
      </c>
      <c r="L481" s="172" t="str">
        <f t="array" ref="L481">IF($A481="","",INDEX('主表 Stock_Transaction_Log'!$P:$P,$A481))</f>
        <v/>
      </c>
      <c r="M481" s="57" t="str">
        <f>IF($A481="","",IF($H481&lt;=0,0,SUMIFS('主表 Stock_Transaction_Log'!$K$2:$K1000,'主表 Stock_Transaction_Log'!$C$2:$C1000,"Prepared",'主表 Stock_Transaction_Log'!$L$2:$L1000,$B481,'主表 Stock_Transaction_Log'!$F$2:$F1000,$C481,'主表 Stock_Transaction_Log'!$G$2:$G1000,$D481,'主表 Stock_Transaction_Log'!$P$2:$P1000,$L481)))</f>
        <v/>
      </c>
      <c r="N481" s="172"/>
      <c r="O481" s="172" t="str">
        <f t="shared" si="4"/>
        <v/>
      </c>
      <c r="P481" s="172" t="str">
        <f t="shared" si="5"/>
        <v/>
      </c>
      <c r="Q481" s="172" t="str">
        <f t="shared" si="9"/>
        <v/>
      </c>
      <c r="R481" s="172" t="str">
        <f t="shared" si="7"/>
        <v/>
      </c>
      <c r="S481" s="172" t="str">
        <f t="shared" si="8"/>
        <v/>
      </c>
    </row>
    <row r="482">
      <c r="A482" s="172" t="str">
        <f>IF('主表 Stock_Transaction_Log'!$T482="","",IF(COUNTIF('主表 Stock_Transaction_Log'!$T$2:$T482,'主表 Stock_Transaction_Log'!$T482)=1,ROW('主表 Stock_Transaction_Log'!$T482),""))</f>
        <v/>
      </c>
      <c r="B482" s="172" t="str">
        <f t="array" ref="B482">IF($A482="","",INDEX('主表 Stock_Transaction_Log'!$Q:$Q,$A482))</f>
        <v/>
      </c>
      <c r="C482" s="172" t="str">
        <f t="array" ref="C482">IF($A482="","",IF(INDEX('主表 Stock_Transaction_Log'!$F:$F,$A482)=0,"",INDEX('主表 Stock_Transaction_Log'!$F:$F,$A482)))</f>
        <v/>
      </c>
      <c r="D482" s="172" t="str">
        <f t="array" ref="D482">IF($A482="","",INDEX('主表 Stock_Transaction_Log'!$G:$G,$A482))</f>
        <v/>
      </c>
      <c r="E482" s="172" t="str">
        <f t="array" ref="E482">IF($A482="","",INDEX('主表 Stock_Transaction_Log'!$H:$H,$A482))</f>
        <v/>
      </c>
      <c r="F482" s="172" t="str">
        <f t="array" ref="F482">IF($A482="","",INDEX('主表 Stock_Transaction_Log'!$I:$I,$A482))</f>
        <v/>
      </c>
      <c r="G482" s="172" t="str">
        <f t="array" ref="G482">IF($A482="","",IF(INDEX('主表 Stock_Transaction_Log'!$R:$R,$A482)=0,"",INDEX('主表 Stock_Transaction_Log'!$R:$R,$A482)))</f>
        <v/>
      </c>
      <c r="H482" s="172" t="str">
        <f t="array" ref="H482">IF($A482="","",SUMIF('主表 Stock_Transaction_Log'!$T:$T,INDEX('主表 Stock_Transaction_Log'!$T:$T,$A482),'主表 Stock_Transaction_Log'!$S:$S)+SUMIF('主表 Stock_Transaction_Log'!$AB:$AB,INDEX('主表 Stock_Transaction_Log'!$T:$T,$A482),'主表 Stock_Transaction_Log'!$AC:$AC))</f>
        <v/>
      </c>
      <c r="I482" s="172" t="str">
        <f t="shared" si="1"/>
        <v/>
      </c>
      <c r="J482" s="172" t="str">
        <f t="shared" si="2"/>
        <v/>
      </c>
      <c r="K482" s="172" t="str">
        <f t="shared" si="3"/>
        <v/>
      </c>
      <c r="L482" s="172" t="str">
        <f t="array" ref="L482">IF($A482="","",INDEX('主表 Stock_Transaction_Log'!$P:$P,$A482))</f>
        <v/>
      </c>
      <c r="M482" s="57" t="str">
        <f>IF($A482="","",IF($H482&lt;=0,0,SUMIFS('主表 Stock_Transaction_Log'!$K$2:$K1000,'主表 Stock_Transaction_Log'!$C$2:$C1000,"Prepared",'主表 Stock_Transaction_Log'!$L$2:$L1000,$B482,'主表 Stock_Transaction_Log'!$F$2:$F1000,$C482,'主表 Stock_Transaction_Log'!$G$2:$G1000,$D482,'主表 Stock_Transaction_Log'!$P$2:$P1000,$L482)))</f>
        <v/>
      </c>
      <c r="N482" s="172"/>
      <c r="O482" s="172" t="str">
        <f t="shared" si="4"/>
        <v/>
      </c>
      <c r="P482" s="172" t="str">
        <f t="shared" si="5"/>
        <v/>
      </c>
      <c r="Q482" s="172" t="str">
        <f t="shared" si="9"/>
        <v/>
      </c>
      <c r="R482" s="172" t="str">
        <f t="shared" si="7"/>
        <v/>
      </c>
      <c r="S482" s="172" t="str">
        <f t="shared" si="8"/>
        <v/>
      </c>
    </row>
    <row r="483">
      <c r="A483" s="172" t="str">
        <f>IF('主表 Stock_Transaction_Log'!$T483="","",IF(COUNTIF('主表 Stock_Transaction_Log'!$T$2:$T483,'主表 Stock_Transaction_Log'!$T483)=1,ROW('主表 Stock_Transaction_Log'!$T483),""))</f>
        <v/>
      </c>
      <c r="B483" s="172" t="str">
        <f t="array" ref="B483">IF($A483="","",INDEX('主表 Stock_Transaction_Log'!$Q:$Q,$A483))</f>
        <v/>
      </c>
      <c r="C483" s="172" t="str">
        <f t="array" ref="C483">IF($A483="","",IF(INDEX('主表 Stock_Transaction_Log'!$F:$F,$A483)=0,"",INDEX('主表 Stock_Transaction_Log'!$F:$F,$A483)))</f>
        <v/>
      </c>
      <c r="D483" s="172" t="str">
        <f t="array" ref="D483">IF($A483="","",INDEX('主表 Stock_Transaction_Log'!$G:$G,$A483))</f>
        <v/>
      </c>
      <c r="E483" s="172" t="str">
        <f t="array" ref="E483">IF($A483="","",INDEX('主表 Stock_Transaction_Log'!$H:$H,$A483))</f>
        <v/>
      </c>
      <c r="F483" s="172" t="str">
        <f t="array" ref="F483">IF($A483="","",INDEX('主表 Stock_Transaction_Log'!$I:$I,$A483))</f>
        <v/>
      </c>
      <c r="G483" s="172" t="str">
        <f t="array" ref="G483">IF($A483="","",IF(INDEX('主表 Stock_Transaction_Log'!$R:$R,$A483)=0,"",INDEX('主表 Stock_Transaction_Log'!$R:$R,$A483)))</f>
        <v/>
      </c>
      <c r="H483" s="172" t="str">
        <f t="array" ref="H483">IF($A483="","",SUMIF('主表 Stock_Transaction_Log'!$T:$T,INDEX('主表 Stock_Transaction_Log'!$T:$T,$A483),'主表 Stock_Transaction_Log'!$S:$S)+SUMIF('主表 Stock_Transaction_Log'!$AB:$AB,INDEX('主表 Stock_Transaction_Log'!$T:$T,$A483),'主表 Stock_Transaction_Log'!$AC:$AC))</f>
        <v/>
      </c>
      <c r="I483" s="172" t="str">
        <f t="shared" si="1"/>
        <v/>
      </c>
      <c r="J483" s="172" t="str">
        <f t="shared" si="2"/>
        <v/>
      </c>
      <c r="K483" s="172" t="str">
        <f t="shared" si="3"/>
        <v/>
      </c>
      <c r="L483" s="172" t="str">
        <f t="array" ref="L483">IF($A483="","",INDEX('主表 Stock_Transaction_Log'!$P:$P,$A483))</f>
        <v/>
      </c>
      <c r="M483" s="57" t="str">
        <f>IF($A483="","",IF($H483&lt;=0,0,SUMIFS('主表 Stock_Transaction_Log'!$K$2:$K1000,'主表 Stock_Transaction_Log'!$C$2:$C1000,"Prepared",'主表 Stock_Transaction_Log'!$L$2:$L1000,$B483,'主表 Stock_Transaction_Log'!$F$2:$F1000,$C483,'主表 Stock_Transaction_Log'!$G$2:$G1000,$D483,'主表 Stock_Transaction_Log'!$P$2:$P1000,$L483)))</f>
        <v/>
      </c>
      <c r="N483" s="172"/>
      <c r="O483" s="172" t="str">
        <f t="shared" si="4"/>
        <v/>
      </c>
      <c r="P483" s="172" t="str">
        <f t="shared" si="5"/>
        <v/>
      </c>
      <c r="Q483" s="172" t="str">
        <f t="shared" si="9"/>
        <v/>
      </c>
      <c r="R483" s="172" t="str">
        <f t="shared" si="7"/>
        <v/>
      </c>
      <c r="S483" s="172" t="str">
        <f t="shared" si="8"/>
        <v/>
      </c>
    </row>
    <row r="484">
      <c r="A484" s="172" t="str">
        <f>IF('主表 Stock_Transaction_Log'!$T484="","",IF(COUNTIF('主表 Stock_Transaction_Log'!$T$2:$T484,'主表 Stock_Transaction_Log'!$T484)=1,ROW('主表 Stock_Transaction_Log'!$T484),""))</f>
        <v/>
      </c>
      <c r="B484" s="172" t="str">
        <f t="array" ref="B484">IF($A484="","",INDEX('主表 Stock_Transaction_Log'!$Q:$Q,$A484))</f>
        <v/>
      </c>
      <c r="C484" s="172" t="str">
        <f t="array" ref="C484">IF($A484="","",IF(INDEX('主表 Stock_Transaction_Log'!$F:$F,$A484)=0,"",INDEX('主表 Stock_Transaction_Log'!$F:$F,$A484)))</f>
        <v/>
      </c>
      <c r="D484" s="172" t="str">
        <f t="array" ref="D484">IF($A484="","",INDEX('主表 Stock_Transaction_Log'!$G:$G,$A484))</f>
        <v/>
      </c>
      <c r="E484" s="172" t="str">
        <f t="array" ref="E484">IF($A484="","",INDEX('主表 Stock_Transaction_Log'!$H:$H,$A484))</f>
        <v/>
      </c>
      <c r="F484" s="172" t="str">
        <f t="array" ref="F484">IF($A484="","",INDEX('主表 Stock_Transaction_Log'!$I:$I,$A484))</f>
        <v/>
      </c>
      <c r="G484" s="172" t="str">
        <f t="array" ref="G484">IF($A484="","",IF(INDEX('主表 Stock_Transaction_Log'!$R:$R,$A484)=0,"",INDEX('主表 Stock_Transaction_Log'!$R:$R,$A484)))</f>
        <v/>
      </c>
      <c r="H484" s="172" t="str">
        <f t="array" ref="H484">IF($A484="","",SUMIF('主表 Stock_Transaction_Log'!$T:$T,INDEX('主表 Stock_Transaction_Log'!$T:$T,$A484),'主表 Stock_Transaction_Log'!$S:$S)+SUMIF('主表 Stock_Transaction_Log'!$AB:$AB,INDEX('主表 Stock_Transaction_Log'!$T:$T,$A484),'主表 Stock_Transaction_Log'!$AC:$AC))</f>
        <v/>
      </c>
      <c r="I484" s="172" t="str">
        <f t="shared" si="1"/>
        <v/>
      </c>
      <c r="J484" s="172" t="str">
        <f t="shared" si="2"/>
        <v/>
      </c>
      <c r="K484" s="172" t="str">
        <f t="shared" si="3"/>
        <v/>
      </c>
      <c r="L484" s="172" t="str">
        <f t="array" ref="L484">IF($A484="","",INDEX('主表 Stock_Transaction_Log'!$P:$P,$A484))</f>
        <v/>
      </c>
      <c r="M484" s="57" t="str">
        <f>IF($A484="","",IF($H484&lt;=0,0,SUMIFS('主表 Stock_Transaction_Log'!$K$2:$K1000,'主表 Stock_Transaction_Log'!$C$2:$C1000,"Prepared",'主表 Stock_Transaction_Log'!$L$2:$L1000,$B484,'主表 Stock_Transaction_Log'!$F$2:$F1000,$C484,'主表 Stock_Transaction_Log'!$G$2:$G1000,$D484,'主表 Stock_Transaction_Log'!$P$2:$P1000,$L484)))</f>
        <v/>
      </c>
      <c r="N484" s="172"/>
      <c r="O484" s="172" t="str">
        <f t="shared" si="4"/>
        <v/>
      </c>
      <c r="P484" s="172" t="str">
        <f t="shared" si="5"/>
        <v/>
      </c>
      <c r="Q484" s="172" t="str">
        <f t="shared" si="9"/>
        <v/>
      </c>
      <c r="R484" s="172" t="str">
        <f t="shared" si="7"/>
        <v/>
      </c>
      <c r="S484" s="172" t="str">
        <f t="shared" si="8"/>
        <v/>
      </c>
    </row>
    <row r="485">
      <c r="A485" s="172" t="str">
        <f>IF('主表 Stock_Transaction_Log'!$T485="","",IF(COUNTIF('主表 Stock_Transaction_Log'!$T$2:$T485,'主表 Stock_Transaction_Log'!$T485)=1,ROW('主表 Stock_Transaction_Log'!$T485),""))</f>
        <v/>
      </c>
      <c r="B485" s="172" t="str">
        <f t="array" ref="B485">IF($A485="","",INDEX('主表 Stock_Transaction_Log'!$Q:$Q,$A485))</f>
        <v/>
      </c>
      <c r="C485" s="172" t="str">
        <f t="array" ref="C485">IF($A485="","",IF(INDEX('主表 Stock_Transaction_Log'!$F:$F,$A485)=0,"",INDEX('主表 Stock_Transaction_Log'!$F:$F,$A485)))</f>
        <v/>
      </c>
      <c r="D485" s="172" t="str">
        <f t="array" ref="D485">IF($A485="","",INDEX('主表 Stock_Transaction_Log'!$G:$G,$A485))</f>
        <v/>
      </c>
      <c r="E485" s="172" t="str">
        <f t="array" ref="E485">IF($A485="","",INDEX('主表 Stock_Transaction_Log'!$H:$H,$A485))</f>
        <v/>
      </c>
      <c r="F485" s="172" t="str">
        <f t="array" ref="F485">IF($A485="","",INDEX('主表 Stock_Transaction_Log'!$I:$I,$A485))</f>
        <v/>
      </c>
      <c r="G485" s="172" t="str">
        <f t="array" ref="G485">IF($A485="","",IF(INDEX('主表 Stock_Transaction_Log'!$R:$R,$A485)=0,"",INDEX('主表 Stock_Transaction_Log'!$R:$R,$A485)))</f>
        <v/>
      </c>
      <c r="H485" s="172" t="str">
        <f t="array" ref="H485">IF($A485="","",SUMIF('主表 Stock_Transaction_Log'!$T:$T,INDEX('主表 Stock_Transaction_Log'!$T:$T,$A485),'主表 Stock_Transaction_Log'!$S:$S)+SUMIF('主表 Stock_Transaction_Log'!$AB:$AB,INDEX('主表 Stock_Transaction_Log'!$T:$T,$A485),'主表 Stock_Transaction_Log'!$AC:$AC))</f>
        <v/>
      </c>
      <c r="I485" s="172" t="str">
        <f t="shared" si="1"/>
        <v/>
      </c>
      <c r="J485" s="172" t="str">
        <f t="shared" si="2"/>
        <v/>
      </c>
      <c r="K485" s="172" t="str">
        <f t="shared" si="3"/>
        <v/>
      </c>
      <c r="L485" s="172" t="str">
        <f t="array" ref="L485">IF($A485="","",INDEX('主表 Stock_Transaction_Log'!$P:$P,$A485))</f>
        <v/>
      </c>
      <c r="M485" s="57" t="str">
        <f>IF($A485="","",IF($H485&lt;=0,0,SUMIFS('主表 Stock_Transaction_Log'!$K$2:$K1000,'主表 Stock_Transaction_Log'!$C$2:$C1000,"Prepared",'主表 Stock_Transaction_Log'!$L$2:$L1000,$B485,'主表 Stock_Transaction_Log'!$F$2:$F1000,$C485,'主表 Stock_Transaction_Log'!$G$2:$G1000,$D485,'主表 Stock_Transaction_Log'!$P$2:$P1000,$L485)))</f>
        <v/>
      </c>
      <c r="N485" s="172"/>
      <c r="O485" s="172" t="str">
        <f t="shared" si="4"/>
        <v/>
      </c>
      <c r="P485" s="172" t="str">
        <f t="shared" si="5"/>
        <v/>
      </c>
      <c r="Q485" s="172" t="str">
        <f t="shared" si="9"/>
        <v/>
      </c>
      <c r="R485" s="172" t="str">
        <f t="shared" si="7"/>
        <v/>
      </c>
      <c r="S485" s="172" t="str">
        <f t="shared" si="8"/>
        <v/>
      </c>
    </row>
    <row r="486">
      <c r="A486" s="172" t="str">
        <f>IF('主表 Stock_Transaction_Log'!$T486="","",IF(COUNTIF('主表 Stock_Transaction_Log'!$T$2:$T486,'主表 Stock_Transaction_Log'!$T486)=1,ROW('主表 Stock_Transaction_Log'!$T486),""))</f>
        <v/>
      </c>
      <c r="B486" s="172" t="str">
        <f t="array" ref="B486">IF($A486="","",INDEX('主表 Stock_Transaction_Log'!$Q:$Q,$A486))</f>
        <v/>
      </c>
      <c r="C486" s="172" t="str">
        <f t="array" ref="C486">IF($A486="","",IF(INDEX('主表 Stock_Transaction_Log'!$F:$F,$A486)=0,"",INDEX('主表 Stock_Transaction_Log'!$F:$F,$A486)))</f>
        <v/>
      </c>
      <c r="D486" s="172" t="str">
        <f t="array" ref="D486">IF($A486="","",INDEX('主表 Stock_Transaction_Log'!$G:$G,$A486))</f>
        <v/>
      </c>
      <c r="E486" s="172" t="str">
        <f t="array" ref="E486">IF($A486="","",INDEX('主表 Stock_Transaction_Log'!$H:$H,$A486))</f>
        <v/>
      </c>
      <c r="F486" s="172" t="str">
        <f t="array" ref="F486">IF($A486="","",INDEX('主表 Stock_Transaction_Log'!$I:$I,$A486))</f>
        <v/>
      </c>
      <c r="G486" s="172" t="str">
        <f t="array" ref="G486">IF($A486="","",IF(INDEX('主表 Stock_Transaction_Log'!$R:$R,$A486)=0,"",INDEX('主表 Stock_Transaction_Log'!$R:$R,$A486)))</f>
        <v/>
      </c>
      <c r="H486" s="172" t="str">
        <f t="array" ref="H486">IF($A486="","",SUMIF('主表 Stock_Transaction_Log'!$T:$T,INDEX('主表 Stock_Transaction_Log'!$T:$T,$A486),'主表 Stock_Transaction_Log'!$S:$S)+SUMIF('主表 Stock_Transaction_Log'!$AB:$AB,INDEX('主表 Stock_Transaction_Log'!$T:$T,$A486),'主表 Stock_Transaction_Log'!$AC:$AC))</f>
        <v/>
      </c>
      <c r="I486" s="172" t="str">
        <f t="shared" si="1"/>
        <v/>
      </c>
      <c r="J486" s="172" t="str">
        <f t="shared" si="2"/>
        <v/>
      </c>
      <c r="K486" s="172" t="str">
        <f t="shared" si="3"/>
        <v/>
      </c>
      <c r="L486" s="172" t="str">
        <f t="array" ref="L486">IF($A486="","",INDEX('主表 Stock_Transaction_Log'!$P:$P,$A486))</f>
        <v/>
      </c>
      <c r="M486" s="57" t="str">
        <f>IF($A486="","",IF($H486&lt;=0,0,SUMIFS('主表 Stock_Transaction_Log'!$K$2:$K1000,'主表 Stock_Transaction_Log'!$C$2:$C1000,"Prepared",'主表 Stock_Transaction_Log'!$L$2:$L1000,$B486,'主表 Stock_Transaction_Log'!$F$2:$F1000,$C486,'主表 Stock_Transaction_Log'!$G$2:$G1000,$D486,'主表 Stock_Transaction_Log'!$P$2:$P1000,$L486)))</f>
        <v/>
      </c>
      <c r="N486" s="172"/>
      <c r="O486" s="172" t="str">
        <f t="shared" si="4"/>
        <v/>
      </c>
      <c r="P486" s="172" t="str">
        <f t="shared" si="5"/>
        <v/>
      </c>
      <c r="Q486" s="172" t="str">
        <f t="shared" si="9"/>
        <v/>
      </c>
      <c r="R486" s="172" t="str">
        <f t="shared" si="7"/>
        <v/>
      </c>
      <c r="S486" s="172" t="str">
        <f t="shared" si="8"/>
        <v/>
      </c>
    </row>
    <row r="487">
      <c r="A487" s="172" t="str">
        <f>IF('主表 Stock_Transaction_Log'!$T487="","",IF(COUNTIF('主表 Stock_Transaction_Log'!$T$2:$T487,'主表 Stock_Transaction_Log'!$T487)=1,ROW('主表 Stock_Transaction_Log'!$T487),""))</f>
        <v/>
      </c>
      <c r="B487" s="172" t="str">
        <f t="array" ref="B487">IF($A487="","",INDEX('主表 Stock_Transaction_Log'!$Q:$Q,$A487))</f>
        <v/>
      </c>
      <c r="C487" s="172" t="str">
        <f t="array" ref="C487">IF($A487="","",IF(INDEX('主表 Stock_Transaction_Log'!$F:$F,$A487)=0,"",INDEX('主表 Stock_Transaction_Log'!$F:$F,$A487)))</f>
        <v/>
      </c>
      <c r="D487" s="172" t="str">
        <f t="array" ref="D487">IF($A487="","",INDEX('主表 Stock_Transaction_Log'!$G:$G,$A487))</f>
        <v/>
      </c>
      <c r="E487" s="172" t="str">
        <f t="array" ref="E487">IF($A487="","",INDEX('主表 Stock_Transaction_Log'!$H:$H,$A487))</f>
        <v/>
      </c>
      <c r="F487" s="172" t="str">
        <f t="array" ref="F487">IF($A487="","",INDEX('主表 Stock_Transaction_Log'!$I:$I,$A487))</f>
        <v/>
      </c>
      <c r="G487" s="172" t="str">
        <f t="array" ref="G487">IF($A487="","",IF(INDEX('主表 Stock_Transaction_Log'!$R:$R,$A487)=0,"",INDEX('主表 Stock_Transaction_Log'!$R:$R,$A487)))</f>
        <v/>
      </c>
      <c r="H487" s="172" t="str">
        <f t="array" ref="H487">IF($A487="","",SUMIF('主表 Stock_Transaction_Log'!$T:$T,INDEX('主表 Stock_Transaction_Log'!$T:$T,$A487),'主表 Stock_Transaction_Log'!$S:$S)+SUMIF('主表 Stock_Transaction_Log'!$AB:$AB,INDEX('主表 Stock_Transaction_Log'!$T:$T,$A487),'主表 Stock_Transaction_Log'!$AC:$AC))</f>
        <v/>
      </c>
      <c r="I487" s="172" t="str">
        <f t="shared" si="1"/>
        <v/>
      </c>
      <c r="J487" s="172" t="str">
        <f t="shared" si="2"/>
        <v/>
      </c>
      <c r="K487" s="172" t="str">
        <f t="shared" si="3"/>
        <v/>
      </c>
      <c r="L487" s="172" t="str">
        <f t="array" ref="L487">IF($A487="","",INDEX('主表 Stock_Transaction_Log'!$P:$P,$A487))</f>
        <v/>
      </c>
      <c r="M487" s="57" t="str">
        <f>IF($A487="","",IF($H487&lt;=0,0,SUMIFS('主表 Stock_Transaction_Log'!$K$2:$K1000,'主表 Stock_Transaction_Log'!$C$2:$C1000,"Prepared",'主表 Stock_Transaction_Log'!$L$2:$L1000,$B487,'主表 Stock_Transaction_Log'!$F$2:$F1000,$C487,'主表 Stock_Transaction_Log'!$G$2:$G1000,$D487,'主表 Stock_Transaction_Log'!$P$2:$P1000,$L487)))</f>
        <v/>
      </c>
      <c r="N487" s="172"/>
      <c r="O487" s="172" t="str">
        <f t="shared" si="4"/>
        <v/>
      </c>
      <c r="P487" s="172" t="str">
        <f t="shared" si="5"/>
        <v/>
      </c>
      <c r="Q487" s="172" t="str">
        <f t="shared" si="9"/>
        <v/>
      </c>
      <c r="R487" s="172" t="str">
        <f t="shared" si="7"/>
        <v/>
      </c>
      <c r="S487" s="172" t="str">
        <f t="shared" si="8"/>
        <v/>
      </c>
    </row>
    <row r="488">
      <c r="A488" s="172" t="str">
        <f>IF('主表 Stock_Transaction_Log'!$T488="","",IF(COUNTIF('主表 Stock_Transaction_Log'!$T$2:$T488,'主表 Stock_Transaction_Log'!$T488)=1,ROW('主表 Stock_Transaction_Log'!$T488),""))</f>
        <v/>
      </c>
      <c r="B488" s="172" t="str">
        <f t="array" ref="B488">IF($A488="","",INDEX('主表 Stock_Transaction_Log'!$Q:$Q,$A488))</f>
        <v/>
      </c>
      <c r="C488" s="172" t="str">
        <f t="array" ref="C488">IF($A488="","",IF(INDEX('主表 Stock_Transaction_Log'!$F:$F,$A488)=0,"",INDEX('主表 Stock_Transaction_Log'!$F:$F,$A488)))</f>
        <v/>
      </c>
      <c r="D488" s="172" t="str">
        <f t="array" ref="D488">IF($A488="","",INDEX('主表 Stock_Transaction_Log'!$G:$G,$A488))</f>
        <v/>
      </c>
      <c r="E488" s="172" t="str">
        <f t="array" ref="E488">IF($A488="","",INDEX('主表 Stock_Transaction_Log'!$H:$H,$A488))</f>
        <v/>
      </c>
      <c r="F488" s="172" t="str">
        <f t="array" ref="F488">IF($A488="","",INDEX('主表 Stock_Transaction_Log'!$I:$I,$A488))</f>
        <v/>
      </c>
      <c r="G488" s="172" t="str">
        <f t="array" ref="G488">IF($A488="","",IF(INDEX('主表 Stock_Transaction_Log'!$R:$R,$A488)=0,"",INDEX('主表 Stock_Transaction_Log'!$R:$R,$A488)))</f>
        <v/>
      </c>
      <c r="H488" s="172" t="str">
        <f t="array" ref="H488">IF($A488="","",SUMIF('主表 Stock_Transaction_Log'!$T:$T,INDEX('主表 Stock_Transaction_Log'!$T:$T,$A488),'主表 Stock_Transaction_Log'!$S:$S)+SUMIF('主表 Stock_Transaction_Log'!$AB:$AB,INDEX('主表 Stock_Transaction_Log'!$T:$T,$A488),'主表 Stock_Transaction_Log'!$AC:$AC))</f>
        <v/>
      </c>
      <c r="I488" s="172" t="str">
        <f t="shared" si="1"/>
        <v/>
      </c>
      <c r="J488" s="172" t="str">
        <f t="shared" si="2"/>
        <v/>
      </c>
      <c r="K488" s="172" t="str">
        <f t="shared" si="3"/>
        <v/>
      </c>
      <c r="L488" s="172" t="str">
        <f t="array" ref="L488">IF($A488="","",INDEX('主表 Stock_Transaction_Log'!$P:$P,$A488))</f>
        <v/>
      </c>
      <c r="M488" s="57" t="str">
        <f>IF($A488="","",IF($H488&lt;=0,0,SUMIFS('主表 Stock_Transaction_Log'!$K$2:$K1000,'主表 Stock_Transaction_Log'!$C$2:$C1000,"Prepared",'主表 Stock_Transaction_Log'!$L$2:$L1000,$B488,'主表 Stock_Transaction_Log'!$F$2:$F1000,$C488,'主表 Stock_Transaction_Log'!$G$2:$G1000,$D488,'主表 Stock_Transaction_Log'!$P$2:$P1000,$L488)))</f>
        <v/>
      </c>
      <c r="N488" s="172"/>
      <c r="O488" s="172" t="str">
        <f t="shared" si="4"/>
        <v/>
      </c>
      <c r="P488" s="172" t="str">
        <f t="shared" si="5"/>
        <v/>
      </c>
      <c r="Q488" s="172" t="str">
        <f t="shared" si="9"/>
        <v/>
      </c>
      <c r="R488" s="172" t="str">
        <f t="shared" si="7"/>
        <v/>
      </c>
      <c r="S488" s="172" t="str">
        <f t="shared" si="8"/>
        <v/>
      </c>
    </row>
    <row r="489">
      <c r="A489" s="172" t="str">
        <f>IF('主表 Stock_Transaction_Log'!$T489="","",IF(COUNTIF('主表 Stock_Transaction_Log'!$T$2:$T489,'主表 Stock_Transaction_Log'!$T489)=1,ROW('主表 Stock_Transaction_Log'!$T489),""))</f>
        <v/>
      </c>
      <c r="B489" s="172" t="str">
        <f t="array" ref="B489">IF($A489="","",INDEX('主表 Stock_Transaction_Log'!$Q:$Q,$A489))</f>
        <v/>
      </c>
      <c r="C489" s="172" t="str">
        <f t="array" ref="C489">IF($A489="","",IF(INDEX('主表 Stock_Transaction_Log'!$F:$F,$A489)=0,"",INDEX('主表 Stock_Transaction_Log'!$F:$F,$A489)))</f>
        <v/>
      </c>
      <c r="D489" s="172" t="str">
        <f t="array" ref="D489">IF($A489="","",INDEX('主表 Stock_Transaction_Log'!$G:$G,$A489))</f>
        <v/>
      </c>
      <c r="E489" s="172" t="str">
        <f t="array" ref="E489">IF($A489="","",INDEX('主表 Stock_Transaction_Log'!$H:$H,$A489))</f>
        <v/>
      </c>
      <c r="F489" s="172" t="str">
        <f t="array" ref="F489">IF($A489="","",INDEX('主表 Stock_Transaction_Log'!$I:$I,$A489))</f>
        <v/>
      </c>
      <c r="G489" s="172" t="str">
        <f t="array" ref="G489">IF($A489="","",IF(INDEX('主表 Stock_Transaction_Log'!$R:$R,$A489)=0,"",INDEX('主表 Stock_Transaction_Log'!$R:$R,$A489)))</f>
        <v/>
      </c>
      <c r="H489" s="172" t="str">
        <f t="array" ref="H489">IF($A489="","",SUMIF('主表 Stock_Transaction_Log'!$T:$T,INDEX('主表 Stock_Transaction_Log'!$T:$T,$A489),'主表 Stock_Transaction_Log'!$S:$S)+SUMIF('主表 Stock_Transaction_Log'!$AB:$AB,INDEX('主表 Stock_Transaction_Log'!$T:$T,$A489),'主表 Stock_Transaction_Log'!$AC:$AC))</f>
        <v/>
      </c>
      <c r="I489" s="172" t="str">
        <f t="shared" si="1"/>
        <v/>
      </c>
      <c r="J489" s="172" t="str">
        <f t="shared" si="2"/>
        <v/>
      </c>
      <c r="K489" s="172" t="str">
        <f t="shared" si="3"/>
        <v/>
      </c>
      <c r="L489" s="172" t="str">
        <f t="array" ref="L489">IF($A489="","",INDEX('主表 Stock_Transaction_Log'!$P:$P,$A489))</f>
        <v/>
      </c>
      <c r="M489" s="57" t="str">
        <f>IF($A489="","",IF($H489&lt;=0,0,SUMIFS('主表 Stock_Transaction_Log'!$K$2:$K1000,'主表 Stock_Transaction_Log'!$C$2:$C1000,"Prepared",'主表 Stock_Transaction_Log'!$L$2:$L1000,$B489,'主表 Stock_Transaction_Log'!$F$2:$F1000,$C489,'主表 Stock_Transaction_Log'!$G$2:$G1000,$D489,'主表 Stock_Transaction_Log'!$P$2:$P1000,$L489)))</f>
        <v/>
      </c>
      <c r="N489" s="172"/>
      <c r="O489" s="172" t="str">
        <f t="shared" si="4"/>
        <v/>
      </c>
      <c r="P489" s="172" t="str">
        <f t="shared" si="5"/>
        <v/>
      </c>
      <c r="Q489" s="172" t="str">
        <f t="shared" si="9"/>
        <v/>
      </c>
      <c r="R489" s="172" t="str">
        <f t="shared" si="7"/>
        <v/>
      </c>
      <c r="S489" s="172" t="str">
        <f t="shared" si="8"/>
        <v/>
      </c>
    </row>
    <row r="490">
      <c r="A490" s="172" t="str">
        <f>IF('主表 Stock_Transaction_Log'!$T490="","",IF(COUNTIF('主表 Stock_Transaction_Log'!$T$2:$T490,'主表 Stock_Transaction_Log'!$T490)=1,ROW('主表 Stock_Transaction_Log'!$T490),""))</f>
        <v/>
      </c>
      <c r="B490" s="172" t="str">
        <f t="array" ref="B490">IF($A490="","",INDEX('主表 Stock_Transaction_Log'!$Q:$Q,$A490))</f>
        <v/>
      </c>
      <c r="C490" s="172" t="str">
        <f t="array" ref="C490">IF($A490="","",IF(INDEX('主表 Stock_Transaction_Log'!$F:$F,$A490)=0,"",INDEX('主表 Stock_Transaction_Log'!$F:$F,$A490)))</f>
        <v/>
      </c>
      <c r="D490" s="172" t="str">
        <f t="array" ref="D490">IF($A490="","",INDEX('主表 Stock_Transaction_Log'!$G:$G,$A490))</f>
        <v/>
      </c>
      <c r="E490" s="172" t="str">
        <f t="array" ref="E490">IF($A490="","",INDEX('主表 Stock_Transaction_Log'!$H:$H,$A490))</f>
        <v/>
      </c>
      <c r="F490" s="172" t="str">
        <f t="array" ref="F490">IF($A490="","",INDEX('主表 Stock_Transaction_Log'!$I:$I,$A490))</f>
        <v/>
      </c>
      <c r="G490" s="172" t="str">
        <f t="array" ref="G490">IF($A490="","",IF(INDEX('主表 Stock_Transaction_Log'!$R:$R,$A490)=0,"",INDEX('主表 Stock_Transaction_Log'!$R:$R,$A490)))</f>
        <v/>
      </c>
      <c r="H490" s="172" t="str">
        <f t="array" ref="H490">IF($A490="","",SUMIF('主表 Stock_Transaction_Log'!$T:$T,INDEX('主表 Stock_Transaction_Log'!$T:$T,$A490),'主表 Stock_Transaction_Log'!$S:$S)+SUMIF('主表 Stock_Transaction_Log'!$AB:$AB,INDEX('主表 Stock_Transaction_Log'!$T:$T,$A490),'主表 Stock_Transaction_Log'!$AC:$AC))</f>
        <v/>
      </c>
      <c r="I490" s="172" t="str">
        <f t="shared" si="1"/>
        <v/>
      </c>
      <c r="J490" s="172" t="str">
        <f t="shared" si="2"/>
        <v/>
      </c>
      <c r="K490" s="172" t="str">
        <f t="shared" si="3"/>
        <v/>
      </c>
      <c r="L490" s="172" t="str">
        <f t="array" ref="L490">IF($A490="","",INDEX('主表 Stock_Transaction_Log'!$P:$P,$A490))</f>
        <v/>
      </c>
      <c r="M490" s="57" t="str">
        <f>IF($A490="","",IF($H490&lt;=0,0,SUMIFS('主表 Stock_Transaction_Log'!$K$2:$K1000,'主表 Stock_Transaction_Log'!$C$2:$C1000,"Prepared",'主表 Stock_Transaction_Log'!$L$2:$L1000,$B490,'主表 Stock_Transaction_Log'!$F$2:$F1000,$C490,'主表 Stock_Transaction_Log'!$G$2:$G1000,$D490,'主表 Stock_Transaction_Log'!$P$2:$P1000,$L490)))</f>
        <v/>
      </c>
      <c r="N490" s="172"/>
      <c r="O490" s="172" t="str">
        <f t="shared" si="4"/>
        <v/>
      </c>
      <c r="P490" s="172" t="str">
        <f t="shared" si="5"/>
        <v/>
      </c>
      <c r="Q490" s="172" t="str">
        <f t="shared" si="9"/>
        <v/>
      </c>
      <c r="R490" s="172" t="str">
        <f t="shared" si="7"/>
        <v/>
      </c>
      <c r="S490" s="172" t="str">
        <f t="shared" si="8"/>
        <v/>
      </c>
    </row>
    <row r="491">
      <c r="A491" s="172" t="str">
        <f>IF('主表 Stock_Transaction_Log'!$T491="","",IF(COUNTIF('主表 Stock_Transaction_Log'!$T$2:$T491,'主表 Stock_Transaction_Log'!$T491)=1,ROW('主表 Stock_Transaction_Log'!$T491),""))</f>
        <v/>
      </c>
      <c r="B491" s="172" t="str">
        <f t="array" ref="B491">IF($A491="","",INDEX('主表 Stock_Transaction_Log'!$Q:$Q,$A491))</f>
        <v/>
      </c>
      <c r="C491" s="172" t="str">
        <f t="array" ref="C491">IF($A491="","",IF(INDEX('主表 Stock_Transaction_Log'!$F:$F,$A491)=0,"",INDEX('主表 Stock_Transaction_Log'!$F:$F,$A491)))</f>
        <v/>
      </c>
      <c r="D491" s="172" t="str">
        <f t="array" ref="D491">IF($A491="","",INDEX('主表 Stock_Transaction_Log'!$G:$G,$A491))</f>
        <v/>
      </c>
      <c r="E491" s="172" t="str">
        <f t="array" ref="E491">IF($A491="","",INDEX('主表 Stock_Transaction_Log'!$H:$H,$A491))</f>
        <v/>
      </c>
      <c r="F491" s="172" t="str">
        <f t="array" ref="F491">IF($A491="","",INDEX('主表 Stock_Transaction_Log'!$I:$I,$A491))</f>
        <v/>
      </c>
      <c r="G491" s="172" t="str">
        <f t="array" ref="G491">IF($A491="","",IF(INDEX('主表 Stock_Transaction_Log'!$R:$R,$A491)=0,"",INDEX('主表 Stock_Transaction_Log'!$R:$R,$A491)))</f>
        <v/>
      </c>
      <c r="H491" s="172" t="str">
        <f t="array" ref="H491">IF($A491="","",SUMIF('主表 Stock_Transaction_Log'!$T:$T,INDEX('主表 Stock_Transaction_Log'!$T:$T,$A491),'主表 Stock_Transaction_Log'!$S:$S)+SUMIF('主表 Stock_Transaction_Log'!$AB:$AB,INDEX('主表 Stock_Transaction_Log'!$T:$T,$A491),'主表 Stock_Transaction_Log'!$AC:$AC))</f>
        <v/>
      </c>
      <c r="I491" s="172" t="str">
        <f t="shared" si="1"/>
        <v/>
      </c>
      <c r="J491" s="172" t="str">
        <f t="shared" si="2"/>
        <v/>
      </c>
      <c r="K491" s="172" t="str">
        <f t="shared" si="3"/>
        <v/>
      </c>
      <c r="L491" s="172" t="str">
        <f t="array" ref="L491">IF($A491="","",INDEX('主表 Stock_Transaction_Log'!$P:$P,$A491))</f>
        <v/>
      </c>
      <c r="M491" s="57" t="str">
        <f>IF($A491="","",IF($H491&lt;=0,0,SUMIFS('主表 Stock_Transaction_Log'!$K$2:$K1000,'主表 Stock_Transaction_Log'!$C$2:$C1000,"Prepared",'主表 Stock_Transaction_Log'!$L$2:$L1000,$B491,'主表 Stock_Transaction_Log'!$F$2:$F1000,$C491,'主表 Stock_Transaction_Log'!$G$2:$G1000,$D491,'主表 Stock_Transaction_Log'!$P$2:$P1000,$L491)))</f>
        <v/>
      </c>
      <c r="N491" s="172"/>
      <c r="O491" s="172" t="str">
        <f t="shared" si="4"/>
        <v/>
      </c>
      <c r="P491" s="172" t="str">
        <f t="shared" si="5"/>
        <v/>
      </c>
      <c r="Q491" s="172" t="str">
        <f t="shared" si="9"/>
        <v/>
      </c>
      <c r="R491" s="172" t="str">
        <f t="shared" si="7"/>
        <v/>
      </c>
      <c r="S491" s="172" t="str">
        <f t="shared" si="8"/>
        <v/>
      </c>
    </row>
    <row r="492">
      <c r="A492" s="172" t="str">
        <f>IF('主表 Stock_Transaction_Log'!$T492="","",IF(COUNTIF('主表 Stock_Transaction_Log'!$T$2:$T492,'主表 Stock_Transaction_Log'!$T492)=1,ROW('主表 Stock_Transaction_Log'!$T492),""))</f>
        <v/>
      </c>
      <c r="B492" s="172" t="str">
        <f t="array" ref="B492">IF($A492="","",INDEX('主表 Stock_Transaction_Log'!$Q:$Q,$A492))</f>
        <v/>
      </c>
      <c r="C492" s="172" t="str">
        <f t="array" ref="C492">IF($A492="","",IF(INDEX('主表 Stock_Transaction_Log'!$F:$F,$A492)=0,"",INDEX('主表 Stock_Transaction_Log'!$F:$F,$A492)))</f>
        <v/>
      </c>
      <c r="D492" s="172" t="str">
        <f t="array" ref="D492">IF($A492="","",INDEX('主表 Stock_Transaction_Log'!$G:$G,$A492))</f>
        <v/>
      </c>
      <c r="E492" s="172" t="str">
        <f t="array" ref="E492">IF($A492="","",INDEX('主表 Stock_Transaction_Log'!$H:$H,$A492))</f>
        <v/>
      </c>
      <c r="F492" s="172" t="str">
        <f t="array" ref="F492">IF($A492="","",INDEX('主表 Stock_Transaction_Log'!$I:$I,$A492))</f>
        <v/>
      </c>
      <c r="G492" s="172" t="str">
        <f t="array" ref="G492">IF($A492="","",IF(INDEX('主表 Stock_Transaction_Log'!$R:$R,$A492)=0,"",INDEX('主表 Stock_Transaction_Log'!$R:$R,$A492)))</f>
        <v/>
      </c>
      <c r="H492" s="172" t="str">
        <f t="array" ref="H492">IF($A492="","",SUMIF('主表 Stock_Transaction_Log'!$T:$T,INDEX('主表 Stock_Transaction_Log'!$T:$T,$A492),'主表 Stock_Transaction_Log'!$S:$S)+SUMIF('主表 Stock_Transaction_Log'!$AB:$AB,INDEX('主表 Stock_Transaction_Log'!$T:$T,$A492),'主表 Stock_Transaction_Log'!$AC:$AC))</f>
        <v/>
      </c>
      <c r="I492" s="172" t="str">
        <f t="shared" si="1"/>
        <v/>
      </c>
      <c r="J492" s="172" t="str">
        <f t="shared" si="2"/>
        <v/>
      </c>
      <c r="K492" s="172" t="str">
        <f t="shared" si="3"/>
        <v/>
      </c>
      <c r="L492" s="172" t="str">
        <f t="array" ref="L492">IF($A492="","",INDEX('主表 Stock_Transaction_Log'!$P:$P,$A492))</f>
        <v/>
      </c>
      <c r="M492" s="57" t="str">
        <f>IF($A492="","",IF($H492&lt;=0,0,SUMIFS('主表 Stock_Transaction_Log'!$K$2:$K1000,'主表 Stock_Transaction_Log'!$C$2:$C1000,"Prepared",'主表 Stock_Transaction_Log'!$L$2:$L1000,$B492,'主表 Stock_Transaction_Log'!$F$2:$F1000,$C492,'主表 Stock_Transaction_Log'!$G$2:$G1000,$D492,'主表 Stock_Transaction_Log'!$P$2:$P1000,$L492)))</f>
        <v/>
      </c>
      <c r="N492" s="172"/>
      <c r="O492" s="172" t="str">
        <f t="shared" si="4"/>
        <v/>
      </c>
      <c r="P492" s="172" t="str">
        <f t="shared" si="5"/>
        <v/>
      </c>
      <c r="Q492" s="172" t="str">
        <f t="shared" si="9"/>
        <v/>
      </c>
      <c r="R492" s="172" t="str">
        <f t="shared" si="7"/>
        <v/>
      </c>
      <c r="S492" s="172" t="str">
        <f t="shared" si="8"/>
        <v/>
      </c>
    </row>
    <row r="493">
      <c r="A493" s="172" t="str">
        <f>IF('主表 Stock_Transaction_Log'!$T493="","",IF(COUNTIF('主表 Stock_Transaction_Log'!$T$2:$T493,'主表 Stock_Transaction_Log'!$T493)=1,ROW('主表 Stock_Transaction_Log'!$T493),""))</f>
        <v/>
      </c>
      <c r="B493" s="172" t="str">
        <f t="array" ref="B493">IF($A493="","",INDEX('主表 Stock_Transaction_Log'!$Q:$Q,$A493))</f>
        <v/>
      </c>
      <c r="C493" s="172" t="str">
        <f t="array" ref="C493">IF($A493="","",IF(INDEX('主表 Stock_Transaction_Log'!$F:$F,$A493)=0,"",INDEX('主表 Stock_Transaction_Log'!$F:$F,$A493)))</f>
        <v/>
      </c>
      <c r="D493" s="172" t="str">
        <f t="array" ref="D493">IF($A493="","",INDEX('主表 Stock_Transaction_Log'!$G:$G,$A493))</f>
        <v/>
      </c>
      <c r="E493" s="172" t="str">
        <f t="array" ref="E493">IF($A493="","",INDEX('主表 Stock_Transaction_Log'!$H:$H,$A493))</f>
        <v/>
      </c>
      <c r="F493" s="172" t="str">
        <f t="array" ref="F493">IF($A493="","",INDEX('主表 Stock_Transaction_Log'!$I:$I,$A493))</f>
        <v/>
      </c>
      <c r="G493" s="172" t="str">
        <f t="array" ref="G493">IF($A493="","",IF(INDEX('主表 Stock_Transaction_Log'!$R:$R,$A493)=0,"",INDEX('主表 Stock_Transaction_Log'!$R:$R,$A493)))</f>
        <v/>
      </c>
      <c r="H493" s="172" t="str">
        <f t="array" ref="H493">IF($A493="","",SUMIF('主表 Stock_Transaction_Log'!$T:$T,INDEX('主表 Stock_Transaction_Log'!$T:$T,$A493),'主表 Stock_Transaction_Log'!$S:$S)+SUMIF('主表 Stock_Transaction_Log'!$AB:$AB,INDEX('主表 Stock_Transaction_Log'!$T:$T,$A493),'主表 Stock_Transaction_Log'!$AC:$AC))</f>
        <v/>
      </c>
      <c r="I493" s="172" t="str">
        <f t="shared" si="1"/>
        <v/>
      </c>
      <c r="J493" s="172" t="str">
        <f t="shared" si="2"/>
        <v/>
      </c>
      <c r="K493" s="172" t="str">
        <f t="shared" si="3"/>
        <v/>
      </c>
      <c r="L493" s="172" t="str">
        <f t="array" ref="L493">IF($A493="","",INDEX('主表 Stock_Transaction_Log'!$P:$P,$A493))</f>
        <v/>
      </c>
      <c r="M493" s="57" t="str">
        <f>IF($A493="","",IF($H493&lt;=0,0,SUMIFS('主表 Stock_Transaction_Log'!$K$2:$K1000,'主表 Stock_Transaction_Log'!$C$2:$C1000,"Prepared",'主表 Stock_Transaction_Log'!$L$2:$L1000,$B493,'主表 Stock_Transaction_Log'!$F$2:$F1000,$C493,'主表 Stock_Transaction_Log'!$G$2:$G1000,$D493,'主表 Stock_Transaction_Log'!$P$2:$P1000,$L493)))</f>
        <v/>
      </c>
      <c r="N493" s="172"/>
      <c r="O493" s="172" t="str">
        <f t="shared" si="4"/>
        <v/>
      </c>
      <c r="P493" s="172" t="str">
        <f t="shared" si="5"/>
        <v/>
      </c>
      <c r="Q493" s="172" t="str">
        <f t="shared" si="9"/>
        <v/>
      </c>
      <c r="R493" s="172" t="str">
        <f t="shared" si="7"/>
        <v/>
      </c>
      <c r="S493" s="172" t="str">
        <f t="shared" si="8"/>
        <v/>
      </c>
    </row>
    <row r="494">
      <c r="A494" s="172" t="str">
        <f>IF('主表 Stock_Transaction_Log'!$T494="","",IF(COUNTIF('主表 Stock_Transaction_Log'!$T$2:$T494,'主表 Stock_Transaction_Log'!$T494)=1,ROW('主表 Stock_Transaction_Log'!$T494),""))</f>
        <v/>
      </c>
      <c r="B494" s="172" t="str">
        <f t="array" ref="B494">IF($A494="","",INDEX('主表 Stock_Transaction_Log'!$Q:$Q,$A494))</f>
        <v/>
      </c>
      <c r="C494" s="172" t="str">
        <f t="array" ref="C494">IF($A494="","",IF(INDEX('主表 Stock_Transaction_Log'!$F:$F,$A494)=0,"",INDEX('主表 Stock_Transaction_Log'!$F:$F,$A494)))</f>
        <v/>
      </c>
      <c r="D494" s="172" t="str">
        <f t="array" ref="D494">IF($A494="","",INDEX('主表 Stock_Transaction_Log'!$G:$G,$A494))</f>
        <v/>
      </c>
      <c r="E494" s="172" t="str">
        <f t="array" ref="E494">IF($A494="","",INDEX('主表 Stock_Transaction_Log'!$H:$H,$A494))</f>
        <v/>
      </c>
      <c r="F494" s="172" t="str">
        <f t="array" ref="F494">IF($A494="","",INDEX('主表 Stock_Transaction_Log'!$I:$I,$A494))</f>
        <v/>
      </c>
      <c r="G494" s="172" t="str">
        <f t="array" ref="G494">IF($A494="","",IF(INDEX('主表 Stock_Transaction_Log'!$R:$R,$A494)=0,"",INDEX('主表 Stock_Transaction_Log'!$R:$R,$A494)))</f>
        <v/>
      </c>
      <c r="H494" s="172" t="str">
        <f t="array" ref="H494">IF($A494="","",SUMIF('主表 Stock_Transaction_Log'!$T:$T,INDEX('主表 Stock_Transaction_Log'!$T:$T,$A494),'主表 Stock_Transaction_Log'!$S:$S)+SUMIF('主表 Stock_Transaction_Log'!$AB:$AB,INDEX('主表 Stock_Transaction_Log'!$T:$T,$A494),'主表 Stock_Transaction_Log'!$AC:$AC))</f>
        <v/>
      </c>
      <c r="I494" s="172" t="str">
        <f t="shared" si="1"/>
        <v/>
      </c>
      <c r="J494" s="172" t="str">
        <f t="shared" si="2"/>
        <v/>
      </c>
      <c r="K494" s="172" t="str">
        <f t="shared" si="3"/>
        <v/>
      </c>
      <c r="L494" s="172" t="str">
        <f t="array" ref="L494">IF($A494="","",INDEX('主表 Stock_Transaction_Log'!$P:$P,$A494))</f>
        <v/>
      </c>
      <c r="M494" s="57" t="str">
        <f>IF($A494="","",IF($H494&lt;=0,0,SUMIFS('主表 Stock_Transaction_Log'!$K$2:$K1000,'主表 Stock_Transaction_Log'!$C$2:$C1000,"Prepared",'主表 Stock_Transaction_Log'!$L$2:$L1000,$B494,'主表 Stock_Transaction_Log'!$F$2:$F1000,$C494,'主表 Stock_Transaction_Log'!$G$2:$G1000,$D494,'主表 Stock_Transaction_Log'!$P$2:$P1000,$L494)))</f>
        <v/>
      </c>
      <c r="N494" s="172"/>
      <c r="O494" s="172" t="str">
        <f t="shared" si="4"/>
        <v/>
      </c>
      <c r="P494" s="172" t="str">
        <f t="shared" si="5"/>
        <v/>
      </c>
      <c r="Q494" s="172" t="str">
        <f t="shared" si="9"/>
        <v/>
      </c>
      <c r="R494" s="172" t="str">
        <f t="shared" si="7"/>
        <v/>
      </c>
      <c r="S494" s="172" t="str">
        <f t="shared" si="8"/>
        <v/>
      </c>
    </row>
    <row r="495">
      <c r="A495" s="172" t="str">
        <f>IF('主表 Stock_Transaction_Log'!$T495="","",IF(COUNTIF('主表 Stock_Transaction_Log'!$T$2:$T495,'主表 Stock_Transaction_Log'!$T495)=1,ROW('主表 Stock_Transaction_Log'!$T495),""))</f>
        <v/>
      </c>
      <c r="B495" s="172" t="str">
        <f t="array" ref="B495">IF($A495="","",INDEX('主表 Stock_Transaction_Log'!$Q:$Q,$A495))</f>
        <v/>
      </c>
      <c r="C495" s="172" t="str">
        <f t="array" ref="C495">IF($A495="","",IF(INDEX('主表 Stock_Transaction_Log'!$F:$F,$A495)=0,"",INDEX('主表 Stock_Transaction_Log'!$F:$F,$A495)))</f>
        <v/>
      </c>
      <c r="D495" s="172" t="str">
        <f t="array" ref="D495">IF($A495="","",INDEX('主表 Stock_Transaction_Log'!$G:$G,$A495))</f>
        <v/>
      </c>
      <c r="E495" s="172" t="str">
        <f t="array" ref="E495">IF($A495="","",INDEX('主表 Stock_Transaction_Log'!$H:$H,$A495))</f>
        <v/>
      </c>
      <c r="F495" s="172" t="str">
        <f t="array" ref="F495">IF($A495="","",INDEX('主表 Stock_Transaction_Log'!$I:$I,$A495))</f>
        <v/>
      </c>
      <c r="G495" s="172" t="str">
        <f t="array" ref="G495">IF($A495="","",IF(INDEX('主表 Stock_Transaction_Log'!$R:$R,$A495)=0,"",INDEX('主表 Stock_Transaction_Log'!$R:$R,$A495)))</f>
        <v/>
      </c>
      <c r="H495" s="172" t="str">
        <f t="array" ref="H495">IF($A495="","",SUMIF('主表 Stock_Transaction_Log'!$T:$T,INDEX('主表 Stock_Transaction_Log'!$T:$T,$A495),'主表 Stock_Transaction_Log'!$S:$S)+SUMIF('主表 Stock_Transaction_Log'!$AB:$AB,INDEX('主表 Stock_Transaction_Log'!$T:$T,$A495),'主表 Stock_Transaction_Log'!$AC:$AC))</f>
        <v/>
      </c>
      <c r="I495" s="172" t="str">
        <f t="shared" si="1"/>
        <v/>
      </c>
      <c r="J495" s="172" t="str">
        <f t="shared" si="2"/>
        <v/>
      </c>
      <c r="K495" s="172" t="str">
        <f t="shared" si="3"/>
        <v/>
      </c>
      <c r="L495" s="172" t="str">
        <f t="array" ref="L495">IF($A495="","",INDEX('主表 Stock_Transaction_Log'!$P:$P,$A495))</f>
        <v/>
      </c>
      <c r="M495" s="57" t="str">
        <f>IF($A495="","",IF($H495&lt;=0,0,SUMIFS('主表 Stock_Transaction_Log'!$K$2:$K1000,'主表 Stock_Transaction_Log'!$C$2:$C1000,"Prepared",'主表 Stock_Transaction_Log'!$L$2:$L1000,$B495,'主表 Stock_Transaction_Log'!$F$2:$F1000,$C495,'主表 Stock_Transaction_Log'!$G$2:$G1000,$D495,'主表 Stock_Transaction_Log'!$P$2:$P1000,$L495)))</f>
        <v/>
      </c>
      <c r="N495" s="172"/>
      <c r="O495" s="172" t="str">
        <f t="shared" si="4"/>
        <v/>
      </c>
      <c r="P495" s="172" t="str">
        <f t="shared" si="5"/>
        <v/>
      </c>
      <c r="Q495" s="172" t="str">
        <f t="shared" si="9"/>
        <v/>
      </c>
      <c r="R495" s="172" t="str">
        <f t="shared" si="7"/>
        <v/>
      </c>
      <c r="S495" s="172" t="str">
        <f t="shared" si="8"/>
        <v/>
      </c>
    </row>
    <row r="496">
      <c r="A496" s="172" t="str">
        <f>IF('主表 Stock_Transaction_Log'!$T496="","",IF(COUNTIF('主表 Stock_Transaction_Log'!$T$2:$T496,'主表 Stock_Transaction_Log'!$T496)=1,ROW('主表 Stock_Transaction_Log'!$T496),""))</f>
        <v/>
      </c>
      <c r="B496" s="172" t="str">
        <f t="array" ref="B496">IF($A496="","",INDEX('主表 Stock_Transaction_Log'!$Q:$Q,$A496))</f>
        <v/>
      </c>
      <c r="C496" s="172" t="str">
        <f t="array" ref="C496">IF($A496="","",IF(INDEX('主表 Stock_Transaction_Log'!$F:$F,$A496)=0,"",INDEX('主表 Stock_Transaction_Log'!$F:$F,$A496)))</f>
        <v/>
      </c>
      <c r="D496" s="172" t="str">
        <f t="array" ref="D496">IF($A496="","",INDEX('主表 Stock_Transaction_Log'!$G:$G,$A496))</f>
        <v/>
      </c>
      <c r="E496" s="172" t="str">
        <f t="array" ref="E496">IF($A496="","",INDEX('主表 Stock_Transaction_Log'!$H:$H,$A496))</f>
        <v/>
      </c>
      <c r="F496" s="172" t="str">
        <f t="array" ref="F496">IF($A496="","",INDEX('主表 Stock_Transaction_Log'!$I:$I,$A496))</f>
        <v/>
      </c>
      <c r="G496" s="172" t="str">
        <f t="array" ref="G496">IF($A496="","",IF(INDEX('主表 Stock_Transaction_Log'!$R:$R,$A496)=0,"",INDEX('主表 Stock_Transaction_Log'!$R:$R,$A496)))</f>
        <v/>
      </c>
      <c r="H496" s="172" t="str">
        <f t="array" ref="H496">IF($A496="","",SUMIF('主表 Stock_Transaction_Log'!$T:$T,INDEX('主表 Stock_Transaction_Log'!$T:$T,$A496),'主表 Stock_Transaction_Log'!$S:$S)+SUMIF('主表 Stock_Transaction_Log'!$AB:$AB,INDEX('主表 Stock_Transaction_Log'!$T:$T,$A496),'主表 Stock_Transaction_Log'!$AC:$AC))</f>
        <v/>
      </c>
      <c r="I496" s="172" t="str">
        <f t="shared" si="1"/>
        <v/>
      </c>
      <c r="J496" s="172" t="str">
        <f t="shared" si="2"/>
        <v/>
      </c>
      <c r="K496" s="172" t="str">
        <f t="shared" si="3"/>
        <v/>
      </c>
      <c r="L496" s="172" t="str">
        <f t="array" ref="L496">IF($A496="","",INDEX('主表 Stock_Transaction_Log'!$P:$P,$A496))</f>
        <v/>
      </c>
      <c r="M496" s="57" t="str">
        <f>IF($A496="","",IF($H496&lt;=0,0,SUMIFS('主表 Stock_Transaction_Log'!$K$2:$K1000,'主表 Stock_Transaction_Log'!$C$2:$C1000,"Prepared",'主表 Stock_Transaction_Log'!$L$2:$L1000,$B496,'主表 Stock_Transaction_Log'!$F$2:$F1000,$C496,'主表 Stock_Transaction_Log'!$G$2:$G1000,$D496,'主表 Stock_Transaction_Log'!$P$2:$P1000,$L496)))</f>
        <v/>
      </c>
      <c r="N496" s="172"/>
      <c r="O496" s="172" t="str">
        <f t="shared" si="4"/>
        <v/>
      </c>
      <c r="P496" s="172" t="str">
        <f t="shared" si="5"/>
        <v/>
      </c>
      <c r="Q496" s="172" t="str">
        <f t="shared" si="9"/>
        <v/>
      </c>
      <c r="R496" s="172" t="str">
        <f t="shared" si="7"/>
        <v/>
      </c>
      <c r="S496" s="172" t="str">
        <f t="shared" si="8"/>
        <v/>
      </c>
    </row>
    <row r="497">
      <c r="A497" s="172" t="str">
        <f>IF('主表 Stock_Transaction_Log'!$T497="","",IF(COUNTIF('主表 Stock_Transaction_Log'!$T$2:$T497,'主表 Stock_Transaction_Log'!$T497)=1,ROW('主表 Stock_Transaction_Log'!$T497),""))</f>
        <v/>
      </c>
      <c r="B497" s="172" t="str">
        <f t="array" ref="B497">IF($A497="","",INDEX('主表 Stock_Transaction_Log'!$Q:$Q,$A497))</f>
        <v/>
      </c>
      <c r="C497" s="172" t="str">
        <f t="array" ref="C497">IF($A497="","",IF(INDEX('主表 Stock_Transaction_Log'!$F:$F,$A497)=0,"",INDEX('主表 Stock_Transaction_Log'!$F:$F,$A497)))</f>
        <v/>
      </c>
      <c r="D497" s="172" t="str">
        <f t="array" ref="D497">IF($A497="","",INDEX('主表 Stock_Transaction_Log'!$G:$G,$A497))</f>
        <v/>
      </c>
      <c r="E497" s="172" t="str">
        <f t="array" ref="E497">IF($A497="","",INDEX('主表 Stock_Transaction_Log'!$H:$H,$A497))</f>
        <v/>
      </c>
      <c r="F497" s="172" t="str">
        <f t="array" ref="F497">IF($A497="","",INDEX('主表 Stock_Transaction_Log'!$I:$I,$A497))</f>
        <v/>
      </c>
      <c r="G497" s="172" t="str">
        <f t="array" ref="G497">IF($A497="","",IF(INDEX('主表 Stock_Transaction_Log'!$R:$R,$A497)=0,"",INDEX('主表 Stock_Transaction_Log'!$R:$R,$A497)))</f>
        <v/>
      </c>
      <c r="H497" s="172" t="str">
        <f t="array" ref="H497">IF($A497="","",SUMIF('主表 Stock_Transaction_Log'!$T:$T,INDEX('主表 Stock_Transaction_Log'!$T:$T,$A497),'主表 Stock_Transaction_Log'!$S:$S)+SUMIF('主表 Stock_Transaction_Log'!$AB:$AB,INDEX('主表 Stock_Transaction_Log'!$T:$T,$A497),'主表 Stock_Transaction_Log'!$AC:$AC))</f>
        <v/>
      </c>
      <c r="I497" s="172" t="str">
        <f t="shared" si="1"/>
        <v/>
      </c>
      <c r="J497" s="172" t="str">
        <f t="shared" si="2"/>
        <v/>
      </c>
      <c r="K497" s="172" t="str">
        <f t="shared" si="3"/>
        <v/>
      </c>
      <c r="L497" s="172" t="str">
        <f t="array" ref="L497">IF($A497="","",INDEX('主表 Stock_Transaction_Log'!$P:$P,$A497))</f>
        <v/>
      </c>
      <c r="M497" s="57" t="str">
        <f>IF($A497="","",IF($H497&lt;=0,0,SUMIFS('主表 Stock_Transaction_Log'!$K$2:$K1000,'主表 Stock_Transaction_Log'!$C$2:$C1000,"Prepared",'主表 Stock_Transaction_Log'!$L$2:$L1000,$B497,'主表 Stock_Transaction_Log'!$F$2:$F1000,$C497,'主表 Stock_Transaction_Log'!$G$2:$G1000,$D497,'主表 Stock_Transaction_Log'!$P$2:$P1000,$L497)))</f>
        <v/>
      </c>
      <c r="N497" s="172"/>
      <c r="O497" s="172" t="str">
        <f t="shared" si="4"/>
        <v/>
      </c>
      <c r="P497" s="172" t="str">
        <f t="shared" si="5"/>
        <v/>
      </c>
      <c r="Q497" s="172" t="str">
        <f t="shared" si="9"/>
        <v/>
      </c>
      <c r="R497" s="172" t="str">
        <f t="shared" si="7"/>
        <v/>
      </c>
      <c r="S497" s="172" t="str">
        <f t="shared" si="8"/>
        <v/>
      </c>
    </row>
    <row r="498">
      <c r="A498" s="172" t="str">
        <f>IF('主表 Stock_Transaction_Log'!$T498="","",IF(COUNTIF('主表 Stock_Transaction_Log'!$T$2:$T498,'主表 Stock_Transaction_Log'!$T498)=1,ROW('主表 Stock_Transaction_Log'!$T498),""))</f>
        <v/>
      </c>
      <c r="B498" s="172" t="str">
        <f t="array" ref="B498">IF($A498="","",INDEX('主表 Stock_Transaction_Log'!$Q:$Q,$A498))</f>
        <v/>
      </c>
      <c r="C498" s="172" t="str">
        <f t="array" ref="C498">IF($A498="","",IF(INDEX('主表 Stock_Transaction_Log'!$F:$F,$A498)=0,"",INDEX('主表 Stock_Transaction_Log'!$F:$F,$A498)))</f>
        <v/>
      </c>
      <c r="D498" s="172" t="str">
        <f t="array" ref="D498">IF($A498="","",INDEX('主表 Stock_Transaction_Log'!$G:$G,$A498))</f>
        <v/>
      </c>
      <c r="E498" s="172" t="str">
        <f t="array" ref="E498">IF($A498="","",INDEX('主表 Stock_Transaction_Log'!$H:$H,$A498))</f>
        <v/>
      </c>
      <c r="F498" s="172" t="str">
        <f t="array" ref="F498">IF($A498="","",INDEX('主表 Stock_Transaction_Log'!$I:$I,$A498))</f>
        <v/>
      </c>
      <c r="G498" s="172" t="str">
        <f t="array" ref="G498">IF($A498="","",IF(INDEX('主表 Stock_Transaction_Log'!$R:$R,$A498)=0,"",INDEX('主表 Stock_Transaction_Log'!$R:$R,$A498)))</f>
        <v/>
      </c>
      <c r="H498" s="172" t="str">
        <f t="array" ref="H498">IF($A498="","",SUMIF('主表 Stock_Transaction_Log'!$T:$T,INDEX('主表 Stock_Transaction_Log'!$T:$T,$A498),'主表 Stock_Transaction_Log'!$S:$S)+SUMIF('主表 Stock_Transaction_Log'!$AB:$AB,INDEX('主表 Stock_Transaction_Log'!$T:$T,$A498),'主表 Stock_Transaction_Log'!$AC:$AC))</f>
        <v/>
      </c>
      <c r="I498" s="172" t="str">
        <f t="shared" si="1"/>
        <v/>
      </c>
      <c r="J498" s="172" t="str">
        <f t="shared" si="2"/>
        <v/>
      </c>
      <c r="K498" s="172" t="str">
        <f t="shared" si="3"/>
        <v/>
      </c>
      <c r="L498" s="172" t="str">
        <f t="array" ref="L498">IF($A498="","",INDEX('主表 Stock_Transaction_Log'!$P:$P,$A498))</f>
        <v/>
      </c>
      <c r="M498" s="57" t="str">
        <f>IF($A498="","",IF($H498&lt;=0,0,SUMIFS('主表 Stock_Transaction_Log'!$K$2:$K1000,'主表 Stock_Transaction_Log'!$C$2:$C1000,"Prepared",'主表 Stock_Transaction_Log'!$L$2:$L1000,$B498,'主表 Stock_Transaction_Log'!$F$2:$F1000,$C498,'主表 Stock_Transaction_Log'!$G$2:$G1000,$D498,'主表 Stock_Transaction_Log'!$P$2:$P1000,$L498)))</f>
        <v/>
      </c>
      <c r="N498" s="172"/>
      <c r="O498" s="172" t="str">
        <f t="shared" si="4"/>
        <v/>
      </c>
      <c r="P498" s="172" t="str">
        <f t="shared" si="5"/>
        <v/>
      </c>
      <c r="Q498" s="172" t="str">
        <f t="shared" si="9"/>
        <v/>
      </c>
      <c r="R498" s="172" t="str">
        <f t="shared" si="7"/>
        <v/>
      </c>
      <c r="S498" s="172" t="str">
        <f t="shared" si="8"/>
        <v/>
      </c>
    </row>
    <row r="499">
      <c r="A499" s="172" t="str">
        <f>IF('主表 Stock_Transaction_Log'!$T499="","",IF(COUNTIF('主表 Stock_Transaction_Log'!$T$2:$T499,'主表 Stock_Transaction_Log'!$T499)=1,ROW('主表 Stock_Transaction_Log'!$T499),""))</f>
        <v/>
      </c>
      <c r="B499" s="172" t="str">
        <f t="array" ref="B499">IF($A499="","",INDEX('主表 Stock_Transaction_Log'!$Q:$Q,$A499))</f>
        <v/>
      </c>
      <c r="C499" s="172" t="str">
        <f t="array" ref="C499">IF($A499="","",IF(INDEX('主表 Stock_Transaction_Log'!$F:$F,$A499)=0,"",INDEX('主表 Stock_Transaction_Log'!$F:$F,$A499)))</f>
        <v/>
      </c>
      <c r="D499" s="172" t="str">
        <f t="array" ref="D499">IF($A499="","",INDEX('主表 Stock_Transaction_Log'!$G:$G,$A499))</f>
        <v/>
      </c>
      <c r="E499" s="172" t="str">
        <f t="array" ref="E499">IF($A499="","",INDEX('主表 Stock_Transaction_Log'!$H:$H,$A499))</f>
        <v/>
      </c>
      <c r="F499" s="172" t="str">
        <f t="array" ref="F499">IF($A499="","",INDEX('主表 Stock_Transaction_Log'!$I:$I,$A499))</f>
        <v/>
      </c>
      <c r="G499" s="172" t="str">
        <f t="array" ref="G499">IF($A499="","",IF(INDEX('主表 Stock_Transaction_Log'!$R:$R,$A499)=0,"",INDEX('主表 Stock_Transaction_Log'!$R:$R,$A499)))</f>
        <v/>
      </c>
      <c r="H499" s="172" t="str">
        <f t="array" ref="H499">IF($A499="","",SUMIF('主表 Stock_Transaction_Log'!$T:$T,INDEX('主表 Stock_Transaction_Log'!$T:$T,$A499),'主表 Stock_Transaction_Log'!$S:$S)+SUMIF('主表 Stock_Transaction_Log'!$AB:$AB,INDEX('主表 Stock_Transaction_Log'!$T:$T,$A499),'主表 Stock_Transaction_Log'!$AC:$AC))</f>
        <v/>
      </c>
      <c r="I499" s="172" t="str">
        <f t="shared" si="1"/>
        <v/>
      </c>
      <c r="J499" s="172" t="str">
        <f t="shared" si="2"/>
        <v/>
      </c>
      <c r="K499" s="172" t="str">
        <f t="shared" si="3"/>
        <v/>
      </c>
      <c r="L499" s="172" t="str">
        <f t="array" ref="L499">IF($A499="","",INDEX('主表 Stock_Transaction_Log'!$P:$P,$A499))</f>
        <v/>
      </c>
      <c r="M499" s="57" t="str">
        <f>IF($A499="","",IF($H499&lt;=0,0,SUMIFS('主表 Stock_Transaction_Log'!$K$2:$K1000,'主表 Stock_Transaction_Log'!$C$2:$C1000,"Prepared",'主表 Stock_Transaction_Log'!$L$2:$L1000,$B499,'主表 Stock_Transaction_Log'!$F$2:$F1000,$C499,'主表 Stock_Transaction_Log'!$G$2:$G1000,$D499,'主表 Stock_Transaction_Log'!$P$2:$P1000,$L499)))</f>
        <v/>
      </c>
      <c r="N499" s="172"/>
      <c r="O499" s="172" t="str">
        <f t="shared" si="4"/>
        <v/>
      </c>
      <c r="P499" s="172" t="str">
        <f t="shared" si="5"/>
        <v/>
      </c>
      <c r="Q499" s="172" t="str">
        <f t="shared" si="9"/>
        <v/>
      </c>
      <c r="R499" s="172" t="str">
        <f t="shared" si="7"/>
        <v/>
      </c>
      <c r="S499" s="172" t="str">
        <f t="shared" si="8"/>
        <v/>
      </c>
    </row>
    <row r="500">
      <c r="A500" s="172" t="str">
        <f>IF('主表 Stock_Transaction_Log'!$T500="","",IF(COUNTIF('主表 Stock_Transaction_Log'!$T$2:$T500,'主表 Stock_Transaction_Log'!$T500)=1,ROW('主表 Stock_Transaction_Log'!$T500),""))</f>
        <v/>
      </c>
      <c r="B500" s="172" t="str">
        <f t="array" ref="B500">IF($A500="","",INDEX('主表 Stock_Transaction_Log'!$Q:$Q,$A500))</f>
        <v/>
      </c>
      <c r="C500" s="172" t="str">
        <f t="array" ref="C500">IF($A500="","",IF(INDEX('主表 Stock_Transaction_Log'!$F:$F,$A500)=0,"",INDEX('主表 Stock_Transaction_Log'!$F:$F,$A500)))</f>
        <v/>
      </c>
      <c r="D500" s="172" t="str">
        <f t="array" ref="D500">IF($A500="","",INDEX('主表 Stock_Transaction_Log'!$G:$G,$A500))</f>
        <v/>
      </c>
      <c r="E500" s="172" t="str">
        <f t="array" ref="E500">IF($A500="","",INDEX('主表 Stock_Transaction_Log'!$H:$H,$A500))</f>
        <v/>
      </c>
      <c r="F500" s="172" t="str">
        <f t="array" ref="F500">IF($A500="","",INDEX('主表 Stock_Transaction_Log'!$I:$I,$A500))</f>
        <v/>
      </c>
      <c r="G500" s="172" t="str">
        <f t="array" ref="G500">IF($A500="","",IF(INDEX('主表 Stock_Transaction_Log'!$R:$R,$A500)=0,"",INDEX('主表 Stock_Transaction_Log'!$R:$R,$A500)))</f>
        <v/>
      </c>
      <c r="H500" s="172" t="str">
        <f t="array" ref="H500">IF($A500="","",SUMIF('主表 Stock_Transaction_Log'!$T:$T,INDEX('主表 Stock_Transaction_Log'!$T:$T,$A500),'主表 Stock_Transaction_Log'!$S:$S)+SUMIF('主表 Stock_Transaction_Log'!$AB:$AB,INDEX('主表 Stock_Transaction_Log'!$T:$T,$A500),'主表 Stock_Transaction_Log'!$AC:$AC))</f>
        <v/>
      </c>
      <c r="I500" s="172" t="str">
        <f t="shared" si="1"/>
        <v/>
      </c>
      <c r="J500" s="172" t="str">
        <f t="shared" si="2"/>
        <v/>
      </c>
      <c r="K500" s="172" t="str">
        <f t="shared" si="3"/>
        <v/>
      </c>
      <c r="L500" s="172" t="str">
        <f t="array" ref="L500">IF($A500="","",INDEX('主表 Stock_Transaction_Log'!$P:$P,$A500))</f>
        <v/>
      </c>
      <c r="M500" s="57" t="str">
        <f>IF($A500="","",IF($H500&lt;=0,0,SUMIFS('主表 Stock_Transaction_Log'!$K$2:$K1000,'主表 Stock_Transaction_Log'!$C$2:$C1000,"Prepared",'主表 Stock_Transaction_Log'!$L$2:$L1000,$B500,'主表 Stock_Transaction_Log'!$F$2:$F1000,$C500,'主表 Stock_Transaction_Log'!$G$2:$G1000,$D500,'主表 Stock_Transaction_Log'!$P$2:$P1000,$L500)))</f>
        <v/>
      </c>
      <c r="N500" s="172"/>
      <c r="O500" s="172" t="str">
        <f t="shared" si="4"/>
        <v/>
      </c>
      <c r="P500" s="172" t="str">
        <f t="shared" si="5"/>
        <v/>
      </c>
      <c r="Q500" s="172" t="str">
        <f t="shared" si="9"/>
        <v/>
      </c>
      <c r="R500" s="172" t="str">
        <f t="shared" si="7"/>
        <v/>
      </c>
      <c r="S500" s="172" t="str">
        <f t="shared" si="8"/>
        <v/>
      </c>
    </row>
    <row r="501">
      <c r="A501" s="173" t="str">
        <f>IF('主表 Stock_Transaction_Log'!$T501="","",IF(COUNTIF('主表 Stock_Transaction_Log'!$T$2:$T501,'主表 Stock_Transaction_Log'!$T501)=1,ROW('主表 Stock_Transaction_Log'!$T501),""))</f>
        <v/>
      </c>
      <c r="B501" s="173" t="str">
        <f t="array" ref="B501">IF($A501="","",INDEX('主表 Stock_Transaction_Log'!$Q:$Q,$A501))</f>
        <v/>
      </c>
      <c r="C501" s="173" t="str">
        <f t="array" ref="C501">IF($A501="","",IF(INDEX('主表 Stock_Transaction_Log'!$F:$F,$A501)=0,"",INDEX('主表 Stock_Transaction_Log'!$F:$F,$A501)))</f>
        <v/>
      </c>
      <c r="D501" s="173" t="str">
        <f t="array" ref="D501">IF($A501="","",INDEX('主表 Stock_Transaction_Log'!$G:$G,$A501))</f>
        <v/>
      </c>
      <c r="E501" s="173" t="str">
        <f t="array" ref="E501">IF($A501="","",INDEX('主表 Stock_Transaction_Log'!$H:$H,$A501))</f>
        <v/>
      </c>
      <c r="F501" s="173" t="str">
        <f t="array" ref="F501">IF($A501="","",INDEX('主表 Stock_Transaction_Log'!$I:$I,$A501))</f>
        <v/>
      </c>
      <c r="G501" s="173" t="str">
        <f t="array" ref="G501">IF($A501="","",IF(INDEX('主表 Stock_Transaction_Log'!$R:$R,$A501)=0,"",INDEX('主表 Stock_Transaction_Log'!$R:$R,$A501)))</f>
        <v/>
      </c>
      <c r="H501" s="173" t="str">
        <f t="array" ref="H501">IF($A501="","",SUMIF('主表 Stock_Transaction_Log'!$T:$T,INDEX('主表 Stock_Transaction_Log'!$T:$T,$A501),'主表 Stock_Transaction_Log'!$S:$S)+SUMIF('主表 Stock_Transaction_Log'!$AB:$AB,INDEX('主表 Stock_Transaction_Log'!$T:$T,$A501),'主表 Stock_Transaction_Log'!$AC:$AC))</f>
        <v/>
      </c>
      <c r="I501" s="173" t="str">
        <f t="shared" si="1"/>
        <v/>
      </c>
      <c r="J501" s="173" t="str">
        <f t="shared" si="2"/>
        <v/>
      </c>
      <c r="K501" s="173" t="str">
        <f t="shared" si="3"/>
        <v/>
      </c>
      <c r="L501" s="173" t="str">
        <f t="array" ref="L501">IF($A501="","",INDEX('主表 Stock_Transaction_Log'!$P:$P,$A501))</f>
        <v/>
      </c>
      <c r="M501" s="174" t="str">
        <f>IF($A501="","",IF($H501&lt;=0,0,SUMIFS('主表 Stock_Transaction_Log'!$K$2:$K1000,'主表 Stock_Transaction_Log'!$C$2:$C1000,"Prepared",'主表 Stock_Transaction_Log'!$L$2:$L1000,$B501,'主表 Stock_Transaction_Log'!$F$2:$F1000,$C501,'主表 Stock_Transaction_Log'!$G$2:$G1000,$D501,'主表 Stock_Transaction_Log'!$P$2:$P1000,$L501)))</f>
        <v/>
      </c>
    </row>
    <row r="502">
      <c r="A502" s="173" t="str">
        <f>IF('主表 Stock_Transaction_Log'!$T502="","",IF(COUNTIF('主表 Stock_Transaction_Log'!$T$2:$T502,'主表 Stock_Transaction_Log'!$T502)=1,ROW('主表 Stock_Transaction_Log'!$T502),""))</f>
        <v/>
      </c>
      <c r="B502" s="173" t="str">
        <f t="array" ref="B502">IF($A502="","",INDEX('主表 Stock_Transaction_Log'!$Q:$Q,$A502))</f>
        <v/>
      </c>
      <c r="C502" s="173" t="str">
        <f t="array" ref="C502">IF($A502="","",IF(INDEX('主表 Stock_Transaction_Log'!$F:$F,$A502)=0,"",INDEX('主表 Stock_Transaction_Log'!$F:$F,$A502)))</f>
        <v/>
      </c>
      <c r="D502" s="173" t="str">
        <f t="array" ref="D502">IF($A502="","",INDEX('主表 Stock_Transaction_Log'!$G:$G,$A502))</f>
        <v/>
      </c>
      <c r="E502" s="173" t="str">
        <f t="array" ref="E502">IF($A502="","",INDEX('主表 Stock_Transaction_Log'!$H:$H,$A502))</f>
        <v/>
      </c>
      <c r="F502" s="173" t="str">
        <f t="array" ref="F502">IF($A502="","",INDEX('主表 Stock_Transaction_Log'!$I:$I,$A502))</f>
        <v/>
      </c>
      <c r="G502" s="173" t="str">
        <f t="array" ref="G502">IF($A502="","",IF(INDEX('主表 Stock_Transaction_Log'!$R:$R,$A502)=0,"",INDEX('主表 Stock_Transaction_Log'!$R:$R,$A502)))</f>
        <v/>
      </c>
      <c r="H502" s="173" t="str">
        <f t="array" ref="H502">IF($A502="","",SUMIF('主表 Stock_Transaction_Log'!$T:$T,INDEX('主表 Stock_Transaction_Log'!$T:$T,$A502),'主表 Stock_Transaction_Log'!$S:$S)+SUMIF('主表 Stock_Transaction_Log'!$AB:$AB,INDEX('主表 Stock_Transaction_Log'!$T:$T,$A502),'主表 Stock_Transaction_Log'!$AC:$AC))</f>
        <v/>
      </c>
      <c r="I502" s="173" t="str">
        <f t="shared" si="1"/>
        <v/>
      </c>
      <c r="J502" s="173" t="str">
        <f t="shared" si="2"/>
        <v/>
      </c>
      <c r="K502" s="173" t="str">
        <f t="shared" si="3"/>
        <v/>
      </c>
      <c r="L502" s="173" t="str">
        <f t="array" ref="L502">IF($A502="","",INDEX('主表 Stock_Transaction_Log'!$P:$P,$A502))</f>
        <v/>
      </c>
      <c r="M502" s="174" t="str">
        <f>IF($A502="","",IF($H502&lt;=0,0,SUMIFS('主表 Stock_Transaction_Log'!$K$2:$K1000,'主表 Stock_Transaction_Log'!$C$2:$C1000,"Prepared",'主表 Stock_Transaction_Log'!$L$2:$L1000,$B502,'主表 Stock_Transaction_Log'!$F$2:$F1000,$C502,'主表 Stock_Transaction_Log'!$G$2:$G1000,$D502,'主表 Stock_Transaction_Log'!$P$2:$P1000,$L502)))</f>
        <v/>
      </c>
    </row>
    <row r="503">
      <c r="A503" s="173" t="str">
        <f>IF('主表 Stock_Transaction_Log'!$T503="","",IF(COUNTIF('主表 Stock_Transaction_Log'!$T$2:$T503,'主表 Stock_Transaction_Log'!$T503)=1,ROW('主表 Stock_Transaction_Log'!$T503),""))</f>
        <v/>
      </c>
      <c r="B503" s="173" t="str">
        <f t="array" ref="B503">IF($A503="","",INDEX('主表 Stock_Transaction_Log'!$Q:$Q,$A503))</f>
        <v/>
      </c>
      <c r="C503" s="173" t="str">
        <f t="array" ref="C503">IF($A503="","",IF(INDEX('主表 Stock_Transaction_Log'!$F:$F,$A503)=0,"",INDEX('主表 Stock_Transaction_Log'!$F:$F,$A503)))</f>
        <v/>
      </c>
      <c r="D503" s="173" t="str">
        <f t="array" ref="D503">IF($A503="","",INDEX('主表 Stock_Transaction_Log'!$G:$G,$A503))</f>
        <v/>
      </c>
      <c r="E503" s="173" t="str">
        <f t="array" ref="E503">IF($A503="","",INDEX('主表 Stock_Transaction_Log'!$H:$H,$A503))</f>
        <v/>
      </c>
      <c r="F503" s="173" t="str">
        <f t="array" ref="F503">IF($A503="","",INDEX('主表 Stock_Transaction_Log'!$I:$I,$A503))</f>
        <v/>
      </c>
      <c r="G503" s="173" t="str">
        <f t="array" ref="G503">IF($A503="","",IF(INDEX('主表 Stock_Transaction_Log'!$R:$R,$A503)=0,"",INDEX('主表 Stock_Transaction_Log'!$R:$R,$A503)))</f>
        <v/>
      </c>
      <c r="H503" s="173" t="str">
        <f t="array" ref="H503">IF($A503="","",SUMIF('主表 Stock_Transaction_Log'!$T:$T,INDEX('主表 Stock_Transaction_Log'!$T:$T,$A503),'主表 Stock_Transaction_Log'!$S:$S)+SUMIF('主表 Stock_Transaction_Log'!$AB:$AB,INDEX('主表 Stock_Transaction_Log'!$T:$T,$A503),'主表 Stock_Transaction_Log'!$AC:$AC))</f>
        <v/>
      </c>
      <c r="I503" s="173" t="str">
        <f t="shared" si="1"/>
        <v/>
      </c>
      <c r="J503" s="173" t="str">
        <f t="shared" si="2"/>
        <v/>
      </c>
      <c r="K503" s="173" t="str">
        <f t="shared" si="3"/>
        <v/>
      </c>
      <c r="L503" s="173" t="str">
        <f t="array" ref="L503">IF($A503="","",INDEX('主表 Stock_Transaction_Log'!$P:$P,$A503))</f>
        <v/>
      </c>
      <c r="M503" s="174" t="str">
        <f>IF($A503="","",IF($H503&lt;=0,0,SUMIFS('主表 Stock_Transaction_Log'!$K$2:$K1000,'主表 Stock_Transaction_Log'!$C$2:$C1000,"Prepared",'主表 Stock_Transaction_Log'!$L$2:$L1000,$B503,'主表 Stock_Transaction_Log'!$F$2:$F1000,$C503,'主表 Stock_Transaction_Log'!$G$2:$G1000,$D503,'主表 Stock_Transaction_Log'!$P$2:$P1000,$L503)))</f>
        <v/>
      </c>
    </row>
    <row r="504">
      <c r="A504" s="173" t="str">
        <f>IF('主表 Stock_Transaction_Log'!$T504="","",IF(COUNTIF('主表 Stock_Transaction_Log'!$T$2:$T504,'主表 Stock_Transaction_Log'!$T504)=1,ROW('主表 Stock_Transaction_Log'!$T504),""))</f>
        <v/>
      </c>
      <c r="B504" s="173" t="str">
        <f t="array" ref="B504">IF($A504="","",INDEX('主表 Stock_Transaction_Log'!$Q:$Q,$A504))</f>
        <v/>
      </c>
      <c r="C504" s="173" t="str">
        <f t="array" ref="C504">IF($A504="","",IF(INDEX('主表 Stock_Transaction_Log'!$F:$F,$A504)=0,"",INDEX('主表 Stock_Transaction_Log'!$F:$F,$A504)))</f>
        <v/>
      </c>
      <c r="D504" s="173" t="str">
        <f t="array" ref="D504">IF($A504="","",INDEX('主表 Stock_Transaction_Log'!$G:$G,$A504))</f>
        <v/>
      </c>
      <c r="E504" s="173" t="str">
        <f t="array" ref="E504">IF($A504="","",INDEX('主表 Stock_Transaction_Log'!$H:$H,$A504))</f>
        <v/>
      </c>
      <c r="F504" s="173" t="str">
        <f t="array" ref="F504">IF($A504="","",INDEX('主表 Stock_Transaction_Log'!$I:$I,$A504))</f>
        <v/>
      </c>
      <c r="G504" s="173" t="str">
        <f t="array" ref="G504">IF($A504="","",IF(INDEX('主表 Stock_Transaction_Log'!$R:$R,$A504)=0,"",INDEX('主表 Stock_Transaction_Log'!$R:$R,$A504)))</f>
        <v/>
      </c>
      <c r="H504" s="173" t="str">
        <f t="array" ref="H504">IF($A504="","",SUMIF('主表 Stock_Transaction_Log'!$T:$T,INDEX('主表 Stock_Transaction_Log'!$T:$T,$A504),'主表 Stock_Transaction_Log'!$S:$S)+SUMIF('主表 Stock_Transaction_Log'!$AB:$AB,INDEX('主表 Stock_Transaction_Log'!$T:$T,$A504),'主表 Stock_Transaction_Log'!$AC:$AC))</f>
        <v/>
      </c>
      <c r="I504" s="173" t="str">
        <f t="shared" si="1"/>
        <v/>
      </c>
      <c r="J504" s="173" t="str">
        <f t="shared" si="2"/>
        <v/>
      </c>
      <c r="K504" s="173" t="str">
        <f t="shared" si="3"/>
        <v/>
      </c>
      <c r="L504" s="173" t="str">
        <f t="array" ref="L504">IF($A504="","",INDEX('主表 Stock_Transaction_Log'!$P:$P,$A504))</f>
        <v/>
      </c>
      <c r="M504" s="174" t="str">
        <f>IF($A504="","",IF($H504&lt;=0,0,SUMIFS('主表 Stock_Transaction_Log'!$K$2:$K1000,'主表 Stock_Transaction_Log'!$C$2:$C1000,"Prepared",'主表 Stock_Transaction_Log'!$L$2:$L1000,$B504,'主表 Stock_Transaction_Log'!$F$2:$F1000,$C504,'主表 Stock_Transaction_Log'!$G$2:$G1000,$D504,'主表 Stock_Transaction_Log'!$P$2:$P1000,$L504)))</f>
        <v/>
      </c>
    </row>
    <row r="505">
      <c r="A505" s="173" t="str">
        <f>IF('主表 Stock_Transaction_Log'!$T505="","",IF(COUNTIF('主表 Stock_Transaction_Log'!$T$2:$T505,'主表 Stock_Transaction_Log'!$T505)=1,ROW('主表 Stock_Transaction_Log'!$T505),""))</f>
        <v/>
      </c>
      <c r="B505" s="173" t="str">
        <f t="array" ref="B505">IF($A505="","",INDEX('主表 Stock_Transaction_Log'!$Q:$Q,$A505))</f>
        <v/>
      </c>
      <c r="C505" s="173" t="str">
        <f t="array" ref="C505">IF($A505="","",IF(INDEX('主表 Stock_Transaction_Log'!$F:$F,$A505)=0,"",INDEX('主表 Stock_Transaction_Log'!$F:$F,$A505)))</f>
        <v/>
      </c>
      <c r="D505" s="173" t="str">
        <f t="array" ref="D505">IF($A505="","",INDEX('主表 Stock_Transaction_Log'!$G:$G,$A505))</f>
        <v/>
      </c>
      <c r="E505" s="173" t="str">
        <f t="array" ref="E505">IF($A505="","",INDEX('主表 Stock_Transaction_Log'!$H:$H,$A505))</f>
        <v/>
      </c>
      <c r="F505" s="173" t="str">
        <f t="array" ref="F505">IF($A505="","",INDEX('主表 Stock_Transaction_Log'!$I:$I,$A505))</f>
        <v/>
      </c>
      <c r="G505" s="173" t="str">
        <f t="array" ref="G505">IF($A505="","",IF(INDEX('主表 Stock_Transaction_Log'!$R:$R,$A505)=0,"",INDEX('主表 Stock_Transaction_Log'!$R:$R,$A505)))</f>
        <v/>
      </c>
      <c r="H505" s="173" t="str">
        <f t="array" ref="H505">IF($A505="","",SUMIF('主表 Stock_Transaction_Log'!$T:$T,INDEX('主表 Stock_Transaction_Log'!$T:$T,$A505),'主表 Stock_Transaction_Log'!$S:$S)+SUMIF('主表 Stock_Transaction_Log'!$AB:$AB,INDEX('主表 Stock_Transaction_Log'!$T:$T,$A505),'主表 Stock_Transaction_Log'!$AC:$AC))</f>
        <v/>
      </c>
      <c r="I505" s="173" t="str">
        <f t="shared" si="1"/>
        <v/>
      </c>
      <c r="J505" s="173" t="str">
        <f t="shared" si="2"/>
        <v/>
      </c>
      <c r="K505" s="173" t="str">
        <f t="shared" si="3"/>
        <v/>
      </c>
      <c r="L505" s="173" t="str">
        <f t="array" ref="L505">IF($A505="","",INDEX('主表 Stock_Transaction_Log'!$P:$P,$A505))</f>
        <v/>
      </c>
      <c r="M505" s="174" t="str">
        <f>IF($A505="","",IF($H505&lt;=0,0,SUMIFS('主表 Stock_Transaction_Log'!$K$2:$K1000,'主表 Stock_Transaction_Log'!$C$2:$C1000,"Prepared",'主表 Stock_Transaction_Log'!$L$2:$L1000,$B505,'主表 Stock_Transaction_Log'!$F$2:$F1000,$C505,'主表 Stock_Transaction_Log'!$G$2:$G1000,$D505,'主表 Stock_Transaction_Log'!$P$2:$P1000,$L505)))</f>
        <v/>
      </c>
    </row>
    <row r="506">
      <c r="A506" s="173" t="str">
        <f>IF('主表 Stock_Transaction_Log'!$T506="","",IF(COUNTIF('主表 Stock_Transaction_Log'!$T$2:$T506,'主表 Stock_Transaction_Log'!$T506)=1,ROW('主表 Stock_Transaction_Log'!$T506),""))</f>
        <v/>
      </c>
      <c r="B506" s="173" t="str">
        <f t="array" ref="B506">IF($A506="","",INDEX('主表 Stock_Transaction_Log'!$Q:$Q,$A506))</f>
        <v/>
      </c>
      <c r="C506" s="173" t="str">
        <f t="array" ref="C506">IF($A506="","",IF(INDEX('主表 Stock_Transaction_Log'!$F:$F,$A506)=0,"",INDEX('主表 Stock_Transaction_Log'!$F:$F,$A506)))</f>
        <v/>
      </c>
      <c r="D506" s="173" t="str">
        <f t="array" ref="D506">IF($A506="","",INDEX('主表 Stock_Transaction_Log'!$G:$G,$A506))</f>
        <v/>
      </c>
      <c r="E506" s="173" t="str">
        <f t="array" ref="E506">IF($A506="","",INDEX('主表 Stock_Transaction_Log'!$H:$H,$A506))</f>
        <v/>
      </c>
      <c r="F506" s="173" t="str">
        <f t="array" ref="F506">IF($A506="","",INDEX('主表 Stock_Transaction_Log'!$I:$I,$A506))</f>
        <v/>
      </c>
      <c r="G506" s="173" t="str">
        <f t="array" ref="G506">IF($A506="","",IF(INDEX('主表 Stock_Transaction_Log'!$R:$R,$A506)=0,"",INDEX('主表 Stock_Transaction_Log'!$R:$R,$A506)))</f>
        <v/>
      </c>
      <c r="H506" s="173" t="str">
        <f t="array" ref="H506">IF($A506="","",SUMIF('主表 Stock_Transaction_Log'!$T:$T,INDEX('主表 Stock_Transaction_Log'!$T:$T,$A506),'主表 Stock_Transaction_Log'!$S:$S)+SUMIF('主表 Stock_Transaction_Log'!$AB:$AB,INDEX('主表 Stock_Transaction_Log'!$T:$T,$A506),'主表 Stock_Transaction_Log'!$AC:$AC))</f>
        <v/>
      </c>
      <c r="I506" s="173" t="str">
        <f t="shared" si="1"/>
        <v/>
      </c>
      <c r="J506" s="173" t="str">
        <f t="shared" si="2"/>
        <v/>
      </c>
      <c r="K506" s="173" t="str">
        <f t="shared" si="3"/>
        <v/>
      </c>
      <c r="L506" s="173" t="str">
        <f t="array" ref="L506">IF($A506="","",INDEX('主表 Stock_Transaction_Log'!$P:$P,$A506))</f>
        <v/>
      </c>
      <c r="M506" s="174" t="str">
        <f>IF($A506="","",IF($H506&lt;=0,0,SUMIFS('主表 Stock_Transaction_Log'!$K$2:$K1000,'主表 Stock_Transaction_Log'!$C$2:$C1000,"Prepared",'主表 Stock_Transaction_Log'!$L$2:$L1000,$B506,'主表 Stock_Transaction_Log'!$F$2:$F1000,$C506,'主表 Stock_Transaction_Log'!$G$2:$G1000,$D506,'主表 Stock_Transaction_Log'!$P$2:$P1000,$L506)))</f>
        <v/>
      </c>
    </row>
    <row r="507">
      <c r="A507" s="173" t="str">
        <f>IF('主表 Stock_Transaction_Log'!$T507="","",IF(COUNTIF('主表 Stock_Transaction_Log'!$T$2:$T507,'主表 Stock_Transaction_Log'!$T507)=1,ROW('主表 Stock_Transaction_Log'!$T507),""))</f>
        <v/>
      </c>
      <c r="B507" s="173" t="str">
        <f t="array" ref="B507">IF($A507="","",INDEX('主表 Stock_Transaction_Log'!$Q:$Q,$A507))</f>
        <v/>
      </c>
      <c r="C507" s="173" t="str">
        <f t="array" ref="C507">IF($A507="","",IF(INDEX('主表 Stock_Transaction_Log'!$F:$F,$A507)=0,"",INDEX('主表 Stock_Transaction_Log'!$F:$F,$A507)))</f>
        <v/>
      </c>
      <c r="D507" s="173" t="str">
        <f t="array" ref="D507">IF($A507="","",INDEX('主表 Stock_Transaction_Log'!$G:$G,$A507))</f>
        <v/>
      </c>
      <c r="E507" s="173" t="str">
        <f t="array" ref="E507">IF($A507="","",INDEX('主表 Stock_Transaction_Log'!$H:$H,$A507))</f>
        <v/>
      </c>
      <c r="F507" s="173" t="str">
        <f t="array" ref="F507">IF($A507="","",INDEX('主表 Stock_Transaction_Log'!$I:$I,$A507))</f>
        <v/>
      </c>
      <c r="G507" s="173" t="str">
        <f t="array" ref="G507">IF($A507="","",IF(INDEX('主表 Stock_Transaction_Log'!$R:$R,$A507)=0,"",INDEX('主表 Stock_Transaction_Log'!$R:$R,$A507)))</f>
        <v/>
      </c>
      <c r="H507" s="173" t="str">
        <f t="array" ref="H507">IF($A507="","",SUMIF('主表 Stock_Transaction_Log'!$T:$T,INDEX('主表 Stock_Transaction_Log'!$T:$T,$A507),'主表 Stock_Transaction_Log'!$S:$S)+SUMIF('主表 Stock_Transaction_Log'!$AB:$AB,INDEX('主表 Stock_Transaction_Log'!$T:$T,$A507),'主表 Stock_Transaction_Log'!$AC:$AC))</f>
        <v/>
      </c>
      <c r="I507" s="173" t="str">
        <f t="shared" si="1"/>
        <v/>
      </c>
      <c r="J507" s="173" t="str">
        <f t="shared" si="2"/>
        <v/>
      </c>
      <c r="K507" s="173" t="str">
        <f t="shared" si="3"/>
        <v/>
      </c>
      <c r="L507" s="173" t="str">
        <f t="array" ref="L507">IF($A507="","",INDEX('主表 Stock_Transaction_Log'!$P:$P,$A507))</f>
        <v/>
      </c>
      <c r="M507" s="174" t="str">
        <f>IF($A507="","",IF($H507&lt;=0,0,SUMIFS('主表 Stock_Transaction_Log'!$K$2:$K1000,'主表 Stock_Transaction_Log'!$C$2:$C1000,"Prepared",'主表 Stock_Transaction_Log'!$L$2:$L1000,$B507,'主表 Stock_Transaction_Log'!$F$2:$F1000,$C507,'主表 Stock_Transaction_Log'!$G$2:$G1000,$D507,'主表 Stock_Transaction_Log'!$P$2:$P1000,$L507)))</f>
        <v/>
      </c>
    </row>
    <row r="508">
      <c r="A508" s="173" t="str">
        <f>IF('主表 Stock_Transaction_Log'!$T508="","",IF(COUNTIF('主表 Stock_Transaction_Log'!$T$2:$T508,'主表 Stock_Transaction_Log'!$T508)=1,ROW('主表 Stock_Transaction_Log'!$T508),""))</f>
        <v/>
      </c>
      <c r="B508" s="173" t="str">
        <f t="array" ref="B508">IF($A508="","",INDEX('主表 Stock_Transaction_Log'!$Q:$Q,$A508))</f>
        <v/>
      </c>
      <c r="C508" s="173" t="str">
        <f t="array" ref="C508">IF($A508="","",IF(INDEX('主表 Stock_Transaction_Log'!$F:$F,$A508)=0,"",INDEX('主表 Stock_Transaction_Log'!$F:$F,$A508)))</f>
        <v/>
      </c>
      <c r="D508" s="173" t="str">
        <f t="array" ref="D508">IF($A508="","",INDEX('主表 Stock_Transaction_Log'!$G:$G,$A508))</f>
        <v/>
      </c>
      <c r="E508" s="173" t="str">
        <f t="array" ref="E508">IF($A508="","",INDEX('主表 Stock_Transaction_Log'!$H:$H,$A508))</f>
        <v/>
      </c>
      <c r="F508" s="173" t="str">
        <f t="array" ref="F508">IF($A508="","",INDEX('主表 Stock_Transaction_Log'!$I:$I,$A508))</f>
        <v/>
      </c>
      <c r="G508" s="173" t="str">
        <f t="array" ref="G508">IF($A508="","",IF(INDEX('主表 Stock_Transaction_Log'!$R:$R,$A508)=0,"",INDEX('主表 Stock_Transaction_Log'!$R:$R,$A508)))</f>
        <v/>
      </c>
      <c r="H508" s="173" t="str">
        <f t="array" ref="H508">IF($A508="","",SUMIF('主表 Stock_Transaction_Log'!$T:$T,INDEX('主表 Stock_Transaction_Log'!$T:$T,$A508),'主表 Stock_Transaction_Log'!$S:$S)+SUMIF('主表 Stock_Transaction_Log'!$AB:$AB,INDEX('主表 Stock_Transaction_Log'!$T:$T,$A508),'主表 Stock_Transaction_Log'!$AC:$AC))</f>
        <v/>
      </c>
      <c r="I508" s="173" t="str">
        <f t="shared" si="1"/>
        <v/>
      </c>
      <c r="J508" s="173" t="str">
        <f t="shared" si="2"/>
        <v/>
      </c>
      <c r="K508" s="173" t="str">
        <f t="shared" si="3"/>
        <v/>
      </c>
      <c r="L508" s="173" t="str">
        <f t="array" ref="L508">IF($A508="","",INDEX('主表 Stock_Transaction_Log'!$P:$P,$A508))</f>
        <v/>
      </c>
      <c r="M508" s="174" t="str">
        <f>IF($A508="","",IF($H508&lt;=0,0,SUMIFS('主表 Stock_Transaction_Log'!$K$2:$K1000,'主表 Stock_Transaction_Log'!$C$2:$C1000,"Prepared",'主表 Stock_Transaction_Log'!$L$2:$L1000,$B508,'主表 Stock_Transaction_Log'!$F$2:$F1000,$C508,'主表 Stock_Transaction_Log'!$G$2:$G1000,$D508,'主表 Stock_Transaction_Log'!$P$2:$P1000,$L508)))</f>
        <v/>
      </c>
    </row>
    <row r="509">
      <c r="A509" s="173" t="str">
        <f>IF('主表 Stock_Transaction_Log'!$T509="","",IF(COUNTIF('主表 Stock_Transaction_Log'!$T$2:$T509,'主表 Stock_Transaction_Log'!$T509)=1,ROW('主表 Stock_Transaction_Log'!$T509),""))</f>
        <v/>
      </c>
      <c r="B509" s="173" t="str">
        <f t="array" ref="B509">IF($A509="","",INDEX('主表 Stock_Transaction_Log'!$Q:$Q,$A509))</f>
        <v/>
      </c>
      <c r="C509" s="173" t="str">
        <f t="array" ref="C509">IF($A509="","",IF(INDEX('主表 Stock_Transaction_Log'!$F:$F,$A509)=0,"",INDEX('主表 Stock_Transaction_Log'!$F:$F,$A509)))</f>
        <v/>
      </c>
      <c r="D509" s="173" t="str">
        <f t="array" ref="D509">IF($A509="","",INDEX('主表 Stock_Transaction_Log'!$G:$G,$A509))</f>
        <v/>
      </c>
      <c r="E509" s="173" t="str">
        <f t="array" ref="E509">IF($A509="","",INDEX('主表 Stock_Transaction_Log'!$H:$H,$A509))</f>
        <v/>
      </c>
      <c r="F509" s="173" t="str">
        <f t="array" ref="F509">IF($A509="","",INDEX('主表 Stock_Transaction_Log'!$I:$I,$A509))</f>
        <v/>
      </c>
      <c r="G509" s="173" t="str">
        <f t="array" ref="G509">IF($A509="","",IF(INDEX('主表 Stock_Transaction_Log'!$R:$R,$A509)=0,"",INDEX('主表 Stock_Transaction_Log'!$R:$R,$A509)))</f>
        <v/>
      </c>
      <c r="H509" s="173" t="str">
        <f t="array" ref="H509">IF($A509="","",SUMIF('主表 Stock_Transaction_Log'!$T:$T,INDEX('主表 Stock_Transaction_Log'!$T:$T,$A509),'主表 Stock_Transaction_Log'!$S:$S)+SUMIF('主表 Stock_Transaction_Log'!$AB:$AB,INDEX('主表 Stock_Transaction_Log'!$T:$T,$A509),'主表 Stock_Transaction_Log'!$AC:$AC))</f>
        <v/>
      </c>
      <c r="I509" s="173" t="str">
        <f t="shared" si="1"/>
        <v/>
      </c>
      <c r="J509" s="173" t="str">
        <f t="shared" si="2"/>
        <v/>
      </c>
      <c r="K509" s="173" t="str">
        <f t="shared" si="3"/>
        <v/>
      </c>
      <c r="L509" s="173" t="str">
        <f t="array" ref="L509">IF($A509="","",INDEX('主表 Stock_Transaction_Log'!$P:$P,$A509))</f>
        <v/>
      </c>
      <c r="M509" s="174" t="str">
        <f>IF($A509="","",IF($H509&lt;=0,0,SUMIFS('主表 Stock_Transaction_Log'!$K$2:$K1000,'主表 Stock_Transaction_Log'!$C$2:$C1000,"Prepared",'主表 Stock_Transaction_Log'!$L$2:$L1000,$B509,'主表 Stock_Transaction_Log'!$F$2:$F1000,$C509,'主表 Stock_Transaction_Log'!$G$2:$G1000,$D509,'主表 Stock_Transaction_Log'!$P$2:$P1000,$L509)))</f>
        <v/>
      </c>
    </row>
    <row r="510">
      <c r="A510" s="173" t="str">
        <f>IF('主表 Stock_Transaction_Log'!$T510="","",IF(COUNTIF('主表 Stock_Transaction_Log'!$T$2:$T510,'主表 Stock_Transaction_Log'!$T510)=1,ROW('主表 Stock_Transaction_Log'!$T510),""))</f>
        <v/>
      </c>
      <c r="B510" s="173" t="str">
        <f t="array" ref="B510">IF($A510="","",INDEX('主表 Stock_Transaction_Log'!$Q:$Q,$A510))</f>
        <v/>
      </c>
      <c r="C510" s="173" t="str">
        <f t="array" ref="C510">IF($A510="","",IF(INDEX('主表 Stock_Transaction_Log'!$F:$F,$A510)=0,"",INDEX('主表 Stock_Transaction_Log'!$F:$F,$A510)))</f>
        <v/>
      </c>
      <c r="D510" s="173" t="str">
        <f t="array" ref="D510">IF($A510="","",INDEX('主表 Stock_Transaction_Log'!$G:$G,$A510))</f>
        <v/>
      </c>
      <c r="E510" s="173" t="str">
        <f t="array" ref="E510">IF($A510="","",INDEX('主表 Stock_Transaction_Log'!$H:$H,$A510))</f>
        <v/>
      </c>
      <c r="F510" s="173" t="str">
        <f t="array" ref="F510">IF($A510="","",INDEX('主表 Stock_Transaction_Log'!$I:$I,$A510))</f>
        <v/>
      </c>
      <c r="G510" s="173" t="str">
        <f t="array" ref="G510">IF($A510="","",IF(INDEX('主表 Stock_Transaction_Log'!$R:$R,$A510)=0,"",INDEX('主表 Stock_Transaction_Log'!$R:$R,$A510)))</f>
        <v/>
      </c>
      <c r="H510" s="173" t="str">
        <f t="array" ref="H510">IF($A510="","",SUMIF('主表 Stock_Transaction_Log'!$T:$T,INDEX('主表 Stock_Transaction_Log'!$T:$T,$A510),'主表 Stock_Transaction_Log'!$S:$S)+SUMIF('主表 Stock_Transaction_Log'!$AB:$AB,INDEX('主表 Stock_Transaction_Log'!$T:$T,$A510),'主表 Stock_Transaction_Log'!$AC:$AC))</f>
        <v/>
      </c>
      <c r="I510" s="173" t="str">
        <f t="shared" si="1"/>
        <v/>
      </c>
      <c r="J510" s="173" t="str">
        <f t="shared" si="2"/>
        <v/>
      </c>
      <c r="K510" s="173" t="str">
        <f t="shared" si="3"/>
        <v/>
      </c>
      <c r="L510" s="173" t="str">
        <f t="array" ref="L510">IF($A510="","",INDEX('主表 Stock_Transaction_Log'!$P:$P,$A510))</f>
        <v/>
      </c>
      <c r="M510" s="174" t="str">
        <f>IF($A510="","",IF($H510&lt;=0,0,SUMIFS('主表 Stock_Transaction_Log'!$K$2:$K1000,'主表 Stock_Transaction_Log'!$C$2:$C1000,"Prepared",'主表 Stock_Transaction_Log'!$L$2:$L1000,$B510,'主表 Stock_Transaction_Log'!$F$2:$F1000,$C510,'主表 Stock_Transaction_Log'!$G$2:$G1000,$D510,'主表 Stock_Transaction_Log'!$P$2:$P1000,$L510)))</f>
        <v/>
      </c>
    </row>
    <row r="511">
      <c r="A511" s="173" t="str">
        <f>IF('主表 Stock_Transaction_Log'!$T511="","",IF(COUNTIF('主表 Stock_Transaction_Log'!$T$2:$T511,'主表 Stock_Transaction_Log'!$T511)=1,ROW('主表 Stock_Transaction_Log'!$T511),""))</f>
        <v/>
      </c>
      <c r="B511" s="173" t="str">
        <f t="array" ref="B511">IF($A511="","",INDEX('主表 Stock_Transaction_Log'!$Q:$Q,$A511))</f>
        <v/>
      </c>
      <c r="C511" s="173" t="str">
        <f t="array" ref="C511">IF($A511="","",IF(INDEX('主表 Stock_Transaction_Log'!$F:$F,$A511)=0,"",INDEX('主表 Stock_Transaction_Log'!$F:$F,$A511)))</f>
        <v/>
      </c>
      <c r="D511" s="173" t="str">
        <f t="array" ref="D511">IF($A511="","",INDEX('主表 Stock_Transaction_Log'!$G:$G,$A511))</f>
        <v/>
      </c>
      <c r="E511" s="173" t="str">
        <f t="array" ref="E511">IF($A511="","",INDEX('主表 Stock_Transaction_Log'!$H:$H,$A511))</f>
        <v/>
      </c>
      <c r="F511" s="173" t="str">
        <f t="array" ref="F511">IF($A511="","",INDEX('主表 Stock_Transaction_Log'!$I:$I,$A511))</f>
        <v/>
      </c>
      <c r="G511" s="173" t="str">
        <f t="array" ref="G511">IF($A511="","",IF(INDEX('主表 Stock_Transaction_Log'!$R:$R,$A511)=0,"",INDEX('主表 Stock_Transaction_Log'!$R:$R,$A511)))</f>
        <v/>
      </c>
      <c r="H511" s="173" t="str">
        <f t="array" ref="H511">IF($A511="","",SUMIF('主表 Stock_Transaction_Log'!$T:$T,INDEX('主表 Stock_Transaction_Log'!$T:$T,$A511),'主表 Stock_Transaction_Log'!$S:$S)+SUMIF('主表 Stock_Transaction_Log'!$AB:$AB,INDEX('主表 Stock_Transaction_Log'!$T:$T,$A511),'主表 Stock_Transaction_Log'!$AC:$AC))</f>
        <v/>
      </c>
      <c r="I511" s="173" t="str">
        <f t="shared" si="1"/>
        <v/>
      </c>
      <c r="J511" s="173" t="str">
        <f t="shared" si="2"/>
        <v/>
      </c>
      <c r="K511" s="173" t="str">
        <f t="shared" si="3"/>
        <v/>
      </c>
      <c r="L511" s="173" t="str">
        <f t="array" ref="L511">IF($A511="","",INDEX('主表 Stock_Transaction_Log'!$P:$P,$A511))</f>
        <v/>
      </c>
      <c r="M511" s="174" t="str">
        <f>IF($A511="","",IF($H511&lt;=0,0,SUMIFS('主表 Stock_Transaction_Log'!$K$2:$K1000,'主表 Stock_Transaction_Log'!$C$2:$C1000,"Prepared",'主表 Stock_Transaction_Log'!$L$2:$L1000,$B511,'主表 Stock_Transaction_Log'!$F$2:$F1000,$C511,'主表 Stock_Transaction_Log'!$G$2:$G1000,$D511,'主表 Stock_Transaction_Log'!$P$2:$P1000,$L511)))</f>
        <v/>
      </c>
    </row>
    <row r="512">
      <c r="A512" s="173" t="str">
        <f>IF('主表 Stock_Transaction_Log'!$T512="","",IF(COUNTIF('主表 Stock_Transaction_Log'!$T$2:$T512,'主表 Stock_Transaction_Log'!$T512)=1,ROW('主表 Stock_Transaction_Log'!$T512),""))</f>
        <v/>
      </c>
      <c r="B512" s="173" t="str">
        <f t="array" ref="B512">IF($A512="","",INDEX('主表 Stock_Transaction_Log'!$Q:$Q,$A512))</f>
        <v/>
      </c>
      <c r="C512" s="173" t="str">
        <f t="array" ref="C512">IF($A512="","",IF(INDEX('主表 Stock_Transaction_Log'!$F:$F,$A512)=0,"",INDEX('主表 Stock_Transaction_Log'!$F:$F,$A512)))</f>
        <v/>
      </c>
      <c r="D512" s="173" t="str">
        <f t="array" ref="D512">IF($A512="","",INDEX('主表 Stock_Transaction_Log'!$G:$G,$A512))</f>
        <v/>
      </c>
      <c r="E512" s="173" t="str">
        <f t="array" ref="E512">IF($A512="","",INDEX('主表 Stock_Transaction_Log'!$H:$H,$A512))</f>
        <v/>
      </c>
      <c r="F512" s="173" t="str">
        <f t="array" ref="F512">IF($A512="","",INDEX('主表 Stock_Transaction_Log'!$I:$I,$A512))</f>
        <v/>
      </c>
      <c r="G512" s="173" t="str">
        <f t="array" ref="G512">IF($A512="","",IF(INDEX('主表 Stock_Transaction_Log'!$R:$R,$A512)=0,"",INDEX('主表 Stock_Transaction_Log'!$R:$R,$A512)))</f>
        <v/>
      </c>
      <c r="H512" s="173" t="str">
        <f t="array" ref="H512">IF($A512="","",SUMIF('主表 Stock_Transaction_Log'!$T:$T,INDEX('主表 Stock_Transaction_Log'!$T:$T,$A512),'主表 Stock_Transaction_Log'!$S:$S)+SUMIF('主表 Stock_Transaction_Log'!$AB:$AB,INDEX('主表 Stock_Transaction_Log'!$T:$T,$A512),'主表 Stock_Transaction_Log'!$AC:$AC))</f>
        <v/>
      </c>
      <c r="I512" s="173" t="str">
        <f t="shared" si="1"/>
        <v/>
      </c>
      <c r="J512" s="173" t="str">
        <f t="shared" si="2"/>
        <v/>
      </c>
      <c r="K512" s="173" t="str">
        <f t="shared" si="3"/>
        <v/>
      </c>
      <c r="L512" s="173" t="str">
        <f t="array" ref="L512">IF($A512="","",INDEX('主表 Stock_Transaction_Log'!$P:$P,$A512))</f>
        <v/>
      </c>
      <c r="M512" s="174" t="str">
        <f>IF($A512="","",IF($H512&lt;=0,0,SUMIFS('主表 Stock_Transaction_Log'!$K$2:$K1000,'主表 Stock_Transaction_Log'!$C$2:$C1000,"Prepared",'主表 Stock_Transaction_Log'!$L$2:$L1000,$B512,'主表 Stock_Transaction_Log'!$F$2:$F1000,$C512,'主表 Stock_Transaction_Log'!$G$2:$G1000,$D512,'主表 Stock_Transaction_Log'!$P$2:$P1000,$L512)))</f>
        <v/>
      </c>
    </row>
    <row r="513">
      <c r="A513" s="173" t="str">
        <f>IF('主表 Stock_Transaction_Log'!$T513="","",IF(COUNTIF('主表 Stock_Transaction_Log'!$T$2:$T513,'主表 Stock_Transaction_Log'!$T513)=1,ROW('主表 Stock_Transaction_Log'!$T513),""))</f>
        <v/>
      </c>
      <c r="B513" s="173" t="str">
        <f t="array" ref="B513">IF($A513="","",INDEX('主表 Stock_Transaction_Log'!$Q:$Q,$A513))</f>
        <v/>
      </c>
      <c r="C513" s="173" t="str">
        <f t="array" ref="C513">IF($A513="","",IF(INDEX('主表 Stock_Transaction_Log'!$F:$F,$A513)=0,"",INDEX('主表 Stock_Transaction_Log'!$F:$F,$A513)))</f>
        <v/>
      </c>
      <c r="D513" s="173" t="str">
        <f t="array" ref="D513">IF($A513="","",INDEX('主表 Stock_Transaction_Log'!$G:$G,$A513))</f>
        <v/>
      </c>
      <c r="E513" s="173" t="str">
        <f t="array" ref="E513">IF($A513="","",INDEX('主表 Stock_Transaction_Log'!$H:$H,$A513))</f>
        <v/>
      </c>
      <c r="F513" s="173" t="str">
        <f t="array" ref="F513">IF($A513="","",INDEX('主表 Stock_Transaction_Log'!$I:$I,$A513))</f>
        <v/>
      </c>
      <c r="G513" s="173" t="str">
        <f t="array" ref="G513">IF($A513="","",IF(INDEX('主表 Stock_Transaction_Log'!$R:$R,$A513)=0,"",INDEX('主表 Stock_Transaction_Log'!$R:$R,$A513)))</f>
        <v/>
      </c>
      <c r="H513" s="173" t="str">
        <f t="array" ref="H513">IF($A513="","",SUMIF('主表 Stock_Transaction_Log'!$T:$T,INDEX('主表 Stock_Transaction_Log'!$T:$T,$A513),'主表 Stock_Transaction_Log'!$S:$S)+SUMIF('主表 Stock_Transaction_Log'!$AB:$AB,INDEX('主表 Stock_Transaction_Log'!$T:$T,$A513),'主表 Stock_Transaction_Log'!$AC:$AC))</f>
        <v/>
      </c>
      <c r="I513" s="173" t="str">
        <f t="shared" si="1"/>
        <v/>
      </c>
      <c r="J513" s="173" t="str">
        <f t="shared" si="2"/>
        <v/>
      </c>
      <c r="K513" s="173" t="str">
        <f t="shared" si="3"/>
        <v/>
      </c>
      <c r="L513" s="173" t="str">
        <f t="array" ref="L513">IF($A513="","",INDEX('主表 Stock_Transaction_Log'!$P:$P,$A513))</f>
        <v/>
      </c>
      <c r="M513" s="174" t="str">
        <f>IF($A513="","",IF($H513&lt;=0,0,SUMIFS('主表 Stock_Transaction_Log'!$K$2:$K1000,'主表 Stock_Transaction_Log'!$C$2:$C1000,"Prepared",'主表 Stock_Transaction_Log'!$L$2:$L1000,$B513,'主表 Stock_Transaction_Log'!$F$2:$F1000,$C513,'主表 Stock_Transaction_Log'!$G$2:$G1000,$D513,'主表 Stock_Transaction_Log'!$P$2:$P1000,$L513)))</f>
        <v/>
      </c>
    </row>
    <row r="514">
      <c r="A514" s="173" t="str">
        <f>IF('主表 Stock_Transaction_Log'!$T514="","",IF(COUNTIF('主表 Stock_Transaction_Log'!$T$2:$T514,'主表 Stock_Transaction_Log'!$T514)=1,ROW('主表 Stock_Transaction_Log'!$T514),""))</f>
        <v/>
      </c>
      <c r="B514" s="173" t="str">
        <f t="array" ref="B514">IF($A514="","",INDEX('主表 Stock_Transaction_Log'!$Q:$Q,$A514))</f>
        <v/>
      </c>
      <c r="C514" s="173" t="str">
        <f t="array" ref="C514">IF($A514="","",IF(INDEX('主表 Stock_Transaction_Log'!$F:$F,$A514)=0,"",INDEX('主表 Stock_Transaction_Log'!$F:$F,$A514)))</f>
        <v/>
      </c>
      <c r="D514" s="173" t="str">
        <f t="array" ref="D514">IF($A514="","",INDEX('主表 Stock_Transaction_Log'!$G:$G,$A514))</f>
        <v/>
      </c>
      <c r="E514" s="173" t="str">
        <f t="array" ref="E514">IF($A514="","",INDEX('主表 Stock_Transaction_Log'!$H:$H,$A514))</f>
        <v/>
      </c>
      <c r="F514" s="173" t="str">
        <f t="array" ref="F514">IF($A514="","",INDEX('主表 Stock_Transaction_Log'!$I:$I,$A514))</f>
        <v/>
      </c>
      <c r="G514" s="173" t="str">
        <f t="array" ref="G514">IF($A514="","",IF(INDEX('主表 Stock_Transaction_Log'!$R:$R,$A514)=0,"",INDEX('主表 Stock_Transaction_Log'!$R:$R,$A514)))</f>
        <v/>
      </c>
      <c r="H514" s="173" t="str">
        <f t="array" ref="H514">IF($A514="","",SUMIF('主表 Stock_Transaction_Log'!$T:$T,INDEX('主表 Stock_Transaction_Log'!$T:$T,$A514),'主表 Stock_Transaction_Log'!$S:$S)+SUMIF('主表 Stock_Transaction_Log'!$AB:$AB,INDEX('主表 Stock_Transaction_Log'!$T:$T,$A514),'主表 Stock_Transaction_Log'!$AC:$AC))</f>
        <v/>
      </c>
      <c r="I514" s="173" t="str">
        <f t="shared" si="1"/>
        <v/>
      </c>
      <c r="J514" s="173" t="str">
        <f t="shared" si="2"/>
        <v/>
      </c>
      <c r="K514" s="173" t="str">
        <f t="shared" si="3"/>
        <v/>
      </c>
      <c r="L514" s="173" t="str">
        <f t="array" ref="L514">IF($A514="","",INDEX('主表 Stock_Transaction_Log'!$P:$P,$A514))</f>
        <v/>
      </c>
      <c r="M514" s="174" t="str">
        <f>IF($A514="","",IF($H514&lt;=0,0,SUMIFS('主表 Stock_Transaction_Log'!$K$2:$K1000,'主表 Stock_Transaction_Log'!$C$2:$C1000,"Prepared",'主表 Stock_Transaction_Log'!$L$2:$L1000,$B514,'主表 Stock_Transaction_Log'!$F$2:$F1000,$C514,'主表 Stock_Transaction_Log'!$G$2:$G1000,$D514,'主表 Stock_Transaction_Log'!$P$2:$P1000,$L514)))</f>
        <v/>
      </c>
    </row>
    <row r="515">
      <c r="A515" s="173" t="str">
        <f>IF('主表 Stock_Transaction_Log'!$T515="","",IF(COUNTIF('主表 Stock_Transaction_Log'!$T$2:$T515,'主表 Stock_Transaction_Log'!$T515)=1,ROW('主表 Stock_Transaction_Log'!$T515),""))</f>
        <v/>
      </c>
      <c r="B515" s="173" t="str">
        <f t="array" ref="B515">IF($A515="","",INDEX('主表 Stock_Transaction_Log'!$Q:$Q,$A515))</f>
        <v/>
      </c>
      <c r="C515" s="173" t="str">
        <f t="array" ref="C515">IF($A515="","",IF(INDEX('主表 Stock_Transaction_Log'!$F:$F,$A515)=0,"",INDEX('主表 Stock_Transaction_Log'!$F:$F,$A515)))</f>
        <v/>
      </c>
      <c r="D515" s="173" t="str">
        <f t="array" ref="D515">IF($A515="","",INDEX('主表 Stock_Transaction_Log'!$G:$G,$A515))</f>
        <v/>
      </c>
      <c r="E515" s="173" t="str">
        <f t="array" ref="E515">IF($A515="","",INDEX('主表 Stock_Transaction_Log'!$H:$H,$A515))</f>
        <v/>
      </c>
      <c r="F515" s="173" t="str">
        <f t="array" ref="F515">IF($A515="","",INDEX('主表 Stock_Transaction_Log'!$I:$I,$A515))</f>
        <v/>
      </c>
      <c r="G515" s="173" t="str">
        <f t="array" ref="G515">IF($A515="","",IF(INDEX('主表 Stock_Transaction_Log'!$R:$R,$A515)=0,"",INDEX('主表 Stock_Transaction_Log'!$R:$R,$A515)))</f>
        <v/>
      </c>
      <c r="H515" s="173" t="str">
        <f t="array" ref="H515">IF($A515="","",SUMIF('主表 Stock_Transaction_Log'!$T:$T,INDEX('主表 Stock_Transaction_Log'!$T:$T,$A515),'主表 Stock_Transaction_Log'!$S:$S)+SUMIF('主表 Stock_Transaction_Log'!$AB:$AB,INDEX('主表 Stock_Transaction_Log'!$T:$T,$A515),'主表 Stock_Transaction_Log'!$AC:$AC))</f>
        <v/>
      </c>
      <c r="I515" s="173" t="str">
        <f t="shared" si="1"/>
        <v/>
      </c>
      <c r="J515" s="173" t="str">
        <f t="shared" si="2"/>
        <v/>
      </c>
      <c r="K515" s="173" t="str">
        <f t="shared" si="3"/>
        <v/>
      </c>
      <c r="L515" s="173" t="str">
        <f t="array" ref="L515">IF($A515="","",INDEX('主表 Stock_Transaction_Log'!$P:$P,$A515))</f>
        <v/>
      </c>
      <c r="M515" s="174" t="str">
        <f>IF($A515="","",IF($H515&lt;=0,0,SUMIFS('主表 Stock_Transaction_Log'!$K$2:$K1000,'主表 Stock_Transaction_Log'!$C$2:$C1000,"Prepared",'主表 Stock_Transaction_Log'!$L$2:$L1000,$B515,'主表 Stock_Transaction_Log'!$F$2:$F1000,$C515,'主表 Stock_Transaction_Log'!$G$2:$G1000,$D515,'主表 Stock_Transaction_Log'!$P$2:$P1000,$L515)))</f>
        <v/>
      </c>
    </row>
    <row r="516">
      <c r="A516" s="173" t="str">
        <f>IF('主表 Stock_Transaction_Log'!$T516="","",IF(COUNTIF('主表 Stock_Transaction_Log'!$T$2:$T516,'主表 Stock_Transaction_Log'!$T516)=1,ROW('主表 Stock_Transaction_Log'!$T516),""))</f>
        <v/>
      </c>
      <c r="B516" s="173" t="str">
        <f t="array" ref="B516">IF($A516="","",INDEX('主表 Stock_Transaction_Log'!$Q:$Q,$A516))</f>
        <v/>
      </c>
      <c r="C516" s="173" t="str">
        <f t="array" ref="C516">IF($A516="","",IF(INDEX('主表 Stock_Transaction_Log'!$F:$F,$A516)=0,"",INDEX('主表 Stock_Transaction_Log'!$F:$F,$A516)))</f>
        <v/>
      </c>
      <c r="D516" s="173" t="str">
        <f t="array" ref="D516">IF($A516="","",INDEX('主表 Stock_Transaction_Log'!$G:$G,$A516))</f>
        <v/>
      </c>
      <c r="E516" s="173" t="str">
        <f t="array" ref="E516">IF($A516="","",INDEX('主表 Stock_Transaction_Log'!$H:$H,$A516))</f>
        <v/>
      </c>
      <c r="F516" s="173" t="str">
        <f t="array" ref="F516">IF($A516="","",INDEX('主表 Stock_Transaction_Log'!$I:$I,$A516))</f>
        <v/>
      </c>
      <c r="G516" s="173" t="str">
        <f t="array" ref="G516">IF($A516="","",IF(INDEX('主表 Stock_Transaction_Log'!$R:$R,$A516)=0,"",INDEX('主表 Stock_Transaction_Log'!$R:$R,$A516)))</f>
        <v/>
      </c>
      <c r="H516" s="173" t="str">
        <f t="array" ref="H516">IF($A516="","",SUMIF('主表 Stock_Transaction_Log'!$T:$T,INDEX('主表 Stock_Transaction_Log'!$T:$T,$A516),'主表 Stock_Transaction_Log'!$S:$S)+SUMIF('主表 Stock_Transaction_Log'!$AB:$AB,INDEX('主表 Stock_Transaction_Log'!$T:$T,$A516),'主表 Stock_Transaction_Log'!$AC:$AC))</f>
        <v/>
      </c>
      <c r="I516" s="173" t="str">
        <f t="shared" si="1"/>
        <v/>
      </c>
      <c r="J516" s="173" t="str">
        <f t="shared" si="2"/>
        <v/>
      </c>
      <c r="K516" s="173" t="str">
        <f t="shared" si="3"/>
        <v/>
      </c>
      <c r="L516" s="173" t="str">
        <f t="array" ref="L516">IF($A516="","",INDEX('主表 Stock_Transaction_Log'!$P:$P,$A516))</f>
        <v/>
      </c>
      <c r="M516" s="174" t="str">
        <f>IF($A516="","",IF($H516&lt;=0,0,SUMIFS('主表 Stock_Transaction_Log'!$K$2:$K1000,'主表 Stock_Transaction_Log'!$C$2:$C1000,"Prepared",'主表 Stock_Transaction_Log'!$L$2:$L1000,$B516,'主表 Stock_Transaction_Log'!$F$2:$F1000,$C516,'主表 Stock_Transaction_Log'!$G$2:$G1000,$D516,'主表 Stock_Transaction_Log'!$P$2:$P1000,$L516)))</f>
        <v/>
      </c>
    </row>
    <row r="517">
      <c r="A517" s="173" t="str">
        <f>IF('主表 Stock_Transaction_Log'!$T517="","",IF(COUNTIF('主表 Stock_Transaction_Log'!$T$2:$T517,'主表 Stock_Transaction_Log'!$T517)=1,ROW('主表 Stock_Transaction_Log'!$T517),""))</f>
        <v/>
      </c>
      <c r="B517" s="173" t="str">
        <f t="array" ref="B517">IF($A517="","",INDEX('主表 Stock_Transaction_Log'!$Q:$Q,$A517))</f>
        <v/>
      </c>
      <c r="C517" s="173" t="str">
        <f t="array" ref="C517">IF($A517="","",IF(INDEX('主表 Stock_Transaction_Log'!$F:$F,$A517)=0,"",INDEX('主表 Stock_Transaction_Log'!$F:$F,$A517)))</f>
        <v/>
      </c>
      <c r="D517" s="173" t="str">
        <f t="array" ref="D517">IF($A517="","",INDEX('主表 Stock_Transaction_Log'!$G:$G,$A517))</f>
        <v/>
      </c>
      <c r="E517" s="173" t="str">
        <f t="array" ref="E517">IF($A517="","",INDEX('主表 Stock_Transaction_Log'!$H:$H,$A517))</f>
        <v/>
      </c>
      <c r="F517" s="173" t="str">
        <f t="array" ref="F517">IF($A517="","",INDEX('主表 Stock_Transaction_Log'!$I:$I,$A517))</f>
        <v/>
      </c>
      <c r="G517" s="173" t="str">
        <f t="array" ref="G517">IF($A517="","",IF(INDEX('主表 Stock_Transaction_Log'!$R:$R,$A517)=0,"",INDEX('主表 Stock_Transaction_Log'!$R:$R,$A517)))</f>
        <v/>
      </c>
      <c r="H517" s="173" t="str">
        <f t="array" ref="H517">IF($A517="","",SUMIF('主表 Stock_Transaction_Log'!$T:$T,INDEX('主表 Stock_Transaction_Log'!$T:$T,$A517),'主表 Stock_Transaction_Log'!$S:$S)+SUMIF('主表 Stock_Transaction_Log'!$AB:$AB,INDEX('主表 Stock_Transaction_Log'!$T:$T,$A517),'主表 Stock_Transaction_Log'!$AC:$AC))</f>
        <v/>
      </c>
      <c r="I517" s="173" t="str">
        <f t="shared" si="1"/>
        <v/>
      </c>
      <c r="J517" s="173" t="str">
        <f t="shared" si="2"/>
        <v/>
      </c>
      <c r="K517" s="173" t="str">
        <f t="shared" si="3"/>
        <v/>
      </c>
      <c r="L517" s="173" t="str">
        <f t="array" ref="L517">IF($A517="","",INDEX('主表 Stock_Transaction_Log'!$P:$P,$A517))</f>
        <v/>
      </c>
      <c r="M517" s="174" t="str">
        <f>IF($A517="","",IF($H517&lt;=0,0,SUMIFS('主表 Stock_Transaction_Log'!$K$2:$K1000,'主表 Stock_Transaction_Log'!$C$2:$C1000,"Prepared",'主表 Stock_Transaction_Log'!$L$2:$L1000,$B517,'主表 Stock_Transaction_Log'!$F$2:$F1000,$C517,'主表 Stock_Transaction_Log'!$G$2:$G1000,$D517,'主表 Stock_Transaction_Log'!$P$2:$P1000,$L517)))</f>
        <v/>
      </c>
    </row>
    <row r="518">
      <c r="A518" s="173" t="str">
        <f>IF('主表 Stock_Transaction_Log'!$T518="","",IF(COUNTIF('主表 Stock_Transaction_Log'!$T$2:$T518,'主表 Stock_Transaction_Log'!$T518)=1,ROW('主表 Stock_Transaction_Log'!$T518),""))</f>
        <v/>
      </c>
      <c r="B518" s="173" t="str">
        <f t="array" ref="B518">IF($A518="","",INDEX('主表 Stock_Transaction_Log'!$Q:$Q,$A518))</f>
        <v/>
      </c>
      <c r="C518" s="173" t="str">
        <f t="array" ref="C518">IF($A518="","",IF(INDEX('主表 Stock_Transaction_Log'!$F:$F,$A518)=0,"",INDEX('主表 Stock_Transaction_Log'!$F:$F,$A518)))</f>
        <v/>
      </c>
      <c r="D518" s="173" t="str">
        <f t="array" ref="D518">IF($A518="","",INDEX('主表 Stock_Transaction_Log'!$G:$G,$A518))</f>
        <v/>
      </c>
      <c r="E518" s="173" t="str">
        <f t="array" ref="E518">IF($A518="","",INDEX('主表 Stock_Transaction_Log'!$H:$H,$A518))</f>
        <v/>
      </c>
      <c r="F518" s="173" t="str">
        <f t="array" ref="F518">IF($A518="","",INDEX('主表 Stock_Transaction_Log'!$I:$I,$A518))</f>
        <v/>
      </c>
      <c r="G518" s="173" t="str">
        <f t="array" ref="G518">IF($A518="","",IF(INDEX('主表 Stock_Transaction_Log'!$R:$R,$A518)=0,"",INDEX('主表 Stock_Transaction_Log'!$R:$R,$A518)))</f>
        <v/>
      </c>
      <c r="H518" s="173" t="str">
        <f t="array" ref="H518">IF($A518="","",SUMIF('主表 Stock_Transaction_Log'!$T:$T,INDEX('主表 Stock_Transaction_Log'!$T:$T,$A518),'主表 Stock_Transaction_Log'!$S:$S)+SUMIF('主表 Stock_Transaction_Log'!$AB:$AB,INDEX('主表 Stock_Transaction_Log'!$T:$T,$A518),'主表 Stock_Transaction_Log'!$AC:$AC))</f>
        <v/>
      </c>
      <c r="I518" s="173" t="str">
        <f t="shared" si="1"/>
        <v/>
      </c>
      <c r="J518" s="173" t="str">
        <f t="shared" si="2"/>
        <v/>
      </c>
      <c r="K518" s="173" t="str">
        <f t="shared" si="3"/>
        <v/>
      </c>
      <c r="L518" s="173" t="str">
        <f t="array" ref="L518">IF($A518="","",INDEX('主表 Stock_Transaction_Log'!$P:$P,$A518))</f>
        <v/>
      </c>
      <c r="M518" s="174" t="str">
        <f>IF($A518="","",IF($H518&lt;=0,0,SUMIFS('主表 Stock_Transaction_Log'!$K$2:$K1000,'主表 Stock_Transaction_Log'!$C$2:$C1000,"Prepared",'主表 Stock_Transaction_Log'!$L$2:$L1000,$B518,'主表 Stock_Transaction_Log'!$F$2:$F1000,$C518,'主表 Stock_Transaction_Log'!$G$2:$G1000,$D518,'主表 Stock_Transaction_Log'!$P$2:$P1000,$L518)))</f>
        <v/>
      </c>
    </row>
    <row r="519">
      <c r="A519" s="173" t="str">
        <f>IF('主表 Stock_Transaction_Log'!$T519="","",IF(COUNTIF('主表 Stock_Transaction_Log'!$T$2:$T519,'主表 Stock_Transaction_Log'!$T519)=1,ROW('主表 Stock_Transaction_Log'!$T519),""))</f>
        <v/>
      </c>
      <c r="B519" s="173" t="str">
        <f t="array" ref="B519">IF($A519="","",INDEX('主表 Stock_Transaction_Log'!$Q:$Q,$A519))</f>
        <v/>
      </c>
      <c r="C519" s="173" t="str">
        <f t="array" ref="C519">IF($A519="","",IF(INDEX('主表 Stock_Transaction_Log'!$F:$F,$A519)=0,"",INDEX('主表 Stock_Transaction_Log'!$F:$F,$A519)))</f>
        <v/>
      </c>
      <c r="D519" s="173" t="str">
        <f t="array" ref="D519">IF($A519="","",INDEX('主表 Stock_Transaction_Log'!$G:$G,$A519))</f>
        <v/>
      </c>
      <c r="E519" s="173" t="str">
        <f t="array" ref="E519">IF($A519="","",INDEX('主表 Stock_Transaction_Log'!$H:$H,$A519))</f>
        <v/>
      </c>
      <c r="F519" s="173" t="str">
        <f t="array" ref="F519">IF($A519="","",INDEX('主表 Stock_Transaction_Log'!$I:$I,$A519))</f>
        <v/>
      </c>
      <c r="G519" s="173" t="str">
        <f t="array" ref="G519">IF($A519="","",IF(INDEX('主表 Stock_Transaction_Log'!$R:$R,$A519)=0,"",INDEX('主表 Stock_Transaction_Log'!$R:$R,$A519)))</f>
        <v/>
      </c>
      <c r="H519" s="173" t="str">
        <f t="array" ref="H519">IF($A519="","",SUMIF('主表 Stock_Transaction_Log'!$T:$T,INDEX('主表 Stock_Transaction_Log'!$T:$T,$A519),'主表 Stock_Transaction_Log'!$S:$S)+SUMIF('主表 Stock_Transaction_Log'!$AB:$AB,INDEX('主表 Stock_Transaction_Log'!$T:$T,$A519),'主表 Stock_Transaction_Log'!$AC:$AC))</f>
        <v/>
      </c>
      <c r="I519" s="173" t="str">
        <f t="shared" si="1"/>
        <v/>
      </c>
      <c r="J519" s="173" t="str">
        <f t="shared" si="2"/>
        <v/>
      </c>
      <c r="K519" s="173" t="str">
        <f t="shared" si="3"/>
        <v/>
      </c>
      <c r="L519" s="173" t="str">
        <f t="array" ref="L519">IF($A519="","",INDEX('主表 Stock_Transaction_Log'!$P:$P,$A519))</f>
        <v/>
      </c>
      <c r="M519" s="174" t="str">
        <f>IF($A519="","",IF($H519&lt;=0,0,SUMIFS('主表 Stock_Transaction_Log'!$K$2:$K1000,'主表 Stock_Transaction_Log'!$C$2:$C1000,"Prepared",'主表 Stock_Transaction_Log'!$L$2:$L1000,$B519,'主表 Stock_Transaction_Log'!$F$2:$F1000,$C519,'主表 Stock_Transaction_Log'!$G$2:$G1000,$D519,'主表 Stock_Transaction_Log'!$P$2:$P1000,$L519)))</f>
        <v/>
      </c>
    </row>
    <row r="520">
      <c r="A520" s="173" t="str">
        <f>IF('主表 Stock_Transaction_Log'!$T520="","",IF(COUNTIF('主表 Stock_Transaction_Log'!$T$2:$T520,'主表 Stock_Transaction_Log'!$T520)=1,ROW('主表 Stock_Transaction_Log'!$T520),""))</f>
        <v/>
      </c>
      <c r="B520" s="173" t="str">
        <f t="array" ref="B520">IF($A520="","",INDEX('主表 Stock_Transaction_Log'!$Q:$Q,$A520))</f>
        <v/>
      </c>
      <c r="C520" s="173" t="str">
        <f t="array" ref="C520">IF($A520="","",IF(INDEX('主表 Stock_Transaction_Log'!$F:$F,$A520)=0,"",INDEX('主表 Stock_Transaction_Log'!$F:$F,$A520)))</f>
        <v/>
      </c>
      <c r="D520" s="173" t="str">
        <f t="array" ref="D520">IF($A520="","",INDEX('主表 Stock_Transaction_Log'!$G:$G,$A520))</f>
        <v/>
      </c>
      <c r="E520" s="173" t="str">
        <f t="array" ref="E520">IF($A520="","",INDEX('主表 Stock_Transaction_Log'!$H:$H,$A520))</f>
        <v/>
      </c>
      <c r="F520" s="173" t="str">
        <f t="array" ref="F520">IF($A520="","",INDEX('主表 Stock_Transaction_Log'!$I:$I,$A520))</f>
        <v/>
      </c>
      <c r="G520" s="173" t="str">
        <f t="array" ref="G520">IF($A520="","",IF(INDEX('主表 Stock_Transaction_Log'!$R:$R,$A520)=0,"",INDEX('主表 Stock_Transaction_Log'!$R:$R,$A520)))</f>
        <v/>
      </c>
      <c r="H520" s="173" t="str">
        <f t="array" ref="H520">IF($A520="","",SUMIF('主表 Stock_Transaction_Log'!$T:$T,INDEX('主表 Stock_Transaction_Log'!$T:$T,$A520),'主表 Stock_Transaction_Log'!$S:$S)+SUMIF('主表 Stock_Transaction_Log'!$AB:$AB,INDEX('主表 Stock_Transaction_Log'!$T:$T,$A520),'主表 Stock_Transaction_Log'!$AC:$AC))</f>
        <v/>
      </c>
      <c r="I520" s="173" t="str">
        <f t="shared" si="1"/>
        <v/>
      </c>
      <c r="J520" s="173" t="str">
        <f t="shared" si="2"/>
        <v/>
      </c>
      <c r="K520" s="173" t="str">
        <f t="shared" si="3"/>
        <v/>
      </c>
      <c r="L520" s="173" t="str">
        <f t="array" ref="L520">IF($A520="","",INDEX('主表 Stock_Transaction_Log'!$P:$P,$A520))</f>
        <v/>
      </c>
      <c r="M520" s="174" t="str">
        <f>IF($A520="","",IF($H520&lt;=0,0,SUMIFS('主表 Stock_Transaction_Log'!$K$2:$K1000,'主表 Stock_Transaction_Log'!$C$2:$C1000,"Prepared",'主表 Stock_Transaction_Log'!$L$2:$L1000,$B520,'主表 Stock_Transaction_Log'!$F$2:$F1000,$C520,'主表 Stock_Transaction_Log'!$G$2:$G1000,$D520,'主表 Stock_Transaction_Log'!$P$2:$P1000,$L520)))</f>
        <v/>
      </c>
    </row>
    <row r="521">
      <c r="A521" s="173" t="str">
        <f>IF('主表 Stock_Transaction_Log'!$T521="","",IF(COUNTIF('主表 Stock_Transaction_Log'!$T$2:$T521,'主表 Stock_Transaction_Log'!$T521)=1,ROW('主表 Stock_Transaction_Log'!$T521),""))</f>
        <v/>
      </c>
      <c r="B521" s="173" t="str">
        <f t="array" ref="B521">IF($A521="","",INDEX('主表 Stock_Transaction_Log'!$Q:$Q,$A521))</f>
        <v/>
      </c>
      <c r="C521" s="173" t="str">
        <f t="array" ref="C521">IF($A521="","",IF(INDEX('主表 Stock_Transaction_Log'!$F:$F,$A521)=0,"",INDEX('主表 Stock_Transaction_Log'!$F:$F,$A521)))</f>
        <v/>
      </c>
      <c r="D521" s="173" t="str">
        <f t="array" ref="D521">IF($A521="","",INDEX('主表 Stock_Transaction_Log'!$G:$G,$A521))</f>
        <v/>
      </c>
      <c r="E521" s="173" t="str">
        <f t="array" ref="E521">IF($A521="","",INDEX('主表 Stock_Transaction_Log'!$H:$H,$A521))</f>
        <v/>
      </c>
      <c r="F521" s="173" t="str">
        <f t="array" ref="F521">IF($A521="","",INDEX('主表 Stock_Transaction_Log'!$I:$I,$A521))</f>
        <v/>
      </c>
      <c r="G521" s="173" t="str">
        <f t="array" ref="G521">IF($A521="","",IF(INDEX('主表 Stock_Transaction_Log'!$R:$R,$A521)=0,"",INDEX('主表 Stock_Transaction_Log'!$R:$R,$A521)))</f>
        <v/>
      </c>
      <c r="H521" s="173" t="str">
        <f t="array" ref="H521">IF($A521="","",SUMIF('主表 Stock_Transaction_Log'!$T:$T,INDEX('主表 Stock_Transaction_Log'!$T:$T,$A521),'主表 Stock_Transaction_Log'!$S:$S)+SUMIF('主表 Stock_Transaction_Log'!$AB:$AB,INDEX('主表 Stock_Transaction_Log'!$T:$T,$A521),'主表 Stock_Transaction_Log'!$AC:$AC))</f>
        <v/>
      </c>
      <c r="I521" s="173" t="str">
        <f t="shared" si="1"/>
        <v/>
      </c>
      <c r="J521" s="173" t="str">
        <f t="shared" si="2"/>
        <v/>
      </c>
      <c r="K521" s="173" t="str">
        <f t="shared" si="3"/>
        <v/>
      </c>
      <c r="L521" s="173" t="str">
        <f t="array" ref="L521">IF($A521="","",INDEX('主表 Stock_Transaction_Log'!$P:$P,$A521))</f>
        <v/>
      </c>
      <c r="M521" s="174" t="str">
        <f>IF($A521="","",IF($H521&lt;=0,0,SUMIFS('主表 Stock_Transaction_Log'!$K$2:$K1000,'主表 Stock_Transaction_Log'!$C$2:$C1000,"Prepared",'主表 Stock_Transaction_Log'!$L$2:$L1000,$B521,'主表 Stock_Transaction_Log'!$F$2:$F1000,$C521,'主表 Stock_Transaction_Log'!$G$2:$G1000,$D521,'主表 Stock_Transaction_Log'!$P$2:$P1000,$L521)))</f>
        <v/>
      </c>
    </row>
    <row r="522">
      <c r="A522" s="173" t="str">
        <f>IF('主表 Stock_Transaction_Log'!$T522="","",IF(COUNTIF('主表 Stock_Transaction_Log'!$T$2:$T522,'主表 Stock_Transaction_Log'!$T522)=1,ROW('主表 Stock_Transaction_Log'!$T522),""))</f>
        <v/>
      </c>
      <c r="B522" s="173" t="str">
        <f t="array" ref="B522">IF($A522="","",INDEX('主表 Stock_Transaction_Log'!$Q:$Q,$A522))</f>
        <v/>
      </c>
      <c r="C522" s="173" t="str">
        <f t="array" ref="C522">IF($A522="","",IF(INDEX('主表 Stock_Transaction_Log'!$F:$F,$A522)=0,"",INDEX('主表 Stock_Transaction_Log'!$F:$F,$A522)))</f>
        <v/>
      </c>
      <c r="D522" s="173" t="str">
        <f t="array" ref="D522">IF($A522="","",INDEX('主表 Stock_Transaction_Log'!$G:$G,$A522))</f>
        <v/>
      </c>
      <c r="E522" s="173" t="str">
        <f t="array" ref="E522">IF($A522="","",INDEX('主表 Stock_Transaction_Log'!$H:$H,$A522))</f>
        <v/>
      </c>
      <c r="F522" s="173" t="str">
        <f t="array" ref="F522">IF($A522="","",INDEX('主表 Stock_Transaction_Log'!$I:$I,$A522))</f>
        <v/>
      </c>
      <c r="G522" s="173" t="str">
        <f t="array" ref="G522">IF($A522="","",IF(INDEX('主表 Stock_Transaction_Log'!$R:$R,$A522)=0,"",INDEX('主表 Stock_Transaction_Log'!$R:$R,$A522)))</f>
        <v/>
      </c>
      <c r="H522" s="173" t="str">
        <f t="array" ref="H522">IF($A522="","",SUMIF('主表 Stock_Transaction_Log'!$T:$T,INDEX('主表 Stock_Transaction_Log'!$T:$T,$A522),'主表 Stock_Transaction_Log'!$S:$S)+SUMIF('主表 Stock_Transaction_Log'!$AB:$AB,INDEX('主表 Stock_Transaction_Log'!$T:$T,$A522),'主表 Stock_Transaction_Log'!$AC:$AC))</f>
        <v/>
      </c>
      <c r="I522" s="173" t="str">
        <f t="shared" si="1"/>
        <v/>
      </c>
      <c r="J522" s="173" t="str">
        <f t="shared" si="2"/>
        <v/>
      </c>
      <c r="K522" s="173" t="str">
        <f t="shared" si="3"/>
        <v/>
      </c>
      <c r="L522" s="173" t="str">
        <f t="array" ref="L522">IF($A522="","",INDEX('主表 Stock_Transaction_Log'!$P:$P,$A522))</f>
        <v/>
      </c>
      <c r="M522" s="174" t="str">
        <f>IF($A522="","",IF($H522&lt;=0,0,SUMIFS('主表 Stock_Transaction_Log'!$K$2:$K1000,'主表 Stock_Transaction_Log'!$C$2:$C1000,"Prepared",'主表 Stock_Transaction_Log'!$L$2:$L1000,$B522,'主表 Stock_Transaction_Log'!$F$2:$F1000,$C522,'主表 Stock_Transaction_Log'!$G$2:$G1000,$D522,'主表 Stock_Transaction_Log'!$P$2:$P1000,$L522)))</f>
        <v/>
      </c>
    </row>
    <row r="523">
      <c r="A523" s="173" t="str">
        <f>IF('主表 Stock_Transaction_Log'!$T523="","",IF(COUNTIF('主表 Stock_Transaction_Log'!$T$2:$T523,'主表 Stock_Transaction_Log'!$T523)=1,ROW('主表 Stock_Transaction_Log'!$T523),""))</f>
        <v/>
      </c>
      <c r="B523" s="173" t="str">
        <f t="array" ref="B523">IF($A523="","",INDEX('主表 Stock_Transaction_Log'!$Q:$Q,$A523))</f>
        <v/>
      </c>
      <c r="C523" s="173" t="str">
        <f t="array" ref="C523">IF($A523="","",IF(INDEX('主表 Stock_Transaction_Log'!$F:$F,$A523)=0,"",INDEX('主表 Stock_Transaction_Log'!$F:$F,$A523)))</f>
        <v/>
      </c>
      <c r="D523" s="173" t="str">
        <f t="array" ref="D523">IF($A523="","",INDEX('主表 Stock_Transaction_Log'!$G:$G,$A523))</f>
        <v/>
      </c>
      <c r="E523" s="173" t="str">
        <f t="array" ref="E523">IF($A523="","",INDEX('主表 Stock_Transaction_Log'!$H:$H,$A523))</f>
        <v/>
      </c>
      <c r="F523" s="173" t="str">
        <f t="array" ref="F523">IF($A523="","",INDEX('主表 Stock_Transaction_Log'!$I:$I,$A523))</f>
        <v/>
      </c>
      <c r="G523" s="173" t="str">
        <f t="array" ref="G523">IF($A523="","",IF(INDEX('主表 Stock_Transaction_Log'!$R:$R,$A523)=0,"",INDEX('主表 Stock_Transaction_Log'!$R:$R,$A523)))</f>
        <v/>
      </c>
      <c r="H523" s="173" t="str">
        <f t="array" ref="H523">IF($A523="","",SUMIF('主表 Stock_Transaction_Log'!$T:$T,INDEX('主表 Stock_Transaction_Log'!$T:$T,$A523),'主表 Stock_Transaction_Log'!$S:$S)+SUMIF('主表 Stock_Transaction_Log'!$AB:$AB,INDEX('主表 Stock_Transaction_Log'!$T:$T,$A523),'主表 Stock_Transaction_Log'!$AC:$AC))</f>
        <v/>
      </c>
      <c r="I523" s="173" t="str">
        <f t="shared" si="1"/>
        <v/>
      </c>
      <c r="J523" s="173" t="str">
        <f t="shared" si="2"/>
        <v/>
      </c>
      <c r="K523" s="173" t="str">
        <f t="shared" si="3"/>
        <v/>
      </c>
      <c r="L523" s="173" t="str">
        <f t="array" ref="L523">IF($A523="","",INDEX('主表 Stock_Transaction_Log'!$P:$P,$A523))</f>
        <v/>
      </c>
      <c r="M523" s="174" t="str">
        <f>IF($A523="","",IF($H523&lt;=0,0,SUMIFS('主表 Stock_Transaction_Log'!$K$2:$K1000,'主表 Stock_Transaction_Log'!$C$2:$C1000,"Prepared",'主表 Stock_Transaction_Log'!$L$2:$L1000,$B523,'主表 Stock_Transaction_Log'!$F$2:$F1000,$C523,'主表 Stock_Transaction_Log'!$G$2:$G1000,$D523,'主表 Stock_Transaction_Log'!$P$2:$P1000,$L523)))</f>
        <v/>
      </c>
    </row>
    <row r="524">
      <c r="A524" s="173" t="str">
        <f>IF('主表 Stock_Transaction_Log'!$T524="","",IF(COUNTIF('主表 Stock_Transaction_Log'!$T$2:$T524,'主表 Stock_Transaction_Log'!$T524)=1,ROW('主表 Stock_Transaction_Log'!$T524),""))</f>
        <v/>
      </c>
      <c r="B524" s="173" t="str">
        <f t="array" ref="B524">IF($A524="","",INDEX('主表 Stock_Transaction_Log'!$Q:$Q,$A524))</f>
        <v/>
      </c>
      <c r="C524" s="173" t="str">
        <f t="array" ref="C524">IF($A524="","",IF(INDEX('主表 Stock_Transaction_Log'!$F:$F,$A524)=0,"",INDEX('主表 Stock_Transaction_Log'!$F:$F,$A524)))</f>
        <v/>
      </c>
      <c r="D524" s="173" t="str">
        <f t="array" ref="D524">IF($A524="","",INDEX('主表 Stock_Transaction_Log'!$G:$G,$A524))</f>
        <v/>
      </c>
      <c r="E524" s="173" t="str">
        <f t="array" ref="E524">IF($A524="","",INDEX('主表 Stock_Transaction_Log'!$H:$H,$A524))</f>
        <v/>
      </c>
      <c r="F524" s="173" t="str">
        <f t="array" ref="F524">IF($A524="","",INDEX('主表 Stock_Transaction_Log'!$I:$I,$A524))</f>
        <v/>
      </c>
      <c r="G524" s="173" t="str">
        <f t="array" ref="G524">IF($A524="","",IF(INDEX('主表 Stock_Transaction_Log'!$R:$R,$A524)=0,"",INDEX('主表 Stock_Transaction_Log'!$R:$R,$A524)))</f>
        <v/>
      </c>
      <c r="H524" s="173" t="str">
        <f t="array" ref="H524">IF($A524="","",SUMIF('主表 Stock_Transaction_Log'!$T:$T,INDEX('主表 Stock_Transaction_Log'!$T:$T,$A524),'主表 Stock_Transaction_Log'!$S:$S)+SUMIF('主表 Stock_Transaction_Log'!$AB:$AB,INDEX('主表 Stock_Transaction_Log'!$T:$T,$A524),'主表 Stock_Transaction_Log'!$AC:$AC))</f>
        <v/>
      </c>
      <c r="I524" s="173" t="str">
        <f t="shared" si="1"/>
        <v/>
      </c>
      <c r="J524" s="173" t="str">
        <f t="shared" si="2"/>
        <v/>
      </c>
      <c r="K524" s="173" t="str">
        <f t="shared" si="3"/>
        <v/>
      </c>
      <c r="L524" s="173" t="str">
        <f t="array" ref="L524">IF($A524="","",INDEX('主表 Stock_Transaction_Log'!$P:$P,$A524))</f>
        <v/>
      </c>
      <c r="M524" s="174" t="str">
        <f>IF($A524="","",IF($H524&lt;=0,0,SUMIFS('主表 Stock_Transaction_Log'!$K$2:$K1000,'主表 Stock_Transaction_Log'!$C$2:$C1000,"Prepared",'主表 Stock_Transaction_Log'!$L$2:$L1000,$B524,'主表 Stock_Transaction_Log'!$F$2:$F1000,$C524,'主表 Stock_Transaction_Log'!$G$2:$G1000,$D524,'主表 Stock_Transaction_Log'!$P$2:$P1000,$L524)))</f>
        <v/>
      </c>
    </row>
    <row r="525">
      <c r="A525" s="173" t="str">
        <f>IF('主表 Stock_Transaction_Log'!$T525="","",IF(COUNTIF('主表 Stock_Transaction_Log'!$T$2:$T525,'主表 Stock_Transaction_Log'!$T525)=1,ROW('主表 Stock_Transaction_Log'!$T525),""))</f>
        <v/>
      </c>
      <c r="B525" s="173" t="str">
        <f t="array" ref="B525">IF($A525="","",INDEX('主表 Stock_Transaction_Log'!$Q:$Q,$A525))</f>
        <v/>
      </c>
      <c r="C525" s="173" t="str">
        <f t="array" ref="C525">IF($A525="","",IF(INDEX('主表 Stock_Transaction_Log'!$F:$F,$A525)=0,"",INDEX('主表 Stock_Transaction_Log'!$F:$F,$A525)))</f>
        <v/>
      </c>
      <c r="D525" s="173" t="str">
        <f t="array" ref="D525">IF($A525="","",INDEX('主表 Stock_Transaction_Log'!$G:$G,$A525))</f>
        <v/>
      </c>
      <c r="E525" s="173" t="str">
        <f t="array" ref="E525">IF($A525="","",INDEX('主表 Stock_Transaction_Log'!$H:$H,$A525))</f>
        <v/>
      </c>
      <c r="F525" s="173" t="str">
        <f t="array" ref="F525">IF($A525="","",INDEX('主表 Stock_Transaction_Log'!$I:$I,$A525))</f>
        <v/>
      </c>
      <c r="G525" s="173" t="str">
        <f t="array" ref="G525">IF($A525="","",IF(INDEX('主表 Stock_Transaction_Log'!$R:$R,$A525)=0,"",INDEX('主表 Stock_Transaction_Log'!$R:$R,$A525)))</f>
        <v/>
      </c>
      <c r="H525" s="173" t="str">
        <f t="array" ref="H525">IF($A525="","",SUMIF('主表 Stock_Transaction_Log'!$T:$T,INDEX('主表 Stock_Transaction_Log'!$T:$T,$A525),'主表 Stock_Transaction_Log'!$S:$S)+SUMIF('主表 Stock_Transaction_Log'!$AB:$AB,INDEX('主表 Stock_Transaction_Log'!$T:$T,$A525),'主表 Stock_Transaction_Log'!$AC:$AC))</f>
        <v/>
      </c>
      <c r="I525" s="173" t="str">
        <f t="shared" si="1"/>
        <v/>
      </c>
      <c r="J525" s="173" t="str">
        <f t="shared" si="2"/>
        <v/>
      </c>
      <c r="K525" s="173" t="str">
        <f t="shared" si="3"/>
        <v/>
      </c>
      <c r="L525" s="173" t="str">
        <f t="array" ref="L525">IF($A525="","",INDEX('主表 Stock_Transaction_Log'!$P:$P,$A525))</f>
        <v/>
      </c>
      <c r="M525" s="174" t="str">
        <f>IF($A525="","",IF($H525&lt;=0,0,SUMIFS('主表 Stock_Transaction_Log'!$K$2:$K1000,'主表 Stock_Transaction_Log'!$C$2:$C1000,"Prepared",'主表 Stock_Transaction_Log'!$L$2:$L1000,$B525,'主表 Stock_Transaction_Log'!$F$2:$F1000,$C525,'主表 Stock_Transaction_Log'!$G$2:$G1000,$D525,'主表 Stock_Transaction_Log'!$P$2:$P1000,$L525)))</f>
        <v/>
      </c>
    </row>
    <row r="526">
      <c r="A526" s="173" t="str">
        <f>IF('主表 Stock_Transaction_Log'!$T526="","",IF(COUNTIF('主表 Stock_Transaction_Log'!$T$2:$T526,'主表 Stock_Transaction_Log'!$T526)=1,ROW('主表 Stock_Transaction_Log'!$T526),""))</f>
        <v/>
      </c>
      <c r="B526" s="173" t="str">
        <f t="array" ref="B526">IF($A526="","",INDEX('主表 Stock_Transaction_Log'!$Q:$Q,$A526))</f>
        <v/>
      </c>
      <c r="C526" s="173" t="str">
        <f t="array" ref="C526">IF($A526="","",IF(INDEX('主表 Stock_Transaction_Log'!$F:$F,$A526)=0,"",INDEX('主表 Stock_Transaction_Log'!$F:$F,$A526)))</f>
        <v/>
      </c>
      <c r="D526" s="173" t="str">
        <f t="array" ref="D526">IF($A526="","",INDEX('主表 Stock_Transaction_Log'!$G:$G,$A526))</f>
        <v/>
      </c>
      <c r="E526" s="173" t="str">
        <f t="array" ref="E526">IF($A526="","",INDEX('主表 Stock_Transaction_Log'!$H:$H,$A526))</f>
        <v/>
      </c>
      <c r="F526" s="173" t="str">
        <f t="array" ref="F526">IF($A526="","",INDEX('主表 Stock_Transaction_Log'!$I:$I,$A526))</f>
        <v/>
      </c>
      <c r="G526" s="173" t="str">
        <f t="array" ref="G526">IF($A526="","",IF(INDEX('主表 Stock_Transaction_Log'!$R:$R,$A526)=0,"",INDEX('主表 Stock_Transaction_Log'!$R:$R,$A526)))</f>
        <v/>
      </c>
      <c r="H526" s="173" t="str">
        <f t="array" ref="H526">IF($A526="","",SUMIF('主表 Stock_Transaction_Log'!$T:$T,INDEX('主表 Stock_Transaction_Log'!$T:$T,$A526),'主表 Stock_Transaction_Log'!$S:$S)+SUMIF('主表 Stock_Transaction_Log'!$AB:$AB,INDEX('主表 Stock_Transaction_Log'!$T:$T,$A526),'主表 Stock_Transaction_Log'!$AC:$AC))</f>
        <v/>
      </c>
      <c r="I526" s="173" t="str">
        <f t="shared" si="1"/>
        <v/>
      </c>
      <c r="J526" s="173" t="str">
        <f t="shared" si="2"/>
        <v/>
      </c>
      <c r="K526" s="173" t="str">
        <f t="shared" si="3"/>
        <v/>
      </c>
      <c r="L526" s="173" t="str">
        <f t="array" ref="L526">IF($A526="","",INDEX('主表 Stock_Transaction_Log'!$P:$P,$A526))</f>
        <v/>
      </c>
      <c r="M526" s="174" t="str">
        <f>IF($A526="","",IF($H526&lt;=0,0,SUMIFS('主表 Stock_Transaction_Log'!$K$2:$K1000,'主表 Stock_Transaction_Log'!$C$2:$C1000,"Prepared",'主表 Stock_Transaction_Log'!$L$2:$L1000,$B526,'主表 Stock_Transaction_Log'!$F$2:$F1000,$C526,'主表 Stock_Transaction_Log'!$G$2:$G1000,$D526,'主表 Stock_Transaction_Log'!$P$2:$P1000,$L526)))</f>
        <v/>
      </c>
    </row>
    <row r="527">
      <c r="A527" s="173" t="str">
        <f>IF('主表 Stock_Transaction_Log'!$T527="","",IF(COUNTIF('主表 Stock_Transaction_Log'!$T$2:$T527,'主表 Stock_Transaction_Log'!$T527)=1,ROW('主表 Stock_Transaction_Log'!$T527),""))</f>
        <v/>
      </c>
      <c r="B527" s="173" t="str">
        <f t="array" ref="B527">IF($A527="","",INDEX('主表 Stock_Transaction_Log'!$Q:$Q,$A527))</f>
        <v/>
      </c>
      <c r="C527" s="173" t="str">
        <f t="array" ref="C527">IF($A527="","",IF(INDEX('主表 Stock_Transaction_Log'!$F:$F,$A527)=0,"",INDEX('主表 Stock_Transaction_Log'!$F:$F,$A527)))</f>
        <v/>
      </c>
      <c r="D527" s="173" t="str">
        <f t="array" ref="D527">IF($A527="","",INDEX('主表 Stock_Transaction_Log'!$G:$G,$A527))</f>
        <v/>
      </c>
      <c r="E527" s="173" t="str">
        <f t="array" ref="E527">IF($A527="","",INDEX('主表 Stock_Transaction_Log'!$H:$H,$A527))</f>
        <v/>
      </c>
      <c r="F527" s="173" t="str">
        <f t="array" ref="F527">IF($A527="","",INDEX('主表 Stock_Transaction_Log'!$I:$I,$A527))</f>
        <v/>
      </c>
      <c r="G527" s="173" t="str">
        <f t="array" ref="G527">IF($A527="","",IF(INDEX('主表 Stock_Transaction_Log'!$R:$R,$A527)=0,"",INDEX('主表 Stock_Transaction_Log'!$R:$R,$A527)))</f>
        <v/>
      </c>
      <c r="H527" s="173" t="str">
        <f t="array" ref="H527">IF($A527="","",SUMIF('主表 Stock_Transaction_Log'!$T:$T,INDEX('主表 Stock_Transaction_Log'!$T:$T,$A527),'主表 Stock_Transaction_Log'!$S:$S)+SUMIF('主表 Stock_Transaction_Log'!$AB:$AB,INDEX('主表 Stock_Transaction_Log'!$T:$T,$A527),'主表 Stock_Transaction_Log'!$AC:$AC))</f>
        <v/>
      </c>
      <c r="I527" s="173" t="str">
        <f t="shared" si="1"/>
        <v/>
      </c>
      <c r="J527" s="173" t="str">
        <f t="shared" si="2"/>
        <v/>
      </c>
      <c r="K527" s="173" t="str">
        <f t="shared" si="3"/>
        <v/>
      </c>
      <c r="L527" s="173" t="str">
        <f t="array" ref="L527">IF($A527="","",INDEX('主表 Stock_Transaction_Log'!$P:$P,$A527))</f>
        <v/>
      </c>
      <c r="M527" s="174" t="str">
        <f>IF($A527="","",IF($H527&lt;=0,0,SUMIFS('主表 Stock_Transaction_Log'!$K$2:$K1000,'主表 Stock_Transaction_Log'!$C$2:$C1000,"Prepared",'主表 Stock_Transaction_Log'!$L$2:$L1000,$B527,'主表 Stock_Transaction_Log'!$F$2:$F1000,$C527,'主表 Stock_Transaction_Log'!$G$2:$G1000,$D527,'主表 Stock_Transaction_Log'!$P$2:$P1000,$L527)))</f>
        <v/>
      </c>
    </row>
    <row r="528">
      <c r="A528" s="173" t="str">
        <f>IF('主表 Stock_Transaction_Log'!$T528="","",IF(COUNTIF('主表 Stock_Transaction_Log'!$T$2:$T528,'主表 Stock_Transaction_Log'!$T528)=1,ROW('主表 Stock_Transaction_Log'!$T528),""))</f>
        <v/>
      </c>
      <c r="B528" s="173" t="str">
        <f t="array" ref="B528">IF($A528="","",INDEX('主表 Stock_Transaction_Log'!$Q:$Q,$A528))</f>
        <v/>
      </c>
      <c r="C528" s="173" t="str">
        <f t="array" ref="C528">IF($A528="","",IF(INDEX('主表 Stock_Transaction_Log'!$F:$F,$A528)=0,"",INDEX('主表 Stock_Transaction_Log'!$F:$F,$A528)))</f>
        <v/>
      </c>
      <c r="D528" s="173" t="str">
        <f t="array" ref="D528">IF($A528="","",INDEX('主表 Stock_Transaction_Log'!$G:$G,$A528))</f>
        <v/>
      </c>
      <c r="E528" s="173" t="str">
        <f t="array" ref="E528">IF($A528="","",INDEX('主表 Stock_Transaction_Log'!$H:$H,$A528))</f>
        <v/>
      </c>
      <c r="F528" s="173" t="str">
        <f t="array" ref="F528">IF($A528="","",INDEX('主表 Stock_Transaction_Log'!$I:$I,$A528))</f>
        <v/>
      </c>
      <c r="G528" s="173" t="str">
        <f t="array" ref="G528">IF($A528="","",IF(INDEX('主表 Stock_Transaction_Log'!$R:$R,$A528)=0,"",INDEX('主表 Stock_Transaction_Log'!$R:$R,$A528)))</f>
        <v/>
      </c>
      <c r="H528" s="173" t="str">
        <f t="array" ref="H528">IF($A528="","",SUMIF('主表 Stock_Transaction_Log'!$T:$T,INDEX('主表 Stock_Transaction_Log'!$T:$T,$A528),'主表 Stock_Transaction_Log'!$S:$S)+SUMIF('主表 Stock_Transaction_Log'!$AB:$AB,INDEX('主表 Stock_Transaction_Log'!$T:$T,$A528),'主表 Stock_Transaction_Log'!$AC:$AC))</f>
        <v/>
      </c>
      <c r="I528" s="173" t="str">
        <f t="shared" si="1"/>
        <v/>
      </c>
      <c r="J528" s="173" t="str">
        <f t="shared" si="2"/>
        <v/>
      </c>
      <c r="K528" s="173" t="str">
        <f t="shared" si="3"/>
        <v/>
      </c>
      <c r="L528" s="173" t="str">
        <f t="array" ref="L528">IF($A528="","",INDEX('主表 Stock_Transaction_Log'!$P:$P,$A528))</f>
        <v/>
      </c>
      <c r="M528" s="174" t="str">
        <f>IF($A528="","",IF($H528&lt;=0,0,SUMIFS('主表 Stock_Transaction_Log'!$K$2:$K1000,'主表 Stock_Transaction_Log'!$C$2:$C1000,"Prepared",'主表 Stock_Transaction_Log'!$L$2:$L1000,$B528,'主表 Stock_Transaction_Log'!$F$2:$F1000,$C528,'主表 Stock_Transaction_Log'!$G$2:$G1000,$D528,'主表 Stock_Transaction_Log'!$P$2:$P1000,$L528)))</f>
        <v/>
      </c>
    </row>
    <row r="529">
      <c r="A529" s="173" t="str">
        <f>IF('主表 Stock_Transaction_Log'!$T529="","",IF(COUNTIF('主表 Stock_Transaction_Log'!$T$2:$T529,'主表 Stock_Transaction_Log'!$T529)=1,ROW('主表 Stock_Transaction_Log'!$T529),""))</f>
        <v/>
      </c>
      <c r="B529" s="173" t="str">
        <f t="array" ref="B529">IF($A529="","",INDEX('主表 Stock_Transaction_Log'!$Q:$Q,$A529))</f>
        <v/>
      </c>
      <c r="C529" s="173" t="str">
        <f t="array" ref="C529">IF($A529="","",IF(INDEX('主表 Stock_Transaction_Log'!$F:$F,$A529)=0,"",INDEX('主表 Stock_Transaction_Log'!$F:$F,$A529)))</f>
        <v/>
      </c>
      <c r="D529" s="173" t="str">
        <f t="array" ref="D529">IF($A529="","",INDEX('主表 Stock_Transaction_Log'!$G:$G,$A529))</f>
        <v/>
      </c>
      <c r="E529" s="173" t="str">
        <f t="array" ref="E529">IF($A529="","",INDEX('主表 Stock_Transaction_Log'!$H:$H,$A529))</f>
        <v/>
      </c>
      <c r="F529" s="173" t="str">
        <f t="array" ref="F529">IF($A529="","",INDEX('主表 Stock_Transaction_Log'!$I:$I,$A529))</f>
        <v/>
      </c>
      <c r="G529" s="173" t="str">
        <f t="array" ref="G529">IF($A529="","",IF(INDEX('主表 Stock_Transaction_Log'!$R:$R,$A529)=0,"",INDEX('主表 Stock_Transaction_Log'!$R:$R,$A529)))</f>
        <v/>
      </c>
      <c r="H529" s="173" t="str">
        <f t="array" ref="H529">IF($A529="","",SUMIF('主表 Stock_Transaction_Log'!$T:$T,INDEX('主表 Stock_Transaction_Log'!$T:$T,$A529),'主表 Stock_Transaction_Log'!$S:$S)+SUMIF('主表 Stock_Transaction_Log'!$AB:$AB,INDEX('主表 Stock_Transaction_Log'!$T:$T,$A529),'主表 Stock_Transaction_Log'!$AC:$AC))</f>
        <v/>
      </c>
      <c r="I529" s="173" t="str">
        <f t="shared" si="1"/>
        <v/>
      </c>
      <c r="J529" s="173" t="str">
        <f t="shared" si="2"/>
        <v/>
      </c>
      <c r="K529" s="173" t="str">
        <f t="shared" si="3"/>
        <v/>
      </c>
      <c r="L529" s="173" t="str">
        <f t="array" ref="L529">IF($A529="","",INDEX('主表 Stock_Transaction_Log'!$P:$P,$A529))</f>
        <v/>
      </c>
      <c r="M529" s="174" t="str">
        <f>IF($A529="","",IF($H529&lt;=0,0,SUMIFS('主表 Stock_Transaction_Log'!$K$2:$K1000,'主表 Stock_Transaction_Log'!$C$2:$C1000,"Prepared",'主表 Stock_Transaction_Log'!$L$2:$L1000,$B529,'主表 Stock_Transaction_Log'!$F$2:$F1000,$C529,'主表 Stock_Transaction_Log'!$G$2:$G1000,$D529,'主表 Stock_Transaction_Log'!$P$2:$P1000,$L529)))</f>
        <v/>
      </c>
    </row>
    <row r="530">
      <c r="A530" s="173" t="str">
        <f>IF('主表 Stock_Transaction_Log'!$T530="","",IF(COUNTIF('主表 Stock_Transaction_Log'!$T$2:$T530,'主表 Stock_Transaction_Log'!$T530)=1,ROW('主表 Stock_Transaction_Log'!$T530),""))</f>
        <v/>
      </c>
      <c r="B530" s="173" t="str">
        <f t="array" ref="B530">IF($A530="","",INDEX('主表 Stock_Transaction_Log'!$Q:$Q,$A530))</f>
        <v/>
      </c>
      <c r="C530" s="173" t="str">
        <f t="array" ref="C530">IF($A530="","",IF(INDEX('主表 Stock_Transaction_Log'!$F:$F,$A530)=0,"",INDEX('主表 Stock_Transaction_Log'!$F:$F,$A530)))</f>
        <v/>
      </c>
      <c r="D530" s="173" t="str">
        <f t="array" ref="D530">IF($A530="","",INDEX('主表 Stock_Transaction_Log'!$G:$G,$A530))</f>
        <v/>
      </c>
      <c r="E530" s="173" t="str">
        <f t="array" ref="E530">IF($A530="","",INDEX('主表 Stock_Transaction_Log'!$H:$H,$A530))</f>
        <v/>
      </c>
      <c r="F530" s="173" t="str">
        <f t="array" ref="F530">IF($A530="","",INDEX('主表 Stock_Transaction_Log'!$I:$I,$A530))</f>
        <v/>
      </c>
      <c r="G530" s="173" t="str">
        <f t="array" ref="G530">IF($A530="","",IF(INDEX('主表 Stock_Transaction_Log'!$R:$R,$A530)=0,"",INDEX('主表 Stock_Transaction_Log'!$R:$R,$A530)))</f>
        <v/>
      </c>
      <c r="H530" s="173" t="str">
        <f t="array" ref="H530">IF($A530="","",SUMIF('主表 Stock_Transaction_Log'!$T:$T,INDEX('主表 Stock_Transaction_Log'!$T:$T,$A530),'主表 Stock_Transaction_Log'!$S:$S)+SUMIF('主表 Stock_Transaction_Log'!$AB:$AB,INDEX('主表 Stock_Transaction_Log'!$T:$T,$A530),'主表 Stock_Transaction_Log'!$AC:$AC))</f>
        <v/>
      </c>
      <c r="I530" s="173" t="str">
        <f t="shared" si="1"/>
        <v/>
      </c>
      <c r="J530" s="173" t="str">
        <f t="shared" si="2"/>
        <v/>
      </c>
      <c r="K530" s="173" t="str">
        <f t="shared" si="3"/>
        <v/>
      </c>
      <c r="L530" s="173" t="str">
        <f t="array" ref="L530">IF($A530="","",INDEX('主表 Stock_Transaction_Log'!$P:$P,$A530))</f>
        <v/>
      </c>
      <c r="M530" s="174" t="str">
        <f>IF($A530="","",IF($H530&lt;=0,0,SUMIFS('主表 Stock_Transaction_Log'!$K$2:$K1000,'主表 Stock_Transaction_Log'!$C$2:$C1000,"Prepared",'主表 Stock_Transaction_Log'!$L$2:$L1000,$B530,'主表 Stock_Transaction_Log'!$F$2:$F1000,$C530,'主表 Stock_Transaction_Log'!$G$2:$G1000,$D530,'主表 Stock_Transaction_Log'!$P$2:$P1000,$L530)))</f>
        <v/>
      </c>
    </row>
    <row r="531">
      <c r="A531" s="173" t="str">
        <f>IF('主表 Stock_Transaction_Log'!$T531="","",IF(COUNTIF('主表 Stock_Transaction_Log'!$T$2:$T531,'主表 Stock_Transaction_Log'!$T531)=1,ROW('主表 Stock_Transaction_Log'!$T531),""))</f>
        <v/>
      </c>
      <c r="B531" s="173" t="str">
        <f t="array" ref="B531">IF($A531="","",INDEX('主表 Stock_Transaction_Log'!$Q:$Q,$A531))</f>
        <v/>
      </c>
      <c r="C531" s="173" t="str">
        <f t="array" ref="C531">IF($A531="","",IF(INDEX('主表 Stock_Transaction_Log'!$F:$F,$A531)=0,"",INDEX('主表 Stock_Transaction_Log'!$F:$F,$A531)))</f>
        <v/>
      </c>
      <c r="D531" s="173" t="str">
        <f t="array" ref="D531">IF($A531="","",INDEX('主表 Stock_Transaction_Log'!$G:$G,$A531))</f>
        <v/>
      </c>
      <c r="E531" s="173" t="str">
        <f t="array" ref="E531">IF($A531="","",INDEX('主表 Stock_Transaction_Log'!$H:$H,$A531))</f>
        <v/>
      </c>
      <c r="F531" s="173" t="str">
        <f t="array" ref="F531">IF($A531="","",INDEX('主表 Stock_Transaction_Log'!$I:$I,$A531))</f>
        <v/>
      </c>
      <c r="G531" s="173" t="str">
        <f t="array" ref="G531">IF($A531="","",IF(INDEX('主表 Stock_Transaction_Log'!$R:$R,$A531)=0,"",INDEX('主表 Stock_Transaction_Log'!$R:$R,$A531)))</f>
        <v/>
      </c>
      <c r="H531" s="173" t="str">
        <f t="array" ref="H531">IF($A531="","",SUMIF('主表 Stock_Transaction_Log'!$T:$T,INDEX('主表 Stock_Transaction_Log'!$T:$T,$A531),'主表 Stock_Transaction_Log'!$S:$S)+SUMIF('主表 Stock_Transaction_Log'!$AB:$AB,INDEX('主表 Stock_Transaction_Log'!$T:$T,$A531),'主表 Stock_Transaction_Log'!$AC:$AC))</f>
        <v/>
      </c>
      <c r="I531" s="173" t="str">
        <f t="shared" si="1"/>
        <v/>
      </c>
      <c r="J531" s="173" t="str">
        <f t="shared" si="2"/>
        <v/>
      </c>
      <c r="K531" s="173" t="str">
        <f t="shared" si="3"/>
        <v/>
      </c>
      <c r="L531" s="173" t="str">
        <f t="array" ref="L531">IF($A531="","",INDEX('主表 Stock_Transaction_Log'!$P:$P,$A531))</f>
        <v/>
      </c>
      <c r="M531" s="174" t="str">
        <f>IF($A531="","",IF($H531&lt;=0,0,SUMIFS('主表 Stock_Transaction_Log'!$K$2:$K1000,'主表 Stock_Transaction_Log'!$C$2:$C1000,"Prepared",'主表 Stock_Transaction_Log'!$L$2:$L1000,$B531,'主表 Stock_Transaction_Log'!$F$2:$F1000,$C531,'主表 Stock_Transaction_Log'!$G$2:$G1000,$D531,'主表 Stock_Transaction_Log'!$P$2:$P1000,$L531)))</f>
        <v/>
      </c>
    </row>
    <row r="532">
      <c r="A532" s="173" t="str">
        <f>IF('主表 Stock_Transaction_Log'!$T532="","",IF(COUNTIF('主表 Stock_Transaction_Log'!$T$2:$T532,'主表 Stock_Transaction_Log'!$T532)=1,ROW('主表 Stock_Transaction_Log'!$T532),""))</f>
        <v/>
      </c>
      <c r="B532" s="173" t="str">
        <f t="array" ref="B532">IF($A532="","",INDEX('主表 Stock_Transaction_Log'!$Q:$Q,$A532))</f>
        <v/>
      </c>
      <c r="C532" s="173" t="str">
        <f t="array" ref="C532">IF($A532="","",IF(INDEX('主表 Stock_Transaction_Log'!$F:$F,$A532)=0,"",INDEX('主表 Stock_Transaction_Log'!$F:$F,$A532)))</f>
        <v/>
      </c>
      <c r="D532" s="173" t="str">
        <f t="array" ref="D532">IF($A532="","",INDEX('主表 Stock_Transaction_Log'!$G:$G,$A532))</f>
        <v/>
      </c>
      <c r="E532" s="173" t="str">
        <f t="array" ref="E532">IF($A532="","",INDEX('主表 Stock_Transaction_Log'!$H:$H,$A532))</f>
        <v/>
      </c>
      <c r="F532" s="173" t="str">
        <f t="array" ref="F532">IF($A532="","",INDEX('主表 Stock_Transaction_Log'!$I:$I,$A532))</f>
        <v/>
      </c>
      <c r="G532" s="173" t="str">
        <f t="array" ref="G532">IF($A532="","",IF(INDEX('主表 Stock_Transaction_Log'!$R:$R,$A532)=0,"",INDEX('主表 Stock_Transaction_Log'!$R:$R,$A532)))</f>
        <v/>
      </c>
      <c r="H532" s="173" t="str">
        <f t="array" ref="H532">IF($A532="","",SUMIF('主表 Stock_Transaction_Log'!$T:$T,INDEX('主表 Stock_Transaction_Log'!$T:$T,$A532),'主表 Stock_Transaction_Log'!$S:$S)+SUMIF('主表 Stock_Transaction_Log'!$AB:$AB,INDEX('主表 Stock_Transaction_Log'!$T:$T,$A532),'主表 Stock_Transaction_Log'!$AC:$AC))</f>
        <v/>
      </c>
      <c r="I532" s="173" t="str">
        <f t="shared" si="1"/>
        <v/>
      </c>
      <c r="J532" s="173" t="str">
        <f t="shared" si="2"/>
        <v/>
      </c>
      <c r="K532" s="173" t="str">
        <f t="shared" si="3"/>
        <v/>
      </c>
      <c r="L532" s="173" t="str">
        <f t="array" ref="L532">IF($A532="","",INDEX('主表 Stock_Transaction_Log'!$P:$P,$A532))</f>
        <v/>
      </c>
      <c r="M532" s="174" t="str">
        <f>IF($A532="","",IF($H532&lt;=0,0,SUMIFS('主表 Stock_Transaction_Log'!$K$2:$K1000,'主表 Stock_Transaction_Log'!$C$2:$C1000,"Prepared",'主表 Stock_Transaction_Log'!$L$2:$L1000,$B532,'主表 Stock_Transaction_Log'!$F$2:$F1000,$C532,'主表 Stock_Transaction_Log'!$G$2:$G1000,$D532,'主表 Stock_Transaction_Log'!$P$2:$P1000,$L532)))</f>
        <v/>
      </c>
    </row>
    <row r="533">
      <c r="A533" s="173" t="str">
        <f>IF('主表 Stock_Transaction_Log'!$T533="","",IF(COUNTIF('主表 Stock_Transaction_Log'!$T$2:$T533,'主表 Stock_Transaction_Log'!$T533)=1,ROW('主表 Stock_Transaction_Log'!$T533),""))</f>
        <v/>
      </c>
      <c r="B533" s="173" t="str">
        <f t="array" ref="B533">IF($A533="","",INDEX('主表 Stock_Transaction_Log'!$Q:$Q,$A533))</f>
        <v/>
      </c>
      <c r="C533" s="173" t="str">
        <f t="array" ref="C533">IF($A533="","",IF(INDEX('主表 Stock_Transaction_Log'!$F:$F,$A533)=0,"",INDEX('主表 Stock_Transaction_Log'!$F:$F,$A533)))</f>
        <v/>
      </c>
      <c r="D533" s="173" t="str">
        <f t="array" ref="D533">IF($A533="","",INDEX('主表 Stock_Transaction_Log'!$G:$G,$A533))</f>
        <v/>
      </c>
      <c r="E533" s="173" t="str">
        <f t="array" ref="E533">IF($A533="","",INDEX('主表 Stock_Transaction_Log'!$H:$H,$A533))</f>
        <v/>
      </c>
      <c r="F533" s="173" t="str">
        <f t="array" ref="F533">IF($A533="","",INDEX('主表 Stock_Transaction_Log'!$I:$I,$A533))</f>
        <v/>
      </c>
      <c r="G533" s="173" t="str">
        <f t="array" ref="G533">IF($A533="","",IF(INDEX('主表 Stock_Transaction_Log'!$R:$R,$A533)=0,"",INDEX('主表 Stock_Transaction_Log'!$R:$R,$A533)))</f>
        <v/>
      </c>
      <c r="H533" s="173" t="str">
        <f t="array" ref="H533">IF($A533="","",SUMIF('主表 Stock_Transaction_Log'!$T:$T,INDEX('主表 Stock_Transaction_Log'!$T:$T,$A533),'主表 Stock_Transaction_Log'!$S:$S)+SUMIF('主表 Stock_Transaction_Log'!$AB:$AB,INDEX('主表 Stock_Transaction_Log'!$T:$T,$A533),'主表 Stock_Transaction_Log'!$AC:$AC))</f>
        <v/>
      </c>
      <c r="I533" s="173" t="str">
        <f t="shared" si="1"/>
        <v/>
      </c>
      <c r="J533" s="173" t="str">
        <f t="shared" si="2"/>
        <v/>
      </c>
      <c r="K533" s="173" t="str">
        <f t="shared" si="3"/>
        <v/>
      </c>
      <c r="L533" s="173" t="str">
        <f t="array" ref="L533">IF($A533="","",INDEX('主表 Stock_Transaction_Log'!$P:$P,$A533))</f>
        <v/>
      </c>
      <c r="M533" s="174" t="str">
        <f>IF($A533="","",IF($H533&lt;=0,0,SUMIFS('主表 Stock_Transaction_Log'!$K$2:$K1000,'主表 Stock_Transaction_Log'!$C$2:$C1000,"Prepared",'主表 Stock_Transaction_Log'!$L$2:$L1000,$B533,'主表 Stock_Transaction_Log'!$F$2:$F1000,$C533,'主表 Stock_Transaction_Log'!$G$2:$G1000,$D533,'主表 Stock_Transaction_Log'!$P$2:$P1000,$L533)))</f>
        <v/>
      </c>
    </row>
    <row r="534">
      <c r="A534" s="173" t="str">
        <f>IF('主表 Stock_Transaction_Log'!$T534="","",IF(COUNTIF('主表 Stock_Transaction_Log'!$T$2:$T534,'主表 Stock_Transaction_Log'!$T534)=1,ROW('主表 Stock_Transaction_Log'!$T534),""))</f>
        <v/>
      </c>
      <c r="B534" s="173" t="str">
        <f t="array" ref="B534">IF($A534="","",INDEX('主表 Stock_Transaction_Log'!$Q:$Q,$A534))</f>
        <v/>
      </c>
      <c r="C534" s="173" t="str">
        <f t="array" ref="C534">IF($A534="","",IF(INDEX('主表 Stock_Transaction_Log'!$F:$F,$A534)=0,"",INDEX('主表 Stock_Transaction_Log'!$F:$F,$A534)))</f>
        <v/>
      </c>
      <c r="D534" s="173" t="str">
        <f t="array" ref="D534">IF($A534="","",INDEX('主表 Stock_Transaction_Log'!$G:$G,$A534))</f>
        <v/>
      </c>
      <c r="E534" s="173" t="str">
        <f t="array" ref="E534">IF($A534="","",INDEX('主表 Stock_Transaction_Log'!$H:$H,$A534))</f>
        <v/>
      </c>
      <c r="F534" s="173" t="str">
        <f t="array" ref="F534">IF($A534="","",INDEX('主表 Stock_Transaction_Log'!$I:$I,$A534))</f>
        <v/>
      </c>
      <c r="G534" s="173" t="str">
        <f t="array" ref="G534">IF($A534="","",IF(INDEX('主表 Stock_Transaction_Log'!$R:$R,$A534)=0,"",INDEX('主表 Stock_Transaction_Log'!$R:$R,$A534)))</f>
        <v/>
      </c>
      <c r="H534" s="173" t="str">
        <f t="array" ref="H534">IF($A534="","",SUMIF('主表 Stock_Transaction_Log'!$T:$T,INDEX('主表 Stock_Transaction_Log'!$T:$T,$A534),'主表 Stock_Transaction_Log'!$S:$S)+SUMIF('主表 Stock_Transaction_Log'!$AB:$AB,INDEX('主表 Stock_Transaction_Log'!$T:$T,$A534),'主表 Stock_Transaction_Log'!$AC:$AC))</f>
        <v/>
      </c>
      <c r="I534" s="173" t="str">
        <f t="shared" si="1"/>
        <v/>
      </c>
      <c r="J534" s="173" t="str">
        <f t="shared" si="2"/>
        <v/>
      </c>
      <c r="K534" s="173" t="str">
        <f t="shared" si="3"/>
        <v/>
      </c>
      <c r="L534" s="173" t="str">
        <f t="array" ref="L534">IF($A534="","",INDEX('主表 Stock_Transaction_Log'!$P:$P,$A534))</f>
        <v/>
      </c>
      <c r="M534" s="174" t="str">
        <f>IF($A534="","",IF($H534&lt;=0,0,SUMIFS('主表 Stock_Transaction_Log'!$K$2:$K1000,'主表 Stock_Transaction_Log'!$C$2:$C1000,"Prepared",'主表 Stock_Transaction_Log'!$L$2:$L1000,$B534,'主表 Stock_Transaction_Log'!$F$2:$F1000,$C534,'主表 Stock_Transaction_Log'!$G$2:$G1000,$D534,'主表 Stock_Transaction_Log'!$P$2:$P1000,$L534)))</f>
        <v/>
      </c>
    </row>
    <row r="535">
      <c r="A535" s="173" t="str">
        <f>IF('主表 Stock_Transaction_Log'!$T535="","",IF(COUNTIF('主表 Stock_Transaction_Log'!$T$2:$T535,'主表 Stock_Transaction_Log'!$T535)=1,ROW('主表 Stock_Transaction_Log'!$T535),""))</f>
        <v/>
      </c>
      <c r="B535" s="173" t="str">
        <f t="array" ref="B535">IF($A535="","",INDEX('主表 Stock_Transaction_Log'!$Q:$Q,$A535))</f>
        <v/>
      </c>
      <c r="C535" s="173" t="str">
        <f t="array" ref="C535">IF($A535="","",IF(INDEX('主表 Stock_Transaction_Log'!$F:$F,$A535)=0,"",INDEX('主表 Stock_Transaction_Log'!$F:$F,$A535)))</f>
        <v/>
      </c>
      <c r="D535" s="173" t="str">
        <f t="array" ref="D535">IF($A535="","",INDEX('主表 Stock_Transaction_Log'!$G:$G,$A535))</f>
        <v/>
      </c>
      <c r="E535" s="173" t="str">
        <f t="array" ref="E535">IF($A535="","",INDEX('主表 Stock_Transaction_Log'!$H:$H,$A535))</f>
        <v/>
      </c>
      <c r="F535" s="173" t="str">
        <f t="array" ref="F535">IF($A535="","",INDEX('主表 Stock_Transaction_Log'!$I:$I,$A535))</f>
        <v/>
      </c>
      <c r="G535" s="173" t="str">
        <f t="array" ref="G535">IF($A535="","",IF(INDEX('主表 Stock_Transaction_Log'!$R:$R,$A535)=0,"",INDEX('主表 Stock_Transaction_Log'!$R:$R,$A535)))</f>
        <v/>
      </c>
      <c r="H535" s="173" t="str">
        <f t="array" ref="H535">IF($A535="","",SUMIF('主表 Stock_Transaction_Log'!$T:$T,INDEX('主表 Stock_Transaction_Log'!$T:$T,$A535),'主表 Stock_Transaction_Log'!$S:$S)+SUMIF('主表 Stock_Transaction_Log'!$AB:$AB,INDEX('主表 Stock_Transaction_Log'!$T:$T,$A535),'主表 Stock_Transaction_Log'!$AC:$AC))</f>
        <v/>
      </c>
      <c r="I535" s="173" t="str">
        <f t="shared" si="1"/>
        <v/>
      </c>
      <c r="J535" s="173" t="str">
        <f t="shared" si="2"/>
        <v/>
      </c>
      <c r="K535" s="173" t="str">
        <f t="shared" si="3"/>
        <v/>
      </c>
      <c r="L535" s="173" t="str">
        <f t="array" ref="L535">IF($A535="","",INDEX('主表 Stock_Transaction_Log'!$P:$P,$A535))</f>
        <v/>
      </c>
      <c r="M535" s="174" t="str">
        <f>IF($A535="","",IF($H535&lt;=0,0,SUMIFS('主表 Stock_Transaction_Log'!$K$2:$K1000,'主表 Stock_Transaction_Log'!$C$2:$C1000,"Prepared",'主表 Stock_Transaction_Log'!$L$2:$L1000,$B535,'主表 Stock_Transaction_Log'!$F$2:$F1000,$C535,'主表 Stock_Transaction_Log'!$G$2:$G1000,$D535,'主表 Stock_Transaction_Log'!$P$2:$P1000,$L535)))</f>
        <v/>
      </c>
    </row>
    <row r="536">
      <c r="A536" s="173" t="str">
        <f>IF('主表 Stock_Transaction_Log'!$T536="","",IF(COUNTIF('主表 Stock_Transaction_Log'!$T$2:$T536,'主表 Stock_Transaction_Log'!$T536)=1,ROW('主表 Stock_Transaction_Log'!$T536),""))</f>
        <v/>
      </c>
      <c r="B536" s="173" t="str">
        <f t="array" ref="B536">IF($A536="","",INDEX('主表 Stock_Transaction_Log'!$Q:$Q,$A536))</f>
        <v/>
      </c>
      <c r="C536" s="173" t="str">
        <f t="array" ref="C536">IF($A536="","",IF(INDEX('主表 Stock_Transaction_Log'!$F:$F,$A536)=0,"",INDEX('主表 Stock_Transaction_Log'!$F:$F,$A536)))</f>
        <v/>
      </c>
      <c r="D536" s="173" t="str">
        <f t="array" ref="D536">IF($A536="","",INDEX('主表 Stock_Transaction_Log'!$G:$G,$A536))</f>
        <v/>
      </c>
      <c r="E536" s="173" t="str">
        <f t="array" ref="E536">IF($A536="","",INDEX('主表 Stock_Transaction_Log'!$H:$H,$A536))</f>
        <v/>
      </c>
      <c r="F536" s="173" t="str">
        <f t="array" ref="F536">IF($A536="","",INDEX('主表 Stock_Transaction_Log'!$I:$I,$A536))</f>
        <v/>
      </c>
      <c r="G536" s="173" t="str">
        <f t="array" ref="G536">IF($A536="","",IF(INDEX('主表 Stock_Transaction_Log'!$R:$R,$A536)=0,"",INDEX('主表 Stock_Transaction_Log'!$R:$R,$A536)))</f>
        <v/>
      </c>
      <c r="H536" s="173" t="str">
        <f t="array" ref="H536">IF($A536="","",SUMIF('主表 Stock_Transaction_Log'!$T:$T,INDEX('主表 Stock_Transaction_Log'!$T:$T,$A536),'主表 Stock_Transaction_Log'!$S:$S)+SUMIF('主表 Stock_Transaction_Log'!$AB:$AB,INDEX('主表 Stock_Transaction_Log'!$T:$T,$A536),'主表 Stock_Transaction_Log'!$AC:$AC))</f>
        <v/>
      </c>
      <c r="I536" s="173" t="str">
        <f t="shared" si="1"/>
        <v/>
      </c>
      <c r="J536" s="173" t="str">
        <f t="shared" si="2"/>
        <v/>
      </c>
      <c r="K536" s="173" t="str">
        <f t="shared" si="3"/>
        <v/>
      </c>
      <c r="L536" s="173" t="str">
        <f t="array" ref="L536">IF($A536="","",INDEX('主表 Stock_Transaction_Log'!$P:$P,$A536))</f>
        <v/>
      </c>
      <c r="M536" s="174" t="str">
        <f>IF($A536="","",IF($H536&lt;=0,0,SUMIFS('主表 Stock_Transaction_Log'!$K$2:$K1000,'主表 Stock_Transaction_Log'!$C$2:$C1000,"Prepared",'主表 Stock_Transaction_Log'!$L$2:$L1000,$B536,'主表 Stock_Transaction_Log'!$F$2:$F1000,$C536,'主表 Stock_Transaction_Log'!$G$2:$G1000,$D536,'主表 Stock_Transaction_Log'!$P$2:$P1000,$L536)))</f>
        <v/>
      </c>
    </row>
    <row r="537">
      <c r="A537" s="173" t="str">
        <f>IF('主表 Stock_Transaction_Log'!$T537="","",IF(COUNTIF('主表 Stock_Transaction_Log'!$T$2:$T537,'主表 Stock_Transaction_Log'!$T537)=1,ROW('主表 Stock_Transaction_Log'!$T537),""))</f>
        <v/>
      </c>
      <c r="B537" s="173" t="str">
        <f t="array" ref="B537">IF($A537="","",INDEX('主表 Stock_Transaction_Log'!$Q:$Q,$A537))</f>
        <v/>
      </c>
      <c r="C537" s="173" t="str">
        <f t="array" ref="C537">IF($A537="","",IF(INDEX('主表 Stock_Transaction_Log'!$F:$F,$A537)=0,"",INDEX('主表 Stock_Transaction_Log'!$F:$F,$A537)))</f>
        <v/>
      </c>
      <c r="D537" s="173" t="str">
        <f t="array" ref="D537">IF($A537="","",INDEX('主表 Stock_Transaction_Log'!$G:$G,$A537))</f>
        <v/>
      </c>
      <c r="E537" s="173" t="str">
        <f t="array" ref="E537">IF($A537="","",INDEX('主表 Stock_Transaction_Log'!$H:$H,$A537))</f>
        <v/>
      </c>
      <c r="F537" s="173" t="str">
        <f t="array" ref="F537">IF($A537="","",INDEX('主表 Stock_Transaction_Log'!$I:$I,$A537))</f>
        <v/>
      </c>
      <c r="G537" s="173" t="str">
        <f t="array" ref="G537">IF($A537="","",IF(INDEX('主表 Stock_Transaction_Log'!$R:$R,$A537)=0,"",INDEX('主表 Stock_Transaction_Log'!$R:$R,$A537)))</f>
        <v/>
      </c>
      <c r="H537" s="173" t="str">
        <f t="array" ref="H537">IF($A537="","",SUMIF('主表 Stock_Transaction_Log'!$T:$T,INDEX('主表 Stock_Transaction_Log'!$T:$T,$A537),'主表 Stock_Transaction_Log'!$S:$S)+SUMIF('主表 Stock_Transaction_Log'!$AB:$AB,INDEX('主表 Stock_Transaction_Log'!$T:$T,$A537),'主表 Stock_Transaction_Log'!$AC:$AC))</f>
        <v/>
      </c>
      <c r="I537" s="173" t="str">
        <f t="shared" si="1"/>
        <v/>
      </c>
      <c r="J537" s="173" t="str">
        <f t="shared" si="2"/>
        <v/>
      </c>
      <c r="K537" s="173" t="str">
        <f t="shared" si="3"/>
        <v/>
      </c>
      <c r="L537" s="173" t="str">
        <f t="array" ref="L537">IF($A537="","",INDEX('主表 Stock_Transaction_Log'!$P:$P,$A537))</f>
        <v/>
      </c>
      <c r="M537" s="174" t="str">
        <f>IF($A537="","",IF($H537&lt;=0,0,SUMIFS('主表 Stock_Transaction_Log'!$K$2:$K1000,'主表 Stock_Transaction_Log'!$C$2:$C1000,"Prepared",'主表 Stock_Transaction_Log'!$L$2:$L1000,$B537,'主表 Stock_Transaction_Log'!$F$2:$F1000,$C537,'主表 Stock_Transaction_Log'!$G$2:$G1000,$D537,'主表 Stock_Transaction_Log'!$P$2:$P1000,$L537)))</f>
        <v/>
      </c>
    </row>
    <row r="538">
      <c r="A538" s="173" t="str">
        <f>IF('主表 Stock_Transaction_Log'!$T538="","",IF(COUNTIF('主表 Stock_Transaction_Log'!$T$2:$T538,'主表 Stock_Transaction_Log'!$T538)=1,ROW('主表 Stock_Transaction_Log'!$T538),""))</f>
        <v/>
      </c>
      <c r="B538" s="173" t="str">
        <f t="array" ref="B538">IF($A538="","",INDEX('主表 Stock_Transaction_Log'!$Q:$Q,$A538))</f>
        <v/>
      </c>
      <c r="C538" s="173" t="str">
        <f t="array" ref="C538">IF($A538="","",IF(INDEX('主表 Stock_Transaction_Log'!$F:$F,$A538)=0,"",INDEX('主表 Stock_Transaction_Log'!$F:$F,$A538)))</f>
        <v/>
      </c>
      <c r="D538" s="173" t="str">
        <f t="array" ref="D538">IF($A538="","",INDEX('主表 Stock_Transaction_Log'!$G:$G,$A538))</f>
        <v/>
      </c>
      <c r="E538" s="173" t="str">
        <f t="array" ref="E538">IF($A538="","",INDEX('主表 Stock_Transaction_Log'!$H:$H,$A538))</f>
        <v/>
      </c>
      <c r="F538" s="173" t="str">
        <f t="array" ref="F538">IF($A538="","",INDEX('主表 Stock_Transaction_Log'!$I:$I,$A538))</f>
        <v/>
      </c>
      <c r="G538" s="173" t="str">
        <f t="array" ref="G538">IF($A538="","",IF(INDEX('主表 Stock_Transaction_Log'!$R:$R,$A538)=0,"",INDEX('主表 Stock_Transaction_Log'!$R:$R,$A538)))</f>
        <v/>
      </c>
      <c r="H538" s="173" t="str">
        <f t="array" ref="H538">IF($A538="","",SUMIF('主表 Stock_Transaction_Log'!$T:$T,INDEX('主表 Stock_Transaction_Log'!$T:$T,$A538),'主表 Stock_Transaction_Log'!$S:$S)+SUMIF('主表 Stock_Transaction_Log'!$AB:$AB,INDEX('主表 Stock_Transaction_Log'!$T:$T,$A538),'主表 Stock_Transaction_Log'!$AC:$AC))</f>
        <v/>
      </c>
      <c r="I538" s="173" t="str">
        <f t="shared" si="1"/>
        <v/>
      </c>
      <c r="J538" s="173" t="str">
        <f t="shared" si="2"/>
        <v/>
      </c>
      <c r="K538" s="173" t="str">
        <f t="shared" si="3"/>
        <v/>
      </c>
      <c r="L538" s="173" t="str">
        <f t="array" ref="L538">IF($A538="","",INDEX('主表 Stock_Transaction_Log'!$P:$P,$A538))</f>
        <v/>
      </c>
      <c r="M538" s="174" t="str">
        <f>IF($A538="","",IF($H538&lt;=0,0,SUMIFS('主表 Stock_Transaction_Log'!$K$2:$K1000,'主表 Stock_Transaction_Log'!$C$2:$C1000,"Prepared",'主表 Stock_Transaction_Log'!$L$2:$L1000,$B538,'主表 Stock_Transaction_Log'!$F$2:$F1000,$C538,'主表 Stock_Transaction_Log'!$G$2:$G1000,$D538,'主表 Stock_Transaction_Log'!$P$2:$P1000,$L538)))</f>
        <v/>
      </c>
    </row>
    <row r="539">
      <c r="A539" s="173" t="str">
        <f>IF('主表 Stock_Transaction_Log'!$T539="","",IF(COUNTIF('主表 Stock_Transaction_Log'!$T$2:$T539,'主表 Stock_Transaction_Log'!$T539)=1,ROW('主表 Stock_Transaction_Log'!$T539),""))</f>
        <v/>
      </c>
      <c r="B539" s="173" t="str">
        <f t="array" ref="B539">IF($A539="","",INDEX('主表 Stock_Transaction_Log'!$Q:$Q,$A539))</f>
        <v/>
      </c>
      <c r="C539" s="173" t="str">
        <f t="array" ref="C539">IF($A539="","",IF(INDEX('主表 Stock_Transaction_Log'!$F:$F,$A539)=0,"",INDEX('主表 Stock_Transaction_Log'!$F:$F,$A539)))</f>
        <v/>
      </c>
      <c r="D539" s="173" t="str">
        <f t="array" ref="D539">IF($A539="","",INDEX('主表 Stock_Transaction_Log'!$G:$G,$A539))</f>
        <v/>
      </c>
      <c r="E539" s="173" t="str">
        <f t="array" ref="E539">IF($A539="","",INDEX('主表 Stock_Transaction_Log'!$H:$H,$A539))</f>
        <v/>
      </c>
      <c r="F539" s="173" t="str">
        <f t="array" ref="F539">IF($A539="","",INDEX('主表 Stock_Transaction_Log'!$I:$I,$A539))</f>
        <v/>
      </c>
      <c r="G539" s="173" t="str">
        <f t="array" ref="G539">IF($A539="","",IF(INDEX('主表 Stock_Transaction_Log'!$R:$R,$A539)=0,"",INDEX('主表 Stock_Transaction_Log'!$R:$R,$A539)))</f>
        <v/>
      </c>
      <c r="H539" s="173" t="str">
        <f t="array" ref="H539">IF($A539="","",SUMIF('主表 Stock_Transaction_Log'!$T:$T,INDEX('主表 Stock_Transaction_Log'!$T:$T,$A539),'主表 Stock_Transaction_Log'!$S:$S)+SUMIF('主表 Stock_Transaction_Log'!$AB:$AB,INDEX('主表 Stock_Transaction_Log'!$T:$T,$A539),'主表 Stock_Transaction_Log'!$AC:$AC))</f>
        <v/>
      </c>
      <c r="I539" s="173" t="str">
        <f t="shared" si="1"/>
        <v/>
      </c>
      <c r="J539" s="173" t="str">
        <f t="shared" si="2"/>
        <v/>
      </c>
      <c r="K539" s="173" t="str">
        <f t="shared" si="3"/>
        <v/>
      </c>
      <c r="L539" s="173" t="str">
        <f t="array" ref="L539">IF($A539="","",INDEX('主表 Stock_Transaction_Log'!$P:$P,$A539))</f>
        <v/>
      </c>
      <c r="M539" s="174" t="str">
        <f>IF($A539="","",IF($H539&lt;=0,0,SUMIFS('主表 Stock_Transaction_Log'!$K$2:$K1000,'主表 Stock_Transaction_Log'!$C$2:$C1000,"Prepared",'主表 Stock_Transaction_Log'!$L$2:$L1000,$B539,'主表 Stock_Transaction_Log'!$F$2:$F1000,$C539,'主表 Stock_Transaction_Log'!$G$2:$G1000,$D539,'主表 Stock_Transaction_Log'!$P$2:$P1000,$L539)))</f>
        <v/>
      </c>
    </row>
    <row r="540">
      <c r="A540" s="173" t="str">
        <f>IF('主表 Stock_Transaction_Log'!$T540="","",IF(COUNTIF('主表 Stock_Transaction_Log'!$T$2:$T540,'主表 Stock_Transaction_Log'!$T540)=1,ROW('主表 Stock_Transaction_Log'!$T540),""))</f>
        <v/>
      </c>
      <c r="B540" s="173" t="str">
        <f t="array" ref="B540">IF($A540="","",INDEX('主表 Stock_Transaction_Log'!$Q:$Q,$A540))</f>
        <v/>
      </c>
      <c r="C540" s="173" t="str">
        <f t="array" ref="C540">IF($A540="","",IF(INDEX('主表 Stock_Transaction_Log'!$F:$F,$A540)=0,"",INDEX('主表 Stock_Transaction_Log'!$F:$F,$A540)))</f>
        <v/>
      </c>
      <c r="D540" s="173" t="str">
        <f t="array" ref="D540">IF($A540="","",INDEX('主表 Stock_Transaction_Log'!$G:$G,$A540))</f>
        <v/>
      </c>
      <c r="E540" s="173" t="str">
        <f t="array" ref="E540">IF($A540="","",INDEX('主表 Stock_Transaction_Log'!$H:$H,$A540))</f>
        <v/>
      </c>
      <c r="F540" s="173" t="str">
        <f t="array" ref="F540">IF($A540="","",INDEX('主表 Stock_Transaction_Log'!$I:$I,$A540))</f>
        <v/>
      </c>
      <c r="G540" s="173" t="str">
        <f t="array" ref="G540">IF($A540="","",IF(INDEX('主表 Stock_Transaction_Log'!$R:$R,$A540)=0,"",INDEX('主表 Stock_Transaction_Log'!$R:$R,$A540)))</f>
        <v/>
      </c>
      <c r="H540" s="173" t="str">
        <f t="array" ref="H540">IF($A540="","",SUMIF('主表 Stock_Transaction_Log'!$T:$T,INDEX('主表 Stock_Transaction_Log'!$T:$T,$A540),'主表 Stock_Transaction_Log'!$S:$S)+SUMIF('主表 Stock_Transaction_Log'!$AB:$AB,INDEX('主表 Stock_Transaction_Log'!$T:$T,$A540),'主表 Stock_Transaction_Log'!$AC:$AC))</f>
        <v/>
      </c>
      <c r="I540" s="173" t="str">
        <f t="shared" si="1"/>
        <v/>
      </c>
      <c r="J540" s="173" t="str">
        <f t="shared" si="2"/>
        <v/>
      </c>
      <c r="K540" s="173" t="str">
        <f t="shared" si="3"/>
        <v/>
      </c>
      <c r="L540" s="173" t="str">
        <f t="array" ref="L540">IF($A540="","",INDEX('主表 Stock_Transaction_Log'!$P:$P,$A540))</f>
        <v/>
      </c>
      <c r="M540" s="174" t="str">
        <f>IF($A540="","",IF($H540&lt;=0,0,SUMIFS('主表 Stock_Transaction_Log'!$K$2:$K1000,'主表 Stock_Transaction_Log'!$C$2:$C1000,"Prepared",'主表 Stock_Transaction_Log'!$L$2:$L1000,$B540,'主表 Stock_Transaction_Log'!$F$2:$F1000,$C540,'主表 Stock_Transaction_Log'!$G$2:$G1000,$D540,'主表 Stock_Transaction_Log'!$P$2:$P1000,$L540)))</f>
        <v/>
      </c>
    </row>
    <row r="541">
      <c r="A541" s="173" t="str">
        <f>IF('主表 Stock_Transaction_Log'!$T541="","",IF(COUNTIF('主表 Stock_Transaction_Log'!$T$2:$T541,'主表 Stock_Transaction_Log'!$T541)=1,ROW('主表 Stock_Transaction_Log'!$T541),""))</f>
        <v/>
      </c>
      <c r="B541" s="173" t="str">
        <f t="array" ref="B541">IF($A541="","",INDEX('主表 Stock_Transaction_Log'!$Q:$Q,$A541))</f>
        <v/>
      </c>
      <c r="C541" s="173" t="str">
        <f t="array" ref="C541">IF($A541="","",IF(INDEX('主表 Stock_Transaction_Log'!$F:$F,$A541)=0,"",INDEX('主表 Stock_Transaction_Log'!$F:$F,$A541)))</f>
        <v/>
      </c>
      <c r="D541" s="173" t="str">
        <f t="array" ref="D541">IF($A541="","",INDEX('主表 Stock_Transaction_Log'!$G:$G,$A541))</f>
        <v/>
      </c>
      <c r="E541" s="173" t="str">
        <f t="array" ref="E541">IF($A541="","",INDEX('主表 Stock_Transaction_Log'!$H:$H,$A541))</f>
        <v/>
      </c>
      <c r="F541" s="173" t="str">
        <f t="array" ref="F541">IF($A541="","",INDEX('主表 Stock_Transaction_Log'!$I:$I,$A541))</f>
        <v/>
      </c>
      <c r="G541" s="173" t="str">
        <f t="array" ref="G541">IF($A541="","",IF(INDEX('主表 Stock_Transaction_Log'!$R:$R,$A541)=0,"",INDEX('主表 Stock_Transaction_Log'!$R:$R,$A541)))</f>
        <v/>
      </c>
      <c r="H541" s="173" t="str">
        <f t="array" ref="H541">IF($A541="","",SUMIF('主表 Stock_Transaction_Log'!$T:$T,INDEX('主表 Stock_Transaction_Log'!$T:$T,$A541),'主表 Stock_Transaction_Log'!$S:$S)+SUMIF('主表 Stock_Transaction_Log'!$AB:$AB,INDEX('主表 Stock_Transaction_Log'!$T:$T,$A541),'主表 Stock_Transaction_Log'!$AC:$AC))</f>
        <v/>
      </c>
      <c r="I541" s="173" t="str">
        <f t="shared" si="1"/>
        <v/>
      </c>
      <c r="J541" s="173" t="str">
        <f t="shared" si="2"/>
        <v/>
      </c>
      <c r="K541" s="173" t="str">
        <f t="shared" si="3"/>
        <v/>
      </c>
      <c r="L541" s="173" t="str">
        <f t="array" ref="L541">IF($A541="","",INDEX('主表 Stock_Transaction_Log'!$P:$P,$A541))</f>
        <v/>
      </c>
      <c r="M541" s="174" t="str">
        <f>IF($A541="","",IF($H541&lt;=0,0,SUMIFS('主表 Stock_Transaction_Log'!$K$2:$K1000,'主表 Stock_Transaction_Log'!$C$2:$C1000,"Prepared",'主表 Stock_Transaction_Log'!$L$2:$L1000,$B541,'主表 Stock_Transaction_Log'!$F$2:$F1000,$C541,'主表 Stock_Transaction_Log'!$G$2:$G1000,$D541,'主表 Stock_Transaction_Log'!$P$2:$P1000,$L541)))</f>
        <v/>
      </c>
    </row>
    <row r="542">
      <c r="A542" s="173" t="str">
        <f>IF('主表 Stock_Transaction_Log'!$T542="","",IF(COUNTIF('主表 Stock_Transaction_Log'!$T$2:$T542,'主表 Stock_Transaction_Log'!$T542)=1,ROW('主表 Stock_Transaction_Log'!$T542),""))</f>
        <v/>
      </c>
      <c r="B542" s="173" t="str">
        <f t="array" ref="B542">IF($A542="","",INDEX('主表 Stock_Transaction_Log'!$Q:$Q,$A542))</f>
        <v/>
      </c>
      <c r="C542" s="173" t="str">
        <f t="array" ref="C542">IF($A542="","",IF(INDEX('主表 Stock_Transaction_Log'!$F:$F,$A542)=0,"",INDEX('主表 Stock_Transaction_Log'!$F:$F,$A542)))</f>
        <v/>
      </c>
      <c r="D542" s="173" t="str">
        <f t="array" ref="D542">IF($A542="","",INDEX('主表 Stock_Transaction_Log'!$G:$G,$A542))</f>
        <v/>
      </c>
      <c r="E542" s="173" t="str">
        <f t="array" ref="E542">IF($A542="","",INDEX('主表 Stock_Transaction_Log'!$H:$H,$A542))</f>
        <v/>
      </c>
      <c r="F542" s="173" t="str">
        <f t="array" ref="F542">IF($A542="","",INDEX('主表 Stock_Transaction_Log'!$I:$I,$A542))</f>
        <v/>
      </c>
      <c r="G542" s="173" t="str">
        <f t="array" ref="G542">IF($A542="","",IF(INDEX('主表 Stock_Transaction_Log'!$R:$R,$A542)=0,"",INDEX('主表 Stock_Transaction_Log'!$R:$R,$A542)))</f>
        <v/>
      </c>
      <c r="H542" s="173" t="str">
        <f t="array" ref="H542">IF($A542="","",SUMIF('主表 Stock_Transaction_Log'!$T:$T,INDEX('主表 Stock_Transaction_Log'!$T:$T,$A542),'主表 Stock_Transaction_Log'!$S:$S)+SUMIF('主表 Stock_Transaction_Log'!$AB:$AB,INDEX('主表 Stock_Transaction_Log'!$T:$T,$A542),'主表 Stock_Transaction_Log'!$AC:$AC))</f>
        <v/>
      </c>
      <c r="I542" s="173" t="str">
        <f t="shared" si="1"/>
        <v/>
      </c>
      <c r="J542" s="173" t="str">
        <f t="shared" si="2"/>
        <v/>
      </c>
      <c r="K542" s="173" t="str">
        <f t="shared" si="3"/>
        <v/>
      </c>
      <c r="L542" s="173" t="str">
        <f t="array" ref="L542">IF($A542="","",INDEX('主表 Stock_Transaction_Log'!$P:$P,$A542))</f>
        <v/>
      </c>
      <c r="M542" s="174" t="str">
        <f>IF($A542="","",IF($H542&lt;=0,0,SUMIFS('主表 Stock_Transaction_Log'!$K$2:$K1000,'主表 Stock_Transaction_Log'!$C$2:$C1000,"Prepared",'主表 Stock_Transaction_Log'!$L$2:$L1000,$B542,'主表 Stock_Transaction_Log'!$F$2:$F1000,$C542,'主表 Stock_Transaction_Log'!$G$2:$G1000,$D542,'主表 Stock_Transaction_Log'!$P$2:$P1000,$L542)))</f>
        <v/>
      </c>
    </row>
    <row r="543">
      <c r="A543" s="173" t="str">
        <f>IF('主表 Stock_Transaction_Log'!$T543="","",IF(COUNTIF('主表 Stock_Transaction_Log'!$T$2:$T543,'主表 Stock_Transaction_Log'!$T543)=1,ROW('主表 Stock_Transaction_Log'!$T543),""))</f>
        <v/>
      </c>
      <c r="B543" s="173" t="str">
        <f t="array" ref="B543">IF($A543="","",INDEX('主表 Stock_Transaction_Log'!$Q:$Q,$A543))</f>
        <v/>
      </c>
      <c r="C543" s="173" t="str">
        <f t="array" ref="C543">IF($A543="","",IF(INDEX('主表 Stock_Transaction_Log'!$F:$F,$A543)=0,"",INDEX('主表 Stock_Transaction_Log'!$F:$F,$A543)))</f>
        <v/>
      </c>
      <c r="D543" s="173" t="str">
        <f t="array" ref="D543">IF($A543="","",INDEX('主表 Stock_Transaction_Log'!$G:$G,$A543))</f>
        <v/>
      </c>
      <c r="E543" s="173" t="str">
        <f t="array" ref="E543">IF($A543="","",INDEX('主表 Stock_Transaction_Log'!$H:$H,$A543))</f>
        <v/>
      </c>
      <c r="F543" s="173" t="str">
        <f t="array" ref="F543">IF($A543="","",INDEX('主表 Stock_Transaction_Log'!$I:$I,$A543))</f>
        <v/>
      </c>
      <c r="G543" s="173" t="str">
        <f t="array" ref="G543">IF($A543="","",IF(INDEX('主表 Stock_Transaction_Log'!$R:$R,$A543)=0,"",INDEX('主表 Stock_Transaction_Log'!$R:$R,$A543)))</f>
        <v/>
      </c>
      <c r="H543" s="173" t="str">
        <f t="array" ref="H543">IF($A543="","",SUMIF('主表 Stock_Transaction_Log'!$T:$T,INDEX('主表 Stock_Transaction_Log'!$T:$T,$A543),'主表 Stock_Transaction_Log'!$S:$S)+SUMIF('主表 Stock_Transaction_Log'!$AB:$AB,INDEX('主表 Stock_Transaction_Log'!$T:$T,$A543),'主表 Stock_Transaction_Log'!$AC:$AC))</f>
        <v/>
      </c>
      <c r="I543" s="173" t="str">
        <f t="shared" si="1"/>
        <v/>
      </c>
      <c r="J543" s="173" t="str">
        <f t="shared" si="2"/>
        <v/>
      </c>
      <c r="K543" s="173" t="str">
        <f t="shared" si="3"/>
        <v/>
      </c>
      <c r="L543" s="173" t="str">
        <f t="array" ref="L543">IF($A543="","",INDEX('主表 Stock_Transaction_Log'!$P:$P,$A543))</f>
        <v/>
      </c>
      <c r="M543" s="174" t="str">
        <f>IF($A543="","",IF($H543&lt;=0,0,SUMIFS('主表 Stock_Transaction_Log'!$K$2:$K1000,'主表 Stock_Transaction_Log'!$C$2:$C1000,"Prepared",'主表 Stock_Transaction_Log'!$L$2:$L1000,$B543,'主表 Stock_Transaction_Log'!$F$2:$F1000,$C543,'主表 Stock_Transaction_Log'!$G$2:$G1000,$D543,'主表 Stock_Transaction_Log'!$P$2:$P1000,$L543)))</f>
        <v/>
      </c>
    </row>
    <row r="544">
      <c r="A544" s="173" t="str">
        <f>IF('主表 Stock_Transaction_Log'!$T544="","",IF(COUNTIF('主表 Stock_Transaction_Log'!$T$2:$T544,'主表 Stock_Transaction_Log'!$T544)=1,ROW('主表 Stock_Transaction_Log'!$T544),""))</f>
        <v/>
      </c>
      <c r="B544" s="173" t="str">
        <f t="array" ref="B544">IF($A544="","",INDEX('主表 Stock_Transaction_Log'!$Q:$Q,$A544))</f>
        <v/>
      </c>
      <c r="C544" s="173" t="str">
        <f t="array" ref="C544">IF($A544="","",IF(INDEX('主表 Stock_Transaction_Log'!$F:$F,$A544)=0,"",INDEX('主表 Stock_Transaction_Log'!$F:$F,$A544)))</f>
        <v/>
      </c>
      <c r="D544" s="173" t="str">
        <f t="array" ref="D544">IF($A544="","",INDEX('主表 Stock_Transaction_Log'!$G:$G,$A544))</f>
        <v/>
      </c>
      <c r="E544" s="173" t="str">
        <f t="array" ref="E544">IF($A544="","",INDEX('主表 Stock_Transaction_Log'!$H:$H,$A544))</f>
        <v/>
      </c>
      <c r="F544" s="173" t="str">
        <f t="array" ref="F544">IF($A544="","",INDEX('主表 Stock_Transaction_Log'!$I:$I,$A544))</f>
        <v/>
      </c>
      <c r="G544" s="173" t="str">
        <f t="array" ref="G544">IF($A544="","",IF(INDEX('主表 Stock_Transaction_Log'!$R:$R,$A544)=0,"",INDEX('主表 Stock_Transaction_Log'!$R:$R,$A544)))</f>
        <v/>
      </c>
      <c r="H544" s="173" t="str">
        <f t="array" ref="H544">IF($A544="","",SUMIF('主表 Stock_Transaction_Log'!$T:$T,INDEX('主表 Stock_Transaction_Log'!$T:$T,$A544),'主表 Stock_Transaction_Log'!$S:$S)+SUMIF('主表 Stock_Transaction_Log'!$AB:$AB,INDEX('主表 Stock_Transaction_Log'!$T:$T,$A544),'主表 Stock_Transaction_Log'!$AC:$AC))</f>
        <v/>
      </c>
      <c r="I544" s="173" t="str">
        <f t="shared" si="1"/>
        <v/>
      </c>
      <c r="J544" s="173" t="str">
        <f t="shared" si="2"/>
        <v/>
      </c>
      <c r="K544" s="173" t="str">
        <f t="shared" si="3"/>
        <v/>
      </c>
      <c r="L544" s="173" t="str">
        <f t="array" ref="L544">IF($A544="","",INDEX('主表 Stock_Transaction_Log'!$P:$P,$A544))</f>
        <v/>
      </c>
      <c r="M544" s="174" t="str">
        <f>IF($A544="","",IF($H544&lt;=0,0,SUMIFS('主表 Stock_Transaction_Log'!$K$2:$K1000,'主表 Stock_Transaction_Log'!$C$2:$C1000,"Prepared",'主表 Stock_Transaction_Log'!$L$2:$L1000,$B544,'主表 Stock_Transaction_Log'!$F$2:$F1000,$C544,'主表 Stock_Transaction_Log'!$G$2:$G1000,$D544,'主表 Stock_Transaction_Log'!$P$2:$P1000,$L544)))</f>
        <v/>
      </c>
    </row>
    <row r="545">
      <c r="A545" s="173" t="str">
        <f>IF('主表 Stock_Transaction_Log'!$T545="","",IF(COUNTIF('主表 Stock_Transaction_Log'!$T$2:$T545,'主表 Stock_Transaction_Log'!$T545)=1,ROW('主表 Stock_Transaction_Log'!$T545),""))</f>
        <v/>
      </c>
      <c r="B545" s="173" t="str">
        <f t="array" ref="B545">IF($A545="","",INDEX('主表 Stock_Transaction_Log'!$Q:$Q,$A545))</f>
        <v/>
      </c>
      <c r="C545" s="173" t="str">
        <f t="array" ref="C545">IF($A545="","",IF(INDEX('主表 Stock_Transaction_Log'!$F:$F,$A545)=0,"",INDEX('主表 Stock_Transaction_Log'!$F:$F,$A545)))</f>
        <v/>
      </c>
      <c r="D545" s="173" t="str">
        <f t="array" ref="D545">IF($A545="","",INDEX('主表 Stock_Transaction_Log'!$G:$G,$A545))</f>
        <v/>
      </c>
      <c r="E545" s="173" t="str">
        <f t="array" ref="E545">IF($A545="","",INDEX('主表 Stock_Transaction_Log'!$H:$H,$A545))</f>
        <v/>
      </c>
      <c r="F545" s="173" t="str">
        <f t="array" ref="F545">IF($A545="","",INDEX('主表 Stock_Transaction_Log'!$I:$I,$A545))</f>
        <v/>
      </c>
      <c r="G545" s="173" t="str">
        <f t="array" ref="G545">IF($A545="","",IF(INDEX('主表 Stock_Transaction_Log'!$R:$R,$A545)=0,"",INDEX('主表 Stock_Transaction_Log'!$R:$R,$A545)))</f>
        <v/>
      </c>
      <c r="H545" s="173" t="str">
        <f t="array" ref="H545">IF($A545="","",SUMIF('主表 Stock_Transaction_Log'!$T:$T,INDEX('主表 Stock_Transaction_Log'!$T:$T,$A545),'主表 Stock_Transaction_Log'!$S:$S)+SUMIF('主表 Stock_Transaction_Log'!$AB:$AB,INDEX('主表 Stock_Transaction_Log'!$T:$T,$A545),'主表 Stock_Transaction_Log'!$AC:$AC))</f>
        <v/>
      </c>
      <c r="I545" s="173" t="str">
        <f t="shared" si="1"/>
        <v/>
      </c>
      <c r="J545" s="173" t="str">
        <f t="shared" si="2"/>
        <v/>
      </c>
      <c r="K545" s="173" t="str">
        <f t="shared" si="3"/>
        <v/>
      </c>
      <c r="L545" s="173" t="str">
        <f t="array" ref="L545">IF($A545="","",INDEX('主表 Stock_Transaction_Log'!$P:$P,$A545))</f>
        <v/>
      </c>
      <c r="M545" s="174" t="str">
        <f>IF($A545="","",IF($H545&lt;=0,0,SUMIFS('主表 Stock_Transaction_Log'!$K$2:$K1000,'主表 Stock_Transaction_Log'!$C$2:$C1000,"Prepared",'主表 Stock_Transaction_Log'!$L$2:$L1000,$B545,'主表 Stock_Transaction_Log'!$F$2:$F1000,$C545,'主表 Stock_Transaction_Log'!$G$2:$G1000,$D545,'主表 Stock_Transaction_Log'!$P$2:$P1000,$L545)))</f>
        <v/>
      </c>
    </row>
    <row r="546">
      <c r="A546" s="173" t="str">
        <f>IF('主表 Stock_Transaction_Log'!$T546="","",IF(COUNTIF('主表 Stock_Transaction_Log'!$T$2:$T546,'主表 Stock_Transaction_Log'!$T546)=1,ROW('主表 Stock_Transaction_Log'!$T546),""))</f>
        <v/>
      </c>
      <c r="B546" s="173" t="str">
        <f t="array" ref="B546">IF($A546="","",INDEX('主表 Stock_Transaction_Log'!$Q:$Q,$A546))</f>
        <v/>
      </c>
      <c r="C546" s="173" t="str">
        <f t="array" ref="C546">IF($A546="","",IF(INDEX('主表 Stock_Transaction_Log'!$F:$F,$A546)=0,"",INDEX('主表 Stock_Transaction_Log'!$F:$F,$A546)))</f>
        <v/>
      </c>
      <c r="D546" s="173" t="str">
        <f t="array" ref="D546">IF($A546="","",INDEX('主表 Stock_Transaction_Log'!$G:$G,$A546))</f>
        <v/>
      </c>
      <c r="E546" s="173" t="str">
        <f t="array" ref="E546">IF($A546="","",INDEX('主表 Stock_Transaction_Log'!$H:$H,$A546))</f>
        <v/>
      </c>
      <c r="F546" s="173" t="str">
        <f t="array" ref="F546">IF($A546="","",INDEX('主表 Stock_Transaction_Log'!$I:$I,$A546))</f>
        <v/>
      </c>
      <c r="G546" s="173" t="str">
        <f t="array" ref="G546">IF($A546="","",IF(INDEX('主表 Stock_Transaction_Log'!$R:$R,$A546)=0,"",INDEX('主表 Stock_Transaction_Log'!$R:$R,$A546)))</f>
        <v/>
      </c>
      <c r="H546" s="173" t="str">
        <f t="array" ref="H546">IF($A546="","",SUMIF('主表 Stock_Transaction_Log'!$T:$T,INDEX('主表 Stock_Transaction_Log'!$T:$T,$A546),'主表 Stock_Transaction_Log'!$S:$S)+SUMIF('主表 Stock_Transaction_Log'!$AB:$AB,INDEX('主表 Stock_Transaction_Log'!$T:$T,$A546),'主表 Stock_Transaction_Log'!$AC:$AC))</f>
        <v/>
      </c>
      <c r="I546" s="173" t="str">
        <f t="shared" si="1"/>
        <v/>
      </c>
      <c r="J546" s="173" t="str">
        <f t="shared" si="2"/>
        <v/>
      </c>
      <c r="K546" s="173" t="str">
        <f t="shared" si="3"/>
        <v/>
      </c>
      <c r="L546" s="173" t="str">
        <f t="array" ref="L546">IF($A546="","",INDEX('主表 Stock_Transaction_Log'!$P:$P,$A546))</f>
        <v/>
      </c>
      <c r="M546" s="174" t="str">
        <f>IF($A546="","",IF($H546&lt;=0,0,SUMIFS('主表 Stock_Transaction_Log'!$K$2:$K1000,'主表 Stock_Transaction_Log'!$C$2:$C1000,"Prepared",'主表 Stock_Transaction_Log'!$L$2:$L1000,$B546,'主表 Stock_Transaction_Log'!$F$2:$F1000,$C546,'主表 Stock_Transaction_Log'!$G$2:$G1000,$D546,'主表 Stock_Transaction_Log'!$P$2:$P1000,$L546)))</f>
        <v/>
      </c>
    </row>
    <row r="547">
      <c r="A547" s="173" t="str">
        <f>IF('主表 Stock_Transaction_Log'!$T547="","",IF(COUNTIF('主表 Stock_Transaction_Log'!$T$2:$T547,'主表 Stock_Transaction_Log'!$T547)=1,ROW('主表 Stock_Transaction_Log'!$T547),""))</f>
        <v/>
      </c>
      <c r="B547" s="173" t="str">
        <f t="array" ref="B547">IF($A547="","",INDEX('主表 Stock_Transaction_Log'!$Q:$Q,$A547))</f>
        <v/>
      </c>
      <c r="C547" s="173" t="str">
        <f t="array" ref="C547">IF($A547="","",IF(INDEX('主表 Stock_Transaction_Log'!$F:$F,$A547)=0,"",INDEX('主表 Stock_Transaction_Log'!$F:$F,$A547)))</f>
        <v/>
      </c>
      <c r="D547" s="173" t="str">
        <f t="array" ref="D547">IF($A547="","",INDEX('主表 Stock_Transaction_Log'!$G:$G,$A547))</f>
        <v/>
      </c>
      <c r="E547" s="173" t="str">
        <f t="array" ref="E547">IF($A547="","",INDEX('主表 Stock_Transaction_Log'!$H:$H,$A547))</f>
        <v/>
      </c>
      <c r="F547" s="173" t="str">
        <f t="array" ref="F547">IF($A547="","",INDEX('主表 Stock_Transaction_Log'!$I:$I,$A547))</f>
        <v/>
      </c>
      <c r="G547" s="173" t="str">
        <f t="array" ref="G547">IF($A547="","",IF(INDEX('主表 Stock_Transaction_Log'!$R:$R,$A547)=0,"",INDEX('主表 Stock_Transaction_Log'!$R:$R,$A547)))</f>
        <v/>
      </c>
      <c r="H547" s="173" t="str">
        <f t="array" ref="H547">IF($A547="","",SUMIF('主表 Stock_Transaction_Log'!$T:$T,INDEX('主表 Stock_Transaction_Log'!$T:$T,$A547),'主表 Stock_Transaction_Log'!$S:$S)+SUMIF('主表 Stock_Transaction_Log'!$AB:$AB,INDEX('主表 Stock_Transaction_Log'!$T:$T,$A547),'主表 Stock_Transaction_Log'!$AC:$AC))</f>
        <v/>
      </c>
      <c r="I547" s="173" t="str">
        <f t="shared" si="1"/>
        <v/>
      </c>
      <c r="J547" s="173" t="str">
        <f t="shared" si="2"/>
        <v/>
      </c>
      <c r="K547" s="173" t="str">
        <f t="shared" si="3"/>
        <v/>
      </c>
      <c r="L547" s="173" t="str">
        <f t="array" ref="L547">IF($A547="","",INDEX('主表 Stock_Transaction_Log'!$P:$P,$A547))</f>
        <v/>
      </c>
      <c r="M547" s="174" t="str">
        <f>IF($A547="","",IF($H547&lt;=0,0,SUMIFS('主表 Stock_Transaction_Log'!$K$2:$K1000,'主表 Stock_Transaction_Log'!$C$2:$C1000,"Prepared",'主表 Stock_Transaction_Log'!$L$2:$L1000,$B547,'主表 Stock_Transaction_Log'!$F$2:$F1000,$C547,'主表 Stock_Transaction_Log'!$G$2:$G1000,$D547,'主表 Stock_Transaction_Log'!$P$2:$P1000,$L547)))</f>
        <v/>
      </c>
    </row>
    <row r="548">
      <c r="A548" s="173" t="str">
        <f>IF('主表 Stock_Transaction_Log'!$T548="","",IF(COUNTIF('主表 Stock_Transaction_Log'!$T$2:$T548,'主表 Stock_Transaction_Log'!$T548)=1,ROW('主表 Stock_Transaction_Log'!$T548),""))</f>
        <v/>
      </c>
      <c r="B548" s="173" t="str">
        <f t="array" ref="B548">IF($A548="","",INDEX('主表 Stock_Transaction_Log'!$Q:$Q,$A548))</f>
        <v/>
      </c>
      <c r="C548" s="173" t="str">
        <f t="array" ref="C548">IF($A548="","",IF(INDEX('主表 Stock_Transaction_Log'!$F:$F,$A548)=0,"",INDEX('主表 Stock_Transaction_Log'!$F:$F,$A548)))</f>
        <v/>
      </c>
      <c r="D548" s="173" t="str">
        <f t="array" ref="D548">IF($A548="","",INDEX('主表 Stock_Transaction_Log'!$G:$G,$A548))</f>
        <v/>
      </c>
      <c r="E548" s="173" t="str">
        <f t="array" ref="E548">IF($A548="","",INDEX('主表 Stock_Transaction_Log'!$H:$H,$A548))</f>
        <v/>
      </c>
      <c r="F548" s="173" t="str">
        <f t="array" ref="F548">IF($A548="","",INDEX('主表 Stock_Transaction_Log'!$I:$I,$A548))</f>
        <v/>
      </c>
      <c r="G548" s="173" t="str">
        <f t="array" ref="G548">IF($A548="","",IF(INDEX('主表 Stock_Transaction_Log'!$R:$R,$A548)=0,"",INDEX('主表 Stock_Transaction_Log'!$R:$R,$A548)))</f>
        <v/>
      </c>
      <c r="H548" s="173" t="str">
        <f t="array" ref="H548">IF($A548="","",SUMIF('主表 Stock_Transaction_Log'!$T:$T,INDEX('主表 Stock_Transaction_Log'!$T:$T,$A548),'主表 Stock_Transaction_Log'!$S:$S)+SUMIF('主表 Stock_Transaction_Log'!$AB:$AB,INDEX('主表 Stock_Transaction_Log'!$T:$T,$A548),'主表 Stock_Transaction_Log'!$AC:$AC))</f>
        <v/>
      </c>
      <c r="I548" s="173" t="str">
        <f t="shared" si="1"/>
        <v/>
      </c>
      <c r="J548" s="173" t="str">
        <f t="shared" si="2"/>
        <v/>
      </c>
      <c r="K548" s="173" t="str">
        <f t="shared" si="3"/>
        <v/>
      </c>
      <c r="L548" s="173" t="str">
        <f t="array" ref="L548">IF($A548="","",INDEX('主表 Stock_Transaction_Log'!$P:$P,$A548))</f>
        <v/>
      </c>
      <c r="M548" s="174" t="str">
        <f>IF($A548="","",IF($H548&lt;=0,0,SUMIFS('主表 Stock_Transaction_Log'!$K$2:$K1000,'主表 Stock_Transaction_Log'!$C$2:$C1000,"Prepared",'主表 Stock_Transaction_Log'!$L$2:$L1000,$B548,'主表 Stock_Transaction_Log'!$F$2:$F1000,$C548,'主表 Stock_Transaction_Log'!$G$2:$G1000,$D548,'主表 Stock_Transaction_Log'!$P$2:$P1000,$L548)))</f>
        <v/>
      </c>
    </row>
    <row r="549">
      <c r="A549" s="173" t="str">
        <f>IF('主表 Stock_Transaction_Log'!$T549="","",IF(COUNTIF('主表 Stock_Transaction_Log'!$T$2:$T549,'主表 Stock_Transaction_Log'!$T549)=1,ROW('主表 Stock_Transaction_Log'!$T549),""))</f>
        <v/>
      </c>
      <c r="B549" s="173" t="str">
        <f t="array" ref="B549">IF($A549="","",INDEX('主表 Stock_Transaction_Log'!$Q:$Q,$A549))</f>
        <v/>
      </c>
      <c r="C549" s="173" t="str">
        <f t="array" ref="C549">IF($A549="","",IF(INDEX('主表 Stock_Transaction_Log'!$F:$F,$A549)=0,"",INDEX('主表 Stock_Transaction_Log'!$F:$F,$A549)))</f>
        <v/>
      </c>
      <c r="D549" s="173" t="str">
        <f t="array" ref="D549">IF($A549="","",INDEX('主表 Stock_Transaction_Log'!$G:$G,$A549))</f>
        <v/>
      </c>
      <c r="E549" s="173" t="str">
        <f t="array" ref="E549">IF($A549="","",INDEX('主表 Stock_Transaction_Log'!$H:$H,$A549))</f>
        <v/>
      </c>
      <c r="F549" s="173" t="str">
        <f t="array" ref="F549">IF($A549="","",INDEX('主表 Stock_Transaction_Log'!$I:$I,$A549))</f>
        <v/>
      </c>
      <c r="G549" s="173" t="str">
        <f t="array" ref="G549">IF($A549="","",IF(INDEX('主表 Stock_Transaction_Log'!$R:$R,$A549)=0,"",INDEX('主表 Stock_Transaction_Log'!$R:$R,$A549)))</f>
        <v/>
      </c>
      <c r="H549" s="173" t="str">
        <f t="array" ref="H549">IF($A549="","",SUMIF('主表 Stock_Transaction_Log'!$T:$T,INDEX('主表 Stock_Transaction_Log'!$T:$T,$A549),'主表 Stock_Transaction_Log'!$S:$S)+SUMIF('主表 Stock_Transaction_Log'!$AB:$AB,INDEX('主表 Stock_Transaction_Log'!$T:$T,$A549),'主表 Stock_Transaction_Log'!$AC:$AC))</f>
        <v/>
      </c>
      <c r="I549" s="173" t="str">
        <f t="shared" si="1"/>
        <v/>
      </c>
      <c r="J549" s="173" t="str">
        <f t="shared" si="2"/>
        <v/>
      </c>
      <c r="K549" s="173" t="str">
        <f t="shared" si="3"/>
        <v/>
      </c>
      <c r="L549" s="173" t="str">
        <f t="array" ref="L549">IF($A549="","",INDEX('主表 Stock_Transaction_Log'!$P:$P,$A549))</f>
        <v/>
      </c>
      <c r="M549" s="174" t="str">
        <f>IF($A549="","",IF($H549&lt;=0,0,SUMIFS('主表 Stock_Transaction_Log'!$K$2:$K1000,'主表 Stock_Transaction_Log'!$C$2:$C1000,"Prepared",'主表 Stock_Transaction_Log'!$L$2:$L1000,$B549,'主表 Stock_Transaction_Log'!$F$2:$F1000,$C549,'主表 Stock_Transaction_Log'!$G$2:$G1000,$D549,'主表 Stock_Transaction_Log'!$P$2:$P1000,$L549)))</f>
        <v/>
      </c>
    </row>
    <row r="550">
      <c r="A550" s="173" t="str">
        <f>IF('主表 Stock_Transaction_Log'!$T550="","",IF(COUNTIF('主表 Stock_Transaction_Log'!$T$2:$T550,'主表 Stock_Transaction_Log'!$T550)=1,ROW('主表 Stock_Transaction_Log'!$T550),""))</f>
        <v/>
      </c>
      <c r="B550" s="173" t="str">
        <f t="array" ref="B550">IF($A550="","",INDEX('主表 Stock_Transaction_Log'!$Q:$Q,$A550))</f>
        <v/>
      </c>
      <c r="C550" s="173" t="str">
        <f t="array" ref="C550">IF($A550="","",IF(INDEX('主表 Stock_Transaction_Log'!$F:$F,$A550)=0,"",INDEX('主表 Stock_Transaction_Log'!$F:$F,$A550)))</f>
        <v/>
      </c>
      <c r="D550" s="173" t="str">
        <f t="array" ref="D550">IF($A550="","",INDEX('主表 Stock_Transaction_Log'!$G:$G,$A550))</f>
        <v/>
      </c>
      <c r="E550" s="173" t="str">
        <f t="array" ref="E550">IF($A550="","",INDEX('主表 Stock_Transaction_Log'!$H:$H,$A550))</f>
        <v/>
      </c>
      <c r="F550" s="173" t="str">
        <f t="array" ref="F550">IF($A550="","",INDEX('主表 Stock_Transaction_Log'!$I:$I,$A550))</f>
        <v/>
      </c>
      <c r="G550" s="173" t="str">
        <f t="array" ref="G550">IF($A550="","",IF(INDEX('主表 Stock_Transaction_Log'!$R:$R,$A550)=0,"",INDEX('主表 Stock_Transaction_Log'!$R:$R,$A550)))</f>
        <v/>
      </c>
      <c r="H550" s="173" t="str">
        <f t="array" ref="H550">IF($A550="","",SUMIF('主表 Stock_Transaction_Log'!$T:$T,INDEX('主表 Stock_Transaction_Log'!$T:$T,$A550),'主表 Stock_Transaction_Log'!$S:$S)+SUMIF('主表 Stock_Transaction_Log'!$AB:$AB,INDEX('主表 Stock_Transaction_Log'!$T:$T,$A550),'主表 Stock_Transaction_Log'!$AC:$AC))</f>
        <v/>
      </c>
      <c r="I550" s="173" t="str">
        <f t="shared" si="1"/>
        <v/>
      </c>
      <c r="J550" s="173" t="str">
        <f t="shared" si="2"/>
        <v/>
      </c>
      <c r="K550" s="173" t="str">
        <f t="shared" si="3"/>
        <v/>
      </c>
      <c r="L550" s="173" t="str">
        <f t="array" ref="L550">IF($A550="","",INDEX('主表 Stock_Transaction_Log'!$P:$P,$A550))</f>
        <v/>
      </c>
      <c r="M550" s="174" t="str">
        <f>IF($A550="","",IF($H550&lt;=0,0,SUMIFS('主表 Stock_Transaction_Log'!$K$2:$K1000,'主表 Stock_Transaction_Log'!$C$2:$C1000,"Prepared",'主表 Stock_Transaction_Log'!$L$2:$L1000,$B550,'主表 Stock_Transaction_Log'!$F$2:$F1000,$C550,'主表 Stock_Transaction_Log'!$G$2:$G1000,$D550,'主表 Stock_Transaction_Log'!$P$2:$P1000,$L550)))</f>
        <v/>
      </c>
    </row>
    <row r="551">
      <c r="A551" s="173" t="str">
        <f>IF('主表 Stock_Transaction_Log'!$T551="","",IF(COUNTIF('主表 Stock_Transaction_Log'!$T$2:$T551,'主表 Stock_Transaction_Log'!$T551)=1,ROW('主表 Stock_Transaction_Log'!$T551),""))</f>
        <v/>
      </c>
      <c r="B551" s="173" t="str">
        <f t="array" ref="B551">IF($A551="","",INDEX('主表 Stock_Transaction_Log'!$Q:$Q,$A551))</f>
        <v/>
      </c>
      <c r="C551" s="173" t="str">
        <f t="array" ref="C551">IF($A551="","",IF(INDEX('主表 Stock_Transaction_Log'!$F:$F,$A551)=0,"",INDEX('主表 Stock_Transaction_Log'!$F:$F,$A551)))</f>
        <v/>
      </c>
      <c r="D551" s="173" t="str">
        <f t="array" ref="D551">IF($A551="","",INDEX('主表 Stock_Transaction_Log'!$G:$G,$A551))</f>
        <v/>
      </c>
      <c r="E551" s="173" t="str">
        <f t="array" ref="E551">IF($A551="","",INDEX('主表 Stock_Transaction_Log'!$H:$H,$A551))</f>
        <v/>
      </c>
      <c r="F551" s="173" t="str">
        <f t="array" ref="F551">IF($A551="","",INDEX('主表 Stock_Transaction_Log'!$I:$I,$A551))</f>
        <v/>
      </c>
      <c r="G551" s="173" t="str">
        <f t="array" ref="G551">IF($A551="","",IF(INDEX('主表 Stock_Transaction_Log'!$R:$R,$A551)=0,"",INDEX('主表 Stock_Transaction_Log'!$R:$R,$A551)))</f>
        <v/>
      </c>
      <c r="H551" s="173" t="str">
        <f t="array" ref="H551">IF($A551="","",SUMIF('主表 Stock_Transaction_Log'!$T:$T,INDEX('主表 Stock_Transaction_Log'!$T:$T,$A551),'主表 Stock_Transaction_Log'!$S:$S)+SUMIF('主表 Stock_Transaction_Log'!$AB:$AB,INDEX('主表 Stock_Transaction_Log'!$T:$T,$A551),'主表 Stock_Transaction_Log'!$AC:$AC))</f>
        <v/>
      </c>
      <c r="I551" s="173" t="str">
        <f t="shared" si="1"/>
        <v/>
      </c>
      <c r="J551" s="173" t="str">
        <f t="shared" si="2"/>
        <v/>
      </c>
      <c r="K551" s="173" t="str">
        <f t="shared" si="3"/>
        <v/>
      </c>
      <c r="L551" s="173" t="str">
        <f t="array" ref="L551">IF($A551="","",INDEX('主表 Stock_Transaction_Log'!$P:$P,$A551))</f>
        <v/>
      </c>
      <c r="M551" s="174" t="str">
        <f>IF($A551="","",IF($H551&lt;=0,0,SUMIFS('主表 Stock_Transaction_Log'!$K$2:$K1000,'主表 Stock_Transaction_Log'!$C$2:$C1000,"Prepared",'主表 Stock_Transaction_Log'!$L$2:$L1000,$B551,'主表 Stock_Transaction_Log'!$F$2:$F1000,$C551,'主表 Stock_Transaction_Log'!$G$2:$G1000,$D551,'主表 Stock_Transaction_Log'!$P$2:$P1000,$L551)))</f>
        <v/>
      </c>
    </row>
    <row r="552">
      <c r="A552" s="173" t="str">
        <f>IF('主表 Stock_Transaction_Log'!$T552="","",IF(COUNTIF('主表 Stock_Transaction_Log'!$T$2:$T552,'主表 Stock_Transaction_Log'!$T552)=1,ROW('主表 Stock_Transaction_Log'!$T552),""))</f>
        <v/>
      </c>
      <c r="B552" s="173" t="str">
        <f t="array" ref="B552">IF($A552="","",INDEX('主表 Stock_Transaction_Log'!$Q:$Q,$A552))</f>
        <v/>
      </c>
      <c r="C552" s="173" t="str">
        <f t="array" ref="C552">IF($A552="","",IF(INDEX('主表 Stock_Transaction_Log'!$F:$F,$A552)=0,"",INDEX('主表 Stock_Transaction_Log'!$F:$F,$A552)))</f>
        <v/>
      </c>
      <c r="D552" s="173" t="str">
        <f t="array" ref="D552">IF($A552="","",INDEX('主表 Stock_Transaction_Log'!$G:$G,$A552))</f>
        <v/>
      </c>
      <c r="E552" s="173" t="str">
        <f t="array" ref="E552">IF($A552="","",INDEX('主表 Stock_Transaction_Log'!$H:$H,$A552))</f>
        <v/>
      </c>
      <c r="F552" s="173" t="str">
        <f t="array" ref="F552">IF($A552="","",INDEX('主表 Stock_Transaction_Log'!$I:$I,$A552))</f>
        <v/>
      </c>
      <c r="G552" s="173" t="str">
        <f t="array" ref="G552">IF($A552="","",IF(INDEX('主表 Stock_Transaction_Log'!$R:$R,$A552)=0,"",INDEX('主表 Stock_Transaction_Log'!$R:$R,$A552)))</f>
        <v/>
      </c>
      <c r="H552" s="173" t="str">
        <f t="array" ref="H552">IF($A552="","",SUMIF('主表 Stock_Transaction_Log'!$T:$T,INDEX('主表 Stock_Transaction_Log'!$T:$T,$A552),'主表 Stock_Transaction_Log'!$S:$S)+SUMIF('主表 Stock_Transaction_Log'!$AB:$AB,INDEX('主表 Stock_Transaction_Log'!$T:$T,$A552),'主表 Stock_Transaction_Log'!$AC:$AC))</f>
        <v/>
      </c>
      <c r="I552" s="173" t="str">
        <f t="shared" si="1"/>
        <v/>
      </c>
      <c r="J552" s="173" t="str">
        <f t="shared" si="2"/>
        <v/>
      </c>
      <c r="K552" s="173" t="str">
        <f t="shared" si="3"/>
        <v/>
      </c>
      <c r="L552" s="173" t="str">
        <f t="array" ref="L552">IF($A552="","",INDEX('主表 Stock_Transaction_Log'!$P:$P,$A552))</f>
        <v/>
      </c>
      <c r="M552" s="174" t="str">
        <f>IF($A552="","",IF($H552&lt;=0,0,SUMIFS('主表 Stock_Transaction_Log'!$K$2:$K1000,'主表 Stock_Transaction_Log'!$C$2:$C1000,"Prepared",'主表 Stock_Transaction_Log'!$L$2:$L1000,$B552,'主表 Stock_Transaction_Log'!$F$2:$F1000,$C552,'主表 Stock_Transaction_Log'!$G$2:$G1000,$D552,'主表 Stock_Transaction_Log'!$P$2:$P1000,$L552)))</f>
        <v/>
      </c>
    </row>
    <row r="553">
      <c r="A553" s="173" t="str">
        <f>IF('主表 Stock_Transaction_Log'!$T553="","",IF(COUNTIF('主表 Stock_Transaction_Log'!$T$2:$T553,'主表 Stock_Transaction_Log'!$T553)=1,ROW('主表 Stock_Transaction_Log'!$T553),""))</f>
        <v/>
      </c>
      <c r="B553" s="173" t="str">
        <f t="array" ref="B553">IF($A553="","",INDEX('主表 Stock_Transaction_Log'!$Q:$Q,$A553))</f>
        <v/>
      </c>
      <c r="C553" s="173" t="str">
        <f t="array" ref="C553">IF($A553="","",IF(INDEX('主表 Stock_Transaction_Log'!$F:$F,$A553)=0,"",INDEX('主表 Stock_Transaction_Log'!$F:$F,$A553)))</f>
        <v/>
      </c>
      <c r="D553" s="173" t="str">
        <f t="array" ref="D553">IF($A553="","",INDEX('主表 Stock_Transaction_Log'!$G:$G,$A553))</f>
        <v/>
      </c>
      <c r="E553" s="173" t="str">
        <f t="array" ref="E553">IF($A553="","",INDEX('主表 Stock_Transaction_Log'!$H:$H,$A553))</f>
        <v/>
      </c>
      <c r="F553" s="173" t="str">
        <f t="array" ref="F553">IF($A553="","",INDEX('主表 Stock_Transaction_Log'!$I:$I,$A553))</f>
        <v/>
      </c>
      <c r="G553" s="173" t="str">
        <f t="array" ref="G553">IF($A553="","",IF(INDEX('主表 Stock_Transaction_Log'!$R:$R,$A553)=0,"",INDEX('主表 Stock_Transaction_Log'!$R:$R,$A553)))</f>
        <v/>
      </c>
      <c r="H553" s="173" t="str">
        <f t="array" ref="H553">IF($A553="","",SUMIF('主表 Stock_Transaction_Log'!$T:$T,INDEX('主表 Stock_Transaction_Log'!$T:$T,$A553),'主表 Stock_Transaction_Log'!$S:$S)+SUMIF('主表 Stock_Transaction_Log'!$AB:$AB,INDEX('主表 Stock_Transaction_Log'!$T:$T,$A553),'主表 Stock_Transaction_Log'!$AC:$AC))</f>
        <v/>
      </c>
      <c r="I553" s="173" t="str">
        <f t="shared" si="1"/>
        <v/>
      </c>
      <c r="J553" s="173" t="str">
        <f t="shared" si="2"/>
        <v/>
      </c>
      <c r="K553" s="173" t="str">
        <f t="shared" si="3"/>
        <v/>
      </c>
      <c r="L553" s="173" t="str">
        <f t="array" ref="L553">IF($A553="","",INDEX('主表 Stock_Transaction_Log'!$P:$P,$A553))</f>
        <v/>
      </c>
      <c r="M553" s="174" t="str">
        <f>IF($A553="","",IF($H553&lt;=0,0,SUMIFS('主表 Stock_Transaction_Log'!$K$2:$K1000,'主表 Stock_Transaction_Log'!$C$2:$C1000,"Prepared",'主表 Stock_Transaction_Log'!$L$2:$L1000,$B553,'主表 Stock_Transaction_Log'!$F$2:$F1000,$C553,'主表 Stock_Transaction_Log'!$G$2:$G1000,$D553,'主表 Stock_Transaction_Log'!$P$2:$P1000,$L553)))</f>
        <v/>
      </c>
    </row>
    <row r="554">
      <c r="A554" s="173" t="str">
        <f>IF('主表 Stock_Transaction_Log'!$T554="","",IF(COUNTIF('主表 Stock_Transaction_Log'!$T$2:$T554,'主表 Stock_Transaction_Log'!$T554)=1,ROW('主表 Stock_Transaction_Log'!$T554),""))</f>
        <v/>
      </c>
      <c r="B554" s="173" t="str">
        <f t="array" ref="B554">IF($A554="","",INDEX('主表 Stock_Transaction_Log'!$Q:$Q,$A554))</f>
        <v/>
      </c>
      <c r="C554" s="173" t="str">
        <f t="array" ref="C554">IF($A554="","",IF(INDEX('主表 Stock_Transaction_Log'!$F:$F,$A554)=0,"",INDEX('主表 Stock_Transaction_Log'!$F:$F,$A554)))</f>
        <v/>
      </c>
      <c r="D554" s="173" t="str">
        <f t="array" ref="D554">IF($A554="","",INDEX('主表 Stock_Transaction_Log'!$G:$G,$A554))</f>
        <v/>
      </c>
      <c r="E554" s="173" t="str">
        <f t="array" ref="E554">IF($A554="","",INDEX('主表 Stock_Transaction_Log'!$H:$H,$A554))</f>
        <v/>
      </c>
      <c r="F554" s="173" t="str">
        <f t="array" ref="F554">IF($A554="","",INDEX('主表 Stock_Transaction_Log'!$I:$I,$A554))</f>
        <v/>
      </c>
      <c r="G554" s="173" t="str">
        <f t="array" ref="G554">IF($A554="","",IF(INDEX('主表 Stock_Transaction_Log'!$R:$R,$A554)=0,"",INDEX('主表 Stock_Transaction_Log'!$R:$R,$A554)))</f>
        <v/>
      </c>
      <c r="H554" s="173" t="str">
        <f t="array" ref="H554">IF($A554="","",SUMIF('主表 Stock_Transaction_Log'!$T:$T,INDEX('主表 Stock_Transaction_Log'!$T:$T,$A554),'主表 Stock_Transaction_Log'!$S:$S)+SUMIF('主表 Stock_Transaction_Log'!$AB:$AB,INDEX('主表 Stock_Transaction_Log'!$T:$T,$A554),'主表 Stock_Transaction_Log'!$AC:$AC))</f>
        <v/>
      </c>
      <c r="I554" s="173" t="str">
        <f t="shared" si="1"/>
        <v/>
      </c>
      <c r="J554" s="173" t="str">
        <f t="shared" si="2"/>
        <v/>
      </c>
      <c r="K554" s="173" t="str">
        <f t="shared" si="3"/>
        <v/>
      </c>
      <c r="L554" s="173" t="str">
        <f t="array" ref="L554">IF($A554="","",INDEX('主表 Stock_Transaction_Log'!$P:$P,$A554))</f>
        <v/>
      </c>
      <c r="M554" s="174" t="str">
        <f>IF($A554="","",IF($H554&lt;=0,0,SUMIFS('主表 Stock_Transaction_Log'!$K$2:$K1000,'主表 Stock_Transaction_Log'!$C$2:$C1000,"Prepared",'主表 Stock_Transaction_Log'!$L$2:$L1000,$B554,'主表 Stock_Transaction_Log'!$F$2:$F1000,$C554,'主表 Stock_Transaction_Log'!$G$2:$G1000,$D554,'主表 Stock_Transaction_Log'!$P$2:$P1000,$L554)))</f>
        <v/>
      </c>
    </row>
    <row r="555">
      <c r="A555" s="173" t="str">
        <f>IF('主表 Stock_Transaction_Log'!$T555="","",IF(COUNTIF('主表 Stock_Transaction_Log'!$T$2:$T555,'主表 Stock_Transaction_Log'!$T555)=1,ROW('主表 Stock_Transaction_Log'!$T555),""))</f>
        <v/>
      </c>
      <c r="B555" s="173" t="str">
        <f t="array" ref="B555">IF($A555="","",INDEX('主表 Stock_Transaction_Log'!$Q:$Q,$A555))</f>
        <v/>
      </c>
      <c r="C555" s="173" t="str">
        <f t="array" ref="C555">IF($A555="","",IF(INDEX('主表 Stock_Transaction_Log'!$F:$F,$A555)=0,"",INDEX('主表 Stock_Transaction_Log'!$F:$F,$A555)))</f>
        <v/>
      </c>
      <c r="D555" s="173" t="str">
        <f t="array" ref="D555">IF($A555="","",INDEX('主表 Stock_Transaction_Log'!$G:$G,$A555))</f>
        <v/>
      </c>
      <c r="E555" s="173" t="str">
        <f t="array" ref="E555">IF($A555="","",INDEX('主表 Stock_Transaction_Log'!$H:$H,$A555))</f>
        <v/>
      </c>
      <c r="F555" s="173" t="str">
        <f t="array" ref="F555">IF($A555="","",INDEX('主表 Stock_Transaction_Log'!$I:$I,$A555))</f>
        <v/>
      </c>
      <c r="G555" s="173" t="str">
        <f t="array" ref="G555">IF($A555="","",IF(INDEX('主表 Stock_Transaction_Log'!$R:$R,$A555)=0,"",INDEX('主表 Stock_Transaction_Log'!$R:$R,$A555)))</f>
        <v/>
      </c>
      <c r="H555" s="173" t="str">
        <f t="array" ref="H555">IF($A555="","",SUMIF('主表 Stock_Transaction_Log'!$T:$T,INDEX('主表 Stock_Transaction_Log'!$T:$T,$A555),'主表 Stock_Transaction_Log'!$S:$S)+SUMIF('主表 Stock_Transaction_Log'!$AB:$AB,INDEX('主表 Stock_Transaction_Log'!$T:$T,$A555),'主表 Stock_Transaction_Log'!$AC:$AC))</f>
        <v/>
      </c>
      <c r="I555" s="173" t="str">
        <f t="shared" si="1"/>
        <v/>
      </c>
      <c r="J555" s="173" t="str">
        <f t="shared" si="2"/>
        <v/>
      </c>
      <c r="K555" s="173" t="str">
        <f t="shared" si="3"/>
        <v/>
      </c>
      <c r="L555" s="173" t="str">
        <f t="array" ref="L555">IF($A555="","",INDEX('主表 Stock_Transaction_Log'!$P:$P,$A555))</f>
        <v/>
      </c>
      <c r="M555" s="174" t="str">
        <f>IF($A555="","",IF($H555&lt;=0,0,SUMIFS('主表 Stock_Transaction_Log'!$K$2:$K1000,'主表 Stock_Transaction_Log'!$C$2:$C1000,"Prepared",'主表 Stock_Transaction_Log'!$L$2:$L1000,$B555,'主表 Stock_Transaction_Log'!$F$2:$F1000,$C555,'主表 Stock_Transaction_Log'!$G$2:$G1000,$D555,'主表 Stock_Transaction_Log'!$P$2:$P1000,$L555)))</f>
        <v/>
      </c>
    </row>
    <row r="556">
      <c r="A556" s="173" t="str">
        <f>IF('主表 Stock_Transaction_Log'!$T556="","",IF(COUNTIF('主表 Stock_Transaction_Log'!$T$2:$T556,'主表 Stock_Transaction_Log'!$T556)=1,ROW('主表 Stock_Transaction_Log'!$T556),""))</f>
        <v/>
      </c>
      <c r="B556" s="173" t="str">
        <f t="array" ref="B556">IF($A556="","",INDEX('主表 Stock_Transaction_Log'!$Q:$Q,$A556))</f>
        <v/>
      </c>
      <c r="C556" s="173" t="str">
        <f t="array" ref="C556">IF($A556="","",IF(INDEX('主表 Stock_Transaction_Log'!$F:$F,$A556)=0,"",INDEX('主表 Stock_Transaction_Log'!$F:$F,$A556)))</f>
        <v/>
      </c>
      <c r="D556" s="173" t="str">
        <f t="array" ref="D556">IF($A556="","",INDEX('主表 Stock_Transaction_Log'!$G:$G,$A556))</f>
        <v/>
      </c>
      <c r="E556" s="173" t="str">
        <f t="array" ref="E556">IF($A556="","",INDEX('主表 Stock_Transaction_Log'!$H:$H,$A556))</f>
        <v/>
      </c>
      <c r="F556" s="173" t="str">
        <f t="array" ref="F556">IF($A556="","",INDEX('主表 Stock_Transaction_Log'!$I:$I,$A556))</f>
        <v/>
      </c>
      <c r="G556" s="173" t="str">
        <f t="array" ref="G556">IF($A556="","",IF(INDEX('主表 Stock_Transaction_Log'!$R:$R,$A556)=0,"",INDEX('主表 Stock_Transaction_Log'!$R:$R,$A556)))</f>
        <v/>
      </c>
      <c r="H556" s="173" t="str">
        <f t="array" ref="H556">IF($A556="","",SUMIF('主表 Stock_Transaction_Log'!$T:$T,INDEX('主表 Stock_Transaction_Log'!$T:$T,$A556),'主表 Stock_Transaction_Log'!$S:$S)+SUMIF('主表 Stock_Transaction_Log'!$AB:$AB,INDEX('主表 Stock_Transaction_Log'!$T:$T,$A556),'主表 Stock_Transaction_Log'!$AC:$AC))</f>
        <v/>
      </c>
      <c r="I556" s="173" t="str">
        <f t="shared" si="1"/>
        <v/>
      </c>
      <c r="J556" s="173" t="str">
        <f t="shared" si="2"/>
        <v/>
      </c>
      <c r="K556" s="173" t="str">
        <f t="shared" si="3"/>
        <v/>
      </c>
      <c r="L556" s="173" t="str">
        <f t="array" ref="L556">IF($A556="","",INDEX('主表 Stock_Transaction_Log'!$P:$P,$A556))</f>
        <v/>
      </c>
      <c r="M556" s="174" t="str">
        <f>IF($A556="","",IF($H556&lt;=0,0,SUMIFS('主表 Stock_Transaction_Log'!$K$2:$K1000,'主表 Stock_Transaction_Log'!$C$2:$C1000,"Prepared",'主表 Stock_Transaction_Log'!$L$2:$L1000,$B556,'主表 Stock_Transaction_Log'!$F$2:$F1000,$C556,'主表 Stock_Transaction_Log'!$G$2:$G1000,$D556,'主表 Stock_Transaction_Log'!$P$2:$P1000,$L556)))</f>
        <v/>
      </c>
    </row>
    <row r="557">
      <c r="A557" s="173" t="str">
        <f>IF('主表 Stock_Transaction_Log'!$T557="","",IF(COUNTIF('主表 Stock_Transaction_Log'!$T$2:$T557,'主表 Stock_Transaction_Log'!$T557)=1,ROW('主表 Stock_Transaction_Log'!$T557),""))</f>
        <v/>
      </c>
      <c r="B557" s="173" t="str">
        <f t="array" ref="B557">IF($A557="","",INDEX('主表 Stock_Transaction_Log'!$Q:$Q,$A557))</f>
        <v/>
      </c>
      <c r="C557" s="173" t="str">
        <f t="array" ref="C557">IF($A557="","",IF(INDEX('主表 Stock_Transaction_Log'!$F:$F,$A557)=0,"",INDEX('主表 Stock_Transaction_Log'!$F:$F,$A557)))</f>
        <v/>
      </c>
      <c r="D557" s="173" t="str">
        <f t="array" ref="D557">IF($A557="","",INDEX('主表 Stock_Transaction_Log'!$G:$G,$A557))</f>
        <v/>
      </c>
      <c r="E557" s="173" t="str">
        <f t="array" ref="E557">IF($A557="","",INDEX('主表 Stock_Transaction_Log'!$H:$H,$A557))</f>
        <v/>
      </c>
      <c r="F557" s="173" t="str">
        <f t="array" ref="F557">IF($A557="","",INDEX('主表 Stock_Transaction_Log'!$I:$I,$A557))</f>
        <v/>
      </c>
      <c r="G557" s="173" t="str">
        <f t="array" ref="G557">IF($A557="","",IF(INDEX('主表 Stock_Transaction_Log'!$R:$R,$A557)=0,"",INDEX('主表 Stock_Transaction_Log'!$R:$R,$A557)))</f>
        <v/>
      </c>
      <c r="H557" s="173" t="str">
        <f t="array" ref="H557">IF($A557="","",SUMIF('主表 Stock_Transaction_Log'!$T:$T,INDEX('主表 Stock_Transaction_Log'!$T:$T,$A557),'主表 Stock_Transaction_Log'!$S:$S)+SUMIF('主表 Stock_Transaction_Log'!$AB:$AB,INDEX('主表 Stock_Transaction_Log'!$T:$T,$A557),'主表 Stock_Transaction_Log'!$AC:$AC))</f>
        <v/>
      </c>
      <c r="I557" s="173" t="str">
        <f t="shared" si="1"/>
        <v/>
      </c>
      <c r="J557" s="173" t="str">
        <f t="shared" si="2"/>
        <v/>
      </c>
      <c r="K557" s="173" t="str">
        <f t="shared" si="3"/>
        <v/>
      </c>
      <c r="L557" s="173" t="str">
        <f t="array" ref="L557">IF($A557="","",INDEX('主表 Stock_Transaction_Log'!$P:$P,$A557))</f>
        <v/>
      </c>
      <c r="M557" s="174" t="str">
        <f>IF($A557="","",IF($H557&lt;=0,0,SUMIFS('主表 Stock_Transaction_Log'!$K$2:$K1000,'主表 Stock_Transaction_Log'!$C$2:$C1000,"Prepared",'主表 Stock_Transaction_Log'!$L$2:$L1000,$B557,'主表 Stock_Transaction_Log'!$F$2:$F1000,$C557,'主表 Stock_Transaction_Log'!$G$2:$G1000,$D557,'主表 Stock_Transaction_Log'!$P$2:$P1000,$L557)))</f>
        <v/>
      </c>
    </row>
    <row r="558">
      <c r="A558" s="173" t="str">
        <f>IF('主表 Stock_Transaction_Log'!$T558="","",IF(COUNTIF('主表 Stock_Transaction_Log'!$T$2:$T558,'主表 Stock_Transaction_Log'!$T558)=1,ROW('主表 Stock_Transaction_Log'!$T558),""))</f>
        <v/>
      </c>
      <c r="B558" s="173" t="str">
        <f t="array" ref="B558">IF($A558="","",INDEX('主表 Stock_Transaction_Log'!$Q:$Q,$A558))</f>
        <v/>
      </c>
      <c r="C558" s="173" t="str">
        <f t="array" ref="C558">IF($A558="","",IF(INDEX('主表 Stock_Transaction_Log'!$F:$F,$A558)=0,"",INDEX('主表 Stock_Transaction_Log'!$F:$F,$A558)))</f>
        <v/>
      </c>
      <c r="D558" s="173" t="str">
        <f t="array" ref="D558">IF($A558="","",INDEX('主表 Stock_Transaction_Log'!$G:$G,$A558))</f>
        <v/>
      </c>
      <c r="E558" s="173" t="str">
        <f t="array" ref="E558">IF($A558="","",INDEX('主表 Stock_Transaction_Log'!$H:$H,$A558))</f>
        <v/>
      </c>
      <c r="F558" s="173" t="str">
        <f t="array" ref="F558">IF($A558="","",INDEX('主表 Stock_Transaction_Log'!$I:$I,$A558))</f>
        <v/>
      </c>
      <c r="G558" s="173" t="str">
        <f t="array" ref="G558">IF($A558="","",IF(INDEX('主表 Stock_Transaction_Log'!$R:$R,$A558)=0,"",INDEX('主表 Stock_Transaction_Log'!$R:$R,$A558)))</f>
        <v/>
      </c>
      <c r="H558" s="173" t="str">
        <f t="array" ref="H558">IF($A558="","",SUMIF('主表 Stock_Transaction_Log'!$T:$T,INDEX('主表 Stock_Transaction_Log'!$T:$T,$A558),'主表 Stock_Transaction_Log'!$S:$S)+SUMIF('主表 Stock_Transaction_Log'!$AB:$AB,INDEX('主表 Stock_Transaction_Log'!$T:$T,$A558),'主表 Stock_Transaction_Log'!$AC:$AC))</f>
        <v/>
      </c>
      <c r="I558" s="173" t="str">
        <f t="shared" si="1"/>
        <v/>
      </c>
      <c r="J558" s="173" t="str">
        <f t="shared" si="2"/>
        <v/>
      </c>
      <c r="K558" s="173" t="str">
        <f t="shared" si="3"/>
        <v/>
      </c>
      <c r="L558" s="173" t="str">
        <f t="array" ref="L558">IF($A558="","",INDEX('主表 Stock_Transaction_Log'!$P:$P,$A558))</f>
        <v/>
      </c>
      <c r="M558" s="174" t="str">
        <f>IF($A558="","",IF($H558&lt;=0,0,SUMIFS('主表 Stock_Transaction_Log'!$K$2:$K1000,'主表 Stock_Transaction_Log'!$C$2:$C1000,"Prepared",'主表 Stock_Transaction_Log'!$L$2:$L1000,$B558,'主表 Stock_Transaction_Log'!$F$2:$F1000,$C558,'主表 Stock_Transaction_Log'!$G$2:$G1000,$D558,'主表 Stock_Transaction_Log'!$P$2:$P1000,$L558)))</f>
        <v/>
      </c>
    </row>
    <row r="559">
      <c r="A559" s="173" t="str">
        <f>IF('主表 Stock_Transaction_Log'!$T559="","",IF(COUNTIF('主表 Stock_Transaction_Log'!$T$2:$T559,'主表 Stock_Transaction_Log'!$T559)=1,ROW('主表 Stock_Transaction_Log'!$T559),""))</f>
        <v/>
      </c>
      <c r="B559" s="173" t="str">
        <f t="array" ref="B559">IF($A559="","",INDEX('主表 Stock_Transaction_Log'!$Q:$Q,$A559))</f>
        <v/>
      </c>
      <c r="C559" s="173" t="str">
        <f t="array" ref="C559">IF($A559="","",IF(INDEX('主表 Stock_Transaction_Log'!$F:$F,$A559)=0,"",INDEX('主表 Stock_Transaction_Log'!$F:$F,$A559)))</f>
        <v/>
      </c>
      <c r="D559" s="173" t="str">
        <f t="array" ref="D559">IF($A559="","",INDEX('主表 Stock_Transaction_Log'!$G:$G,$A559))</f>
        <v/>
      </c>
      <c r="E559" s="173" t="str">
        <f t="array" ref="E559">IF($A559="","",INDEX('主表 Stock_Transaction_Log'!$H:$H,$A559))</f>
        <v/>
      </c>
      <c r="F559" s="173" t="str">
        <f t="array" ref="F559">IF($A559="","",INDEX('主表 Stock_Transaction_Log'!$I:$I,$A559))</f>
        <v/>
      </c>
      <c r="G559" s="173" t="str">
        <f t="array" ref="G559">IF($A559="","",IF(INDEX('主表 Stock_Transaction_Log'!$R:$R,$A559)=0,"",INDEX('主表 Stock_Transaction_Log'!$R:$R,$A559)))</f>
        <v/>
      </c>
      <c r="H559" s="173" t="str">
        <f t="array" ref="H559">IF($A559="","",SUMIF('主表 Stock_Transaction_Log'!$T:$T,INDEX('主表 Stock_Transaction_Log'!$T:$T,$A559),'主表 Stock_Transaction_Log'!$S:$S)+SUMIF('主表 Stock_Transaction_Log'!$AB:$AB,INDEX('主表 Stock_Transaction_Log'!$T:$T,$A559),'主表 Stock_Transaction_Log'!$AC:$AC))</f>
        <v/>
      </c>
      <c r="I559" s="173" t="str">
        <f t="shared" si="1"/>
        <v/>
      </c>
      <c r="J559" s="173" t="str">
        <f t="shared" si="2"/>
        <v/>
      </c>
      <c r="K559" s="173" t="str">
        <f t="shared" si="3"/>
        <v/>
      </c>
      <c r="L559" s="173" t="str">
        <f t="array" ref="L559">IF($A559="","",INDEX('主表 Stock_Transaction_Log'!$P:$P,$A559))</f>
        <v/>
      </c>
      <c r="M559" s="174" t="str">
        <f>IF($A559="","",IF($H559&lt;=0,0,SUMIFS('主表 Stock_Transaction_Log'!$K$2:$K1000,'主表 Stock_Transaction_Log'!$C$2:$C1000,"Prepared",'主表 Stock_Transaction_Log'!$L$2:$L1000,$B559,'主表 Stock_Transaction_Log'!$F$2:$F1000,$C559,'主表 Stock_Transaction_Log'!$G$2:$G1000,$D559,'主表 Stock_Transaction_Log'!$P$2:$P1000,$L559)))</f>
        <v/>
      </c>
    </row>
    <row r="560">
      <c r="A560" s="173" t="str">
        <f>IF('主表 Stock_Transaction_Log'!$T560="","",IF(COUNTIF('主表 Stock_Transaction_Log'!$T$2:$T560,'主表 Stock_Transaction_Log'!$T560)=1,ROW('主表 Stock_Transaction_Log'!$T560),""))</f>
        <v/>
      </c>
      <c r="B560" s="173" t="str">
        <f t="array" ref="B560">IF($A560="","",INDEX('主表 Stock_Transaction_Log'!$Q:$Q,$A560))</f>
        <v/>
      </c>
      <c r="C560" s="173" t="str">
        <f t="array" ref="C560">IF($A560="","",IF(INDEX('主表 Stock_Transaction_Log'!$F:$F,$A560)=0,"",INDEX('主表 Stock_Transaction_Log'!$F:$F,$A560)))</f>
        <v/>
      </c>
      <c r="D560" s="173" t="str">
        <f t="array" ref="D560">IF($A560="","",INDEX('主表 Stock_Transaction_Log'!$G:$G,$A560))</f>
        <v/>
      </c>
      <c r="E560" s="173" t="str">
        <f t="array" ref="E560">IF($A560="","",INDEX('主表 Stock_Transaction_Log'!$H:$H,$A560))</f>
        <v/>
      </c>
      <c r="F560" s="173" t="str">
        <f t="array" ref="F560">IF($A560="","",INDEX('主表 Stock_Transaction_Log'!$I:$I,$A560))</f>
        <v/>
      </c>
      <c r="G560" s="173" t="str">
        <f t="array" ref="G560">IF($A560="","",IF(INDEX('主表 Stock_Transaction_Log'!$R:$R,$A560)=0,"",INDEX('主表 Stock_Transaction_Log'!$R:$R,$A560)))</f>
        <v/>
      </c>
      <c r="H560" s="173" t="str">
        <f t="array" ref="H560">IF($A560="","",SUMIF('主表 Stock_Transaction_Log'!$T:$T,INDEX('主表 Stock_Transaction_Log'!$T:$T,$A560),'主表 Stock_Transaction_Log'!$S:$S)+SUMIF('主表 Stock_Transaction_Log'!$AB:$AB,INDEX('主表 Stock_Transaction_Log'!$T:$T,$A560),'主表 Stock_Transaction_Log'!$AC:$AC))</f>
        <v/>
      </c>
      <c r="I560" s="173" t="str">
        <f t="shared" si="1"/>
        <v/>
      </c>
      <c r="J560" s="173" t="str">
        <f t="shared" si="2"/>
        <v/>
      </c>
      <c r="K560" s="173" t="str">
        <f t="shared" si="3"/>
        <v/>
      </c>
      <c r="L560" s="173" t="str">
        <f t="array" ref="L560">IF($A560="","",INDEX('主表 Stock_Transaction_Log'!$P:$P,$A560))</f>
        <v/>
      </c>
      <c r="M560" s="174" t="str">
        <f>IF($A560="","",IF($H560&lt;=0,0,SUMIFS('主表 Stock_Transaction_Log'!$K$2:$K1000,'主表 Stock_Transaction_Log'!$C$2:$C1000,"Prepared",'主表 Stock_Transaction_Log'!$L$2:$L1000,$B560,'主表 Stock_Transaction_Log'!$F$2:$F1000,$C560,'主表 Stock_Transaction_Log'!$G$2:$G1000,$D560,'主表 Stock_Transaction_Log'!$P$2:$P1000,$L560)))</f>
        <v/>
      </c>
    </row>
    <row r="561">
      <c r="A561" s="173" t="str">
        <f>IF('主表 Stock_Transaction_Log'!$T561="","",IF(COUNTIF('主表 Stock_Transaction_Log'!$T$2:$T561,'主表 Stock_Transaction_Log'!$T561)=1,ROW('主表 Stock_Transaction_Log'!$T561),""))</f>
        <v/>
      </c>
      <c r="B561" s="173" t="str">
        <f t="array" ref="B561">IF($A561="","",INDEX('主表 Stock_Transaction_Log'!$Q:$Q,$A561))</f>
        <v/>
      </c>
      <c r="C561" s="173" t="str">
        <f t="array" ref="C561">IF($A561="","",IF(INDEX('主表 Stock_Transaction_Log'!$F:$F,$A561)=0,"",INDEX('主表 Stock_Transaction_Log'!$F:$F,$A561)))</f>
        <v/>
      </c>
      <c r="D561" s="173" t="str">
        <f t="array" ref="D561">IF($A561="","",INDEX('主表 Stock_Transaction_Log'!$G:$G,$A561))</f>
        <v/>
      </c>
      <c r="E561" s="173" t="str">
        <f t="array" ref="E561">IF($A561="","",INDEX('主表 Stock_Transaction_Log'!$H:$H,$A561))</f>
        <v/>
      </c>
      <c r="F561" s="173" t="str">
        <f t="array" ref="F561">IF($A561="","",INDEX('主表 Stock_Transaction_Log'!$I:$I,$A561))</f>
        <v/>
      </c>
      <c r="G561" s="173" t="str">
        <f t="array" ref="G561">IF($A561="","",IF(INDEX('主表 Stock_Transaction_Log'!$R:$R,$A561)=0,"",INDEX('主表 Stock_Transaction_Log'!$R:$R,$A561)))</f>
        <v/>
      </c>
      <c r="H561" s="173" t="str">
        <f t="array" ref="H561">IF($A561="","",SUMIF('主表 Stock_Transaction_Log'!$T:$T,INDEX('主表 Stock_Transaction_Log'!$T:$T,$A561),'主表 Stock_Transaction_Log'!$S:$S)+SUMIF('主表 Stock_Transaction_Log'!$AB:$AB,INDEX('主表 Stock_Transaction_Log'!$T:$T,$A561),'主表 Stock_Transaction_Log'!$AC:$AC))</f>
        <v/>
      </c>
      <c r="I561" s="173" t="str">
        <f t="shared" si="1"/>
        <v/>
      </c>
      <c r="J561" s="173" t="str">
        <f t="shared" si="2"/>
        <v/>
      </c>
      <c r="K561" s="173" t="str">
        <f t="shared" si="3"/>
        <v/>
      </c>
      <c r="L561" s="173" t="str">
        <f t="array" ref="L561">IF($A561="","",INDEX('主表 Stock_Transaction_Log'!$P:$P,$A561))</f>
        <v/>
      </c>
      <c r="M561" s="174" t="str">
        <f>IF($A561="","",IF($H561&lt;=0,0,SUMIFS('主表 Stock_Transaction_Log'!$K$2:$K1000,'主表 Stock_Transaction_Log'!$C$2:$C1000,"Prepared",'主表 Stock_Transaction_Log'!$L$2:$L1000,$B561,'主表 Stock_Transaction_Log'!$F$2:$F1000,$C561,'主表 Stock_Transaction_Log'!$G$2:$G1000,$D561,'主表 Stock_Transaction_Log'!$P$2:$P1000,$L561)))</f>
        <v/>
      </c>
    </row>
    <row r="562">
      <c r="A562" s="173" t="str">
        <f>IF('主表 Stock_Transaction_Log'!$T562="","",IF(COUNTIF('主表 Stock_Transaction_Log'!$T$2:$T562,'主表 Stock_Transaction_Log'!$T562)=1,ROW('主表 Stock_Transaction_Log'!$T562),""))</f>
        <v/>
      </c>
      <c r="B562" s="173" t="str">
        <f t="array" ref="B562">IF($A562="","",INDEX('主表 Stock_Transaction_Log'!$Q:$Q,$A562))</f>
        <v/>
      </c>
      <c r="C562" s="173" t="str">
        <f t="array" ref="C562">IF($A562="","",IF(INDEX('主表 Stock_Transaction_Log'!$F:$F,$A562)=0,"",INDEX('主表 Stock_Transaction_Log'!$F:$F,$A562)))</f>
        <v/>
      </c>
      <c r="D562" s="173" t="str">
        <f t="array" ref="D562">IF($A562="","",INDEX('主表 Stock_Transaction_Log'!$G:$G,$A562))</f>
        <v/>
      </c>
      <c r="E562" s="173" t="str">
        <f t="array" ref="E562">IF($A562="","",INDEX('主表 Stock_Transaction_Log'!$H:$H,$A562))</f>
        <v/>
      </c>
      <c r="F562" s="173" t="str">
        <f t="array" ref="F562">IF($A562="","",INDEX('主表 Stock_Transaction_Log'!$I:$I,$A562))</f>
        <v/>
      </c>
      <c r="G562" s="173" t="str">
        <f t="array" ref="G562">IF($A562="","",IF(INDEX('主表 Stock_Transaction_Log'!$R:$R,$A562)=0,"",INDEX('主表 Stock_Transaction_Log'!$R:$R,$A562)))</f>
        <v/>
      </c>
      <c r="H562" s="173" t="str">
        <f t="array" ref="H562">IF($A562="","",SUMIF('主表 Stock_Transaction_Log'!$T:$T,INDEX('主表 Stock_Transaction_Log'!$T:$T,$A562),'主表 Stock_Transaction_Log'!$S:$S)+SUMIF('主表 Stock_Transaction_Log'!$AB:$AB,INDEX('主表 Stock_Transaction_Log'!$T:$T,$A562),'主表 Stock_Transaction_Log'!$AC:$AC))</f>
        <v/>
      </c>
      <c r="I562" s="173" t="str">
        <f t="shared" si="1"/>
        <v/>
      </c>
      <c r="J562" s="173" t="str">
        <f t="shared" si="2"/>
        <v/>
      </c>
      <c r="K562" s="173" t="str">
        <f t="shared" si="3"/>
        <v/>
      </c>
      <c r="L562" s="173" t="str">
        <f t="array" ref="L562">IF($A562="","",INDEX('主表 Stock_Transaction_Log'!$P:$P,$A562))</f>
        <v/>
      </c>
      <c r="M562" s="174" t="str">
        <f>IF($A562="","",IF($H562&lt;=0,0,SUMIFS('主表 Stock_Transaction_Log'!$K$2:$K1000,'主表 Stock_Transaction_Log'!$C$2:$C1000,"Prepared",'主表 Stock_Transaction_Log'!$L$2:$L1000,$B562,'主表 Stock_Transaction_Log'!$F$2:$F1000,$C562,'主表 Stock_Transaction_Log'!$G$2:$G1000,$D562,'主表 Stock_Transaction_Log'!$P$2:$P1000,$L562)))</f>
        <v/>
      </c>
    </row>
    <row r="563">
      <c r="A563" s="173" t="str">
        <f>IF('主表 Stock_Transaction_Log'!$T563="","",IF(COUNTIF('主表 Stock_Transaction_Log'!$T$2:$T563,'主表 Stock_Transaction_Log'!$T563)=1,ROW('主表 Stock_Transaction_Log'!$T563),""))</f>
        <v/>
      </c>
      <c r="B563" s="173" t="str">
        <f t="array" ref="B563">IF($A563="","",INDEX('主表 Stock_Transaction_Log'!$Q:$Q,$A563))</f>
        <v/>
      </c>
      <c r="C563" s="173" t="str">
        <f t="array" ref="C563">IF($A563="","",IF(INDEX('主表 Stock_Transaction_Log'!$F:$F,$A563)=0,"",INDEX('主表 Stock_Transaction_Log'!$F:$F,$A563)))</f>
        <v/>
      </c>
      <c r="D563" s="173" t="str">
        <f t="array" ref="D563">IF($A563="","",INDEX('主表 Stock_Transaction_Log'!$G:$G,$A563))</f>
        <v/>
      </c>
      <c r="E563" s="173" t="str">
        <f t="array" ref="E563">IF($A563="","",INDEX('主表 Stock_Transaction_Log'!$H:$H,$A563))</f>
        <v/>
      </c>
      <c r="F563" s="173" t="str">
        <f t="array" ref="F563">IF($A563="","",INDEX('主表 Stock_Transaction_Log'!$I:$I,$A563))</f>
        <v/>
      </c>
      <c r="G563" s="173" t="str">
        <f t="array" ref="G563">IF($A563="","",IF(INDEX('主表 Stock_Transaction_Log'!$R:$R,$A563)=0,"",INDEX('主表 Stock_Transaction_Log'!$R:$R,$A563)))</f>
        <v/>
      </c>
      <c r="H563" s="173" t="str">
        <f t="array" ref="H563">IF($A563="","",SUMIF('主表 Stock_Transaction_Log'!$T:$T,INDEX('主表 Stock_Transaction_Log'!$T:$T,$A563),'主表 Stock_Transaction_Log'!$S:$S)+SUMIF('主表 Stock_Transaction_Log'!$AB:$AB,INDEX('主表 Stock_Transaction_Log'!$T:$T,$A563),'主表 Stock_Transaction_Log'!$AC:$AC))</f>
        <v/>
      </c>
      <c r="I563" s="173" t="str">
        <f t="shared" si="1"/>
        <v/>
      </c>
      <c r="J563" s="173" t="str">
        <f t="shared" si="2"/>
        <v/>
      </c>
      <c r="K563" s="173" t="str">
        <f t="shared" si="3"/>
        <v/>
      </c>
      <c r="L563" s="173" t="str">
        <f t="array" ref="L563">IF($A563="","",INDEX('主表 Stock_Transaction_Log'!$P:$P,$A563))</f>
        <v/>
      </c>
      <c r="M563" s="174" t="str">
        <f>IF($A563="","",IF($H563&lt;=0,0,SUMIFS('主表 Stock_Transaction_Log'!$K$2:$K1000,'主表 Stock_Transaction_Log'!$C$2:$C1000,"Prepared",'主表 Stock_Transaction_Log'!$L$2:$L1000,$B563,'主表 Stock_Transaction_Log'!$F$2:$F1000,$C563,'主表 Stock_Transaction_Log'!$G$2:$G1000,$D563,'主表 Stock_Transaction_Log'!$P$2:$P1000,$L563)))</f>
        <v/>
      </c>
    </row>
    <row r="564">
      <c r="A564" s="173" t="str">
        <f>IF('主表 Stock_Transaction_Log'!$T564="","",IF(COUNTIF('主表 Stock_Transaction_Log'!$T$2:$T564,'主表 Stock_Transaction_Log'!$T564)=1,ROW('主表 Stock_Transaction_Log'!$T564),""))</f>
        <v/>
      </c>
      <c r="B564" s="173" t="str">
        <f t="array" ref="B564">IF($A564="","",INDEX('主表 Stock_Transaction_Log'!$Q:$Q,$A564))</f>
        <v/>
      </c>
      <c r="C564" s="173" t="str">
        <f t="array" ref="C564">IF($A564="","",IF(INDEX('主表 Stock_Transaction_Log'!$F:$F,$A564)=0,"",INDEX('主表 Stock_Transaction_Log'!$F:$F,$A564)))</f>
        <v/>
      </c>
      <c r="D564" s="173" t="str">
        <f t="array" ref="D564">IF($A564="","",INDEX('主表 Stock_Transaction_Log'!$G:$G,$A564))</f>
        <v/>
      </c>
      <c r="E564" s="173" t="str">
        <f t="array" ref="E564">IF($A564="","",INDEX('主表 Stock_Transaction_Log'!$H:$H,$A564))</f>
        <v/>
      </c>
      <c r="F564" s="173" t="str">
        <f t="array" ref="F564">IF($A564="","",INDEX('主表 Stock_Transaction_Log'!$I:$I,$A564))</f>
        <v/>
      </c>
      <c r="G564" s="173" t="str">
        <f t="array" ref="G564">IF($A564="","",IF(INDEX('主表 Stock_Transaction_Log'!$R:$R,$A564)=0,"",INDEX('主表 Stock_Transaction_Log'!$R:$R,$A564)))</f>
        <v/>
      </c>
      <c r="H564" s="173" t="str">
        <f t="array" ref="H564">IF($A564="","",SUMIF('主表 Stock_Transaction_Log'!$T:$T,INDEX('主表 Stock_Transaction_Log'!$T:$T,$A564),'主表 Stock_Transaction_Log'!$S:$S)+SUMIF('主表 Stock_Transaction_Log'!$AB:$AB,INDEX('主表 Stock_Transaction_Log'!$T:$T,$A564),'主表 Stock_Transaction_Log'!$AC:$AC))</f>
        <v/>
      </c>
      <c r="I564" s="173" t="str">
        <f t="shared" si="1"/>
        <v/>
      </c>
      <c r="J564" s="173" t="str">
        <f t="shared" si="2"/>
        <v/>
      </c>
      <c r="K564" s="173" t="str">
        <f t="shared" si="3"/>
        <v/>
      </c>
      <c r="L564" s="173" t="str">
        <f t="array" ref="L564">IF($A564="","",INDEX('主表 Stock_Transaction_Log'!$P:$P,$A564))</f>
        <v/>
      </c>
      <c r="M564" s="174" t="str">
        <f>IF($A564="","",IF($H564&lt;=0,0,SUMIFS('主表 Stock_Transaction_Log'!$K$2:$K1000,'主表 Stock_Transaction_Log'!$C$2:$C1000,"Prepared",'主表 Stock_Transaction_Log'!$L$2:$L1000,$B564,'主表 Stock_Transaction_Log'!$F$2:$F1000,$C564,'主表 Stock_Transaction_Log'!$G$2:$G1000,$D564,'主表 Stock_Transaction_Log'!$P$2:$P1000,$L564)))</f>
        <v/>
      </c>
    </row>
    <row r="565">
      <c r="A565" s="173" t="str">
        <f>IF('主表 Stock_Transaction_Log'!$T565="","",IF(COUNTIF('主表 Stock_Transaction_Log'!$T$2:$T565,'主表 Stock_Transaction_Log'!$T565)=1,ROW('主表 Stock_Transaction_Log'!$T565),""))</f>
        <v/>
      </c>
      <c r="B565" s="173" t="str">
        <f t="array" ref="B565">IF($A565="","",INDEX('主表 Stock_Transaction_Log'!$Q:$Q,$A565))</f>
        <v/>
      </c>
      <c r="C565" s="173" t="str">
        <f t="array" ref="C565">IF($A565="","",IF(INDEX('主表 Stock_Transaction_Log'!$F:$F,$A565)=0,"",INDEX('主表 Stock_Transaction_Log'!$F:$F,$A565)))</f>
        <v/>
      </c>
      <c r="D565" s="173" t="str">
        <f t="array" ref="D565">IF($A565="","",INDEX('主表 Stock_Transaction_Log'!$G:$G,$A565))</f>
        <v/>
      </c>
      <c r="E565" s="173" t="str">
        <f t="array" ref="E565">IF($A565="","",INDEX('主表 Stock_Transaction_Log'!$H:$H,$A565))</f>
        <v/>
      </c>
      <c r="F565" s="173" t="str">
        <f t="array" ref="F565">IF($A565="","",INDEX('主表 Stock_Transaction_Log'!$I:$I,$A565))</f>
        <v/>
      </c>
      <c r="G565" s="173" t="str">
        <f t="array" ref="G565">IF($A565="","",IF(INDEX('主表 Stock_Transaction_Log'!$R:$R,$A565)=0,"",INDEX('主表 Stock_Transaction_Log'!$R:$R,$A565)))</f>
        <v/>
      </c>
      <c r="H565" s="173" t="str">
        <f t="array" ref="H565">IF($A565="","",SUMIF('主表 Stock_Transaction_Log'!$T:$T,INDEX('主表 Stock_Transaction_Log'!$T:$T,$A565),'主表 Stock_Transaction_Log'!$S:$S)+SUMIF('主表 Stock_Transaction_Log'!$AB:$AB,INDEX('主表 Stock_Transaction_Log'!$T:$T,$A565),'主表 Stock_Transaction_Log'!$AC:$AC))</f>
        <v/>
      </c>
      <c r="I565" s="173" t="str">
        <f t="shared" si="1"/>
        <v/>
      </c>
      <c r="J565" s="173" t="str">
        <f t="shared" si="2"/>
        <v/>
      </c>
      <c r="K565" s="173" t="str">
        <f t="shared" si="3"/>
        <v/>
      </c>
      <c r="L565" s="173" t="str">
        <f t="array" ref="L565">IF($A565="","",INDEX('主表 Stock_Transaction_Log'!$P:$P,$A565))</f>
        <v/>
      </c>
      <c r="M565" s="174" t="str">
        <f>IF($A565="","",IF($H565&lt;=0,0,SUMIFS('主表 Stock_Transaction_Log'!$K$2:$K1000,'主表 Stock_Transaction_Log'!$C$2:$C1000,"Prepared",'主表 Stock_Transaction_Log'!$L$2:$L1000,$B565,'主表 Stock_Transaction_Log'!$F$2:$F1000,$C565,'主表 Stock_Transaction_Log'!$G$2:$G1000,$D565,'主表 Stock_Transaction_Log'!$P$2:$P1000,$L565)))</f>
        <v/>
      </c>
    </row>
    <row r="566">
      <c r="A566" s="173" t="str">
        <f>IF('主表 Stock_Transaction_Log'!$T566="","",IF(COUNTIF('主表 Stock_Transaction_Log'!$T$2:$T566,'主表 Stock_Transaction_Log'!$T566)=1,ROW('主表 Stock_Transaction_Log'!$T566),""))</f>
        <v/>
      </c>
      <c r="B566" s="173" t="str">
        <f t="array" ref="B566">IF($A566="","",INDEX('主表 Stock_Transaction_Log'!$Q:$Q,$A566))</f>
        <v/>
      </c>
      <c r="C566" s="173" t="str">
        <f t="array" ref="C566">IF($A566="","",IF(INDEX('主表 Stock_Transaction_Log'!$F:$F,$A566)=0,"",INDEX('主表 Stock_Transaction_Log'!$F:$F,$A566)))</f>
        <v/>
      </c>
      <c r="D566" s="173" t="str">
        <f t="array" ref="D566">IF($A566="","",INDEX('主表 Stock_Transaction_Log'!$G:$G,$A566))</f>
        <v/>
      </c>
      <c r="E566" s="173" t="str">
        <f t="array" ref="E566">IF($A566="","",INDEX('主表 Stock_Transaction_Log'!$H:$H,$A566))</f>
        <v/>
      </c>
      <c r="F566" s="173" t="str">
        <f t="array" ref="F566">IF($A566="","",INDEX('主表 Stock_Transaction_Log'!$I:$I,$A566))</f>
        <v/>
      </c>
      <c r="G566" s="173" t="str">
        <f t="array" ref="G566">IF($A566="","",IF(INDEX('主表 Stock_Transaction_Log'!$R:$R,$A566)=0,"",INDEX('主表 Stock_Transaction_Log'!$R:$R,$A566)))</f>
        <v/>
      </c>
      <c r="H566" s="173" t="str">
        <f t="array" ref="H566">IF($A566="","",SUMIF('主表 Stock_Transaction_Log'!$T:$T,INDEX('主表 Stock_Transaction_Log'!$T:$T,$A566),'主表 Stock_Transaction_Log'!$S:$S)+SUMIF('主表 Stock_Transaction_Log'!$AB:$AB,INDEX('主表 Stock_Transaction_Log'!$T:$T,$A566),'主表 Stock_Transaction_Log'!$AC:$AC))</f>
        <v/>
      </c>
      <c r="I566" s="173" t="str">
        <f t="shared" si="1"/>
        <v/>
      </c>
      <c r="J566" s="173" t="str">
        <f t="shared" si="2"/>
        <v/>
      </c>
      <c r="K566" s="173" t="str">
        <f t="shared" si="3"/>
        <v/>
      </c>
      <c r="L566" s="173" t="str">
        <f t="array" ref="L566">IF($A566="","",INDEX('主表 Stock_Transaction_Log'!$P:$P,$A566))</f>
        <v/>
      </c>
      <c r="M566" s="174" t="str">
        <f>IF($A566="","",IF($H566&lt;=0,0,SUMIFS('主表 Stock_Transaction_Log'!$K$2:$K1000,'主表 Stock_Transaction_Log'!$C$2:$C1000,"Prepared",'主表 Stock_Transaction_Log'!$L$2:$L1000,$B566,'主表 Stock_Transaction_Log'!$F$2:$F1000,$C566,'主表 Stock_Transaction_Log'!$G$2:$G1000,$D566,'主表 Stock_Transaction_Log'!$P$2:$P1000,$L566)))</f>
        <v/>
      </c>
    </row>
    <row r="567">
      <c r="A567" s="173" t="str">
        <f>IF('主表 Stock_Transaction_Log'!$T567="","",IF(COUNTIF('主表 Stock_Transaction_Log'!$T$2:$T567,'主表 Stock_Transaction_Log'!$T567)=1,ROW('主表 Stock_Transaction_Log'!$T567),""))</f>
        <v/>
      </c>
      <c r="B567" s="173" t="str">
        <f t="array" ref="B567">IF($A567="","",INDEX('主表 Stock_Transaction_Log'!$Q:$Q,$A567))</f>
        <v/>
      </c>
      <c r="C567" s="173" t="str">
        <f t="array" ref="C567">IF($A567="","",IF(INDEX('主表 Stock_Transaction_Log'!$F:$F,$A567)=0,"",INDEX('主表 Stock_Transaction_Log'!$F:$F,$A567)))</f>
        <v/>
      </c>
      <c r="D567" s="173" t="str">
        <f t="array" ref="D567">IF($A567="","",INDEX('主表 Stock_Transaction_Log'!$G:$G,$A567))</f>
        <v/>
      </c>
      <c r="E567" s="173" t="str">
        <f t="array" ref="E567">IF($A567="","",INDEX('主表 Stock_Transaction_Log'!$H:$H,$A567))</f>
        <v/>
      </c>
      <c r="F567" s="173" t="str">
        <f t="array" ref="F567">IF($A567="","",INDEX('主表 Stock_Transaction_Log'!$I:$I,$A567))</f>
        <v/>
      </c>
      <c r="G567" s="173" t="str">
        <f t="array" ref="G567">IF($A567="","",IF(INDEX('主表 Stock_Transaction_Log'!$R:$R,$A567)=0,"",INDEX('主表 Stock_Transaction_Log'!$R:$R,$A567)))</f>
        <v/>
      </c>
      <c r="H567" s="173" t="str">
        <f t="array" ref="H567">IF($A567="","",SUMIF('主表 Stock_Transaction_Log'!$T:$T,INDEX('主表 Stock_Transaction_Log'!$T:$T,$A567),'主表 Stock_Transaction_Log'!$S:$S)+SUMIF('主表 Stock_Transaction_Log'!$AB:$AB,INDEX('主表 Stock_Transaction_Log'!$T:$T,$A567),'主表 Stock_Transaction_Log'!$AC:$AC))</f>
        <v/>
      </c>
      <c r="I567" s="173" t="str">
        <f t="shared" si="1"/>
        <v/>
      </c>
      <c r="J567" s="173" t="str">
        <f t="shared" si="2"/>
        <v/>
      </c>
      <c r="K567" s="173" t="str">
        <f t="shared" si="3"/>
        <v/>
      </c>
      <c r="L567" s="173" t="str">
        <f t="array" ref="L567">IF($A567="","",INDEX('主表 Stock_Transaction_Log'!$P:$P,$A567))</f>
        <v/>
      </c>
      <c r="M567" s="174" t="str">
        <f>IF($A567="","",IF($H567&lt;=0,0,SUMIFS('主表 Stock_Transaction_Log'!$K$2:$K1000,'主表 Stock_Transaction_Log'!$C$2:$C1000,"Prepared",'主表 Stock_Transaction_Log'!$L$2:$L1000,$B567,'主表 Stock_Transaction_Log'!$F$2:$F1000,$C567,'主表 Stock_Transaction_Log'!$G$2:$G1000,$D567,'主表 Stock_Transaction_Log'!$P$2:$P1000,$L567)))</f>
        <v/>
      </c>
    </row>
    <row r="568">
      <c r="A568" s="173" t="str">
        <f>IF('主表 Stock_Transaction_Log'!$T568="","",IF(COUNTIF('主表 Stock_Transaction_Log'!$T$2:$T568,'主表 Stock_Transaction_Log'!$T568)=1,ROW('主表 Stock_Transaction_Log'!$T568),""))</f>
        <v/>
      </c>
      <c r="B568" s="173" t="str">
        <f t="array" ref="B568">IF($A568="","",INDEX('主表 Stock_Transaction_Log'!$Q:$Q,$A568))</f>
        <v/>
      </c>
      <c r="C568" s="173" t="str">
        <f t="array" ref="C568">IF($A568="","",IF(INDEX('主表 Stock_Transaction_Log'!$F:$F,$A568)=0,"",INDEX('主表 Stock_Transaction_Log'!$F:$F,$A568)))</f>
        <v/>
      </c>
      <c r="D568" s="173" t="str">
        <f t="array" ref="D568">IF($A568="","",INDEX('主表 Stock_Transaction_Log'!$G:$G,$A568))</f>
        <v/>
      </c>
      <c r="E568" s="173" t="str">
        <f t="array" ref="E568">IF($A568="","",INDEX('主表 Stock_Transaction_Log'!$H:$H,$A568))</f>
        <v/>
      </c>
      <c r="F568" s="173" t="str">
        <f t="array" ref="F568">IF($A568="","",INDEX('主表 Stock_Transaction_Log'!$I:$I,$A568))</f>
        <v/>
      </c>
      <c r="G568" s="173" t="str">
        <f t="array" ref="G568">IF($A568="","",IF(INDEX('主表 Stock_Transaction_Log'!$R:$R,$A568)=0,"",INDEX('主表 Stock_Transaction_Log'!$R:$R,$A568)))</f>
        <v/>
      </c>
      <c r="H568" s="173" t="str">
        <f t="array" ref="H568">IF($A568="","",SUMIF('主表 Stock_Transaction_Log'!$T:$T,INDEX('主表 Stock_Transaction_Log'!$T:$T,$A568),'主表 Stock_Transaction_Log'!$S:$S)+SUMIF('主表 Stock_Transaction_Log'!$AB:$AB,INDEX('主表 Stock_Transaction_Log'!$T:$T,$A568),'主表 Stock_Transaction_Log'!$AC:$AC))</f>
        <v/>
      </c>
      <c r="I568" s="173" t="str">
        <f t="shared" si="1"/>
        <v/>
      </c>
      <c r="J568" s="173" t="str">
        <f t="shared" si="2"/>
        <v/>
      </c>
      <c r="K568" s="173" t="str">
        <f t="shared" si="3"/>
        <v/>
      </c>
      <c r="L568" s="173" t="str">
        <f t="array" ref="L568">IF($A568="","",INDEX('主表 Stock_Transaction_Log'!$P:$P,$A568))</f>
        <v/>
      </c>
      <c r="M568" s="174" t="str">
        <f>IF($A568="","",IF($H568&lt;=0,0,SUMIFS('主表 Stock_Transaction_Log'!$K$2:$K1000,'主表 Stock_Transaction_Log'!$C$2:$C1000,"Prepared",'主表 Stock_Transaction_Log'!$L$2:$L1000,$B568,'主表 Stock_Transaction_Log'!$F$2:$F1000,$C568,'主表 Stock_Transaction_Log'!$G$2:$G1000,$D568,'主表 Stock_Transaction_Log'!$P$2:$P1000,$L568)))</f>
        <v/>
      </c>
    </row>
    <row r="569">
      <c r="A569" s="173" t="str">
        <f>IF('主表 Stock_Transaction_Log'!$T569="","",IF(COUNTIF('主表 Stock_Transaction_Log'!$T$2:$T569,'主表 Stock_Transaction_Log'!$T569)=1,ROW('主表 Stock_Transaction_Log'!$T569),""))</f>
        <v/>
      </c>
      <c r="B569" s="173" t="str">
        <f t="array" ref="B569">IF($A569="","",INDEX('主表 Stock_Transaction_Log'!$Q:$Q,$A569))</f>
        <v/>
      </c>
      <c r="C569" s="173" t="str">
        <f t="array" ref="C569">IF($A569="","",IF(INDEX('主表 Stock_Transaction_Log'!$F:$F,$A569)=0,"",INDEX('主表 Stock_Transaction_Log'!$F:$F,$A569)))</f>
        <v/>
      </c>
      <c r="D569" s="173" t="str">
        <f t="array" ref="D569">IF($A569="","",INDEX('主表 Stock_Transaction_Log'!$G:$G,$A569))</f>
        <v/>
      </c>
      <c r="E569" s="173" t="str">
        <f t="array" ref="E569">IF($A569="","",INDEX('主表 Stock_Transaction_Log'!$H:$H,$A569))</f>
        <v/>
      </c>
      <c r="F569" s="173" t="str">
        <f t="array" ref="F569">IF($A569="","",INDEX('主表 Stock_Transaction_Log'!$I:$I,$A569))</f>
        <v/>
      </c>
      <c r="G569" s="173" t="str">
        <f t="array" ref="G569">IF($A569="","",IF(INDEX('主表 Stock_Transaction_Log'!$R:$R,$A569)=0,"",INDEX('主表 Stock_Transaction_Log'!$R:$R,$A569)))</f>
        <v/>
      </c>
      <c r="H569" s="173" t="str">
        <f t="array" ref="H569">IF($A569="","",SUMIF('主表 Stock_Transaction_Log'!$T:$T,INDEX('主表 Stock_Transaction_Log'!$T:$T,$A569),'主表 Stock_Transaction_Log'!$S:$S)+SUMIF('主表 Stock_Transaction_Log'!$AB:$AB,INDEX('主表 Stock_Transaction_Log'!$T:$T,$A569),'主表 Stock_Transaction_Log'!$AC:$AC))</f>
        <v/>
      </c>
      <c r="I569" s="173" t="str">
        <f t="shared" si="1"/>
        <v/>
      </c>
      <c r="J569" s="173" t="str">
        <f t="shared" si="2"/>
        <v/>
      </c>
      <c r="K569" s="173" t="str">
        <f t="shared" si="3"/>
        <v/>
      </c>
      <c r="L569" s="173" t="str">
        <f t="array" ref="L569">IF($A569="","",INDEX('主表 Stock_Transaction_Log'!$P:$P,$A569))</f>
        <v/>
      </c>
      <c r="M569" s="174" t="str">
        <f>IF($A569="","",IF($H569&lt;=0,0,SUMIFS('主表 Stock_Transaction_Log'!$K$2:$K1000,'主表 Stock_Transaction_Log'!$C$2:$C1000,"Prepared",'主表 Stock_Transaction_Log'!$L$2:$L1000,$B569,'主表 Stock_Transaction_Log'!$F$2:$F1000,$C569,'主表 Stock_Transaction_Log'!$G$2:$G1000,$D569,'主表 Stock_Transaction_Log'!$P$2:$P1000,$L569)))</f>
        <v/>
      </c>
    </row>
    <row r="570">
      <c r="A570" s="173" t="str">
        <f>IF('主表 Stock_Transaction_Log'!$T570="","",IF(COUNTIF('主表 Stock_Transaction_Log'!$T$2:$T570,'主表 Stock_Transaction_Log'!$T570)=1,ROW('主表 Stock_Transaction_Log'!$T570),""))</f>
        <v/>
      </c>
      <c r="B570" s="173" t="str">
        <f t="array" ref="B570">IF($A570="","",INDEX('主表 Stock_Transaction_Log'!$Q:$Q,$A570))</f>
        <v/>
      </c>
      <c r="C570" s="173" t="str">
        <f t="array" ref="C570">IF($A570="","",IF(INDEX('主表 Stock_Transaction_Log'!$F:$F,$A570)=0,"",INDEX('主表 Stock_Transaction_Log'!$F:$F,$A570)))</f>
        <v/>
      </c>
      <c r="D570" s="173" t="str">
        <f t="array" ref="D570">IF($A570="","",INDEX('主表 Stock_Transaction_Log'!$G:$G,$A570))</f>
        <v/>
      </c>
      <c r="E570" s="173" t="str">
        <f t="array" ref="E570">IF($A570="","",INDEX('主表 Stock_Transaction_Log'!$H:$H,$A570))</f>
        <v/>
      </c>
      <c r="F570" s="173" t="str">
        <f t="array" ref="F570">IF($A570="","",INDEX('主表 Stock_Transaction_Log'!$I:$I,$A570))</f>
        <v/>
      </c>
      <c r="G570" s="173" t="str">
        <f t="array" ref="G570">IF($A570="","",IF(INDEX('主表 Stock_Transaction_Log'!$R:$R,$A570)=0,"",INDEX('主表 Stock_Transaction_Log'!$R:$R,$A570)))</f>
        <v/>
      </c>
      <c r="H570" s="173" t="str">
        <f t="array" ref="H570">IF($A570="","",SUMIF('主表 Stock_Transaction_Log'!$T:$T,INDEX('主表 Stock_Transaction_Log'!$T:$T,$A570),'主表 Stock_Transaction_Log'!$S:$S)+SUMIF('主表 Stock_Transaction_Log'!$AB:$AB,INDEX('主表 Stock_Transaction_Log'!$T:$T,$A570),'主表 Stock_Transaction_Log'!$AC:$AC))</f>
        <v/>
      </c>
      <c r="I570" s="173" t="str">
        <f t="shared" si="1"/>
        <v/>
      </c>
      <c r="J570" s="173" t="str">
        <f t="shared" si="2"/>
        <v/>
      </c>
      <c r="K570" s="173" t="str">
        <f t="shared" si="3"/>
        <v/>
      </c>
      <c r="L570" s="173" t="str">
        <f t="array" ref="L570">IF($A570="","",INDEX('主表 Stock_Transaction_Log'!$P:$P,$A570))</f>
        <v/>
      </c>
      <c r="M570" s="174" t="str">
        <f>IF($A570="","",IF($H570&lt;=0,0,SUMIFS('主表 Stock_Transaction_Log'!$K$2:$K1000,'主表 Stock_Transaction_Log'!$C$2:$C1000,"Prepared",'主表 Stock_Transaction_Log'!$L$2:$L1000,$B570,'主表 Stock_Transaction_Log'!$F$2:$F1000,$C570,'主表 Stock_Transaction_Log'!$G$2:$G1000,$D570,'主表 Stock_Transaction_Log'!$P$2:$P1000,$L570)))</f>
        <v/>
      </c>
    </row>
    <row r="571">
      <c r="A571" s="173" t="str">
        <f>IF('主表 Stock_Transaction_Log'!$T571="","",IF(COUNTIF('主表 Stock_Transaction_Log'!$T$2:$T571,'主表 Stock_Transaction_Log'!$T571)=1,ROW('主表 Stock_Transaction_Log'!$T571),""))</f>
        <v/>
      </c>
      <c r="B571" s="173" t="str">
        <f t="array" ref="B571">IF($A571="","",INDEX('主表 Stock_Transaction_Log'!$Q:$Q,$A571))</f>
        <v/>
      </c>
      <c r="C571" s="173" t="str">
        <f t="array" ref="C571">IF($A571="","",IF(INDEX('主表 Stock_Transaction_Log'!$F:$F,$A571)=0,"",INDEX('主表 Stock_Transaction_Log'!$F:$F,$A571)))</f>
        <v/>
      </c>
      <c r="D571" s="173" t="str">
        <f t="array" ref="D571">IF($A571="","",INDEX('主表 Stock_Transaction_Log'!$G:$G,$A571))</f>
        <v/>
      </c>
      <c r="E571" s="173" t="str">
        <f t="array" ref="E571">IF($A571="","",INDEX('主表 Stock_Transaction_Log'!$H:$H,$A571))</f>
        <v/>
      </c>
      <c r="F571" s="173" t="str">
        <f t="array" ref="F571">IF($A571="","",INDEX('主表 Stock_Transaction_Log'!$I:$I,$A571))</f>
        <v/>
      </c>
      <c r="G571" s="173" t="str">
        <f t="array" ref="G571">IF($A571="","",IF(INDEX('主表 Stock_Transaction_Log'!$R:$R,$A571)=0,"",INDEX('主表 Stock_Transaction_Log'!$R:$R,$A571)))</f>
        <v/>
      </c>
      <c r="H571" s="173" t="str">
        <f t="array" ref="H571">IF($A571="","",SUMIF('主表 Stock_Transaction_Log'!$T:$T,INDEX('主表 Stock_Transaction_Log'!$T:$T,$A571),'主表 Stock_Transaction_Log'!$S:$S)+SUMIF('主表 Stock_Transaction_Log'!$AB:$AB,INDEX('主表 Stock_Transaction_Log'!$T:$T,$A571),'主表 Stock_Transaction_Log'!$AC:$AC))</f>
        <v/>
      </c>
      <c r="I571" s="173" t="str">
        <f t="shared" si="1"/>
        <v/>
      </c>
      <c r="J571" s="173" t="str">
        <f t="shared" si="2"/>
        <v/>
      </c>
      <c r="K571" s="173" t="str">
        <f t="shared" si="3"/>
        <v/>
      </c>
      <c r="L571" s="173" t="str">
        <f t="array" ref="L571">IF($A571="","",INDEX('主表 Stock_Transaction_Log'!$P:$P,$A571))</f>
        <v/>
      </c>
      <c r="M571" s="174" t="str">
        <f>IF($A571="","",IF($H571&lt;=0,0,SUMIFS('主表 Stock_Transaction_Log'!$K$2:$K1000,'主表 Stock_Transaction_Log'!$C$2:$C1000,"Prepared",'主表 Stock_Transaction_Log'!$L$2:$L1000,$B571,'主表 Stock_Transaction_Log'!$F$2:$F1000,$C571,'主表 Stock_Transaction_Log'!$G$2:$G1000,$D571,'主表 Stock_Transaction_Log'!$P$2:$P1000,$L571)))</f>
        <v/>
      </c>
    </row>
    <row r="572">
      <c r="A572" s="173" t="str">
        <f>IF('主表 Stock_Transaction_Log'!$T572="","",IF(COUNTIF('主表 Stock_Transaction_Log'!$T$2:$T572,'主表 Stock_Transaction_Log'!$T572)=1,ROW('主表 Stock_Transaction_Log'!$T572),""))</f>
        <v/>
      </c>
      <c r="B572" s="173" t="str">
        <f t="array" ref="B572">IF($A572="","",INDEX('主表 Stock_Transaction_Log'!$Q:$Q,$A572))</f>
        <v/>
      </c>
      <c r="C572" s="173" t="str">
        <f t="array" ref="C572">IF($A572="","",IF(INDEX('主表 Stock_Transaction_Log'!$F:$F,$A572)=0,"",INDEX('主表 Stock_Transaction_Log'!$F:$F,$A572)))</f>
        <v/>
      </c>
      <c r="D572" s="173" t="str">
        <f t="array" ref="D572">IF($A572="","",INDEX('主表 Stock_Transaction_Log'!$G:$G,$A572))</f>
        <v/>
      </c>
      <c r="E572" s="173" t="str">
        <f t="array" ref="E572">IF($A572="","",INDEX('主表 Stock_Transaction_Log'!$H:$H,$A572))</f>
        <v/>
      </c>
      <c r="F572" s="173" t="str">
        <f t="array" ref="F572">IF($A572="","",INDEX('主表 Stock_Transaction_Log'!$I:$I,$A572))</f>
        <v/>
      </c>
      <c r="G572" s="173" t="str">
        <f t="array" ref="G572">IF($A572="","",IF(INDEX('主表 Stock_Transaction_Log'!$R:$R,$A572)=0,"",INDEX('主表 Stock_Transaction_Log'!$R:$R,$A572)))</f>
        <v/>
      </c>
      <c r="H572" s="173" t="str">
        <f t="array" ref="H572">IF($A572="","",SUMIF('主表 Stock_Transaction_Log'!$T:$T,INDEX('主表 Stock_Transaction_Log'!$T:$T,$A572),'主表 Stock_Transaction_Log'!$S:$S)+SUMIF('主表 Stock_Transaction_Log'!$AB:$AB,INDEX('主表 Stock_Transaction_Log'!$T:$T,$A572),'主表 Stock_Transaction_Log'!$AC:$AC))</f>
        <v/>
      </c>
      <c r="I572" s="173" t="str">
        <f t="shared" si="1"/>
        <v/>
      </c>
      <c r="J572" s="173" t="str">
        <f t="shared" si="2"/>
        <v/>
      </c>
      <c r="K572" s="173" t="str">
        <f t="shared" si="3"/>
        <v/>
      </c>
      <c r="L572" s="173" t="str">
        <f t="array" ref="L572">IF($A572="","",INDEX('主表 Stock_Transaction_Log'!$P:$P,$A572))</f>
        <v/>
      </c>
      <c r="M572" s="174" t="str">
        <f>IF($A572="","",IF($H572&lt;=0,0,SUMIFS('主表 Stock_Transaction_Log'!$K$2:$K1000,'主表 Stock_Transaction_Log'!$C$2:$C1000,"Prepared",'主表 Stock_Transaction_Log'!$L$2:$L1000,$B572,'主表 Stock_Transaction_Log'!$F$2:$F1000,$C572,'主表 Stock_Transaction_Log'!$G$2:$G1000,$D572,'主表 Stock_Transaction_Log'!$P$2:$P1000,$L572)))</f>
        <v/>
      </c>
    </row>
    <row r="573">
      <c r="A573" s="173" t="str">
        <f>IF('主表 Stock_Transaction_Log'!$T573="","",IF(COUNTIF('主表 Stock_Transaction_Log'!$T$2:$T573,'主表 Stock_Transaction_Log'!$T573)=1,ROW('主表 Stock_Transaction_Log'!$T573),""))</f>
        <v/>
      </c>
      <c r="B573" s="173" t="str">
        <f t="array" ref="B573">IF($A573="","",INDEX('主表 Stock_Transaction_Log'!$Q:$Q,$A573))</f>
        <v/>
      </c>
      <c r="C573" s="173" t="str">
        <f t="array" ref="C573">IF($A573="","",IF(INDEX('主表 Stock_Transaction_Log'!$F:$F,$A573)=0,"",INDEX('主表 Stock_Transaction_Log'!$F:$F,$A573)))</f>
        <v/>
      </c>
      <c r="D573" s="173" t="str">
        <f t="array" ref="D573">IF($A573="","",INDEX('主表 Stock_Transaction_Log'!$G:$G,$A573))</f>
        <v/>
      </c>
      <c r="E573" s="173" t="str">
        <f t="array" ref="E573">IF($A573="","",INDEX('主表 Stock_Transaction_Log'!$H:$H,$A573))</f>
        <v/>
      </c>
      <c r="F573" s="173" t="str">
        <f t="array" ref="F573">IF($A573="","",INDEX('主表 Stock_Transaction_Log'!$I:$I,$A573))</f>
        <v/>
      </c>
      <c r="G573" s="173" t="str">
        <f t="array" ref="G573">IF($A573="","",IF(INDEX('主表 Stock_Transaction_Log'!$R:$R,$A573)=0,"",INDEX('主表 Stock_Transaction_Log'!$R:$R,$A573)))</f>
        <v/>
      </c>
      <c r="H573" s="173" t="str">
        <f t="array" ref="H573">IF($A573="","",SUMIF('主表 Stock_Transaction_Log'!$T:$T,INDEX('主表 Stock_Transaction_Log'!$T:$T,$A573),'主表 Stock_Transaction_Log'!$S:$S)+SUMIF('主表 Stock_Transaction_Log'!$AB:$AB,INDEX('主表 Stock_Transaction_Log'!$T:$T,$A573),'主表 Stock_Transaction_Log'!$AC:$AC))</f>
        <v/>
      </c>
      <c r="I573" s="173" t="str">
        <f t="shared" si="1"/>
        <v/>
      </c>
      <c r="J573" s="173" t="str">
        <f t="shared" si="2"/>
        <v/>
      </c>
      <c r="K573" s="173" t="str">
        <f t="shared" si="3"/>
        <v/>
      </c>
      <c r="L573" s="173" t="str">
        <f t="array" ref="L573">IF($A573="","",INDEX('主表 Stock_Transaction_Log'!$P:$P,$A573))</f>
        <v/>
      </c>
      <c r="M573" s="174" t="str">
        <f>IF($A573="","",IF($H573&lt;=0,0,SUMIFS('主表 Stock_Transaction_Log'!$K$2:$K1000,'主表 Stock_Transaction_Log'!$C$2:$C1000,"Prepared",'主表 Stock_Transaction_Log'!$L$2:$L1000,$B573,'主表 Stock_Transaction_Log'!$F$2:$F1000,$C573,'主表 Stock_Transaction_Log'!$G$2:$G1000,$D573,'主表 Stock_Transaction_Log'!$P$2:$P1000,$L573)))</f>
        <v/>
      </c>
    </row>
    <row r="574">
      <c r="A574" s="173" t="str">
        <f>IF('主表 Stock_Transaction_Log'!$T574="","",IF(COUNTIF('主表 Stock_Transaction_Log'!$T$2:$T574,'主表 Stock_Transaction_Log'!$T574)=1,ROW('主表 Stock_Transaction_Log'!$T574),""))</f>
        <v/>
      </c>
      <c r="B574" s="173" t="str">
        <f t="array" ref="B574">IF($A574="","",INDEX('主表 Stock_Transaction_Log'!$Q:$Q,$A574))</f>
        <v/>
      </c>
      <c r="C574" s="173" t="str">
        <f t="array" ref="C574">IF($A574="","",IF(INDEX('主表 Stock_Transaction_Log'!$F:$F,$A574)=0,"",INDEX('主表 Stock_Transaction_Log'!$F:$F,$A574)))</f>
        <v/>
      </c>
      <c r="D574" s="173" t="str">
        <f t="array" ref="D574">IF($A574="","",INDEX('主表 Stock_Transaction_Log'!$G:$G,$A574))</f>
        <v/>
      </c>
      <c r="E574" s="173" t="str">
        <f t="array" ref="E574">IF($A574="","",INDEX('主表 Stock_Transaction_Log'!$H:$H,$A574))</f>
        <v/>
      </c>
      <c r="F574" s="173" t="str">
        <f t="array" ref="F574">IF($A574="","",INDEX('主表 Stock_Transaction_Log'!$I:$I,$A574))</f>
        <v/>
      </c>
      <c r="G574" s="173" t="str">
        <f t="array" ref="G574">IF($A574="","",IF(INDEX('主表 Stock_Transaction_Log'!$R:$R,$A574)=0,"",INDEX('主表 Stock_Transaction_Log'!$R:$R,$A574)))</f>
        <v/>
      </c>
      <c r="H574" s="173" t="str">
        <f t="array" ref="H574">IF($A574="","",SUMIF('主表 Stock_Transaction_Log'!$T:$T,INDEX('主表 Stock_Transaction_Log'!$T:$T,$A574),'主表 Stock_Transaction_Log'!$S:$S)+SUMIF('主表 Stock_Transaction_Log'!$AB:$AB,INDEX('主表 Stock_Transaction_Log'!$T:$T,$A574),'主表 Stock_Transaction_Log'!$AC:$AC))</f>
        <v/>
      </c>
      <c r="I574" s="173" t="str">
        <f t="shared" si="1"/>
        <v/>
      </c>
      <c r="J574" s="173" t="str">
        <f t="shared" si="2"/>
        <v/>
      </c>
      <c r="K574" s="173" t="str">
        <f t="shared" si="3"/>
        <v/>
      </c>
      <c r="L574" s="173" t="str">
        <f t="array" ref="L574">IF($A574="","",INDEX('主表 Stock_Transaction_Log'!$P:$P,$A574))</f>
        <v/>
      </c>
      <c r="M574" s="174" t="str">
        <f>IF($A574="","",IF($H574&lt;=0,0,SUMIFS('主表 Stock_Transaction_Log'!$K$2:$K1000,'主表 Stock_Transaction_Log'!$C$2:$C1000,"Prepared",'主表 Stock_Transaction_Log'!$L$2:$L1000,$B574,'主表 Stock_Transaction_Log'!$F$2:$F1000,$C574,'主表 Stock_Transaction_Log'!$G$2:$G1000,$D574,'主表 Stock_Transaction_Log'!$P$2:$P1000,$L574)))</f>
        <v/>
      </c>
    </row>
    <row r="575">
      <c r="A575" s="173" t="str">
        <f>IF('主表 Stock_Transaction_Log'!$T575="","",IF(COUNTIF('主表 Stock_Transaction_Log'!$T$2:$T575,'主表 Stock_Transaction_Log'!$T575)=1,ROW('主表 Stock_Transaction_Log'!$T575),""))</f>
        <v/>
      </c>
      <c r="B575" s="173" t="str">
        <f t="array" ref="B575">IF($A575="","",INDEX('主表 Stock_Transaction_Log'!$Q:$Q,$A575))</f>
        <v/>
      </c>
      <c r="C575" s="173" t="str">
        <f t="array" ref="C575">IF($A575="","",IF(INDEX('主表 Stock_Transaction_Log'!$F:$F,$A575)=0,"",INDEX('主表 Stock_Transaction_Log'!$F:$F,$A575)))</f>
        <v/>
      </c>
      <c r="D575" s="173" t="str">
        <f t="array" ref="D575">IF($A575="","",INDEX('主表 Stock_Transaction_Log'!$G:$G,$A575))</f>
        <v/>
      </c>
      <c r="E575" s="173" t="str">
        <f t="array" ref="E575">IF($A575="","",INDEX('主表 Stock_Transaction_Log'!$H:$H,$A575))</f>
        <v/>
      </c>
      <c r="F575" s="173" t="str">
        <f t="array" ref="F575">IF($A575="","",INDEX('主表 Stock_Transaction_Log'!$I:$I,$A575))</f>
        <v/>
      </c>
      <c r="G575" s="173" t="str">
        <f t="array" ref="G575">IF($A575="","",IF(INDEX('主表 Stock_Transaction_Log'!$R:$R,$A575)=0,"",INDEX('主表 Stock_Transaction_Log'!$R:$R,$A575)))</f>
        <v/>
      </c>
      <c r="H575" s="173" t="str">
        <f t="array" ref="H575">IF($A575="","",SUMIF('主表 Stock_Transaction_Log'!$T:$T,INDEX('主表 Stock_Transaction_Log'!$T:$T,$A575),'主表 Stock_Transaction_Log'!$S:$S)+SUMIF('主表 Stock_Transaction_Log'!$AB:$AB,INDEX('主表 Stock_Transaction_Log'!$T:$T,$A575),'主表 Stock_Transaction_Log'!$AC:$AC))</f>
        <v/>
      </c>
      <c r="I575" s="173" t="str">
        <f t="shared" si="1"/>
        <v/>
      </c>
      <c r="J575" s="173" t="str">
        <f t="shared" si="2"/>
        <v/>
      </c>
      <c r="K575" s="173" t="str">
        <f t="shared" si="3"/>
        <v/>
      </c>
      <c r="L575" s="173" t="str">
        <f t="array" ref="L575">IF($A575="","",INDEX('主表 Stock_Transaction_Log'!$P:$P,$A575))</f>
        <v/>
      </c>
      <c r="M575" s="174" t="str">
        <f>IF($A575="","",IF($H575&lt;=0,0,SUMIFS('主表 Stock_Transaction_Log'!$K$2:$K1000,'主表 Stock_Transaction_Log'!$C$2:$C1000,"Prepared",'主表 Stock_Transaction_Log'!$L$2:$L1000,$B575,'主表 Stock_Transaction_Log'!$F$2:$F1000,$C575,'主表 Stock_Transaction_Log'!$G$2:$G1000,$D575,'主表 Stock_Transaction_Log'!$P$2:$P1000,$L575)))</f>
        <v/>
      </c>
    </row>
    <row r="576">
      <c r="A576" s="173" t="str">
        <f>IF('主表 Stock_Transaction_Log'!$T576="","",IF(COUNTIF('主表 Stock_Transaction_Log'!$T$2:$T576,'主表 Stock_Transaction_Log'!$T576)=1,ROW('主表 Stock_Transaction_Log'!$T576),""))</f>
        <v/>
      </c>
      <c r="B576" s="173" t="str">
        <f t="array" ref="B576">IF($A576="","",INDEX('主表 Stock_Transaction_Log'!$Q:$Q,$A576))</f>
        <v/>
      </c>
      <c r="C576" s="173" t="str">
        <f t="array" ref="C576">IF($A576="","",IF(INDEX('主表 Stock_Transaction_Log'!$F:$F,$A576)=0,"",INDEX('主表 Stock_Transaction_Log'!$F:$F,$A576)))</f>
        <v/>
      </c>
      <c r="D576" s="173" t="str">
        <f t="array" ref="D576">IF($A576="","",INDEX('主表 Stock_Transaction_Log'!$G:$G,$A576))</f>
        <v/>
      </c>
      <c r="E576" s="173" t="str">
        <f t="array" ref="E576">IF($A576="","",INDEX('主表 Stock_Transaction_Log'!$H:$H,$A576))</f>
        <v/>
      </c>
      <c r="F576" s="173" t="str">
        <f t="array" ref="F576">IF($A576="","",INDEX('主表 Stock_Transaction_Log'!$I:$I,$A576))</f>
        <v/>
      </c>
      <c r="G576" s="173" t="str">
        <f t="array" ref="G576">IF($A576="","",IF(INDEX('主表 Stock_Transaction_Log'!$R:$R,$A576)=0,"",INDEX('主表 Stock_Transaction_Log'!$R:$R,$A576)))</f>
        <v/>
      </c>
      <c r="H576" s="173" t="str">
        <f t="array" ref="H576">IF($A576="","",SUMIF('主表 Stock_Transaction_Log'!$T:$T,INDEX('主表 Stock_Transaction_Log'!$T:$T,$A576),'主表 Stock_Transaction_Log'!$S:$S)+SUMIF('主表 Stock_Transaction_Log'!$AB:$AB,INDEX('主表 Stock_Transaction_Log'!$T:$T,$A576),'主表 Stock_Transaction_Log'!$AC:$AC))</f>
        <v/>
      </c>
      <c r="I576" s="173" t="str">
        <f t="shared" si="1"/>
        <v/>
      </c>
      <c r="J576" s="173" t="str">
        <f t="shared" si="2"/>
        <v/>
      </c>
      <c r="K576" s="173" t="str">
        <f t="shared" si="3"/>
        <v/>
      </c>
      <c r="L576" s="173" t="str">
        <f t="array" ref="L576">IF($A576="","",INDEX('主表 Stock_Transaction_Log'!$P:$P,$A576))</f>
        <v/>
      </c>
      <c r="M576" s="174" t="str">
        <f>IF($A576="","",IF($H576&lt;=0,0,SUMIFS('主表 Stock_Transaction_Log'!$K$2:$K1000,'主表 Stock_Transaction_Log'!$C$2:$C1000,"Prepared",'主表 Stock_Transaction_Log'!$L$2:$L1000,$B576,'主表 Stock_Transaction_Log'!$F$2:$F1000,$C576,'主表 Stock_Transaction_Log'!$G$2:$G1000,$D576,'主表 Stock_Transaction_Log'!$P$2:$P1000,$L576)))</f>
        <v/>
      </c>
    </row>
    <row r="577">
      <c r="A577" s="173" t="str">
        <f>IF('主表 Stock_Transaction_Log'!$T577="","",IF(COUNTIF('主表 Stock_Transaction_Log'!$T$2:$T577,'主表 Stock_Transaction_Log'!$T577)=1,ROW('主表 Stock_Transaction_Log'!$T577),""))</f>
        <v/>
      </c>
      <c r="B577" s="173" t="str">
        <f t="array" ref="B577">IF($A577="","",INDEX('主表 Stock_Transaction_Log'!$Q:$Q,$A577))</f>
        <v/>
      </c>
      <c r="C577" s="173" t="str">
        <f t="array" ref="C577">IF($A577="","",IF(INDEX('主表 Stock_Transaction_Log'!$F:$F,$A577)=0,"",INDEX('主表 Stock_Transaction_Log'!$F:$F,$A577)))</f>
        <v/>
      </c>
      <c r="D577" s="173" t="str">
        <f t="array" ref="D577">IF($A577="","",INDEX('主表 Stock_Transaction_Log'!$G:$G,$A577))</f>
        <v/>
      </c>
      <c r="E577" s="173" t="str">
        <f t="array" ref="E577">IF($A577="","",INDEX('主表 Stock_Transaction_Log'!$H:$H,$A577))</f>
        <v/>
      </c>
      <c r="F577" s="173" t="str">
        <f t="array" ref="F577">IF($A577="","",INDEX('主表 Stock_Transaction_Log'!$I:$I,$A577))</f>
        <v/>
      </c>
      <c r="G577" s="173" t="str">
        <f t="array" ref="G577">IF($A577="","",IF(INDEX('主表 Stock_Transaction_Log'!$R:$R,$A577)=0,"",INDEX('主表 Stock_Transaction_Log'!$R:$R,$A577)))</f>
        <v/>
      </c>
      <c r="H577" s="173" t="str">
        <f t="array" ref="H577">IF($A577="","",SUMIF('主表 Stock_Transaction_Log'!$T:$T,INDEX('主表 Stock_Transaction_Log'!$T:$T,$A577),'主表 Stock_Transaction_Log'!$S:$S)+SUMIF('主表 Stock_Transaction_Log'!$AB:$AB,INDEX('主表 Stock_Transaction_Log'!$T:$T,$A577),'主表 Stock_Transaction_Log'!$AC:$AC))</f>
        <v/>
      </c>
      <c r="I577" s="173" t="str">
        <f t="shared" si="1"/>
        <v/>
      </c>
      <c r="J577" s="173" t="str">
        <f t="shared" si="2"/>
        <v/>
      </c>
      <c r="K577" s="173" t="str">
        <f t="shared" si="3"/>
        <v/>
      </c>
      <c r="L577" s="173" t="str">
        <f t="array" ref="L577">IF($A577="","",INDEX('主表 Stock_Transaction_Log'!$P:$P,$A577))</f>
        <v/>
      </c>
      <c r="M577" s="174" t="str">
        <f>IF($A577="","",IF($H577&lt;=0,0,SUMIFS('主表 Stock_Transaction_Log'!$K$2:$K1000,'主表 Stock_Transaction_Log'!$C$2:$C1000,"Prepared",'主表 Stock_Transaction_Log'!$L$2:$L1000,$B577,'主表 Stock_Transaction_Log'!$F$2:$F1000,$C577,'主表 Stock_Transaction_Log'!$G$2:$G1000,$D577,'主表 Stock_Transaction_Log'!$P$2:$P1000,$L577)))</f>
        <v/>
      </c>
    </row>
    <row r="578">
      <c r="A578" s="173" t="str">
        <f>IF('主表 Stock_Transaction_Log'!$T578="","",IF(COUNTIF('主表 Stock_Transaction_Log'!$T$2:$T578,'主表 Stock_Transaction_Log'!$T578)=1,ROW('主表 Stock_Transaction_Log'!$T578),""))</f>
        <v/>
      </c>
      <c r="B578" s="173" t="str">
        <f t="array" ref="B578">IF($A578="","",INDEX('主表 Stock_Transaction_Log'!$Q:$Q,$A578))</f>
        <v/>
      </c>
      <c r="C578" s="173" t="str">
        <f t="array" ref="C578">IF($A578="","",IF(INDEX('主表 Stock_Transaction_Log'!$F:$F,$A578)=0,"",INDEX('主表 Stock_Transaction_Log'!$F:$F,$A578)))</f>
        <v/>
      </c>
      <c r="D578" s="173" t="str">
        <f t="array" ref="D578">IF($A578="","",INDEX('主表 Stock_Transaction_Log'!$G:$G,$A578))</f>
        <v/>
      </c>
      <c r="E578" s="173" t="str">
        <f t="array" ref="E578">IF($A578="","",INDEX('主表 Stock_Transaction_Log'!$H:$H,$A578))</f>
        <v/>
      </c>
      <c r="F578" s="173" t="str">
        <f t="array" ref="F578">IF($A578="","",INDEX('主表 Stock_Transaction_Log'!$I:$I,$A578))</f>
        <v/>
      </c>
      <c r="G578" s="173" t="str">
        <f t="array" ref="G578">IF($A578="","",IF(INDEX('主表 Stock_Transaction_Log'!$R:$R,$A578)=0,"",INDEX('主表 Stock_Transaction_Log'!$R:$R,$A578)))</f>
        <v/>
      </c>
      <c r="H578" s="173" t="str">
        <f t="array" ref="H578">IF($A578="","",SUMIF('主表 Stock_Transaction_Log'!$T:$T,INDEX('主表 Stock_Transaction_Log'!$T:$T,$A578),'主表 Stock_Transaction_Log'!$S:$S)+SUMIF('主表 Stock_Transaction_Log'!$AB:$AB,INDEX('主表 Stock_Transaction_Log'!$T:$T,$A578),'主表 Stock_Transaction_Log'!$AC:$AC))</f>
        <v/>
      </c>
      <c r="I578" s="173" t="str">
        <f t="shared" si="1"/>
        <v/>
      </c>
      <c r="J578" s="173" t="str">
        <f t="shared" si="2"/>
        <v/>
      </c>
      <c r="K578" s="173" t="str">
        <f t="shared" si="3"/>
        <v/>
      </c>
      <c r="L578" s="173" t="str">
        <f t="array" ref="L578">IF($A578="","",INDEX('主表 Stock_Transaction_Log'!$P:$P,$A578))</f>
        <v/>
      </c>
      <c r="M578" s="174" t="str">
        <f>IF($A578="","",IF($H578&lt;=0,0,SUMIFS('主表 Stock_Transaction_Log'!$K$2:$K1000,'主表 Stock_Transaction_Log'!$C$2:$C1000,"Prepared",'主表 Stock_Transaction_Log'!$L$2:$L1000,$B578,'主表 Stock_Transaction_Log'!$F$2:$F1000,$C578,'主表 Stock_Transaction_Log'!$G$2:$G1000,$D578,'主表 Stock_Transaction_Log'!$P$2:$P1000,$L578)))</f>
        <v/>
      </c>
    </row>
    <row r="579">
      <c r="A579" s="173" t="str">
        <f>IF('主表 Stock_Transaction_Log'!$T579="","",IF(COUNTIF('主表 Stock_Transaction_Log'!$T$2:$T579,'主表 Stock_Transaction_Log'!$T579)=1,ROW('主表 Stock_Transaction_Log'!$T579),""))</f>
        <v/>
      </c>
      <c r="B579" s="173" t="str">
        <f t="array" ref="B579">IF($A579="","",INDEX('主表 Stock_Transaction_Log'!$Q:$Q,$A579))</f>
        <v/>
      </c>
      <c r="C579" s="173" t="str">
        <f t="array" ref="C579">IF($A579="","",IF(INDEX('主表 Stock_Transaction_Log'!$F:$F,$A579)=0,"",INDEX('主表 Stock_Transaction_Log'!$F:$F,$A579)))</f>
        <v/>
      </c>
      <c r="D579" s="173" t="str">
        <f t="array" ref="D579">IF($A579="","",INDEX('主表 Stock_Transaction_Log'!$G:$G,$A579))</f>
        <v/>
      </c>
      <c r="E579" s="173" t="str">
        <f t="array" ref="E579">IF($A579="","",INDEX('主表 Stock_Transaction_Log'!$H:$H,$A579))</f>
        <v/>
      </c>
      <c r="F579" s="173" t="str">
        <f t="array" ref="F579">IF($A579="","",INDEX('主表 Stock_Transaction_Log'!$I:$I,$A579))</f>
        <v/>
      </c>
      <c r="G579" s="173" t="str">
        <f t="array" ref="G579">IF($A579="","",IF(INDEX('主表 Stock_Transaction_Log'!$R:$R,$A579)=0,"",INDEX('主表 Stock_Transaction_Log'!$R:$R,$A579)))</f>
        <v/>
      </c>
      <c r="H579" s="173" t="str">
        <f t="array" ref="H579">IF($A579="","",SUMIF('主表 Stock_Transaction_Log'!$T:$T,INDEX('主表 Stock_Transaction_Log'!$T:$T,$A579),'主表 Stock_Transaction_Log'!$S:$S)+SUMIF('主表 Stock_Transaction_Log'!$AB:$AB,INDEX('主表 Stock_Transaction_Log'!$T:$T,$A579),'主表 Stock_Transaction_Log'!$AC:$AC))</f>
        <v/>
      </c>
      <c r="I579" s="173" t="str">
        <f t="shared" si="1"/>
        <v/>
      </c>
      <c r="J579" s="173" t="str">
        <f t="shared" si="2"/>
        <v/>
      </c>
      <c r="K579" s="173" t="str">
        <f t="shared" si="3"/>
        <v/>
      </c>
      <c r="L579" s="173" t="str">
        <f t="array" ref="L579">IF($A579="","",INDEX('主表 Stock_Transaction_Log'!$P:$P,$A579))</f>
        <v/>
      </c>
      <c r="M579" s="174" t="str">
        <f>IF($A579="","",IF($H579&lt;=0,0,SUMIFS('主表 Stock_Transaction_Log'!$K$2:$K1000,'主表 Stock_Transaction_Log'!$C$2:$C1000,"Prepared",'主表 Stock_Transaction_Log'!$L$2:$L1000,$B579,'主表 Stock_Transaction_Log'!$F$2:$F1000,$C579,'主表 Stock_Transaction_Log'!$G$2:$G1000,$D579,'主表 Stock_Transaction_Log'!$P$2:$P1000,$L579)))</f>
        <v/>
      </c>
    </row>
    <row r="580">
      <c r="A580" s="173" t="str">
        <f>IF('主表 Stock_Transaction_Log'!$T580="","",IF(COUNTIF('主表 Stock_Transaction_Log'!$T$2:$T580,'主表 Stock_Transaction_Log'!$T580)=1,ROW('主表 Stock_Transaction_Log'!$T580),""))</f>
        <v/>
      </c>
      <c r="B580" s="173" t="str">
        <f t="array" ref="B580">IF($A580="","",INDEX('主表 Stock_Transaction_Log'!$Q:$Q,$A580))</f>
        <v/>
      </c>
      <c r="C580" s="173" t="str">
        <f t="array" ref="C580">IF($A580="","",IF(INDEX('主表 Stock_Transaction_Log'!$F:$F,$A580)=0,"",INDEX('主表 Stock_Transaction_Log'!$F:$F,$A580)))</f>
        <v/>
      </c>
      <c r="D580" s="173" t="str">
        <f t="array" ref="D580">IF($A580="","",INDEX('主表 Stock_Transaction_Log'!$G:$G,$A580))</f>
        <v/>
      </c>
      <c r="E580" s="173" t="str">
        <f t="array" ref="E580">IF($A580="","",INDEX('主表 Stock_Transaction_Log'!$H:$H,$A580))</f>
        <v/>
      </c>
      <c r="F580" s="173" t="str">
        <f t="array" ref="F580">IF($A580="","",INDEX('主表 Stock_Transaction_Log'!$I:$I,$A580))</f>
        <v/>
      </c>
      <c r="G580" s="173" t="str">
        <f t="array" ref="G580">IF($A580="","",IF(INDEX('主表 Stock_Transaction_Log'!$R:$R,$A580)=0,"",INDEX('主表 Stock_Transaction_Log'!$R:$R,$A580)))</f>
        <v/>
      </c>
      <c r="H580" s="173" t="str">
        <f t="array" ref="H580">IF($A580="","",SUMIF('主表 Stock_Transaction_Log'!$T:$T,INDEX('主表 Stock_Transaction_Log'!$T:$T,$A580),'主表 Stock_Transaction_Log'!$S:$S)+SUMIF('主表 Stock_Transaction_Log'!$AB:$AB,INDEX('主表 Stock_Transaction_Log'!$T:$T,$A580),'主表 Stock_Transaction_Log'!$AC:$AC))</f>
        <v/>
      </c>
      <c r="I580" s="173" t="str">
        <f t="shared" si="1"/>
        <v/>
      </c>
      <c r="J580" s="173" t="str">
        <f t="shared" si="2"/>
        <v/>
      </c>
      <c r="K580" s="173" t="str">
        <f t="shared" si="3"/>
        <v/>
      </c>
      <c r="L580" s="173" t="str">
        <f t="array" ref="L580">IF($A580="","",INDEX('主表 Stock_Transaction_Log'!$P:$P,$A580))</f>
        <v/>
      </c>
      <c r="M580" s="174" t="str">
        <f>IF($A580="","",IF($H580&lt;=0,0,SUMIFS('主表 Stock_Transaction_Log'!$K$2:$K1000,'主表 Stock_Transaction_Log'!$C$2:$C1000,"Prepared",'主表 Stock_Transaction_Log'!$L$2:$L1000,$B580,'主表 Stock_Transaction_Log'!$F$2:$F1000,$C580,'主表 Stock_Transaction_Log'!$G$2:$G1000,$D580,'主表 Stock_Transaction_Log'!$P$2:$P1000,$L580)))</f>
        <v/>
      </c>
    </row>
    <row r="581">
      <c r="A581" s="173" t="str">
        <f>IF('主表 Stock_Transaction_Log'!$T581="","",IF(COUNTIF('主表 Stock_Transaction_Log'!$T$2:$T581,'主表 Stock_Transaction_Log'!$T581)=1,ROW('主表 Stock_Transaction_Log'!$T581),""))</f>
        <v/>
      </c>
      <c r="B581" s="173" t="str">
        <f t="array" ref="B581">IF($A581="","",INDEX('主表 Stock_Transaction_Log'!$Q:$Q,$A581))</f>
        <v/>
      </c>
      <c r="C581" s="173" t="str">
        <f t="array" ref="C581">IF($A581="","",IF(INDEX('主表 Stock_Transaction_Log'!$F:$F,$A581)=0,"",INDEX('主表 Stock_Transaction_Log'!$F:$F,$A581)))</f>
        <v/>
      </c>
      <c r="D581" s="173" t="str">
        <f t="array" ref="D581">IF($A581="","",INDEX('主表 Stock_Transaction_Log'!$G:$G,$A581))</f>
        <v/>
      </c>
      <c r="E581" s="173" t="str">
        <f t="array" ref="E581">IF($A581="","",INDEX('主表 Stock_Transaction_Log'!$H:$H,$A581))</f>
        <v/>
      </c>
      <c r="F581" s="173" t="str">
        <f t="array" ref="F581">IF($A581="","",INDEX('主表 Stock_Transaction_Log'!$I:$I,$A581))</f>
        <v/>
      </c>
      <c r="G581" s="173" t="str">
        <f t="array" ref="G581">IF($A581="","",IF(INDEX('主表 Stock_Transaction_Log'!$R:$R,$A581)=0,"",INDEX('主表 Stock_Transaction_Log'!$R:$R,$A581)))</f>
        <v/>
      </c>
      <c r="H581" s="173" t="str">
        <f t="array" ref="H581">IF($A581="","",SUMIF('主表 Stock_Transaction_Log'!$T:$T,INDEX('主表 Stock_Transaction_Log'!$T:$T,$A581),'主表 Stock_Transaction_Log'!$S:$S)+SUMIF('主表 Stock_Transaction_Log'!$AB:$AB,INDEX('主表 Stock_Transaction_Log'!$T:$T,$A581),'主表 Stock_Transaction_Log'!$AC:$AC))</f>
        <v/>
      </c>
      <c r="I581" s="173" t="str">
        <f t="shared" si="1"/>
        <v/>
      </c>
      <c r="J581" s="173" t="str">
        <f t="shared" si="2"/>
        <v/>
      </c>
      <c r="K581" s="173" t="str">
        <f t="shared" si="3"/>
        <v/>
      </c>
      <c r="L581" s="173" t="str">
        <f t="array" ref="L581">IF($A581="","",INDEX('主表 Stock_Transaction_Log'!$P:$P,$A581))</f>
        <v/>
      </c>
      <c r="M581" s="174" t="str">
        <f>IF($A581="","",IF($H581&lt;=0,0,SUMIFS('主表 Stock_Transaction_Log'!$K$2:$K1000,'主表 Stock_Transaction_Log'!$C$2:$C1000,"Prepared",'主表 Stock_Transaction_Log'!$L$2:$L1000,$B581,'主表 Stock_Transaction_Log'!$F$2:$F1000,$C581,'主表 Stock_Transaction_Log'!$G$2:$G1000,$D581,'主表 Stock_Transaction_Log'!$P$2:$P1000,$L581)))</f>
        <v/>
      </c>
    </row>
    <row r="582">
      <c r="A582" s="173" t="str">
        <f>IF('主表 Stock_Transaction_Log'!$T582="","",IF(COUNTIF('主表 Stock_Transaction_Log'!$T$2:$T582,'主表 Stock_Transaction_Log'!$T582)=1,ROW('主表 Stock_Transaction_Log'!$T582),""))</f>
        <v/>
      </c>
      <c r="B582" s="173" t="str">
        <f t="array" ref="B582">IF($A582="","",INDEX('主表 Stock_Transaction_Log'!$Q:$Q,$A582))</f>
        <v/>
      </c>
      <c r="C582" s="173" t="str">
        <f t="array" ref="C582">IF($A582="","",IF(INDEX('主表 Stock_Transaction_Log'!$F:$F,$A582)=0,"",INDEX('主表 Stock_Transaction_Log'!$F:$F,$A582)))</f>
        <v/>
      </c>
      <c r="D582" s="173" t="str">
        <f t="array" ref="D582">IF($A582="","",INDEX('主表 Stock_Transaction_Log'!$G:$G,$A582))</f>
        <v/>
      </c>
      <c r="E582" s="173" t="str">
        <f t="array" ref="E582">IF($A582="","",INDEX('主表 Stock_Transaction_Log'!$H:$H,$A582))</f>
        <v/>
      </c>
      <c r="F582" s="173" t="str">
        <f t="array" ref="F582">IF($A582="","",INDEX('主表 Stock_Transaction_Log'!$I:$I,$A582))</f>
        <v/>
      </c>
      <c r="G582" s="173" t="str">
        <f t="array" ref="G582">IF($A582="","",IF(INDEX('主表 Stock_Transaction_Log'!$R:$R,$A582)=0,"",INDEX('主表 Stock_Transaction_Log'!$R:$R,$A582)))</f>
        <v/>
      </c>
      <c r="H582" s="173" t="str">
        <f t="array" ref="H582">IF($A582="","",SUMIF('主表 Stock_Transaction_Log'!$T:$T,INDEX('主表 Stock_Transaction_Log'!$T:$T,$A582),'主表 Stock_Transaction_Log'!$S:$S)+SUMIF('主表 Stock_Transaction_Log'!$AB:$AB,INDEX('主表 Stock_Transaction_Log'!$T:$T,$A582),'主表 Stock_Transaction_Log'!$AC:$AC))</f>
        <v/>
      </c>
      <c r="I582" s="173" t="str">
        <f t="shared" si="1"/>
        <v/>
      </c>
      <c r="J582" s="173" t="str">
        <f t="shared" si="2"/>
        <v/>
      </c>
      <c r="K582" s="173" t="str">
        <f t="shared" si="3"/>
        <v/>
      </c>
      <c r="L582" s="173" t="str">
        <f t="array" ref="L582">IF($A582="","",INDEX('主表 Stock_Transaction_Log'!$P:$P,$A582))</f>
        <v/>
      </c>
      <c r="M582" s="174" t="str">
        <f>IF($A582="","",IF($H582&lt;=0,0,SUMIFS('主表 Stock_Transaction_Log'!$K$2:$K1000,'主表 Stock_Transaction_Log'!$C$2:$C1000,"Prepared",'主表 Stock_Transaction_Log'!$L$2:$L1000,$B582,'主表 Stock_Transaction_Log'!$F$2:$F1000,$C582,'主表 Stock_Transaction_Log'!$G$2:$G1000,$D582,'主表 Stock_Transaction_Log'!$P$2:$P1000,$L582)))</f>
        <v/>
      </c>
    </row>
    <row r="583">
      <c r="A583" s="173" t="str">
        <f>IF('主表 Stock_Transaction_Log'!$T583="","",IF(COUNTIF('主表 Stock_Transaction_Log'!$T$2:$T583,'主表 Stock_Transaction_Log'!$T583)=1,ROW('主表 Stock_Transaction_Log'!$T583),""))</f>
        <v/>
      </c>
      <c r="B583" s="173" t="str">
        <f t="array" ref="B583">IF($A583="","",INDEX('主表 Stock_Transaction_Log'!$Q:$Q,$A583))</f>
        <v/>
      </c>
      <c r="C583" s="173" t="str">
        <f t="array" ref="C583">IF($A583="","",IF(INDEX('主表 Stock_Transaction_Log'!$F:$F,$A583)=0,"",INDEX('主表 Stock_Transaction_Log'!$F:$F,$A583)))</f>
        <v/>
      </c>
      <c r="D583" s="173" t="str">
        <f t="array" ref="D583">IF($A583="","",INDEX('主表 Stock_Transaction_Log'!$G:$G,$A583))</f>
        <v/>
      </c>
      <c r="E583" s="173" t="str">
        <f t="array" ref="E583">IF($A583="","",INDEX('主表 Stock_Transaction_Log'!$H:$H,$A583))</f>
        <v/>
      </c>
      <c r="F583" s="173" t="str">
        <f t="array" ref="F583">IF($A583="","",INDEX('主表 Stock_Transaction_Log'!$I:$I,$A583))</f>
        <v/>
      </c>
      <c r="G583" s="173" t="str">
        <f t="array" ref="G583">IF($A583="","",IF(INDEX('主表 Stock_Transaction_Log'!$R:$R,$A583)=0,"",INDEX('主表 Stock_Transaction_Log'!$R:$R,$A583)))</f>
        <v/>
      </c>
      <c r="H583" s="173" t="str">
        <f t="array" ref="H583">IF($A583="","",SUMIF('主表 Stock_Transaction_Log'!$T:$T,INDEX('主表 Stock_Transaction_Log'!$T:$T,$A583),'主表 Stock_Transaction_Log'!$S:$S)+SUMIF('主表 Stock_Transaction_Log'!$AB:$AB,INDEX('主表 Stock_Transaction_Log'!$T:$T,$A583),'主表 Stock_Transaction_Log'!$AC:$AC))</f>
        <v/>
      </c>
      <c r="I583" s="173" t="str">
        <f t="shared" si="1"/>
        <v/>
      </c>
      <c r="J583" s="173" t="str">
        <f t="shared" si="2"/>
        <v/>
      </c>
      <c r="K583" s="173" t="str">
        <f t="shared" si="3"/>
        <v/>
      </c>
      <c r="L583" s="173" t="str">
        <f t="array" ref="L583">IF($A583="","",INDEX('主表 Stock_Transaction_Log'!$P:$P,$A583))</f>
        <v/>
      </c>
      <c r="M583" s="174" t="str">
        <f>IF($A583="","",IF($H583&lt;=0,0,SUMIFS('主表 Stock_Transaction_Log'!$K$2:$K1000,'主表 Stock_Transaction_Log'!$C$2:$C1000,"Prepared",'主表 Stock_Transaction_Log'!$L$2:$L1000,$B583,'主表 Stock_Transaction_Log'!$F$2:$F1000,$C583,'主表 Stock_Transaction_Log'!$G$2:$G1000,$D583,'主表 Stock_Transaction_Log'!$P$2:$P1000,$L583)))</f>
        <v/>
      </c>
    </row>
    <row r="584">
      <c r="A584" s="173" t="str">
        <f>IF('主表 Stock_Transaction_Log'!$T584="","",IF(COUNTIF('主表 Stock_Transaction_Log'!$T$2:$T584,'主表 Stock_Transaction_Log'!$T584)=1,ROW('主表 Stock_Transaction_Log'!$T584),""))</f>
        <v/>
      </c>
      <c r="B584" s="173" t="str">
        <f t="array" ref="B584">IF($A584="","",INDEX('主表 Stock_Transaction_Log'!$Q:$Q,$A584))</f>
        <v/>
      </c>
      <c r="C584" s="173" t="str">
        <f t="array" ref="C584">IF($A584="","",IF(INDEX('主表 Stock_Transaction_Log'!$F:$F,$A584)=0,"",INDEX('主表 Stock_Transaction_Log'!$F:$F,$A584)))</f>
        <v/>
      </c>
      <c r="D584" s="173" t="str">
        <f t="array" ref="D584">IF($A584="","",INDEX('主表 Stock_Transaction_Log'!$G:$G,$A584))</f>
        <v/>
      </c>
      <c r="E584" s="173" t="str">
        <f t="array" ref="E584">IF($A584="","",INDEX('主表 Stock_Transaction_Log'!$H:$H,$A584))</f>
        <v/>
      </c>
      <c r="F584" s="173" t="str">
        <f t="array" ref="F584">IF($A584="","",INDEX('主表 Stock_Transaction_Log'!$I:$I,$A584))</f>
        <v/>
      </c>
      <c r="G584" s="173" t="str">
        <f t="array" ref="G584">IF($A584="","",IF(INDEX('主表 Stock_Transaction_Log'!$R:$R,$A584)=0,"",INDEX('主表 Stock_Transaction_Log'!$R:$R,$A584)))</f>
        <v/>
      </c>
      <c r="H584" s="173" t="str">
        <f t="array" ref="H584">IF($A584="","",SUMIF('主表 Stock_Transaction_Log'!$T:$T,INDEX('主表 Stock_Transaction_Log'!$T:$T,$A584),'主表 Stock_Transaction_Log'!$S:$S)+SUMIF('主表 Stock_Transaction_Log'!$AB:$AB,INDEX('主表 Stock_Transaction_Log'!$T:$T,$A584),'主表 Stock_Transaction_Log'!$AC:$AC))</f>
        <v/>
      </c>
      <c r="I584" s="173" t="str">
        <f t="shared" si="1"/>
        <v/>
      </c>
      <c r="J584" s="173" t="str">
        <f t="shared" si="2"/>
        <v/>
      </c>
      <c r="K584" s="173" t="str">
        <f t="shared" si="3"/>
        <v/>
      </c>
      <c r="L584" s="173" t="str">
        <f t="array" ref="L584">IF($A584="","",INDEX('主表 Stock_Transaction_Log'!$P:$P,$A584))</f>
        <v/>
      </c>
      <c r="M584" s="174" t="str">
        <f>IF($A584="","",IF($H584&lt;=0,0,SUMIFS('主表 Stock_Transaction_Log'!$K$2:$K1000,'主表 Stock_Transaction_Log'!$C$2:$C1000,"Prepared",'主表 Stock_Transaction_Log'!$L$2:$L1000,$B584,'主表 Stock_Transaction_Log'!$F$2:$F1000,$C584,'主表 Stock_Transaction_Log'!$G$2:$G1000,$D584,'主表 Stock_Transaction_Log'!$P$2:$P1000,$L584)))</f>
        <v/>
      </c>
    </row>
    <row r="585">
      <c r="A585" s="173" t="str">
        <f>IF('主表 Stock_Transaction_Log'!$T585="","",IF(COUNTIF('主表 Stock_Transaction_Log'!$T$2:$T585,'主表 Stock_Transaction_Log'!$T585)=1,ROW('主表 Stock_Transaction_Log'!$T585),""))</f>
        <v/>
      </c>
      <c r="B585" s="173" t="str">
        <f t="array" ref="B585">IF($A585="","",INDEX('主表 Stock_Transaction_Log'!$Q:$Q,$A585))</f>
        <v/>
      </c>
      <c r="C585" s="173" t="str">
        <f t="array" ref="C585">IF($A585="","",IF(INDEX('主表 Stock_Transaction_Log'!$F:$F,$A585)=0,"",INDEX('主表 Stock_Transaction_Log'!$F:$F,$A585)))</f>
        <v/>
      </c>
      <c r="D585" s="173" t="str">
        <f t="array" ref="D585">IF($A585="","",INDEX('主表 Stock_Transaction_Log'!$G:$G,$A585))</f>
        <v/>
      </c>
      <c r="E585" s="173" t="str">
        <f t="array" ref="E585">IF($A585="","",INDEX('主表 Stock_Transaction_Log'!$H:$H,$A585))</f>
        <v/>
      </c>
      <c r="F585" s="173" t="str">
        <f t="array" ref="F585">IF($A585="","",INDEX('主表 Stock_Transaction_Log'!$I:$I,$A585))</f>
        <v/>
      </c>
      <c r="G585" s="173" t="str">
        <f t="array" ref="G585">IF($A585="","",IF(INDEX('主表 Stock_Transaction_Log'!$R:$R,$A585)=0,"",INDEX('主表 Stock_Transaction_Log'!$R:$R,$A585)))</f>
        <v/>
      </c>
      <c r="H585" s="173" t="str">
        <f t="array" ref="H585">IF($A585="","",SUMIF('主表 Stock_Transaction_Log'!$T:$T,INDEX('主表 Stock_Transaction_Log'!$T:$T,$A585),'主表 Stock_Transaction_Log'!$S:$S)+SUMIF('主表 Stock_Transaction_Log'!$AB:$AB,INDEX('主表 Stock_Transaction_Log'!$T:$T,$A585),'主表 Stock_Transaction_Log'!$AC:$AC))</f>
        <v/>
      </c>
      <c r="I585" s="173" t="str">
        <f t="shared" si="1"/>
        <v/>
      </c>
      <c r="J585" s="173" t="str">
        <f t="shared" si="2"/>
        <v/>
      </c>
      <c r="K585" s="173" t="str">
        <f t="shared" si="3"/>
        <v/>
      </c>
      <c r="L585" s="173" t="str">
        <f t="array" ref="L585">IF($A585="","",INDEX('主表 Stock_Transaction_Log'!$P:$P,$A585))</f>
        <v/>
      </c>
      <c r="M585" s="174" t="str">
        <f>IF($A585="","",IF($H585&lt;=0,0,SUMIFS('主表 Stock_Transaction_Log'!$K$2:$K1000,'主表 Stock_Transaction_Log'!$C$2:$C1000,"Prepared",'主表 Stock_Transaction_Log'!$L$2:$L1000,$B585,'主表 Stock_Transaction_Log'!$F$2:$F1000,$C585,'主表 Stock_Transaction_Log'!$G$2:$G1000,$D585,'主表 Stock_Transaction_Log'!$P$2:$P1000,$L585)))</f>
        <v/>
      </c>
    </row>
    <row r="586">
      <c r="A586" s="173" t="str">
        <f>IF('主表 Stock_Transaction_Log'!$T586="","",IF(COUNTIF('主表 Stock_Transaction_Log'!$T$2:$T586,'主表 Stock_Transaction_Log'!$T586)=1,ROW('主表 Stock_Transaction_Log'!$T586),""))</f>
        <v/>
      </c>
      <c r="B586" s="173" t="str">
        <f t="array" ref="B586">IF($A586="","",INDEX('主表 Stock_Transaction_Log'!$Q:$Q,$A586))</f>
        <v/>
      </c>
      <c r="C586" s="173" t="str">
        <f t="array" ref="C586">IF($A586="","",IF(INDEX('主表 Stock_Transaction_Log'!$F:$F,$A586)=0,"",INDEX('主表 Stock_Transaction_Log'!$F:$F,$A586)))</f>
        <v/>
      </c>
      <c r="D586" s="173" t="str">
        <f t="array" ref="D586">IF($A586="","",INDEX('主表 Stock_Transaction_Log'!$G:$G,$A586))</f>
        <v/>
      </c>
      <c r="E586" s="173" t="str">
        <f t="array" ref="E586">IF($A586="","",INDEX('主表 Stock_Transaction_Log'!$H:$H,$A586))</f>
        <v/>
      </c>
      <c r="F586" s="173" t="str">
        <f t="array" ref="F586">IF($A586="","",INDEX('主表 Stock_Transaction_Log'!$I:$I,$A586))</f>
        <v/>
      </c>
      <c r="G586" s="173" t="str">
        <f t="array" ref="G586">IF($A586="","",IF(INDEX('主表 Stock_Transaction_Log'!$R:$R,$A586)=0,"",INDEX('主表 Stock_Transaction_Log'!$R:$R,$A586)))</f>
        <v/>
      </c>
      <c r="H586" s="173" t="str">
        <f t="array" ref="H586">IF($A586="","",SUMIF('主表 Stock_Transaction_Log'!$T:$T,INDEX('主表 Stock_Transaction_Log'!$T:$T,$A586),'主表 Stock_Transaction_Log'!$S:$S)+SUMIF('主表 Stock_Transaction_Log'!$AB:$AB,INDEX('主表 Stock_Transaction_Log'!$T:$T,$A586),'主表 Stock_Transaction_Log'!$AC:$AC))</f>
        <v/>
      </c>
      <c r="I586" s="173" t="str">
        <f t="shared" si="1"/>
        <v/>
      </c>
      <c r="J586" s="173" t="str">
        <f t="shared" si="2"/>
        <v/>
      </c>
      <c r="K586" s="173" t="str">
        <f t="shared" si="3"/>
        <v/>
      </c>
      <c r="L586" s="173" t="str">
        <f t="array" ref="L586">IF($A586="","",INDEX('主表 Stock_Transaction_Log'!$P:$P,$A586))</f>
        <v/>
      </c>
      <c r="M586" s="174" t="str">
        <f>IF($A586="","",IF($H586&lt;=0,0,SUMIFS('主表 Stock_Transaction_Log'!$K$2:$K1000,'主表 Stock_Transaction_Log'!$C$2:$C1000,"Prepared",'主表 Stock_Transaction_Log'!$L$2:$L1000,$B586,'主表 Stock_Transaction_Log'!$F$2:$F1000,$C586,'主表 Stock_Transaction_Log'!$G$2:$G1000,$D586,'主表 Stock_Transaction_Log'!$P$2:$P1000,$L586)))</f>
        <v/>
      </c>
    </row>
    <row r="587">
      <c r="A587" s="173" t="str">
        <f>IF('主表 Stock_Transaction_Log'!$T587="","",IF(COUNTIF('主表 Stock_Transaction_Log'!$T$2:$T587,'主表 Stock_Transaction_Log'!$T587)=1,ROW('主表 Stock_Transaction_Log'!$T587),""))</f>
        <v/>
      </c>
      <c r="B587" s="173" t="str">
        <f t="array" ref="B587">IF($A587="","",INDEX('主表 Stock_Transaction_Log'!$Q:$Q,$A587))</f>
        <v/>
      </c>
      <c r="C587" s="173" t="str">
        <f t="array" ref="C587">IF($A587="","",IF(INDEX('主表 Stock_Transaction_Log'!$F:$F,$A587)=0,"",INDEX('主表 Stock_Transaction_Log'!$F:$F,$A587)))</f>
        <v/>
      </c>
      <c r="D587" s="173" t="str">
        <f t="array" ref="D587">IF($A587="","",INDEX('主表 Stock_Transaction_Log'!$G:$G,$A587))</f>
        <v/>
      </c>
      <c r="E587" s="173" t="str">
        <f t="array" ref="E587">IF($A587="","",INDEX('主表 Stock_Transaction_Log'!$H:$H,$A587))</f>
        <v/>
      </c>
      <c r="F587" s="173" t="str">
        <f t="array" ref="F587">IF($A587="","",INDEX('主表 Stock_Transaction_Log'!$I:$I,$A587))</f>
        <v/>
      </c>
      <c r="G587" s="173" t="str">
        <f t="array" ref="G587">IF($A587="","",IF(INDEX('主表 Stock_Transaction_Log'!$R:$R,$A587)=0,"",INDEX('主表 Stock_Transaction_Log'!$R:$R,$A587)))</f>
        <v/>
      </c>
      <c r="H587" s="173" t="str">
        <f t="array" ref="H587">IF($A587="","",SUMIF('主表 Stock_Transaction_Log'!$T:$T,INDEX('主表 Stock_Transaction_Log'!$T:$T,$A587),'主表 Stock_Transaction_Log'!$S:$S)+SUMIF('主表 Stock_Transaction_Log'!$AB:$AB,INDEX('主表 Stock_Transaction_Log'!$T:$T,$A587),'主表 Stock_Transaction_Log'!$AC:$AC))</f>
        <v/>
      </c>
      <c r="I587" s="173" t="str">
        <f t="shared" si="1"/>
        <v/>
      </c>
      <c r="J587" s="173" t="str">
        <f t="shared" si="2"/>
        <v/>
      </c>
      <c r="K587" s="173" t="str">
        <f t="shared" si="3"/>
        <v/>
      </c>
      <c r="L587" s="173" t="str">
        <f t="array" ref="L587">IF($A587="","",INDEX('主表 Stock_Transaction_Log'!$P:$P,$A587))</f>
        <v/>
      </c>
      <c r="M587" s="174" t="str">
        <f>IF($A587="","",IF($H587&lt;=0,0,SUMIFS('主表 Stock_Transaction_Log'!$K$2:$K1000,'主表 Stock_Transaction_Log'!$C$2:$C1000,"Prepared",'主表 Stock_Transaction_Log'!$L$2:$L1000,$B587,'主表 Stock_Transaction_Log'!$F$2:$F1000,$C587,'主表 Stock_Transaction_Log'!$G$2:$G1000,$D587,'主表 Stock_Transaction_Log'!$P$2:$P1000,$L587)))</f>
        <v/>
      </c>
    </row>
    <row r="588">
      <c r="A588" s="173" t="str">
        <f>IF('主表 Stock_Transaction_Log'!$T588="","",IF(COUNTIF('主表 Stock_Transaction_Log'!$T$2:$T588,'主表 Stock_Transaction_Log'!$T588)=1,ROW('主表 Stock_Transaction_Log'!$T588),""))</f>
        <v/>
      </c>
      <c r="B588" s="173" t="str">
        <f t="array" ref="B588">IF($A588="","",INDEX('主表 Stock_Transaction_Log'!$Q:$Q,$A588))</f>
        <v/>
      </c>
      <c r="C588" s="173" t="str">
        <f t="array" ref="C588">IF($A588="","",IF(INDEX('主表 Stock_Transaction_Log'!$F:$F,$A588)=0,"",INDEX('主表 Stock_Transaction_Log'!$F:$F,$A588)))</f>
        <v/>
      </c>
      <c r="D588" s="173" t="str">
        <f t="array" ref="D588">IF($A588="","",INDEX('主表 Stock_Transaction_Log'!$G:$G,$A588))</f>
        <v/>
      </c>
      <c r="E588" s="173" t="str">
        <f t="array" ref="E588">IF($A588="","",INDEX('主表 Stock_Transaction_Log'!$H:$H,$A588))</f>
        <v/>
      </c>
      <c r="F588" s="173" t="str">
        <f t="array" ref="F588">IF($A588="","",INDEX('主表 Stock_Transaction_Log'!$I:$I,$A588))</f>
        <v/>
      </c>
      <c r="G588" s="173" t="str">
        <f t="array" ref="G588">IF($A588="","",IF(INDEX('主表 Stock_Transaction_Log'!$R:$R,$A588)=0,"",INDEX('主表 Stock_Transaction_Log'!$R:$R,$A588)))</f>
        <v/>
      </c>
      <c r="H588" s="173" t="str">
        <f t="array" ref="H588">IF($A588="","",SUMIF('主表 Stock_Transaction_Log'!$T:$T,INDEX('主表 Stock_Transaction_Log'!$T:$T,$A588),'主表 Stock_Transaction_Log'!$S:$S)+SUMIF('主表 Stock_Transaction_Log'!$AB:$AB,INDEX('主表 Stock_Transaction_Log'!$T:$T,$A588),'主表 Stock_Transaction_Log'!$AC:$AC))</f>
        <v/>
      </c>
      <c r="I588" s="173" t="str">
        <f t="shared" si="1"/>
        <v/>
      </c>
      <c r="J588" s="173" t="str">
        <f t="shared" si="2"/>
        <v/>
      </c>
      <c r="K588" s="173" t="str">
        <f t="shared" si="3"/>
        <v/>
      </c>
      <c r="L588" s="173" t="str">
        <f t="array" ref="L588">IF($A588="","",INDEX('主表 Stock_Transaction_Log'!$P:$P,$A588))</f>
        <v/>
      </c>
      <c r="M588" s="174" t="str">
        <f>IF($A588="","",IF($H588&lt;=0,0,SUMIFS('主表 Stock_Transaction_Log'!$K$2:$K1000,'主表 Stock_Transaction_Log'!$C$2:$C1000,"Prepared",'主表 Stock_Transaction_Log'!$L$2:$L1000,$B588,'主表 Stock_Transaction_Log'!$F$2:$F1000,$C588,'主表 Stock_Transaction_Log'!$G$2:$G1000,$D588,'主表 Stock_Transaction_Log'!$P$2:$P1000,$L588)))</f>
        <v/>
      </c>
    </row>
    <row r="589">
      <c r="A589" s="173" t="str">
        <f>IF('主表 Stock_Transaction_Log'!$T589="","",IF(COUNTIF('主表 Stock_Transaction_Log'!$T$2:$T589,'主表 Stock_Transaction_Log'!$T589)=1,ROW('主表 Stock_Transaction_Log'!$T589),""))</f>
        <v/>
      </c>
      <c r="B589" s="173" t="str">
        <f t="array" ref="B589">IF($A589="","",INDEX('主表 Stock_Transaction_Log'!$Q:$Q,$A589))</f>
        <v/>
      </c>
      <c r="C589" s="173" t="str">
        <f t="array" ref="C589">IF($A589="","",IF(INDEX('主表 Stock_Transaction_Log'!$F:$F,$A589)=0,"",INDEX('主表 Stock_Transaction_Log'!$F:$F,$A589)))</f>
        <v/>
      </c>
      <c r="D589" s="173" t="str">
        <f t="array" ref="D589">IF($A589="","",INDEX('主表 Stock_Transaction_Log'!$G:$G,$A589))</f>
        <v/>
      </c>
      <c r="E589" s="173" t="str">
        <f t="array" ref="E589">IF($A589="","",INDEX('主表 Stock_Transaction_Log'!$H:$H,$A589))</f>
        <v/>
      </c>
      <c r="F589" s="173" t="str">
        <f t="array" ref="F589">IF($A589="","",INDEX('主表 Stock_Transaction_Log'!$I:$I,$A589))</f>
        <v/>
      </c>
      <c r="G589" s="173" t="str">
        <f t="array" ref="G589">IF($A589="","",IF(INDEX('主表 Stock_Transaction_Log'!$R:$R,$A589)=0,"",INDEX('主表 Stock_Transaction_Log'!$R:$R,$A589)))</f>
        <v/>
      </c>
      <c r="H589" s="173" t="str">
        <f t="array" ref="H589">IF($A589="","",SUMIF('主表 Stock_Transaction_Log'!$T:$T,INDEX('主表 Stock_Transaction_Log'!$T:$T,$A589),'主表 Stock_Transaction_Log'!$S:$S)+SUMIF('主表 Stock_Transaction_Log'!$AB:$AB,INDEX('主表 Stock_Transaction_Log'!$T:$T,$A589),'主表 Stock_Transaction_Log'!$AC:$AC))</f>
        <v/>
      </c>
      <c r="I589" s="173" t="str">
        <f t="shared" si="1"/>
        <v/>
      </c>
      <c r="J589" s="173" t="str">
        <f t="shared" si="2"/>
        <v/>
      </c>
      <c r="K589" s="173" t="str">
        <f t="shared" si="3"/>
        <v/>
      </c>
      <c r="L589" s="173" t="str">
        <f t="array" ref="L589">IF($A589="","",INDEX('主表 Stock_Transaction_Log'!$P:$P,$A589))</f>
        <v/>
      </c>
      <c r="M589" s="174" t="str">
        <f>IF($A589="","",IF($H589&lt;=0,0,SUMIFS('主表 Stock_Transaction_Log'!$K$2:$K1000,'主表 Stock_Transaction_Log'!$C$2:$C1000,"Prepared",'主表 Stock_Transaction_Log'!$L$2:$L1000,$B589,'主表 Stock_Transaction_Log'!$F$2:$F1000,$C589,'主表 Stock_Transaction_Log'!$G$2:$G1000,$D589,'主表 Stock_Transaction_Log'!$P$2:$P1000,$L589)))</f>
        <v/>
      </c>
    </row>
    <row r="590">
      <c r="A590" s="173" t="str">
        <f>IF('主表 Stock_Transaction_Log'!$T590="","",IF(COUNTIF('主表 Stock_Transaction_Log'!$T$2:$T590,'主表 Stock_Transaction_Log'!$T590)=1,ROW('主表 Stock_Transaction_Log'!$T590),""))</f>
        <v/>
      </c>
      <c r="B590" s="173" t="str">
        <f t="array" ref="B590">IF($A590="","",INDEX('主表 Stock_Transaction_Log'!$Q:$Q,$A590))</f>
        <v/>
      </c>
      <c r="C590" s="173" t="str">
        <f t="array" ref="C590">IF($A590="","",IF(INDEX('主表 Stock_Transaction_Log'!$F:$F,$A590)=0,"",INDEX('主表 Stock_Transaction_Log'!$F:$F,$A590)))</f>
        <v/>
      </c>
      <c r="D590" s="173" t="str">
        <f t="array" ref="D590">IF($A590="","",INDEX('主表 Stock_Transaction_Log'!$G:$G,$A590))</f>
        <v/>
      </c>
      <c r="E590" s="173" t="str">
        <f t="array" ref="E590">IF($A590="","",INDEX('主表 Stock_Transaction_Log'!$H:$H,$A590))</f>
        <v/>
      </c>
      <c r="F590" s="173" t="str">
        <f t="array" ref="F590">IF($A590="","",INDEX('主表 Stock_Transaction_Log'!$I:$I,$A590))</f>
        <v/>
      </c>
      <c r="G590" s="173" t="str">
        <f t="array" ref="G590">IF($A590="","",IF(INDEX('主表 Stock_Transaction_Log'!$R:$R,$A590)=0,"",INDEX('主表 Stock_Transaction_Log'!$R:$R,$A590)))</f>
        <v/>
      </c>
      <c r="H590" s="173" t="str">
        <f t="array" ref="H590">IF($A590="","",SUMIF('主表 Stock_Transaction_Log'!$T:$T,INDEX('主表 Stock_Transaction_Log'!$T:$T,$A590),'主表 Stock_Transaction_Log'!$S:$S)+SUMIF('主表 Stock_Transaction_Log'!$AB:$AB,INDEX('主表 Stock_Transaction_Log'!$T:$T,$A590),'主表 Stock_Transaction_Log'!$AC:$AC))</f>
        <v/>
      </c>
      <c r="I590" s="173" t="str">
        <f t="shared" si="1"/>
        <v/>
      </c>
      <c r="J590" s="173" t="str">
        <f t="shared" si="2"/>
        <v/>
      </c>
      <c r="K590" s="173" t="str">
        <f t="shared" si="3"/>
        <v/>
      </c>
      <c r="L590" s="173" t="str">
        <f t="array" ref="L590">IF($A590="","",INDEX('主表 Stock_Transaction_Log'!$P:$P,$A590))</f>
        <v/>
      </c>
      <c r="M590" s="174" t="str">
        <f>IF($A590="","",IF($H590&lt;=0,0,SUMIFS('主表 Stock_Transaction_Log'!$K$2:$K1000,'主表 Stock_Transaction_Log'!$C$2:$C1000,"Prepared",'主表 Stock_Transaction_Log'!$L$2:$L1000,$B590,'主表 Stock_Transaction_Log'!$F$2:$F1000,$C590,'主表 Stock_Transaction_Log'!$G$2:$G1000,$D590,'主表 Stock_Transaction_Log'!$P$2:$P1000,$L590)))</f>
        <v/>
      </c>
    </row>
    <row r="591">
      <c r="A591" s="173" t="str">
        <f>IF('主表 Stock_Transaction_Log'!$T591="","",IF(COUNTIF('主表 Stock_Transaction_Log'!$T$2:$T591,'主表 Stock_Transaction_Log'!$T591)=1,ROW('主表 Stock_Transaction_Log'!$T591),""))</f>
        <v/>
      </c>
      <c r="B591" s="173" t="str">
        <f t="array" ref="B591">IF($A591="","",INDEX('主表 Stock_Transaction_Log'!$Q:$Q,$A591))</f>
        <v/>
      </c>
      <c r="C591" s="173" t="str">
        <f t="array" ref="C591">IF($A591="","",IF(INDEX('主表 Stock_Transaction_Log'!$F:$F,$A591)=0,"",INDEX('主表 Stock_Transaction_Log'!$F:$F,$A591)))</f>
        <v/>
      </c>
      <c r="D591" s="173" t="str">
        <f t="array" ref="D591">IF($A591="","",INDEX('主表 Stock_Transaction_Log'!$G:$G,$A591))</f>
        <v/>
      </c>
      <c r="E591" s="173" t="str">
        <f t="array" ref="E591">IF($A591="","",INDEX('主表 Stock_Transaction_Log'!$H:$H,$A591))</f>
        <v/>
      </c>
      <c r="F591" s="173" t="str">
        <f t="array" ref="F591">IF($A591="","",INDEX('主表 Stock_Transaction_Log'!$I:$I,$A591))</f>
        <v/>
      </c>
      <c r="G591" s="173" t="str">
        <f t="array" ref="G591">IF($A591="","",IF(INDEX('主表 Stock_Transaction_Log'!$R:$R,$A591)=0,"",INDEX('主表 Stock_Transaction_Log'!$R:$R,$A591)))</f>
        <v/>
      </c>
      <c r="H591" s="173" t="str">
        <f t="array" ref="H591">IF($A591="","",SUMIF('主表 Stock_Transaction_Log'!$T:$T,INDEX('主表 Stock_Transaction_Log'!$T:$T,$A591),'主表 Stock_Transaction_Log'!$S:$S)+SUMIF('主表 Stock_Transaction_Log'!$AB:$AB,INDEX('主表 Stock_Transaction_Log'!$T:$T,$A591),'主表 Stock_Transaction_Log'!$AC:$AC))</f>
        <v/>
      </c>
      <c r="I591" s="173" t="str">
        <f t="shared" si="1"/>
        <v/>
      </c>
      <c r="J591" s="173" t="str">
        <f t="shared" si="2"/>
        <v/>
      </c>
      <c r="K591" s="173" t="str">
        <f t="shared" si="3"/>
        <v/>
      </c>
      <c r="L591" s="173" t="str">
        <f t="array" ref="L591">IF($A591="","",INDEX('主表 Stock_Transaction_Log'!$P:$P,$A591))</f>
        <v/>
      </c>
      <c r="M591" s="174" t="str">
        <f>IF($A591="","",IF($H591&lt;=0,0,SUMIFS('主表 Stock_Transaction_Log'!$K$2:$K1000,'主表 Stock_Transaction_Log'!$C$2:$C1000,"Prepared",'主表 Stock_Transaction_Log'!$L$2:$L1000,$B591,'主表 Stock_Transaction_Log'!$F$2:$F1000,$C591,'主表 Stock_Transaction_Log'!$G$2:$G1000,$D591,'主表 Stock_Transaction_Log'!$P$2:$P1000,$L591)))</f>
        <v/>
      </c>
    </row>
    <row r="592">
      <c r="A592" s="173" t="str">
        <f>IF('主表 Stock_Transaction_Log'!$T592="","",IF(COUNTIF('主表 Stock_Transaction_Log'!$T$2:$T592,'主表 Stock_Transaction_Log'!$T592)=1,ROW('主表 Stock_Transaction_Log'!$T592),""))</f>
        <v/>
      </c>
      <c r="B592" s="173" t="str">
        <f t="array" ref="B592">IF($A592="","",INDEX('主表 Stock_Transaction_Log'!$Q:$Q,$A592))</f>
        <v/>
      </c>
      <c r="C592" s="173" t="str">
        <f t="array" ref="C592">IF($A592="","",IF(INDEX('主表 Stock_Transaction_Log'!$F:$F,$A592)=0,"",INDEX('主表 Stock_Transaction_Log'!$F:$F,$A592)))</f>
        <v/>
      </c>
      <c r="D592" s="173" t="str">
        <f t="array" ref="D592">IF($A592="","",INDEX('主表 Stock_Transaction_Log'!$G:$G,$A592))</f>
        <v/>
      </c>
      <c r="E592" s="173" t="str">
        <f t="array" ref="E592">IF($A592="","",INDEX('主表 Stock_Transaction_Log'!$H:$H,$A592))</f>
        <v/>
      </c>
      <c r="F592" s="173" t="str">
        <f t="array" ref="F592">IF($A592="","",INDEX('主表 Stock_Transaction_Log'!$I:$I,$A592))</f>
        <v/>
      </c>
      <c r="G592" s="173" t="str">
        <f t="array" ref="G592">IF($A592="","",IF(INDEX('主表 Stock_Transaction_Log'!$R:$R,$A592)=0,"",INDEX('主表 Stock_Transaction_Log'!$R:$R,$A592)))</f>
        <v/>
      </c>
      <c r="H592" s="173" t="str">
        <f t="array" ref="H592">IF($A592="","",SUMIF('主表 Stock_Transaction_Log'!$T:$T,INDEX('主表 Stock_Transaction_Log'!$T:$T,$A592),'主表 Stock_Transaction_Log'!$S:$S)+SUMIF('主表 Stock_Transaction_Log'!$AB:$AB,INDEX('主表 Stock_Transaction_Log'!$T:$T,$A592),'主表 Stock_Transaction_Log'!$AC:$AC))</f>
        <v/>
      </c>
      <c r="I592" s="173" t="str">
        <f t="shared" si="1"/>
        <v/>
      </c>
      <c r="J592" s="173" t="str">
        <f t="shared" si="2"/>
        <v/>
      </c>
      <c r="K592" s="173" t="str">
        <f t="shared" si="3"/>
        <v/>
      </c>
      <c r="L592" s="173" t="str">
        <f t="array" ref="L592">IF($A592="","",INDEX('主表 Stock_Transaction_Log'!$P:$P,$A592))</f>
        <v/>
      </c>
      <c r="M592" s="174" t="str">
        <f>IF($A592="","",IF($H592&lt;=0,0,SUMIFS('主表 Stock_Transaction_Log'!$K$2:$K1000,'主表 Stock_Transaction_Log'!$C$2:$C1000,"Prepared",'主表 Stock_Transaction_Log'!$L$2:$L1000,$B592,'主表 Stock_Transaction_Log'!$F$2:$F1000,$C592,'主表 Stock_Transaction_Log'!$G$2:$G1000,$D592,'主表 Stock_Transaction_Log'!$P$2:$P1000,$L592)))</f>
        <v/>
      </c>
    </row>
    <row r="593">
      <c r="A593" s="173" t="str">
        <f>IF('主表 Stock_Transaction_Log'!$T593="","",IF(COUNTIF('主表 Stock_Transaction_Log'!$T$2:$T593,'主表 Stock_Transaction_Log'!$T593)=1,ROW('主表 Stock_Transaction_Log'!$T593),""))</f>
        <v/>
      </c>
      <c r="B593" s="173" t="str">
        <f t="array" ref="B593">IF($A593="","",INDEX('主表 Stock_Transaction_Log'!$Q:$Q,$A593))</f>
        <v/>
      </c>
      <c r="C593" s="173" t="str">
        <f t="array" ref="C593">IF($A593="","",IF(INDEX('主表 Stock_Transaction_Log'!$F:$F,$A593)=0,"",INDEX('主表 Stock_Transaction_Log'!$F:$F,$A593)))</f>
        <v/>
      </c>
      <c r="D593" s="173" t="str">
        <f t="array" ref="D593">IF($A593="","",INDEX('主表 Stock_Transaction_Log'!$G:$G,$A593))</f>
        <v/>
      </c>
      <c r="E593" s="173" t="str">
        <f t="array" ref="E593">IF($A593="","",INDEX('主表 Stock_Transaction_Log'!$H:$H,$A593))</f>
        <v/>
      </c>
      <c r="F593" s="173" t="str">
        <f t="array" ref="F593">IF($A593="","",INDEX('主表 Stock_Transaction_Log'!$I:$I,$A593))</f>
        <v/>
      </c>
      <c r="G593" s="173" t="str">
        <f t="array" ref="G593">IF($A593="","",IF(INDEX('主表 Stock_Transaction_Log'!$R:$R,$A593)=0,"",INDEX('主表 Stock_Transaction_Log'!$R:$R,$A593)))</f>
        <v/>
      </c>
      <c r="H593" s="173" t="str">
        <f t="array" ref="H593">IF($A593="","",SUMIF('主表 Stock_Transaction_Log'!$T:$T,INDEX('主表 Stock_Transaction_Log'!$T:$T,$A593),'主表 Stock_Transaction_Log'!$S:$S)+SUMIF('主表 Stock_Transaction_Log'!$AB:$AB,INDEX('主表 Stock_Transaction_Log'!$T:$T,$A593),'主表 Stock_Transaction_Log'!$AC:$AC))</f>
        <v/>
      </c>
      <c r="I593" s="173" t="str">
        <f t="shared" si="1"/>
        <v/>
      </c>
      <c r="J593" s="173" t="str">
        <f t="shared" si="2"/>
        <v/>
      </c>
      <c r="K593" s="173" t="str">
        <f t="shared" si="3"/>
        <v/>
      </c>
      <c r="L593" s="173" t="str">
        <f t="array" ref="L593">IF($A593="","",INDEX('主表 Stock_Transaction_Log'!$P:$P,$A593))</f>
        <v/>
      </c>
      <c r="M593" s="174" t="str">
        <f>IF($A593="","",IF($H593&lt;=0,0,SUMIFS('主表 Stock_Transaction_Log'!$K$2:$K1000,'主表 Stock_Transaction_Log'!$C$2:$C1000,"Prepared",'主表 Stock_Transaction_Log'!$L$2:$L1000,$B593,'主表 Stock_Transaction_Log'!$F$2:$F1000,$C593,'主表 Stock_Transaction_Log'!$G$2:$G1000,$D593,'主表 Stock_Transaction_Log'!$P$2:$P1000,$L593)))</f>
        <v/>
      </c>
    </row>
    <row r="594">
      <c r="A594" s="173" t="str">
        <f>IF('主表 Stock_Transaction_Log'!$T594="","",IF(COUNTIF('主表 Stock_Transaction_Log'!$T$2:$T594,'主表 Stock_Transaction_Log'!$T594)=1,ROW('主表 Stock_Transaction_Log'!$T594),""))</f>
        <v/>
      </c>
      <c r="B594" s="173" t="str">
        <f t="array" ref="B594">IF($A594="","",INDEX('主表 Stock_Transaction_Log'!$Q:$Q,$A594))</f>
        <v/>
      </c>
      <c r="C594" s="173" t="str">
        <f t="array" ref="C594">IF($A594="","",IF(INDEX('主表 Stock_Transaction_Log'!$F:$F,$A594)=0,"",INDEX('主表 Stock_Transaction_Log'!$F:$F,$A594)))</f>
        <v/>
      </c>
      <c r="D594" s="173" t="str">
        <f t="array" ref="D594">IF($A594="","",INDEX('主表 Stock_Transaction_Log'!$G:$G,$A594))</f>
        <v/>
      </c>
      <c r="E594" s="173" t="str">
        <f t="array" ref="E594">IF($A594="","",INDEX('主表 Stock_Transaction_Log'!$H:$H,$A594))</f>
        <v/>
      </c>
      <c r="F594" s="173" t="str">
        <f t="array" ref="F594">IF($A594="","",INDEX('主表 Stock_Transaction_Log'!$I:$I,$A594))</f>
        <v/>
      </c>
      <c r="G594" s="173" t="str">
        <f t="array" ref="G594">IF($A594="","",IF(INDEX('主表 Stock_Transaction_Log'!$R:$R,$A594)=0,"",INDEX('主表 Stock_Transaction_Log'!$R:$R,$A594)))</f>
        <v/>
      </c>
      <c r="H594" s="173" t="str">
        <f t="array" ref="H594">IF($A594="","",SUMIF('主表 Stock_Transaction_Log'!$T:$T,INDEX('主表 Stock_Transaction_Log'!$T:$T,$A594),'主表 Stock_Transaction_Log'!$S:$S)+SUMIF('主表 Stock_Transaction_Log'!$AB:$AB,INDEX('主表 Stock_Transaction_Log'!$T:$T,$A594),'主表 Stock_Transaction_Log'!$AC:$AC))</f>
        <v/>
      </c>
      <c r="I594" s="173" t="str">
        <f t="shared" si="1"/>
        <v/>
      </c>
      <c r="J594" s="173" t="str">
        <f t="shared" si="2"/>
        <v/>
      </c>
      <c r="K594" s="173" t="str">
        <f t="shared" si="3"/>
        <v/>
      </c>
      <c r="L594" s="173" t="str">
        <f t="array" ref="L594">IF($A594="","",INDEX('主表 Stock_Transaction_Log'!$P:$P,$A594))</f>
        <v/>
      </c>
      <c r="M594" s="174" t="str">
        <f>IF($A594="","",IF($H594&lt;=0,0,SUMIFS('主表 Stock_Transaction_Log'!$K$2:$K1000,'主表 Stock_Transaction_Log'!$C$2:$C1000,"Prepared",'主表 Stock_Transaction_Log'!$L$2:$L1000,$B594,'主表 Stock_Transaction_Log'!$F$2:$F1000,$C594,'主表 Stock_Transaction_Log'!$G$2:$G1000,$D594,'主表 Stock_Transaction_Log'!$P$2:$P1000,$L594)))</f>
        <v/>
      </c>
    </row>
    <row r="595">
      <c r="A595" s="173" t="str">
        <f>IF('主表 Stock_Transaction_Log'!$T595="","",IF(COUNTIF('主表 Stock_Transaction_Log'!$T$2:$T595,'主表 Stock_Transaction_Log'!$T595)=1,ROW('主表 Stock_Transaction_Log'!$T595),""))</f>
        <v/>
      </c>
      <c r="B595" s="173" t="str">
        <f t="array" ref="B595">IF($A595="","",INDEX('主表 Stock_Transaction_Log'!$Q:$Q,$A595))</f>
        <v/>
      </c>
      <c r="C595" s="173" t="str">
        <f t="array" ref="C595">IF($A595="","",IF(INDEX('主表 Stock_Transaction_Log'!$F:$F,$A595)=0,"",INDEX('主表 Stock_Transaction_Log'!$F:$F,$A595)))</f>
        <v/>
      </c>
      <c r="D595" s="173" t="str">
        <f t="array" ref="D595">IF($A595="","",INDEX('主表 Stock_Transaction_Log'!$G:$G,$A595))</f>
        <v/>
      </c>
      <c r="E595" s="173" t="str">
        <f t="array" ref="E595">IF($A595="","",INDEX('主表 Stock_Transaction_Log'!$H:$H,$A595))</f>
        <v/>
      </c>
      <c r="F595" s="173" t="str">
        <f t="array" ref="F595">IF($A595="","",INDEX('主表 Stock_Transaction_Log'!$I:$I,$A595))</f>
        <v/>
      </c>
      <c r="G595" s="173" t="str">
        <f t="array" ref="G595">IF($A595="","",IF(INDEX('主表 Stock_Transaction_Log'!$R:$R,$A595)=0,"",INDEX('主表 Stock_Transaction_Log'!$R:$R,$A595)))</f>
        <v/>
      </c>
      <c r="H595" s="173" t="str">
        <f t="array" ref="H595">IF($A595="","",SUMIF('主表 Stock_Transaction_Log'!$T:$T,INDEX('主表 Stock_Transaction_Log'!$T:$T,$A595),'主表 Stock_Transaction_Log'!$S:$S)+SUMIF('主表 Stock_Transaction_Log'!$AB:$AB,INDEX('主表 Stock_Transaction_Log'!$T:$T,$A595),'主表 Stock_Transaction_Log'!$AC:$AC))</f>
        <v/>
      </c>
      <c r="I595" s="173" t="str">
        <f t="shared" si="1"/>
        <v/>
      </c>
      <c r="J595" s="173" t="str">
        <f t="shared" si="2"/>
        <v/>
      </c>
      <c r="K595" s="173" t="str">
        <f t="shared" si="3"/>
        <v/>
      </c>
      <c r="L595" s="173" t="str">
        <f t="array" ref="L595">IF($A595="","",INDEX('主表 Stock_Transaction_Log'!$P:$P,$A595))</f>
        <v/>
      </c>
      <c r="M595" s="174" t="str">
        <f>IF($A595="","",IF($H595&lt;=0,0,SUMIFS('主表 Stock_Transaction_Log'!$K$2:$K1000,'主表 Stock_Transaction_Log'!$C$2:$C1000,"Prepared",'主表 Stock_Transaction_Log'!$L$2:$L1000,$B595,'主表 Stock_Transaction_Log'!$F$2:$F1000,$C595,'主表 Stock_Transaction_Log'!$G$2:$G1000,$D595,'主表 Stock_Transaction_Log'!$P$2:$P1000,$L595)))</f>
        <v/>
      </c>
    </row>
    <row r="596">
      <c r="A596" s="173" t="str">
        <f>IF('主表 Stock_Transaction_Log'!$T596="","",IF(COUNTIF('主表 Stock_Transaction_Log'!$T$2:$T596,'主表 Stock_Transaction_Log'!$T596)=1,ROW('主表 Stock_Transaction_Log'!$T596),""))</f>
        <v/>
      </c>
      <c r="B596" s="173" t="str">
        <f t="array" ref="B596">IF($A596="","",INDEX('主表 Stock_Transaction_Log'!$Q:$Q,$A596))</f>
        <v/>
      </c>
      <c r="C596" s="173" t="str">
        <f t="array" ref="C596">IF($A596="","",IF(INDEX('主表 Stock_Transaction_Log'!$F:$F,$A596)=0,"",INDEX('主表 Stock_Transaction_Log'!$F:$F,$A596)))</f>
        <v/>
      </c>
      <c r="D596" s="173" t="str">
        <f t="array" ref="D596">IF($A596="","",INDEX('主表 Stock_Transaction_Log'!$G:$G,$A596))</f>
        <v/>
      </c>
      <c r="E596" s="173" t="str">
        <f t="array" ref="E596">IF($A596="","",INDEX('主表 Stock_Transaction_Log'!$H:$H,$A596))</f>
        <v/>
      </c>
      <c r="F596" s="173" t="str">
        <f t="array" ref="F596">IF($A596="","",INDEX('主表 Stock_Transaction_Log'!$I:$I,$A596))</f>
        <v/>
      </c>
      <c r="G596" s="173" t="str">
        <f t="array" ref="G596">IF($A596="","",IF(INDEX('主表 Stock_Transaction_Log'!$R:$R,$A596)=0,"",INDEX('主表 Stock_Transaction_Log'!$R:$R,$A596)))</f>
        <v/>
      </c>
      <c r="H596" s="173" t="str">
        <f t="array" ref="H596">IF($A596="","",SUMIF('主表 Stock_Transaction_Log'!$T:$T,INDEX('主表 Stock_Transaction_Log'!$T:$T,$A596),'主表 Stock_Transaction_Log'!$S:$S)+SUMIF('主表 Stock_Transaction_Log'!$AB:$AB,INDEX('主表 Stock_Transaction_Log'!$T:$T,$A596),'主表 Stock_Transaction_Log'!$AC:$AC))</f>
        <v/>
      </c>
      <c r="I596" s="173" t="str">
        <f t="shared" si="1"/>
        <v/>
      </c>
      <c r="J596" s="173" t="str">
        <f t="shared" si="2"/>
        <v/>
      </c>
      <c r="K596" s="173" t="str">
        <f t="shared" si="3"/>
        <v/>
      </c>
      <c r="L596" s="173" t="str">
        <f t="array" ref="L596">IF($A596="","",INDEX('主表 Stock_Transaction_Log'!$P:$P,$A596))</f>
        <v/>
      </c>
      <c r="M596" s="174" t="str">
        <f>IF($A596="","",IF($H596&lt;=0,0,SUMIFS('主表 Stock_Transaction_Log'!$K$2:$K1000,'主表 Stock_Transaction_Log'!$C$2:$C1000,"Prepared",'主表 Stock_Transaction_Log'!$L$2:$L1000,$B596,'主表 Stock_Transaction_Log'!$F$2:$F1000,$C596,'主表 Stock_Transaction_Log'!$G$2:$G1000,$D596,'主表 Stock_Transaction_Log'!$P$2:$P1000,$L596)))</f>
        <v/>
      </c>
    </row>
    <row r="597">
      <c r="A597" s="173" t="str">
        <f>IF('主表 Stock_Transaction_Log'!$T597="","",IF(COUNTIF('主表 Stock_Transaction_Log'!$T$2:$T597,'主表 Stock_Transaction_Log'!$T597)=1,ROW('主表 Stock_Transaction_Log'!$T597),""))</f>
        <v/>
      </c>
      <c r="B597" s="173" t="str">
        <f t="array" ref="B597">IF($A597="","",INDEX('主表 Stock_Transaction_Log'!$Q:$Q,$A597))</f>
        <v/>
      </c>
      <c r="C597" s="173" t="str">
        <f t="array" ref="C597">IF($A597="","",IF(INDEX('主表 Stock_Transaction_Log'!$F:$F,$A597)=0,"",INDEX('主表 Stock_Transaction_Log'!$F:$F,$A597)))</f>
        <v/>
      </c>
      <c r="D597" s="173" t="str">
        <f t="array" ref="D597">IF($A597="","",INDEX('主表 Stock_Transaction_Log'!$G:$G,$A597))</f>
        <v/>
      </c>
      <c r="E597" s="173" t="str">
        <f t="array" ref="E597">IF($A597="","",INDEX('主表 Stock_Transaction_Log'!$H:$H,$A597))</f>
        <v/>
      </c>
      <c r="F597" s="173" t="str">
        <f t="array" ref="F597">IF($A597="","",INDEX('主表 Stock_Transaction_Log'!$I:$I,$A597))</f>
        <v/>
      </c>
      <c r="G597" s="173" t="str">
        <f t="array" ref="G597">IF($A597="","",IF(INDEX('主表 Stock_Transaction_Log'!$R:$R,$A597)=0,"",INDEX('主表 Stock_Transaction_Log'!$R:$R,$A597)))</f>
        <v/>
      </c>
      <c r="H597" s="173" t="str">
        <f t="array" ref="H597">IF($A597="","",SUMIF('主表 Stock_Transaction_Log'!$T:$T,INDEX('主表 Stock_Transaction_Log'!$T:$T,$A597),'主表 Stock_Transaction_Log'!$S:$S)+SUMIF('主表 Stock_Transaction_Log'!$AB:$AB,INDEX('主表 Stock_Transaction_Log'!$T:$T,$A597),'主表 Stock_Transaction_Log'!$AC:$AC))</f>
        <v/>
      </c>
      <c r="I597" s="173" t="str">
        <f t="shared" si="1"/>
        <v/>
      </c>
      <c r="J597" s="173" t="str">
        <f t="shared" si="2"/>
        <v/>
      </c>
      <c r="K597" s="173" t="str">
        <f t="shared" si="3"/>
        <v/>
      </c>
      <c r="L597" s="173" t="str">
        <f t="array" ref="L597">IF($A597="","",INDEX('主表 Stock_Transaction_Log'!$P:$P,$A597))</f>
        <v/>
      </c>
      <c r="M597" s="174" t="str">
        <f>IF($A597="","",IF($H597&lt;=0,0,SUMIFS('主表 Stock_Transaction_Log'!$K$2:$K1000,'主表 Stock_Transaction_Log'!$C$2:$C1000,"Prepared",'主表 Stock_Transaction_Log'!$L$2:$L1000,$B597,'主表 Stock_Transaction_Log'!$F$2:$F1000,$C597,'主表 Stock_Transaction_Log'!$G$2:$G1000,$D597,'主表 Stock_Transaction_Log'!$P$2:$P1000,$L597)))</f>
        <v/>
      </c>
    </row>
    <row r="598">
      <c r="A598" s="173" t="str">
        <f>IF('主表 Stock_Transaction_Log'!$T598="","",IF(COUNTIF('主表 Stock_Transaction_Log'!$T$2:$T598,'主表 Stock_Transaction_Log'!$T598)=1,ROW('主表 Stock_Transaction_Log'!$T598),""))</f>
        <v/>
      </c>
      <c r="B598" s="173" t="str">
        <f t="array" ref="B598">IF($A598="","",INDEX('主表 Stock_Transaction_Log'!$Q:$Q,$A598))</f>
        <v/>
      </c>
      <c r="C598" s="173" t="str">
        <f t="array" ref="C598">IF($A598="","",IF(INDEX('主表 Stock_Transaction_Log'!$F:$F,$A598)=0,"",INDEX('主表 Stock_Transaction_Log'!$F:$F,$A598)))</f>
        <v/>
      </c>
      <c r="D598" s="173" t="str">
        <f t="array" ref="D598">IF($A598="","",INDEX('主表 Stock_Transaction_Log'!$G:$G,$A598))</f>
        <v/>
      </c>
      <c r="E598" s="173" t="str">
        <f t="array" ref="E598">IF($A598="","",INDEX('主表 Stock_Transaction_Log'!$H:$H,$A598))</f>
        <v/>
      </c>
      <c r="F598" s="173" t="str">
        <f t="array" ref="F598">IF($A598="","",INDEX('主表 Stock_Transaction_Log'!$I:$I,$A598))</f>
        <v/>
      </c>
      <c r="G598" s="173" t="str">
        <f t="array" ref="G598">IF($A598="","",IF(INDEX('主表 Stock_Transaction_Log'!$R:$R,$A598)=0,"",INDEX('主表 Stock_Transaction_Log'!$R:$R,$A598)))</f>
        <v/>
      </c>
      <c r="H598" s="173" t="str">
        <f t="array" ref="H598">IF($A598="","",SUMIF('主表 Stock_Transaction_Log'!$T:$T,INDEX('主表 Stock_Transaction_Log'!$T:$T,$A598),'主表 Stock_Transaction_Log'!$S:$S)+SUMIF('主表 Stock_Transaction_Log'!$AB:$AB,INDEX('主表 Stock_Transaction_Log'!$T:$T,$A598),'主表 Stock_Transaction_Log'!$AC:$AC))</f>
        <v/>
      </c>
      <c r="I598" s="173" t="str">
        <f t="shared" si="1"/>
        <v/>
      </c>
      <c r="J598" s="173" t="str">
        <f t="shared" si="2"/>
        <v/>
      </c>
      <c r="K598" s="173" t="str">
        <f t="shared" si="3"/>
        <v/>
      </c>
      <c r="L598" s="173" t="str">
        <f t="array" ref="L598">IF($A598="","",INDEX('主表 Stock_Transaction_Log'!$P:$P,$A598))</f>
        <v/>
      </c>
      <c r="M598" s="174" t="str">
        <f>IF($A598="","",IF($H598&lt;=0,0,SUMIFS('主表 Stock_Transaction_Log'!$K$2:$K1000,'主表 Stock_Transaction_Log'!$C$2:$C1000,"Prepared",'主表 Stock_Transaction_Log'!$L$2:$L1000,$B598,'主表 Stock_Transaction_Log'!$F$2:$F1000,$C598,'主表 Stock_Transaction_Log'!$G$2:$G1000,$D598,'主表 Stock_Transaction_Log'!$P$2:$P1000,$L598)))</f>
        <v/>
      </c>
    </row>
    <row r="599">
      <c r="A599" s="173" t="str">
        <f>IF('主表 Stock_Transaction_Log'!$T599="","",IF(COUNTIF('主表 Stock_Transaction_Log'!$T$2:$T599,'主表 Stock_Transaction_Log'!$T599)=1,ROW('主表 Stock_Transaction_Log'!$T599),""))</f>
        <v/>
      </c>
      <c r="B599" s="173" t="str">
        <f t="array" ref="B599">IF($A599="","",INDEX('主表 Stock_Transaction_Log'!$Q:$Q,$A599))</f>
        <v/>
      </c>
      <c r="C599" s="173" t="str">
        <f t="array" ref="C599">IF($A599="","",IF(INDEX('主表 Stock_Transaction_Log'!$F:$F,$A599)=0,"",INDEX('主表 Stock_Transaction_Log'!$F:$F,$A599)))</f>
        <v/>
      </c>
      <c r="D599" s="173" t="str">
        <f t="array" ref="D599">IF($A599="","",INDEX('主表 Stock_Transaction_Log'!$G:$G,$A599))</f>
        <v/>
      </c>
      <c r="E599" s="173" t="str">
        <f t="array" ref="E599">IF($A599="","",INDEX('主表 Stock_Transaction_Log'!$H:$H,$A599))</f>
        <v/>
      </c>
      <c r="F599" s="173" t="str">
        <f t="array" ref="F599">IF($A599="","",INDEX('主表 Stock_Transaction_Log'!$I:$I,$A599))</f>
        <v/>
      </c>
      <c r="G599" s="173" t="str">
        <f t="array" ref="G599">IF($A599="","",IF(INDEX('主表 Stock_Transaction_Log'!$R:$R,$A599)=0,"",INDEX('主表 Stock_Transaction_Log'!$R:$R,$A599)))</f>
        <v/>
      </c>
      <c r="H599" s="173" t="str">
        <f t="array" ref="H599">IF($A599="","",SUMIF('主表 Stock_Transaction_Log'!$T:$T,INDEX('主表 Stock_Transaction_Log'!$T:$T,$A599),'主表 Stock_Transaction_Log'!$S:$S)+SUMIF('主表 Stock_Transaction_Log'!$AB:$AB,INDEX('主表 Stock_Transaction_Log'!$T:$T,$A599),'主表 Stock_Transaction_Log'!$AC:$AC))</f>
        <v/>
      </c>
      <c r="I599" s="173" t="str">
        <f t="shared" si="1"/>
        <v/>
      </c>
      <c r="J599" s="173" t="str">
        <f t="shared" si="2"/>
        <v/>
      </c>
      <c r="K599" s="173" t="str">
        <f t="shared" si="3"/>
        <v/>
      </c>
      <c r="L599" s="173" t="str">
        <f t="array" ref="L599">IF($A599="","",INDEX('主表 Stock_Transaction_Log'!$P:$P,$A599))</f>
        <v/>
      </c>
      <c r="M599" s="174" t="str">
        <f>IF($A599="","",IF($H599&lt;=0,0,SUMIFS('主表 Stock_Transaction_Log'!$K$2:$K1000,'主表 Stock_Transaction_Log'!$C$2:$C1000,"Prepared",'主表 Stock_Transaction_Log'!$L$2:$L1000,$B599,'主表 Stock_Transaction_Log'!$F$2:$F1000,$C599,'主表 Stock_Transaction_Log'!$G$2:$G1000,$D599,'主表 Stock_Transaction_Log'!$P$2:$P1000,$L599)))</f>
        <v/>
      </c>
    </row>
    <row r="600">
      <c r="A600" s="173" t="str">
        <f>IF('主表 Stock_Transaction_Log'!$T600="","",IF(COUNTIF('主表 Stock_Transaction_Log'!$T$2:$T600,'主表 Stock_Transaction_Log'!$T600)=1,ROW('主表 Stock_Transaction_Log'!$T600),""))</f>
        <v/>
      </c>
      <c r="B600" s="173" t="str">
        <f t="array" ref="B600">IF($A600="","",INDEX('主表 Stock_Transaction_Log'!$Q:$Q,$A600))</f>
        <v/>
      </c>
      <c r="C600" s="173" t="str">
        <f t="array" ref="C600">IF($A600="","",IF(INDEX('主表 Stock_Transaction_Log'!$F:$F,$A600)=0,"",INDEX('主表 Stock_Transaction_Log'!$F:$F,$A600)))</f>
        <v/>
      </c>
      <c r="D600" s="173" t="str">
        <f t="array" ref="D600">IF($A600="","",INDEX('主表 Stock_Transaction_Log'!$G:$G,$A600))</f>
        <v/>
      </c>
      <c r="E600" s="173" t="str">
        <f t="array" ref="E600">IF($A600="","",INDEX('主表 Stock_Transaction_Log'!$H:$H,$A600))</f>
        <v/>
      </c>
      <c r="F600" s="173" t="str">
        <f t="array" ref="F600">IF($A600="","",INDEX('主表 Stock_Transaction_Log'!$I:$I,$A600))</f>
        <v/>
      </c>
      <c r="G600" s="173" t="str">
        <f t="array" ref="G600">IF($A600="","",IF(INDEX('主表 Stock_Transaction_Log'!$R:$R,$A600)=0,"",INDEX('主表 Stock_Transaction_Log'!$R:$R,$A600)))</f>
        <v/>
      </c>
      <c r="H600" s="173" t="str">
        <f t="array" ref="H600">IF($A600="","",SUMIF('主表 Stock_Transaction_Log'!$T:$T,INDEX('主表 Stock_Transaction_Log'!$T:$T,$A600),'主表 Stock_Transaction_Log'!$S:$S)+SUMIF('主表 Stock_Transaction_Log'!$AB:$AB,INDEX('主表 Stock_Transaction_Log'!$T:$T,$A600),'主表 Stock_Transaction_Log'!$AC:$AC))</f>
        <v/>
      </c>
      <c r="I600" s="173" t="str">
        <f t="shared" si="1"/>
        <v/>
      </c>
      <c r="J600" s="173" t="str">
        <f t="shared" si="2"/>
        <v/>
      </c>
      <c r="K600" s="173" t="str">
        <f t="shared" si="3"/>
        <v/>
      </c>
      <c r="L600" s="173" t="str">
        <f t="array" ref="L600">IF($A600="","",INDEX('主表 Stock_Transaction_Log'!$P:$P,$A600))</f>
        <v/>
      </c>
      <c r="M600" s="174" t="str">
        <f>IF($A600="","",IF($H600&lt;=0,0,SUMIFS('主表 Stock_Transaction_Log'!$K$2:$K1000,'主表 Stock_Transaction_Log'!$C$2:$C1000,"Prepared",'主表 Stock_Transaction_Log'!$L$2:$L1000,$B600,'主表 Stock_Transaction_Log'!$F$2:$F1000,$C600,'主表 Stock_Transaction_Log'!$G$2:$G1000,$D600,'主表 Stock_Transaction_Log'!$P$2:$P1000,$L600)))</f>
        <v/>
      </c>
    </row>
    <row r="601">
      <c r="A601" s="173" t="str">
        <f>IF('主表 Stock_Transaction_Log'!$T601="","",IF(COUNTIF('主表 Stock_Transaction_Log'!$T$2:$T601,'主表 Stock_Transaction_Log'!$T601)=1,ROW('主表 Stock_Transaction_Log'!$T601),""))</f>
        <v/>
      </c>
      <c r="B601" s="173" t="str">
        <f t="array" ref="B601">IF($A601="","",INDEX('主表 Stock_Transaction_Log'!$Q:$Q,$A601))</f>
        <v/>
      </c>
      <c r="C601" s="173" t="str">
        <f t="array" ref="C601">IF($A601="","",IF(INDEX('主表 Stock_Transaction_Log'!$F:$F,$A601)=0,"",INDEX('主表 Stock_Transaction_Log'!$F:$F,$A601)))</f>
        <v/>
      </c>
      <c r="D601" s="173" t="str">
        <f t="array" ref="D601">IF($A601="","",INDEX('主表 Stock_Transaction_Log'!$G:$G,$A601))</f>
        <v/>
      </c>
      <c r="E601" s="173" t="str">
        <f t="array" ref="E601">IF($A601="","",INDEX('主表 Stock_Transaction_Log'!$H:$H,$A601))</f>
        <v/>
      </c>
      <c r="F601" s="173" t="str">
        <f t="array" ref="F601">IF($A601="","",INDEX('主表 Stock_Transaction_Log'!$I:$I,$A601))</f>
        <v/>
      </c>
      <c r="G601" s="173" t="str">
        <f t="array" ref="G601">IF($A601="","",IF(INDEX('主表 Stock_Transaction_Log'!$R:$R,$A601)=0,"",INDEX('主表 Stock_Transaction_Log'!$R:$R,$A601)))</f>
        <v/>
      </c>
      <c r="H601" s="173" t="str">
        <f t="array" ref="H601">IF($A601="","",SUMIF('主表 Stock_Transaction_Log'!$T:$T,INDEX('主表 Stock_Transaction_Log'!$T:$T,$A601),'主表 Stock_Transaction_Log'!$S:$S)+SUMIF('主表 Stock_Transaction_Log'!$AB:$AB,INDEX('主表 Stock_Transaction_Log'!$T:$T,$A601),'主表 Stock_Transaction_Log'!$AC:$AC))</f>
        <v/>
      </c>
      <c r="I601" s="173" t="str">
        <f t="shared" si="1"/>
        <v/>
      </c>
      <c r="J601" s="173" t="str">
        <f t="shared" si="2"/>
        <v/>
      </c>
      <c r="K601" s="173" t="str">
        <f t="shared" si="3"/>
        <v/>
      </c>
      <c r="L601" s="173" t="str">
        <f t="array" ref="L601">IF($A601="","",INDEX('主表 Stock_Transaction_Log'!$P:$P,$A601))</f>
        <v/>
      </c>
      <c r="M601" s="174" t="str">
        <f>IF($A601="","",IF($H601&lt;=0,0,SUMIFS('主表 Stock_Transaction_Log'!$K$2:$K1000,'主表 Stock_Transaction_Log'!$C$2:$C1000,"Prepared",'主表 Stock_Transaction_Log'!$L$2:$L1000,$B601,'主表 Stock_Transaction_Log'!$F$2:$F1000,$C601,'主表 Stock_Transaction_Log'!$G$2:$G1000,$D601,'主表 Stock_Transaction_Log'!$P$2:$P1000,$L601)))</f>
        <v/>
      </c>
    </row>
    <row r="602">
      <c r="A602" s="173" t="str">
        <f>IF('主表 Stock_Transaction_Log'!$T602="","",IF(COUNTIF('主表 Stock_Transaction_Log'!$T$2:$T602,'主表 Stock_Transaction_Log'!$T602)=1,ROW('主表 Stock_Transaction_Log'!$T602),""))</f>
        <v/>
      </c>
      <c r="B602" s="173" t="str">
        <f t="array" ref="B602">IF($A602="","",INDEX('主表 Stock_Transaction_Log'!$Q:$Q,$A602))</f>
        <v/>
      </c>
      <c r="C602" s="173" t="str">
        <f t="array" ref="C602">IF($A602="","",IF(INDEX('主表 Stock_Transaction_Log'!$F:$F,$A602)=0,"",INDEX('主表 Stock_Transaction_Log'!$F:$F,$A602)))</f>
        <v/>
      </c>
      <c r="D602" s="173" t="str">
        <f t="array" ref="D602">IF($A602="","",INDEX('主表 Stock_Transaction_Log'!$G:$G,$A602))</f>
        <v/>
      </c>
      <c r="E602" s="173" t="str">
        <f t="array" ref="E602">IF($A602="","",INDEX('主表 Stock_Transaction_Log'!$H:$H,$A602))</f>
        <v/>
      </c>
      <c r="F602" s="173" t="str">
        <f t="array" ref="F602">IF($A602="","",INDEX('主表 Stock_Transaction_Log'!$I:$I,$A602))</f>
        <v/>
      </c>
      <c r="G602" s="173" t="str">
        <f t="array" ref="G602">IF($A602="","",IF(INDEX('主表 Stock_Transaction_Log'!$R:$R,$A602)=0,"",INDEX('主表 Stock_Transaction_Log'!$R:$R,$A602)))</f>
        <v/>
      </c>
      <c r="H602" s="173" t="str">
        <f t="array" ref="H602">IF($A602="","",SUMIF('主表 Stock_Transaction_Log'!$T:$T,INDEX('主表 Stock_Transaction_Log'!$T:$T,$A602),'主表 Stock_Transaction_Log'!$S:$S)+SUMIF('主表 Stock_Transaction_Log'!$AB:$AB,INDEX('主表 Stock_Transaction_Log'!$T:$T,$A602),'主表 Stock_Transaction_Log'!$AC:$AC))</f>
        <v/>
      </c>
      <c r="I602" s="173" t="str">
        <f t="shared" si="1"/>
        <v/>
      </c>
      <c r="J602" s="173" t="str">
        <f t="shared" si="2"/>
        <v/>
      </c>
      <c r="K602" s="173" t="str">
        <f t="shared" si="3"/>
        <v/>
      </c>
      <c r="L602" s="173" t="str">
        <f t="array" ref="L602">IF($A602="","",INDEX('主表 Stock_Transaction_Log'!$P:$P,$A602))</f>
        <v/>
      </c>
      <c r="M602" s="174" t="str">
        <f>IF($A602="","",IF($H602&lt;=0,0,SUMIFS('主表 Stock_Transaction_Log'!$K$2:$K1000,'主表 Stock_Transaction_Log'!$C$2:$C1000,"Prepared",'主表 Stock_Transaction_Log'!$L$2:$L1000,$B602,'主表 Stock_Transaction_Log'!$F$2:$F1000,$C602,'主表 Stock_Transaction_Log'!$G$2:$G1000,$D602,'主表 Stock_Transaction_Log'!$P$2:$P1000,$L602)))</f>
        <v/>
      </c>
    </row>
    <row r="603">
      <c r="A603" s="173" t="str">
        <f>IF('主表 Stock_Transaction_Log'!$T603="","",IF(COUNTIF('主表 Stock_Transaction_Log'!$T$2:$T603,'主表 Stock_Transaction_Log'!$T603)=1,ROW('主表 Stock_Transaction_Log'!$T603),""))</f>
        <v/>
      </c>
      <c r="B603" s="173" t="str">
        <f t="array" ref="B603">IF($A603="","",INDEX('主表 Stock_Transaction_Log'!$Q:$Q,$A603))</f>
        <v/>
      </c>
      <c r="C603" s="173" t="str">
        <f t="array" ref="C603">IF($A603="","",IF(INDEX('主表 Stock_Transaction_Log'!$F:$F,$A603)=0,"",INDEX('主表 Stock_Transaction_Log'!$F:$F,$A603)))</f>
        <v/>
      </c>
      <c r="D603" s="173" t="str">
        <f t="array" ref="D603">IF($A603="","",INDEX('主表 Stock_Transaction_Log'!$G:$G,$A603))</f>
        <v/>
      </c>
      <c r="E603" s="173" t="str">
        <f t="array" ref="E603">IF($A603="","",INDEX('主表 Stock_Transaction_Log'!$H:$H,$A603))</f>
        <v/>
      </c>
      <c r="F603" s="173" t="str">
        <f t="array" ref="F603">IF($A603="","",INDEX('主表 Stock_Transaction_Log'!$I:$I,$A603))</f>
        <v/>
      </c>
      <c r="G603" s="173" t="str">
        <f t="array" ref="G603">IF($A603="","",IF(INDEX('主表 Stock_Transaction_Log'!$R:$R,$A603)=0,"",INDEX('主表 Stock_Transaction_Log'!$R:$R,$A603)))</f>
        <v/>
      </c>
      <c r="H603" s="173" t="str">
        <f t="array" ref="H603">IF($A603="","",SUMIF('主表 Stock_Transaction_Log'!$T:$T,INDEX('主表 Stock_Transaction_Log'!$T:$T,$A603),'主表 Stock_Transaction_Log'!$S:$S)+SUMIF('主表 Stock_Transaction_Log'!$AB:$AB,INDEX('主表 Stock_Transaction_Log'!$T:$T,$A603),'主表 Stock_Transaction_Log'!$AC:$AC))</f>
        <v/>
      </c>
      <c r="I603" s="173" t="str">
        <f t="shared" si="1"/>
        <v/>
      </c>
      <c r="J603" s="173" t="str">
        <f t="shared" si="2"/>
        <v/>
      </c>
      <c r="K603" s="173" t="str">
        <f t="shared" si="3"/>
        <v/>
      </c>
      <c r="L603" s="173" t="str">
        <f t="array" ref="L603">IF($A603="","",INDEX('主表 Stock_Transaction_Log'!$P:$P,$A603))</f>
        <v/>
      </c>
      <c r="M603" s="174" t="str">
        <f>IF($A603="","",IF($H603&lt;=0,0,SUMIFS('主表 Stock_Transaction_Log'!$K$2:$K1000,'主表 Stock_Transaction_Log'!$C$2:$C1000,"Prepared",'主表 Stock_Transaction_Log'!$L$2:$L1000,$B603,'主表 Stock_Transaction_Log'!$F$2:$F1000,$C603,'主表 Stock_Transaction_Log'!$G$2:$G1000,$D603,'主表 Stock_Transaction_Log'!$P$2:$P1000,$L603)))</f>
        <v/>
      </c>
    </row>
    <row r="604">
      <c r="A604" s="173" t="str">
        <f>IF('主表 Stock_Transaction_Log'!$T604="","",IF(COUNTIF('主表 Stock_Transaction_Log'!$T$2:$T604,'主表 Stock_Transaction_Log'!$T604)=1,ROW('主表 Stock_Transaction_Log'!$T604),""))</f>
        <v/>
      </c>
      <c r="B604" s="173" t="str">
        <f t="array" ref="B604">IF($A604="","",INDEX('主表 Stock_Transaction_Log'!$Q:$Q,$A604))</f>
        <v/>
      </c>
      <c r="C604" s="173" t="str">
        <f t="array" ref="C604">IF($A604="","",IF(INDEX('主表 Stock_Transaction_Log'!$F:$F,$A604)=0,"",INDEX('主表 Stock_Transaction_Log'!$F:$F,$A604)))</f>
        <v/>
      </c>
      <c r="D604" s="173" t="str">
        <f t="array" ref="D604">IF($A604="","",INDEX('主表 Stock_Transaction_Log'!$G:$G,$A604))</f>
        <v/>
      </c>
      <c r="E604" s="173" t="str">
        <f t="array" ref="E604">IF($A604="","",INDEX('主表 Stock_Transaction_Log'!$H:$H,$A604))</f>
        <v/>
      </c>
      <c r="F604" s="173" t="str">
        <f t="array" ref="F604">IF($A604="","",INDEX('主表 Stock_Transaction_Log'!$I:$I,$A604))</f>
        <v/>
      </c>
      <c r="G604" s="173" t="str">
        <f t="array" ref="G604">IF($A604="","",IF(INDEX('主表 Stock_Transaction_Log'!$R:$R,$A604)=0,"",INDEX('主表 Stock_Transaction_Log'!$R:$R,$A604)))</f>
        <v/>
      </c>
      <c r="H604" s="173" t="str">
        <f t="array" ref="H604">IF($A604="","",SUMIF('主表 Stock_Transaction_Log'!$T:$T,INDEX('主表 Stock_Transaction_Log'!$T:$T,$A604),'主表 Stock_Transaction_Log'!$S:$S)+SUMIF('主表 Stock_Transaction_Log'!$AB:$AB,INDEX('主表 Stock_Transaction_Log'!$T:$T,$A604),'主表 Stock_Transaction_Log'!$AC:$AC))</f>
        <v/>
      </c>
      <c r="I604" s="173" t="str">
        <f t="shared" si="1"/>
        <v/>
      </c>
      <c r="J604" s="173" t="str">
        <f t="shared" si="2"/>
        <v/>
      </c>
      <c r="K604" s="173" t="str">
        <f t="shared" si="3"/>
        <v/>
      </c>
      <c r="L604" s="173" t="str">
        <f t="array" ref="L604">IF($A604="","",INDEX('主表 Stock_Transaction_Log'!$P:$P,$A604))</f>
        <v/>
      </c>
      <c r="M604" s="174" t="str">
        <f>IF($A604="","",IF($H604&lt;=0,0,SUMIFS('主表 Stock_Transaction_Log'!$K$2:$K1000,'主表 Stock_Transaction_Log'!$C$2:$C1000,"Prepared",'主表 Stock_Transaction_Log'!$L$2:$L1000,$B604,'主表 Stock_Transaction_Log'!$F$2:$F1000,$C604,'主表 Stock_Transaction_Log'!$G$2:$G1000,$D604,'主表 Stock_Transaction_Log'!$P$2:$P1000,$L604)))</f>
        <v/>
      </c>
    </row>
    <row r="605">
      <c r="A605" s="173" t="str">
        <f>IF('主表 Stock_Transaction_Log'!$T605="","",IF(COUNTIF('主表 Stock_Transaction_Log'!$T$2:$T605,'主表 Stock_Transaction_Log'!$T605)=1,ROW('主表 Stock_Transaction_Log'!$T605),""))</f>
        <v/>
      </c>
      <c r="B605" s="173" t="str">
        <f t="array" ref="B605">IF($A605="","",INDEX('主表 Stock_Transaction_Log'!$Q:$Q,$A605))</f>
        <v/>
      </c>
      <c r="C605" s="173" t="str">
        <f t="array" ref="C605">IF($A605="","",IF(INDEX('主表 Stock_Transaction_Log'!$F:$F,$A605)=0,"",INDEX('主表 Stock_Transaction_Log'!$F:$F,$A605)))</f>
        <v/>
      </c>
      <c r="D605" s="173" t="str">
        <f t="array" ref="D605">IF($A605="","",INDEX('主表 Stock_Transaction_Log'!$G:$G,$A605))</f>
        <v/>
      </c>
      <c r="E605" s="173" t="str">
        <f t="array" ref="E605">IF($A605="","",INDEX('主表 Stock_Transaction_Log'!$H:$H,$A605))</f>
        <v/>
      </c>
      <c r="F605" s="173" t="str">
        <f t="array" ref="F605">IF($A605="","",INDEX('主表 Stock_Transaction_Log'!$I:$I,$A605))</f>
        <v/>
      </c>
      <c r="G605" s="173" t="str">
        <f t="array" ref="G605">IF($A605="","",IF(INDEX('主表 Stock_Transaction_Log'!$R:$R,$A605)=0,"",INDEX('主表 Stock_Transaction_Log'!$R:$R,$A605)))</f>
        <v/>
      </c>
      <c r="H605" s="173" t="str">
        <f t="array" ref="H605">IF($A605="","",SUMIF('主表 Stock_Transaction_Log'!$T:$T,INDEX('主表 Stock_Transaction_Log'!$T:$T,$A605),'主表 Stock_Transaction_Log'!$S:$S)+SUMIF('主表 Stock_Transaction_Log'!$AB:$AB,INDEX('主表 Stock_Transaction_Log'!$T:$T,$A605),'主表 Stock_Transaction_Log'!$AC:$AC))</f>
        <v/>
      </c>
      <c r="I605" s="173" t="str">
        <f t="shared" si="1"/>
        <v/>
      </c>
      <c r="J605" s="173" t="str">
        <f t="shared" si="2"/>
        <v/>
      </c>
      <c r="K605" s="173" t="str">
        <f t="shared" si="3"/>
        <v/>
      </c>
      <c r="L605" s="173" t="str">
        <f t="array" ref="L605">IF($A605="","",INDEX('主表 Stock_Transaction_Log'!$P:$P,$A605))</f>
        <v/>
      </c>
      <c r="M605" s="174" t="str">
        <f>IF($A605="","",IF($H605&lt;=0,0,SUMIFS('主表 Stock_Transaction_Log'!$K$2:$K1000,'主表 Stock_Transaction_Log'!$C$2:$C1000,"Prepared",'主表 Stock_Transaction_Log'!$L$2:$L1000,$B605,'主表 Stock_Transaction_Log'!$F$2:$F1000,$C605,'主表 Stock_Transaction_Log'!$G$2:$G1000,$D605,'主表 Stock_Transaction_Log'!$P$2:$P1000,$L605)))</f>
        <v/>
      </c>
    </row>
    <row r="606">
      <c r="A606" s="173" t="str">
        <f>IF('主表 Stock_Transaction_Log'!$T606="","",IF(COUNTIF('主表 Stock_Transaction_Log'!$T$2:$T606,'主表 Stock_Transaction_Log'!$T606)=1,ROW('主表 Stock_Transaction_Log'!$T606),""))</f>
        <v/>
      </c>
      <c r="B606" s="173" t="str">
        <f t="array" ref="B606">IF($A606="","",INDEX('主表 Stock_Transaction_Log'!$Q:$Q,$A606))</f>
        <v/>
      </c>
      <c r="C606" s="173" t="str">
        <f t="array" ref="C606">IF($A606="","",IF(INDEX('主表 Stock_Transaction_Log'!$F:$F,$A606)=0,"",INDEX('主表 Stock_Transaction_Log'!$F:$F,$A606)))</f>
        <v/>
      </c>
      <c r="D606" s="173" t="str">
        <f t="array" ref="D606">IF($A606="","",INDEX('主表 Stock_Transaction_Log'!$G:$G,$A606))</f>
        <v/>
      </c>
      <c r="E606" s="173" t="str">
        <f t="array" ref="E606">IF($A606="","",INDEX('主表 Stock_Transaction_Log'!$H:$H,$A606))</f>
        <v/>
      </c>
      <c r="F606" s="173" t="str">
        <f t="array" ref="F606">IF($A606="","",INDEX('主表 Stock_Transaction_Log'!$I:$I,$A606))</f>
        <v/>
      </c>
      <c r="G606" s="173" t="str">
        <f t="array" ref="G606">IF($A606="","",IF(INDEX('主表 Stock_Transaction_Log'!$R:$R,$A606)=0,"",INDEX('主表 Stock_Transaction_Log'!$R:$R,$A606)))</f>
        <v/>
      </c>
      <c r="H606" s="173" t="str">
        <f t="array" ref="H606">IF($A606="","",SUMIF('主表 Stock_Transaction_Log'!$T:$T,INDEX('主表 Stock_Transaction_Log'!$T:$T,$A606),'主表 Stock_Transaction_Log'!$S:$S)+SUMIF('主表 Stock_Transaction_Log'!$AB:$AB,INDEX('主表 Stock_Transaction_Log'!$T:$T,$A606),'主表 Stock_Transaction_Log'!$AC:$AC))</f>
        <v/>
      </c>
      <c r="I606" s="173" t="str">
        <f t="shared" si="1"/>
        <v/>
      </c>
      <c r="J606" s="173" t="str">
        <f t="shared" si="2"/>
        <v/>
      </c>
      <c r="K606" s="173" t="str">
        <f t="shared" si="3"/>
        <v/>
      </c>
      <c r="L606" s="173" t="str">
        <f t="array" ref="L606">IF($A606="","",INDEX('主表 Stock_Transaction_Log'!$P:$P,$A606))</f>
        <v/>
      </c>
      <c r="M606" s="174" t="str">
        <f>IF($A606="","",IF($H606&lt;=0,0,SUMIFS('主表 Stock_Transaction_Log'!$K$2:$K1000,'主表 Stock_Transaction_Log'!$C$2:$C1000,"Prepared",'主表 Stock_Transaction_Log'!$L$2:$L1000,$B606,'主表 Stock_Transaction_Log'!$F$2:$F1000,$C606,'主表 Stock_Transaction_Log'!$G$2:$G1000,$D606,'主表 Stock_Transaction_Log'!$P$2:$P1000,$L606)))</f>
        <v/>
      </c>
    </row>
    <row r="607">
      <c r="A607" s="173" t="str">
        <f>IF('主表 Stock_Transaction_Log'!$T607="","",IF(COUNTIF('主表 Stock_Transaction_Log'!$T$2:$T607,'主表 Stock_Transaction_Log'!$T607)=1,ROW('主表 Stock_Transaction_Log'!$T607),""))</f>
        <v/>
      </c>
      <c r="B607" s="173" t="str">
        <f t="array" ref="B607">IF($A607="","",INDEX('主表 Stock_Transaction_Log'!$Q:$Q,$A607))</f>
        <v/>
      </c>
      <c r="C607" s="173" t="str">
        <f t="array" ref="C607">IF($A607="","",IF(INDEX('主表 Stock_Transaction_Log'!$F:$F,$A607)=0,"",INDEX('主表 Stock_Transaction_Log'!$F:$F,$A607)))</f>
        <v/>
      </c>
      <c r="D607" s="173" t="str">
        <f t="array" ref="D607">IF($A607="","",INDEX('主表 Stock_Transaction_Log'!$G:$G,$A607))</f>
        <v/>
      </c>
      <c r="E607" s="173" t="str">
        <f t="array" ref="E607">IF($A607="","",INDEX('主表 Stock_Transaction_Log'!$H:$H,$A607))</f>
        <v/>
      </c>
      <c r="F607" s="173" t="str">
        <f t="array" ref="F607">IF($A607="","",INDEX('主表 Stock_Transaction_Log'!$I:$I,$A607))</f>
        <v/>
      </c>
      <c r="G607" s="173" t="str">
        <f t="array" ref="G607">IF($A607="","",IF(INDEX('主表 Stock_Transaction_Log'!$R:$R,$A607)=0,"",INDEX('主表 Stock_Transaction_Log'!$R:$R,$A607)))</f>
        <v/>
      </c>
      <c r="H607" s="173" t="str">
        <f t="array" ref="H607">IF($A607="","",SUMIF('主表 Stock_Transaction_Log'!$T:$T,INDEX('主表 Stock_Transaction_Log'!$T:$T,$A607),'主表 Stock_Transaction_Log'!$S:$S)+SUMIF('主表 Stock_Transaction_Log'!$AB:$AB,INDEX('主表 Stock_Transaction_Log'!$T:$T,$A607),'主表 Stock_Transaction_Log'!$AC:$AC))</f>
        <v/>
      </c>
      <c r="I607" s="173" t="str">
        <f t="shared" si="1"/>
        <v/>
      </c>
      <c r="J607" s="173" t="str">
        <f t="shared" si="2"/>
        <v/>
      </c>
      <c r="K607" s="173" t="str">
        <f t="shared" si="3"/>
        <v/>
      </c>
      <c r="L607" s="173" t="str">
        <f t="array" ref="L607">IF($A607="","",INDEX('主表 Stock_Transaction_Log'!$P:$P,$A607))</f>
        <v/>
      </c>
      <c r="M607" s="174" t="str">
        <f>IF($A607="","",IF($H607&lt;=0,0,SUMIFS('主表 Stock_Transaction_Log'!$K$2:$K1000,'主表 Stock_Transaction_Log'!$C$2:$C1000,"Prepared",'主表 Stock_Transaction_Log'!$L$2:$L1000,$B607,'主表 Stock_Transaction_Log'!$F$2:$F1000,$C607,'主表 Stock_Transaction_Log'!$G$2:$G1000,$D607,'主表 Stock_Transaction_Log'!$P$2:$P1000,$L607)))</f>
        <v/>
      </c>
    </row>
    <row r="608">
      <c r="A608" s="173" t="str">
        <f>IF('主表 Stock_Transaction_Log'!$T608="","",IF(COUNTIF('主表 Stock_Transaction_Log'!$T$2:$T608,'主表 Stock_Transaction_Log'!$T608)=1,ROW('主表 Stock_Transaction_Log'!$T608),""))</f>
        <v/>
      </c>
      <c r="B608" s="173" t="str">
        <f t="array" ref="B608">IF($A608="","",INDEX('主表 Stock_Transaction_Log'!$Q:$Q,$A608))</f>
        <v/>
      </c>
      <c r="C608" s="173" t="str">
        <f t="array" ref="C608">IF($A608="","",IF(INDEX('主表 Stock_Transaction_Log'!$F:$F,$A608)=0,"",INDEX('主表 Stock_Transaction_Log'!$F:$F,$A608)))</f>
        <v/>
      </c>
      <c r="D608" s="173" t="str">
        <f t="array" ref="D608">IF($A608="","",INDEX('主表 Stock_Transaction_Log'!$G:$G,$A608))</f>
        <v/>
      </c>
      <c r="E608" s="173" t="str">
        <f t="array" ref="E608">IF($A608="","",INDEX('主表 Stock_Transaction_Log'!$H:$H,$A608))</f>
        <v/>
      </c>
      <c r="F608" s="173" t="str">
        <f t="array" ref="F608">IF($A608="","",INDEX('主表 Stock_Transaction_Log'!$I:$I,$A608))</f>
        <v/>
      </c>
      <c r="G608" s="173" t="str">
        <f t="array" ref="G608">IF($A608="","",IF(INDEX('主表 Stock_Transaction_Log'!$R:$R,$A608)=0,"",INDEX('主表 Stock_Transaction_Log'!$R:$R,$A608)))</f>
        <v/>
      </c>
      <c r="H608" s="173" t="str">
        <f t="array" ref="H608">IF($A608="","",SUMIF('主表 Stock_Transaction_Log'!$T:$T,INDEX('主表 Stock_Transaction_Log'!$T:$T,$A608),'主表 Stock_Transaction_Log'!$S:$S)+SUMIF('主表 Stock_Transaction_Log'!$AB:$AB,INDEX('主表 Stock_Transaction_Log'!$T:$T,$A608),'主表 Stock_Transaction_Log'!$AC:$AC))</f>
        <v/>
      </c>
      <c r="I608" s="173" t="str">
        <f t="shared" si="1"/>
        <v/>
      </c>
      <c r="J608" s="173" t="str">
        <f t="shared" si="2"/>
        <v/>
      </c>
      <c r="K608" s="173" t="str">
        <f t="shared" si="3"/>
        <v/>
      </c>
      <c r="L608" s="173" t="str">
        <f t="array" ref="L608">IF($A608="","",INDEX('主表 Stock_Transaction_Log'!$P:$P,$A608))</f>
        <v/>
      </c>
      <c r="M608" s="174" t="str">
        <f>IF($A608="","",IF($H608&lt;=0,0,SUMIFS('主表 Stock_Transaction_Log'!$K$2:$K1000,'主表 Stock_Transaction_Log'!$C$2:$C1000,"Prepared",'主表 Stock_Transaction_Log'!$L$2:$L1000,$B608,'主表 Stock_Transaction_Log'!$F$2:$F1000,$C608,'主表 Stock_Transaction_Log'!$G$2:$G1000,$D608,'主表 Stock_Transaction_Log'!$P$2:$P1000,$L608)))</f>
        <v/>
      </c>
    </row>
    <row r="609">
      <c r="A609" s="173" t="str">
        <f>IF('主表 Stock_Transaction_Log'!$T609="","",IF(COUNTIF('主表 Stock_Transaction_Log'!$T$2:$T609,'主表 Stock_Transaction_Log'!$T609)=1,ROW('主表 Stock_Transaction_Log'!$T609),""))</f>
        <v/>
      </c>
      <c r="B609" s="173" t="str">
        <f t="array" ref="B609">IF($A609="","",INDEX('主表 Stock_Transaction_Log'!$Q:$Q,$A609))</f>
        <v/>
      </c>
      <c r="C609" s="173" t="str">
        <f t="array" ref="C609">IF($A609="","",IF(INDEX('主表 Stock_Transaction_Log'!$F:$F,$A609)=0,"",INDEX('主表 Stock_Transaction_Log'!$F:$F,$A609)))</f>
        <v/>
      </c>
      <c r="D609" s="173" t="str">
        <f t="array" ref="D609">IF($A609="","",INDEX('主表 Stock_Transaction_Log'!$G:$G,$A609))</f>
        <v/>
      </c>
      <c r="E609" s="173" t="str">
        <f t="array" ref="E609">IF($A609="","",INDEX('主表 Stock_Transaction_Log'!$H:$H,$A609))</f>
        <v/>
      </c>
      <c r="F609" s="173" t="str">
        <f t="array" ref="F609">IF($A609="","",INDEX('主表 Stock_Transaction_Log'!$I:$I,$A609))</f>
        <v/>
      </c>
      <c r="G609" s="173" t="str">
        <f t="array" ref="G609">IF($A609="","",IF(INDEX('主表 Stock_Transaction_Log'!$R:$R,$A609)=0,"",INDEX('主表 Stock_Transaction_Log'!$R:$R,$A609)))</f>
        <v/>
      </c>
      <c r="H609" s="173" t="str">
        <f t="array" ref="H609">IF($A609="","",SUMIF('主表 Stock_Transaction_Log'!$T:$T,INDEX('主表 Stock_Transaction_Log'!$T:$T,$A609),'主表 Stock_Transaction_Log'!$S:$S)+SUMIF('主表 Stock_Transaction_Log'!$AB:$AB,INDEX('主表 Stock_Transaction_Log'!$T:$T,$A609),'主表 Stock_Transaction_Log'!$AC:$AC))</f>
        <v/>
      </c>
      <c r="I609" s="173" t="str">
        <f t="shared" si="1"/>
        <v/>
      </c>
      <c r="J609" s="173" t="str">
        <f t="shared" si="2"/>
        <v/>
      </c>
      <c r="K609" s="173" t="str">
        <f t="shared" si="3"/>
        <v/>
      </c>
      <c r="L609" s="173" t="str">
        <f t="array" ref="L609">IF($A609="","",INDEX('主表 Stock_Transaction_Log'!$P:$P,$A609))</f>
        <v/>
      </c>
      <c r="M609" s="174" t="str">
        <f>IF($A609="","",IF($H609&lt;=0,0,SUMIFS('主表 Stock_Transaction_Log'!$K$2:$K1000,'主表 Stock_Transaction_Log'!$C$2:$C1000,"Prepared",'主表 Stock_Transaction_Log'!$L$2:$L1000,$B609,'主表 Stock_Transaction_Log'!$F$2:$F1000,$C609,'主表 Stock_Transaction_Log'!$G$2:$G1000,$D609,'主表 Stock_Transaction_Log'!$P$2:$P1000,$L609)))</f>
        <v/>
      </c>
    </row>
    <row r="610">
      <c r="A610" s="173" t="str">
        <f>IF('主表 Stock_Transaction_Log'!$T610="","",IF(COUNTIF('主表 Stock_Transaction_Log'!$T$2:$T610,'主表 Stock_Transaction_Log'!$T610)=1,ROW('主表 Stock_Transaction_Log'!$T610),""))</f>
        <v/>
      </c>
      <c r="B610" s="173" t="str">
        <f t="array" ref="B610">IF($A610="","",INDEX('主表 Stock_Transaction_Log'!$Q:$Q,$A610))</f>
        <v/>
      </c>
      <c r="C610" s="173" t="str">
        <f t="array" ref="C610">IF($A610="","",IF(INDEX('主表 Stock_Transaction_Log'!$F:$F,$A610)=0,"",INDEX('主表 Stock_Transaction_Log'!$F:$F,$A610)))</f>
        <v/>
      </c>
      <c r="D610" s="173" t="str">
        <f t="array" ref="D610">IF($A610="","",INDEX('主表 Stock_Transaction_Log'!$G:$G,$A610))</f>
        <v/>
      </c>
      <c r="E610" s="173" t="str">
        <f t="array" ref="E610">IF($A610="","",INDEX('主表 Stock_Transaction_Log'!$H:$H,$A610))</f>
        <v/>
      </c>
      <c r="F610" s="173" t="str">
        <f t="array" ref="F610">IF($A610="","",INDEX('主表 Stock_Transaction_Log'!$I:$I,$A610))</f>
        <v/>
      </c>
      <c r="G610" s="173" t="str">
        <f t="array" ref="G610">IF($A610="","",IF(INDEX('主表 Stock_Transaction_Log'!$R:$R,$A610)=0,"",INDEX('主表 Stock_Transaction_Log'!$R:$R,$A610)))</f>
        <v/>
      </c>
      <c r="H610" s="173" t="str">
        <f t="array" ref="H610">IF($A610="","",SUMIF('主表 Stock_Transaction_Log'!$T:$T,INDEX('主表 Stock_Transaction_Log'!$T:$T,$A610),'主表 Stock_Transaction_Log'!$S:$S)+SUMIF('主表 Stock_Transaction_Log'!$AB:$AB,INDEX('主表 Stock_Transaction_Log'!$T:$T,$A610),'主表 Stock_Transaction_Log'!$AC:$AC))</f>
        <v/>
      </c>
      <c r="I610" s="173" t="str">
        <f t="shared" si="1"/>
        <v/>
      </c>
      <c r="J610" s="173" t="str">
        <f t="shared" si="2"/>
        <v/>
      </c>
      <c r="K610" s="173" t="str">
        <f t="shared" si="3"/>
        <v/>
      </c>
      <c r="L610" s="173" t="str">
        <f t="array" ref="L610">IF($A610="","",INDEX('主表 Stock_Transaction_Log'!$P:$P,$A610))</f>
        <v/>
      </c>
      <c r="M610" s="174" t="str">
        <f>IF($A610="","",IF($H610&lt;=0,0,SUMIFS('主表 Stock_Transaction_Log'!$K$2:$K1000,'主表 Stock_Transaction_Log'!$C$2:$C1000,"Prepared",'主表 Stock_Transaction_Log'!$L$2:$L1000,$B610,'主表 Stock_Transaction_Log'!$F$2:$F1000,$C610,'主表 Stock_Transaction_Log'!$G$2:$G1000,$D610,'主表 Stock_Transaction_Log'!$P$2:$P1000,$L610)))</f>
        <v/>
      </c>
    </row>
    <row r="611">
      <c r="A611" s="173" t="str">
        <f>IF('主表 Stock_Transaction_Log'!$T611="","",IF(COUNTIF('主表 Stock_Transaction_Log'!$T$2:$T611,'主表 Stock_Transaction_Log'!$T611)=1,ROW('主表 Stock_Transaction_Log'!$T611),""))</f>
        <v/>
      </c>
      <c r="B611" s="173" t="str">
        <f t="array" ref="B611">IF($A611="","",INDEX('主表 Stock_Transaction_Log'!$Q:$Q,$A611))</f>
        <v/>
      </c>
      <c r="C611" s="173" t="str">
        <f t="array" ref="C611">IF($A611="","",IF(INDEX('主表 Stock_Transaction_Log'!$F:$F,$A611)=0,"",INDEX('主表 Stock_Transaction_Log'!$F:$F,$A611)))</f>
        <v/>
      </c>
      <c r="D611" s="173" t="str">
        <f t="array" ref="D611">IF($A611="","",INDEX('主表 Stock_Transaction_Log'!$G:$G,$A611))</f>
        <v/>
      </c>
      <c r="E611" s="173" t="str">
        <f t="array" ref="E611">IF($A611="","",INDEX('主表 Stock_Transaction_Log'!$H:$H,$A611))</f>
        <v/>
      </c>
      <c r="F611" s="173" t="str">
        <f t="array" ref="F611">IF($A611="","",INDEX('主表 Stock_Transaction_Log'!$I:$I,$A611))</f>
        <v/>
      </c>
      <c r="G611" s="173" t="str">
        <f t="array" ref="G611">IF($A611="","",IF(INDEX('主表 Stock_Transaction_Log'!$R:$R,$A611)=0,"",INDEX('主表 Stock_Transaction_Log'!$R:$R,$A611)))</f>
        <v/>
      </c>
      <c r="H611" s="173" t="str">
        <f t="array" ref="H611">IF($A611="","",SUMIF('主表 Stock_Transaction_Log'!$T:$T,INDEX('主表 Stock_Transaction_Log'!$T:$T,$A611),'主表 Stock_Transaction_Log'!$S:$S)+SUMIF('主表 Stock_Transaction_Log'!$AB:$AB,INDEX('主表 Stock_Transaction_Log'!$T:$T,$A611),'主表 Stock_Transaction_Log'!$AC:$AC))</f>
        <v/>
      </c>
      <c r="I611" s="173" t="str">
        <f t="shared" si="1"/>
        <v/>
      </c>
      <c r="J611" s="173" t="str">
        <f t="shared" si="2"/>
        <v/>
      </c>
      <c r="K611" s="173" t="str">
        <f t="shared" si="3"/>
        <v/>
      </c>
      <c r="L611" s="173" t="str">
        <f t="array" ref="L611">IF($A611="","",INDEX('主表 Stock_Transaction_Log'!$P:$P,$A611))</f>
        <v/>
      </c>
      <c r="M611" s="174" t="str">
        <f>IF($A611="","",IF($H611&lt;=0,0,SUMIFS('主表 Stock_Transaction_Log'!$K$2:$K1000,'主表 Stock_Transaction_Log'!$C$2:$C1000,"Prepared",'主表 Stock_Transaction_Log'!$L$2:$L1000,$B611,'主表 Stock_Transaction_Log'!$F$2:$F1000,$C611,'主表 Stock_Transaction_Log'!$G$2:$G1000,$D611,'主表 Stock_Transaction_Log'!$P$2:$P1000,$L611)))</f>
        <v/>
      </c>
    </row>
    <row r="612">
      <c r="A612" s="173" t="str">
        <f>IF('主表 Stock_Transaction_Log'!$T612="","",IF(COUNTIF('主表 Stock_Transaction_Log'!$T$2:$T612,'主表 Stock_Transaction_Log'!$T612)=1,ROW('主表 Stock_Transaction_Log'!$T612),""))</f>
        <v/>
      </c>
      <c r="B612" s="173" t="str">
        <f t="array" ref="B612">IF($A612="","",INDEX('主表 Stock_Transaction_Log'!$Q:$Q,$A612))</f>
        <v/>
      </c>
      <c r="C612" s="173" t="str">
        <f t="array" ref="C612">IF($A612="","",IF(INDEX('主表 Stock_Transaction_Log'!$F:$F,$A612)=0,"",INDEX('主表 Stock_Transaction_Log'!$F:$F,$A612)))</f>
        <v/>
      </c>
      <c r="D612" s="173" t="str">
        <f t="array" ref="D612">IF($A612="","",INDEX('主表 Stock_Transaction_Log'!$G:$G,$A612))</f>
        <v/>
      </c>
      <c r="E612" s="173" t="str">
        <f t="array" ref="E612">IF($A612="","",INDEX('主表 Stock_Transaction_Log'!$H:$H,$A612))</f>
        <v/>
      </c>
      <c r="F612" s="173" t="str">
        <f t="array" ref="F612">IF($A612="","",INDEX('主表 Stock_Transaction_Log'!$I:$I,$A612))</f>
        <v/>
      </c>
      <c r="G612" s="173" t="str">
        <f t="array" ref="G612">IF($A612="","",IF(INDEX('主表 Stock_Transaction_Log'!$R:$R,$A612)=0,"",INDEX('主表 Stock_Transaction_Log'!$R:$R,$A612)))</f>
        <v/>
      </c>
      <c r="H612" s="173" t="str">
        <f t="array" ref="H612">IF($A612="","",SUMIF('主表 Stock_Transaction_Log'!$T:$T,INDEX('主表 Stock_Transaction_Log'!$T:$T,$A612),'主表 Stock_Transaction_Log'!$S:$S)+SUMIF('主表 Stock_Transaction_Log'!$AB:$AB,INDEX('主表 Stock_Transaction_Log'!$T:$T,$A612),'主表 Stock_Transaction_Log'!$AC:$AC))</f>
        <v/>
      </c>
      <c r="I612" s="173" t="str">
        <f t="shared" si="1"/>
        <v/>
      </c>
      <c r="J612" s="173" t="str">
        <f t="shared" si="2"/>
        <v/>
      </c>
      <c r="K612" s="173" t="str">
        <f t="shared" si="3"/>
        <v/>
      </c>
      <c r="L612" s="173" t="str">
        <f t="array" ref="L612">IF($A612="","",INDEX('主表 Stock_Transaction_Log'!$P:$P,$A612))</f>
        <v/>
      </c>
      <c r="M612" s="174" t="str">
        <f>IF($A612="","",IF($H612&lt;=0,0,SUMIFS('主表 Stock_Transaction_Log'!$K$2:$K1000,'主表 Stock_Transaction_Log'!$C$2:$C1000,"Prepared",'主表 Stock_Transaction_Log'!$L$2:$L1000,$B612,'主表 Stock_Transaction_Log'!$F$2:$F1000,$C612,'主表 Stock_Transaction_Log'!$G$2:$G1000,$D612,'主表 Stock_Transaction_Log'!$P$2:$P1000,$L612)))</f>
        <v/>
      </c>
    </row>
    <row r="613">
      <c r="A613" s="173" t="str">
        <f>IF('主表 Stock_Transaction_Log'!$T613="","",IF(COUNTIF('主表 Stock_Transaction_Log'!$T$2:$T613,'主表 Stock_Transaction_Log'!$T613)=1,ROW('主表 Stock_Transaction_Log'!$T613),""))</f>
        <v/>
      </c>
      <c r="B613" s="173" t="str">
        <f t="array" ref="B613">IF($A613="","",INDEX('主表 Stock_Transaction_Log'!$Q:$Q,$A613))</f>
        <v/>
      </c>
      <c r="C613" s="173" t="str">
        <f t="array" ref="C613">IF($A613="","",IF(INDEX('主表 Stock_Transaction_Log'!$F:$F,$A613)=0,"",INDEX('主表 Stock_Transaction_Log'!$F:$F,$A613)))</f>
        <v/>
      </c>
      <c r="D613" s="173" t="str">
        <f t="array" ref="D613">IF($A613="","",INDEX('主表 Stock_Transaction_Log'!$G:$G,$A613))</f>
        <v/>
      </c>
      <c r="E613" s="173" t="str">
        <f t="array" ref="E613">IF($A613="","",INDEX('主表 Stock_Transaction_Log'!$H:$H,$A613))</f>
        <v/>
      </c>
      <c r="F613" s="173" t="str">
        <f t="array" ref="F613">IF($A613="","",INDEX('主表 Stock_Transaction_Log'!$I:$I,$A613))</f>
        <v/>
      </c>
      <c r="G613" s="173" t="str">
        <f t="array" ref="G613">IF($A613="","",IF(INDEX('主表 Stock_Transaction_Log'!$R:$R,$A613)=0,"",INDEX('主表 Stock_Transaction_Log'!$R:$R,$A613)))</f>
        <v/>
      </c>
      <c r="H613" s="173" t="str">
        <f t="array" ref="H613">IF($A613="","",SUMIF('主表 Stock_Transaction_Log'!$T:$T,INDEX('主表 Stock_Transaction_Log'!$T:$T,$A613),'主表 Stock_Transaction_Log'!$S:$S)+SUMIF('主表 Stock_Transaction_Log'!$AB:$AB,INDEX('主表 Stock_Transaction_Log'!$T:$T,$A613),'主表 Stock_Transaction_Log'!$AC:$AC))</f>
        <v/>
      </c>
      <c r="I613" s="173" t="str">
        <f t="shared" si="1"/>
        <v/>
      </c>
      <c r="J613" s="173" t="str">
        <f t="shared" si="2"/>
        <v/>
      </c>
      <c r="K613" s="173" t="str">
        <f t="shared" si="3"/>
        <v/>
      </c>
      <c r="L613" s="173" t="str">
        <f t="array" ref="L613">IF($A613="","",INDEX('主表 Stock_Transaction_Log'!$P:$P,$A613))</f>
        <v/>
      </c>
      <c r="M613" s="174" t="str">
        <f>IF($A613="","",IF($H613&lt;=0,0,SUMIFS('主表 Stock_Transaction_Log'!$K$2:$K1000,'主表 Stock_Transaction_Log'!$C$2:$C1000,"Prepared",'主表 Stock_Transaction_Log'!$L$2:$L1000,$B613,'主表 Stock_Transaction_Log'!$F$2:$F1000,$C613,'主表 Stock_Transaction_Log'!$G$2:$G1000,$D613,'主表 Stock_Transaction_Log'!$P$2:$P1000,$L613)))</f>
        <v/>
      </c>
    </row>
    <row r="614">
      <c r="A614" s="173" t="str">
        <f>IF('主表 Stock_Transaction_Log'!$T614="","",IF(COUNTIF('主表 Stock_Transaction_Log'!$T$2:$T614,'主表 Stock_Transaction_Log'!$T614)=1,ROW('主表 Stock_Transaction_Log'!$T614),""))</f>
        <v/>
      </c>
      <c r="B614" s="173" t="str">
        <f t="array" ref="B614">IF($A614="","",INDEX('主表 Stock_Transaction_Log'!$Q:$Q,$A614))</f>
        <v/>
      </c>
      <c r="C614" s="173" t="str">
        <f t="array" ref="C614">IF($A614="","",IF(INDEX('主表 Stock_Transaction_Log'!$F:$F,$A614)=0,"",INDEX('主表 Stock_Transaction_Log'!$F:$F,$A614)))</f>
        <v/>
      </c>
      <c r="D614" s="173" t="str">
        <f t="array" ref="D614">IF($A614="","",INDEX('主表 Stock_Transaction_Log'!$G:$G,$A614))</f>
        <v/>
      </c>
      <c r="E614" s="173" t="str">
        <f t="array" ref="E614">IF($A614="","",INDEX('主表 Stock_Transaction_Log'!$H:$H,$A614))</f>
        <v/>
      </c>
      <c r="F614" s="173" t="str">
        <f t="array" ref="F614">IF($A614="","",INDEX('主表 Stock_Transaction_Log'!$I:$I,$A614))</f>
        <v/>
      </c>
      <c r="G614" s="173" t="str">
        <f t="array" ref="G614">IF($A614="","",IF(INDEX('主表 Stock_Transaction_Log'!$R:$R,$A614)=0,"",INDEX('主表 Stock_Transaction_Log'!$R:$R,$A614)))</f>
        <v/>
      </c>
      <c r="H614" s="173" t="str">
        <f t="array" ref="H614">IF($A614="","",SUMIF('主表 Stock_Transaction_Log'!$T:$T,INDEX('主表 Stock_Transaction_Log'!$T:$T,$A614),'主表 Stock_Transaction_Log'!$S:$S)+SUMIF('主表 Stock_Transaction_Log'!$AB:$AB,INDEX('主表 Stock_Transaction_Log'!$T:$T,$A614),'主表 Stock_Transaction_Log'!$AC:$AC))</f>
        <v/>
      </c>
      <c r="I614" s="173" t="str">
        <f t="shared" si="1"/>
        <v/>
      </c>
      <c r="J614" s="173" t="str">
        <f t="shared" si="2"/>
        <v/>
      </c>
      <c r="K614" s="173" t="str">
        <f t="shared" si="3"/>
        <v/>
      </c>
      <c r="L614" s="173" t="str">
        <f t="array" ref="L614">IF($A614="","",INDEX('主表 Stock_Transaction_Log'!$P:$P,$A614))</f>
        <v/>
      </c>
      <c r="M614" s="174" t="str">
        <f>IF($A614="","",IF($H614&lt;=0,0,SUMIFS('主表 Stock_Transaction_Log'!$K$2:$K1000,'主表 Stock_Transaction_Log'!$C$2:$C1000,"Prepared",'主表 Stock_Transaction_Log'!$L$2:$L1000,$B614,'主表 Stock_Transaction_Log'!$F$2:$F1000,$C614,'主表 Stock_Transaction_Log'!$G$2:$G1000,$D614,'主表 Stock_Transaction_Log'!$P$2:$P1000,$L614)))</f>
        <v/>
      </c>
    </row>
    <row r="615">
      <c r="A615" s="173" t="str">
        <f>IF('主表 Stock_Transaction_Log'!$T615="","",IF(COUNTIF('主表 Stock_Transaction_Log'!$T$2:$T615,'主表 Stock_Transaction_Log'!$T615)=1,ROW('主表 Stock_Transaction_Log'!$T615),""))</f>
        <v/>
      </c>
      <c r="B615" s="173" t="str">
        <f t="array" ref="B615">IF($A615="","",INDEX('主表 Stock_Transaction_Log'!$Q:$Q,$A615))</f>
        <v/>
      </c>
      <c r="C615" s="173" t="str">
        <f t="array" ref="C615">IF($A615="","",IF(INDEX('主表 Stock_Transaction_Log'!$F:$F,$A615)=0,"",INDEX('主表 Stock_Transaction_Log'!$F:$F,$A615)))</f>
        <v/>
      </c>
      <c r="D615" s="173" t="str">
        <f t="array" ref="D615">IF($A615="","",INDEX('主表 Stock_Transaction_Log'!$G:$G,$A615))</f>
        <v/>
      </c>
      <c r="E615" s="173" t="str">
        <f t="array" ref="E615">IF($A615="","",INDEX('主表 Stock_Transaction_Log'!$H:$H,$A615))</f>
        <v/>
      </c>
      <c r="F615" s="173" t="str">
        <f t="array" ref="F615">IF($A615="","",INDEX('主表 Stock_Transaction_Log'!$I:$I,$A615))</f>
        <v/>
      </c>
      <c r="G615" s="173" t="str">
        <f t="array" ref="G615">IF($A615="","",IF(INDEX('主表 Stock_Transaction_Log'!$R:$R,$A615)=0,"",INDEX('主表 Stock_Transaction_Log'!$R:$R,$A615)))</f>
        <v/>
      </c>
      <c r="H615" s="173" t="str">
        <f t="array" ref="H615">IF($A615="","",SUMIF('主表 Stock_Transaction_Log'!$T:$T,INDEX('主表 Stock_Transaction_Log'!$T:$T,$A615),'主表 Stock_Transaction_Log'!$S:$S)+SUMIF('主表 Stock_Transaction_Log'!$AB:$AB,INDEX('主表 Stock_Transaction_Log'!$T:$T,$A615),'主表 Stock_Transaction_Log'!$AC:$AC))</f>
        <v/>
      </c>
      <c r="I615" s="173" t="str">
        <f t="shared" si="1"/>
        <v/>
      </c>
      <c r="J615" s="173" t="str">
        <f t="shared" si="2"/>
        <v/>
      </c>
      <c r="K615" s="173" t="str">
        <f t="shared" si="3"/>
        <v/>
      </c>
      <c r="L615" s="173" t="str">
        <f t="array" ref="L615">IF($A615="","",INDEX('主表 Stock_Transaction_Log'!$P:$P,$A615))</f>
        <v/>
      </c>
      <c r="M615" s="174" t="str">
        <f>IF($A615="","",IF($H615&lt;=0,0,SUMIFS('主表 Stock_Transaction_Log'!$K$2:$K1000,'主表 Stock_Transaction_Log'!$C$2:$C1000,"Prepared",'主表 Stock_Transaction_Log'!$L$2:$L1000,$B615,'主表 Stock_Transaction_Log'!$F$2:$F1000,$C615,'主表 Stock_Transaction_Log'!$G$2:$G1000,$D615,'主表 Stock_Transaction_Log'!$P$2:$P1000,$L615)))</f>
        <v/>
      </c>
    </row>
    <row r="616">
      <c r="A616" s="173" t="str">
        <f>IF('主表 Stock_Transaction_Log'!$T616="","",IF(COUNTIF('主表 Stock_Transaction_Log'!$T$2:$T616,'主表 Stock_Transaction_Log'!$T616)=1,ROW('主表 Stock_Transaction_Log'!$T616),""))</f>
        <v/>
      </c>
      <c r="B616" s="173" t="str">
        <f t="array" ref="B616">IF($A616="","",INDEX('主表 Stock_Transaction_Log'!$Q:$Q,$A616))</f>
        <v/>
      </c>
      <c r="C616" s="173" t="str">
        <f t="array" ref="C616">IF($A616="","",IF(INDEX('主表 Stock_Transaction_Log'!$F:$F,$A616)=0,"",INDEX('主表 Stock_Transaction_Log'!$F:$F,$A616)))</f>
        <v/>
      </c>
      <c r="D616" s="173" t="str">
        <f t="array" ref="D616">IF($A616="","",INDEX('主表 Stock_Transaction_Log'!$G:$G,$A616))</f>
        <v/>
      </c>
      <c r="E616" s="173" t="str">
        <f t="array" ref="E616">IF($A616="","",INDEX('主表 Stock_Transaction_Log'!$H:$H,$A616))</f>
        <v/>
      </c>
      <c r="F616" s="173" t="str">
        <f t="array" ref="F616">IF($A616="","",INDEX('主表 Stock_Transaction_Log'!$I:$I,$A616))</f>
        <v/>
      </c>
      <c r="G616" s="173" t="str">
        <f t="array" ref="G616">IF($A616="","",IF(INDEX('主表 Stock_Transaction_Log'!$R:$R,$A616)=0,"",INDEX('主表 Stock_Transaction_Log'!$R:$R,$A616)))</f>
        <v/>
      </c>
      <c r="H616" s="173" t="str">
        <f t="array" ref="H616">IF($A616="","",SUMIF('主表 Stock_Transaction_Log'!$T:$T,INDEX('主表 Stock_Transaction_Log'!$T:$T,$A616),'主表 Stock_Transaction_Log'!$S:$S)+SUMIF('主表 Stock_Transaction_Log'!$AB:$AB,INDEX('主表 Stock_Transaction_Log'!$T:$T,$A616),'主表 Stock_Transaction_Log'!$AC:$AC))</f>
        <v/>
      </c>
      <c r="I616" s="173" t="str">
        <f t="shared" si="1"/>
        <v/>
      </c>
      <c r="J616" s="173" t="str">
        <f t="shared" si="2"/>
        <v/>
      </c>
      <c r="K616" s="173" t="str">
        <f t="shared" si="3"/>
        <v/>
      </c>
      <c r="L616" s="173" t="str">
        <f t="array" ref="L616">IF($A616="","",INDEX('主表 Stock_Transaction_Log'!$P:$P,$A616))</f>
        <v/>
      </c>
      <c r="M616" s="174" t="str">
        <f>IF($A616="","",IF($H616&lt;=0,0,SUMIFS('主表 Stock_Transaction_Log'!$K$2:$K1000,'主表 Stock_Transaction_Log'!$C$2:$C1000,"Prepared",'主表 Stock_Transaction_Log'!$L$2:$L1000,$B616,'主表 Stock_Transaction_Log'!$F$2:$F1000,$C616,'主表 Stock_Transaction_Log'!$G$2:$G1000,$D616,'主表 Stock_Transaction_Log'!$P$2:$P1000,$L616)))</f>
        <v/>
      </c>
    </row>
    <row r="617">
      <c r="A617" s="173" t="str">
        <f>IF('主表 Stock_Transaction_Log'!$T617="","",IF(COUNTIF('主表 Stock_Transaction_Log'!$T$2:$T617,'主表 Stock_Transaction_Log'!$T617)=1,ROW('主表 Stock_Transaction_Log'!$T617),""))</f>
        <v/>
      </c>
      <c r="B617" s="173" t="str">
        <f t="array" ref="B617">IF($A617="","",INDEX('主表 Stock_Transaction_Log'!$Q:$Q,$A617))</f>
        <v/>
      </c>
      <c r="C617" s="173" t="str">
        <f t="array" ref="C617">IF($A617="","",IF(INDEX('主表 Stock_Transaction_Log'!$F:$F,$A617)=0,"",INDEX('主表 Stock_Transaction_Log'!$F:$F,$A617)))</f>
        <v/>
      </c>
      <c r="D617" s="173" t="str">
        <f t="array" ref="D617">IF($A617="","",INDEX('主表 Stock_Transaction_Log'!$G:$G,$A617))</f>
        <v/>
      </c>
      <c r="E617" s="173" t="str">
        <f t="array" ref="E617">IF($A617="","",INDEX('主表 Stock_Transaction_Log'!$H:$H,$A617))</f>
        <v/>
      </c>
      <c r="F617" s="173" t="str">
        <f t="array" ref="F617">IF($A617="","",INDEX('主表 Stock_Transaction_Log'!$I:$I,$A617))</f>
        <v/>
      </c>
      <c r="G617" s="173" t="str">
        <f t="array" ref="G617">IF($A617="","",IF(INDEX('主表 Stock_Transaction_Log'!$R:$R,$A617)=0,"",INDEX('主表 Stock_Transaction_Log'!$R:$R,$A617)))</f>
        <v/>
      </c>
      <c r="H617" s="173" t="str">
        <f t="array" ref="H617">IF($A617="","",SUMIF('主表 Stock_Transaction_Log'!$T:$T,INDEX('主表 Stock_Transaction_Log'!$T:$T,$A617),'主表 Stock_Transaction_Log'!$S:$S)+SUMIF('主表 Stock_Transaction_Log'!$AB:$AB,INDEX('主表 Stock_Transaction_Log'!$T:$T,$A617),'主表 Stock_Transaction_Log'!$AC:$AC))</f>
        <v/>
      </c>
      <c r="I617" s="173" t="str">
        <f t="shared" si="1"/>
        <v/>
      </c>
      <c r="J617" s="173" t="str">
        <f t="shared" si="2"/>
        <v/>
      </c>
      <c r="K617" s="173" t="str">
        <f t="shared" si="3"/>
        <v/>
      </c>
      <c r="L617" s="173" t="str">
        <f t="array" ref="L617">IF($A617="","",INDEX('主表 Stock_Transaction_Log'!$P:$P,$A617))</f>
        <v/>
      </c>
      <c r="M617" s="174" t="str">
        <f>IF($A617="","",IF($H617&lt;=0,0,SUMIFS('主表 Stock_Transaction_Log'!$K$2:$K1000,'主表 Stock_Transaction_Log'!$C$2:$C1000,"Prepared",'主表 Stock_Transaction_Log'!$L$2:$L1000,$B617,'主表 Stock_Transaction_Log'!$F$2:$F1000,$C617,'主表 Stock_Transaction_Log'!$G$2:$G1000,$D617,'主表 Stock_Transaction_Log'!$P$2:$P1000,$L617)))</f>
        <v/>
      </c>
    </row>
    <row r="618">
      <c r="A618" s="173" t="str">
        <f>IF('主表 Stock_Transaction_Log'!$T618="","",IF(COUNTIF('主表 Stock_Transaction_Log'!$T$2:$T618,'主表 Stock_Transaction_Log'!$T618)=1,ROW('主表 Stock_Transaction_Log'!$T618),""))</f>
        <v/>
      </c>
      <c r="B618" s="173" t="str">
        <f t="array" ref="B618">IF($A618="","",INDEX('主表 Stock_Transaction_Log'!$Q:$Q,$A618))</f>
        <v/>
      </c>
      <c r="C618" s="173" t="str">
        <f t="array" ref="C618">IF($A618="","",IF(INDEX('主表 Stock_Transaction_Log'!$F:$F,$A618)=0,"",INDEX('主表 Stock_Transaction_Log'!$F:$F,$A618)))</f>
        <v/>
      </c>
      <c r="D618" s="173" t="str">
        <f t="array" ref="D618">IF($A618="","",INDEX('主表 Stock_Transaction_Log'!$G:$G,$A618))</f>
        <v/>
      </c>
      <c r="E618" s="173" t="str">
        <f t="array" ref="E618">IF($A618="","",INDEX('主表 Stock_Transaction_Log'!$H:$H,$A618))</f>
        <v/>
      </c>
      <c r="F618" s="173" t="str">
        <f t="array" ref="F618">IF($A618="","",INDEX('主表 Stock_Transaction_Log'!$I:$I,$A618))</f>
        <v/>
      </c>
      <c r="G618" s="173" t="str">
        <f t="array" ref="G618">IF($A618="","",IF(INDEX('主表 Stock_Transaction_Log'!$R:$R,$A618)=0,"",INDEX('主表 Stock_Transaction_Log'!$R:$R,$A618)))</f>
        <v/>
      </c>
      <c r="H618" s="173" t="str">
        <f t="array" ref="H618">IF($A618="","",SUMIF('主表 Stock_Transaction_Log'!$T:$T,INDEX('主表 Stock_Transaction_Log'!$T:$T,$A618),'主表 Stock_Transaction_Log'!$S:$S)+SUMIF('主表 Stock_Transaction_Log'!$AB:$AB,INDEX('主表 Stock_Transaction_Log'!$T:$T,$A618),'主表 Stock_Transaction_Log'!$AC:$AC))</f>
        <v/>
      </c>
      <c r="I618" s="173" t="str">
        <f t="shared" si="1"/>
        <v/>
      </c>
      <c r="J618" s="173" t="str">
        <f t="shared" si="2"/>
        <v/>
      </c>
      <c r="K618" s="173" t="str">
        <f t="shared" si="3"/>
        <v/>
      </c>
      <c r="L618" s="173" t="str">
        <f t="array" ref="L618">IF($A618="","",INDEX('主表 Stock_Transaction_Log'!$P:$P,$A618))</f>
        <v/>
      </c>
      <c r="M618" s="174" t="str">
        <f>IF($A618="","",IF($H618&lt;=0,0,SUMIFS('主表 Stock_Transaction_Log'!$K$2:$K1000,'主表 Stock_Transaction_Log'!$C$2:$C1000,"Prepared",'主表 Stock_Transaction_Log'!$L$2:$L1000,$B618,'主表 Stock_Transaction_Log'!$F$2:$F1000,$C618,'主表 Stock_Transaction_Log'!$G$2:$G1000,$D618,'主表 Stock_Transaction_Log'!$P$2:$P1000,$L618)))</f>
        <v/>
      </c>
    </row>
    <row r="619">
      <c r="A619" s="173" t="str">
        <f>IF('主表 Stock_Transaction_Log'!$T619="","",IF(COUNTIF('主表 Stock_Transaction_Log'!$T$2:$T619,'主表 Stock_Transaction_Log'!$T619)=1,ROW('主表 Stock_Transaction_Log'!$T619),""))</f>
        <v/>
      </c>
      <c r="B619" s="173" t="str">
        <f t="array" ref="B619">IF($A619="","",INDEX('主表 Stock_Transaction_Log'!$Q:$Q,$A619))</f>
        <v/>
      </c>
      <c r="C619" s="173" t="str">
        <f t="array" ref="C619">IF($A619="","",IF(INDEX('主表 Stock_Transaction_Log'!$F:$F,$A619)=0,"",INDEX('主表 Stock_Transaction_Log'!$F:$F,$A619)))</f>
        <v/>
      </c>
      <c r="D619" s="173" t="str">
        <f t="array" ref="D619">IF($A619="","",INDEX('主表 Stock_Transaction_Log'!$G:$G,$A619))</f>
        <v/>
      </c>
      <c r="E619" s="173" t="str">
        <f t="array" ref="E619">IF($A619="","",INDEX('主表 Stock_Transaction_Log'!$H:$H,$A619))</f>
        <v/>
      </c>
      <c r="F619" s="173" t="str">
        <f t="array" ref="F619">IF($A619="","",INDEX('主表 Stock_Transaction_Log'!$I:$I,$A619))</f>
        <v/>
      </c>
      <c r="G619" s="173" t="str">
        <f t="array" ref="G619">IF($A619="","",IF(INDEX('主表 Stock_Transaction_Log'!$R:$R,$A619)=0,"",INDEX('主表 Stock_Transaction_Log'!$R:$R,$A619)))</f>
        <v/>
      </c>
      <c r="H619" s="173" t="str">
        <f t="array" ref="H619">IF($A619="","",SUMIF('主表 Stock_Transaction_Log'!$T:$T,INDEX('主表 Stock_Transaction_Log'!$T:$T,$A619),'主表 Stock_Transaction_Log'!$S:$S)+SUMIF('主表 Stock_Transaction_Log'!$AB:$AB,INDEX('主表 Stock_Transaction_Log'!$T:$T,$A619),'主表 Stock_Transaction_Log'!$AC:$AC))</f>
        <v/>
      </c>
      <c r="I619" s="173" t="str">
        <f t="shared" si="1"/>
        <v/>
      </c>
      <c r="J619" s="173" t="str">
        <f t="shared" si="2"/>
        <v/>
      </c>
      <c r="K619" s="173" t="str">
        <f t="shared" si="3"/>
        <v/>
      </c>
      <c r="L619" s="173" t="str">
        <f t="array" ref="L619">IF($A619="","",INDEX('主表 Stock_Transaction_Log'!$P:$P,$A619))</f>
        <v/>
      </c>
      <c r="M619" s="174" t="str">
        <f>IF($A619="","",IF($H619&lt;=0,0,SUMIFS('主表 Stock_Transaction_Log'!$K$2:$K1000,'主表 Stock_Transaction_Log'!$C$2:$C1000,"Prepared",'主表 Stock_Transaction_Log'!$L$2:$L1000,$B619,'主表 Stock_Transaction_Log'!$F$2:$F1000,$C619,'主表 Stock_Transaction_Log'!$G$2:$G1000,$D619,'主表 Stock_Transaction_Log'!$P$2:$P1000,$L619)))</f>
        <v/>
      </c>
    </row>
    <row r="620">
      <c r="A620" s="173" t="str">
        <f>IF('主表 Stock_Transaction_Log'!$T620="","",IF(COUNTIF('主表 Stock_Transaction_Log'!$T$2:$T620,'主表 Stock_Transaction_Log'!$T620)=1,ROW('主表 Stock_Transaction_Log'!$T620),""))</f>
        <v/>
      </c>
      <c r="B620" s="173" t="str">
        <f t="array" ref="B620">IF($A620="","",INDEX('主表 Stock_Transaction_Log'!$Q:$Q,$A620))</f>
        <v/>
      </c>
      <c r="C620" s="173" t="str">
        <f t="array" ref="C620">IF($A620="","",IF(INDEX('主表 Stock_Transaction_Log'!$F:$F,$A620)=0,"",INDEX('主表 Stock_Transaction_Log'!$F:$F,$A620)))</f>
        <v/>
      </c>
      <c r="D620" s="173" t="str">
        <f t="array" ref="D620">IF($A620="","",INDEX('主表 Stock_Transaction_Log'!$G:$G,$A620))</f>
        <v/>
      </c>
      <c r="E620" s="173" t="str">
        <f t="array" ref="E620">IF($A620="","",INDEX('主表 Stock_Transaction_Log'!$H:$H,$A620))</f>
        <v/>
      </c>
      <c r="F620" s="173" t="str">
        <f t="array" ref="F620">IF($A620="","",INDEX('主表 Stock_Transaction_Log'!$I:$I,$A620))</f>
        <v/>
      </c>
      <c r="G620" s="173" t="str">
        <f t="array" ref="G620">IF($A620="","",IF(INDEX('主表 Stock_Transaction_Log'!$R:$R,$A620)=0,"",INDEX('主表 Stock_Transaction_Log'!$R:$R,$A620)))</f>
        <v/>
      </c>
      <c r="H620" s="173" t="str">
        <f t="array" ref="H620">IF($A620="","",SUMIF('主表 Stock_Transaction_Log'!$T:$T,INDEX('主表 Stock_Transaction_Log'!$T:$T,$A620),'主表 Stock_Transaction_Log'!$S:$S)+SUMIF('主表 Stock_Transaction_Log'!$AB:$AB,INDEX('主表 Stock_Transaction_Log'!$T:$T,$A620),'主表 Stock_Transaction_Log'!$AC:$AC))</f>
        <v/>
      </c>
      <c r="I620" s="173" t="str">
        <f t="shared" si="1"/>
        <v/>
      </c>
      <c r="J620" s="173" t="str">
        <f t="shared" si="2"/>
        <v/>
      </c>
      <c r="K620" s="173" t="str">
        <f t="shared" si="3"/>
        <v/>
      </c>
      <c r="L620" s="173" t="str">
        <f t="array" ref="L620">IF($A620="","",INDEX('主表 Stock_Transaction_Log'!$P:$P,$A620))</f>
        <v/>
      </c>
      <c r="M620" s="174" t="str">
        <f>IF($A620="","",IF($H620&lt;=0,0,SUMIFS('主表 Stock_Transaction_Log'!$K$2:$K1000,'主表 Stock_Transaction_Log'!$C$2:$C1000,"Prepared",'主表 Stock_Transaction_Log'!$L$2:$L1000,$B620,'主表 Stock_Transaction_Log'!$F$2:$F1000,$C620,'主表 Stock_Transaction_Log'!$G$2:$G1000,$D620,'主表 Stock_Transaction_Log'!$P$2:$P1000,$L620)))</f>
        <v/>
      </c>
    </row>
    <row r="621">
      <c r="A621" s="173" t="str">
        <f>IF('主表 Stock_Transaction_Log'!$T621="","",IF(COUNTIF('主表 Stock_Transaction_Log'!$T$2:$T621,'主表 Stock_Transaction_Log'!$T621)=1,ROW('主表 Stock_Transaction_Log'!$T621),""))</f>
        <v/>
      </c>
      <c r="B621" s="173" t="str">
        <f t="array" ref="B621">IF($A621="","",INDEX('主表 Stock_Transaction_Log'!$Q:$Q,$A621))</f>
        <v/>
      </c>
      <c r="C621" s="173" t="str">
        <f t="array" ref="C621">IF($A621="","",IF(INDEX('主表 Stock_Transaction_Log'!$F:$F,$A621)=0,"",INDEX('主表 Stock_Transaction_Log'!$F:$F,$A621)))</f>
        <v/>
      </c>
      <c r="D621" s="173" t="str">
        <f t="array" ref="D621">IF($A621="","",INDEX('主表 Stock_Transaction_Log'!$G:$G,$A621))</f>
        <v/>
      </c>
      <c r="E621" s="173" t="str">
        <f t="array" ref="E621">IF($A621="","",INDEX('主表 Stock_Transaction_Log'!$H:$H,$A621))</f>
        <v/>
      </c>
      <c r="F621" s="173" t="str">
        <f t="array" ref="F621">IF($A621="","",INDEX('主表 Stock_Transaction_Log'!$I:$I,$A621))</f>
        <v/>
      </c>
      <c r="G621" s="173" t="str">
        <f t="array" ref="G621">IF($A621="","",IF(INDEX('主表 Stock_Transaction_Log'!$R:$R,$A621)=0,"",INDEX('主表 Stock_Transaction_Log'!$R:$R,$A621)))</f>
        <v/>
      </c>
      <c r="H621" s="173" t="str">
        <f t="array" ref="H621">IF($A621="","",SUMIF('主表 Stock_Transaction_Log'!$T:$T,INDEX('主表 Stock_Transaction_Log'!$T:$T,$A621),'主表 Stock_Transaction_Log'!$S:$S)+SUMIF('主表 Stock_Transaction_Log'!$AB:$AB,INDEX('主表 Stock_Transaction_Log'!$T:$T,$A621),'主表 Stock_Transaction_Log'!$AC:$AC))</f>
        <v/>
      </c>
      <c r="I621" s="173" t="str">
        <f t="shared" si="1"/>
        <v/>
      </c>
      <c r="J621" s="173" t="str">
        <f t="shared" si="2"/>
        <v/>
      </c>
      <c r="K621" s="173" t="str">
        <f t="shared" si="3"/>
        <v/>
      </c>
      <c r="L621" s="173" t="str">
        <f t="array" ref="L621">IF($A621="","",INDEX('主表 Stock_Transaction_Log'!$P:$P,$A621))</f>
        <v/>
      </c>
      <c r="M621" s="174" t="str">
        <f>IF($A621="","",IF($H621&lt;=0,0,SUMIFS('主表 Stock_Transaction_Log'!$K$2:$K1000,'主表 Stock_Transaction_Log'!$C$2:$C1000,"Prepared",'主表 Stock_Transaction_Log'!$L$2:$L1000,$B621,'主表 Stock_Transaction_Log'!$F$2:$F1000,$C621,'主表 Stock_Transaction_Log'!$G$2:$G1000,$D621,'主表 Stock_Transaction_Log'!$P$2:$P1000,$L621)))</f>
        <v/>
      </c>
    </row>
    <row r="622">
      <c r="A622" s="173" t="str">
        <f>IF('主表 Stock_Transaction_Log'!$T622="","",IF(COUNTIF('主表 Stock_Transaction_Log'!$T$2:$T622,'主表 Stock_Transaction_Log'!$T622)=1,ROW('主表 Stock_Transaction_Log'!$T622),""))</f>
        <v/>
      </c>
      <c r="B622" s="173" t="str">
        <f t="array" ref="B622">IF($A622="","",INDEX('主表 Stock_Transaction_Log'!$Q:$Q,$A622))</f>
        <v/>
      </c>
      <c r="C622" s="173" t="str">
        <f t="array" ref="C622">IF($A622="","",IF(INDEX('主表 Stock_Transaction_Log'!$F:$F,$A622)=0,"",INDEX('主表 Stock_Transaction_Log'!$F:$F,$A622)))</f>
        <v/>
      </c>
      <c r="D622" s="173" t="str">
        <f t="array" ref="D622">IF($A622="","",INDEX('主表 Stock_Transaction_Log'!$G:$G,$A622))</f>
        <v/>
      </c>
      <c r="E622" s="173" t="str">
        <f t="array" ref="E622">IF($A622="","",INDEX('主表 Stock_Transaction_Log'!$H:$H,$A622))</f>
        <v/>
      </c>
      <c r="F622" s="173" t="str">
        <f t="array" ref="F622">IF($A622="","",INDEX('主表 Stock_Transaction_Log'!$I:$I,$A622))</f>
        <v/>
      </c>
      <c r="G622" s="173" t="str">
        <f t="array" ref="G622">IF($A622="","",IF(INDEX('主表 Stock_Transaction_Log'!$R:$R,$A622)=0,"",INDEX('主表 Stock_Transaction_Log'!$R:$R,$A622)))</f>
        <v/>
      </c>
      <c r="H622" s="173" t="str">
        <f t="array" ref="H622">IF($A622="","",SUMIF('主表 Stock_Transaction_Log'!$T:$T,INDEX('主表 Stock_Transaction_Log'!$T:$T,$A622),'主表 Stock_Transaction_Log'!$S:$S)+SUMIF('主表 Stock_Transaction_Log'!$AB:$AB,INDEX('主表 Stock_Transaction_Log'!$T:$T,$A622),'主表 Stock_Transaction_Log'!$AC:$AC))</f>
        <v/>
      </c>
      <c r="I622" s="173" t="str">
        <f t="shared" si="1"/>
        <v/>
      </c>
      <c r="J622" s="173" t="str">
        <f t="shared" si="2"/>
        <v/>
      </c>
      <c r="K622" s="173" t="str">
        <f t="shared" si="3"/>
        <v/>
      </c>
      <c r="L622" s="173" t="str">
        <f t="array" ref="L622">IF($A622="","",INDEX('主表 Stock_Transaction_Log'!$P:$P,$A622))</f>
        <v/>
      </c>
      <c r="M622" s="174" t="str">
        <f>IF($A622="","",IF($H622&lt;=0,0,SUMIFS('主表 Stock_Transaction_Log'!$K$2:$K1000,'主表 Stock_Transaction_Log'!$C$2:$C1000,"Prepared",'主表 Stock_Transaction_Log'!$L$2:$L1000,$B622,'主表 Stock_Transaction_Log'!$F$2:$F1000,$C622,'主表 Stock_Transaction_Log'!$G$2:$G1000,$D622,'主表 Stock_Transaction_Log'!$P$2:$P1000,$L622)))</f>
        <v/>
      </c>
    </row>
    <row r="623">
      <c r="A623" s="173" t="str">
        <f>IF('主表 Stock_Transaction_Log'!$T623="","",IF(COUNTIF('主表 Stock_Transaction_Log'!$T$2:$T623,'主表 Stock_Transaction_Log'!$T623)=1,ROW('主表 Stock_Transaction_Log'!$T623),""))</f>
        <v/>
      </c>
      <c r="B623" s="173" t="str">
        <f t="array" ref="B623">IF($A623="","",INDEX('主表 Stock_Transaction_Log'!$Q:$Q,$A623))</f>
        <v/>
      </c>
      <c r="C623" s="173" t="str">
        <f t="array" ref="C623">IF($A623="","",IF(INDEX('主表 Stock_Transaction_Log'!$F:$F,$A623)=0,"",INDEX('主表 Stock_Transaction_Log'!$F:$F,$A623)))</f>
        <v/>
      </c>
      <c r="D623" s="173" t="str">
        <f t="array" ref="D623">IF($A623="","",INDEX('主表 Stock_Transaction_Log'!$G:$G,$A623))</f>
        <v/>
      </c>
      <c r="E623" s="173" t="str">
        <f t="array" ref="E623">IF($A623="","",INDEX('主表 Stock_Transaction_Log'!$H:$H,$A623))</f>
        <v/>
      </c>
      <c r="F623" s="173" t="str">
        <f t="array" ref="F623">IF($A623="","",INDEX('主表 Stock_Transaction_Log'!$I:$I,$A623))</f>
        <v/>
      </c>
      <c r="G623" s="173" t="str">
        <f t="array" ref="G623">IF($A623="","",IF(INDEX('主表 Stock_Transaction_Log'!$R:$R,$A623)=0,"",INDEX('主表 Stock_Transaction_Log'!$R:$R,$A623)))</f>
        <v/>
      </c>
      <c r="H623" s="173" t="str">
        <f t="array" ref="H623">IF($A623="","",SUMIF('主表 Stock_Transaction_Log'!$T:$T,INDEX('主表 Stock_Transaction_Log'!$T:$T,$A623),'主表 Stock_Transaction_Log'!$S:$S)+SUMIF('主表 Stock_Transaction_Log'!$AB:$AB,INDEX('主表 Stock_Transaction_Log'!$T:$T,$A623),'主表 Stock_Transaction_Log'!$AC:$AC))</f>
        <v/>
      </c>
      <c r="I623" s="173" t="str">
        <f t="shared" si="1"/>
        <v/>
      </c>
      <c r="J623" s="173" t="str">
        <f t="shared" si="2"/>
        <v/>
      </c>
      <c r="K623" s="173" t="str">
        <f t="shared" si="3"/>
        <v/>
      </c>
      <c r="L623" s="173" t="str">
        <f t="array" ref="L623">IF($A623="","",INDEX('主表 Stock_Transaction_Log'!$P:$P,$A623))</f>
        <v/>
      </c>
      <c r="M623" s="174" t="str">
        <f>IF($A623="","",IF($H623&lt;=0,0,SUMIFS('主表 Stock_Transaction_Log'!$K$2:$K1000,'主表 Stock_Transaction_Log'!$C$2:$C1000,"Prepared",'主表 Stock_Transaction_Log'!$L$2:$L1000,$B623,'主表 Stock_Transaction_Log'!$F$2:$F1000,$C623,'主表 Stock_Transaction_Log'!$G$2:$G1000,$D623,'主表 Stock_Transaction_Log'!$P$2:$P1000,$L623)))</f>
        <v/>
      </c>
    </row>
    <row r="624">
      <c r="A624" s="173" t="str">
        <f>IF('主表 Stock_Transaction_Log'!$T624="","",IF(COUNTIF('主表 Stock_Transaction_Log'!$T$2:$T624,'主表 Stock_Transaction_Log'!$T624)=1,ROW('主表 Stock_Transaction_Log'!$T624),""))</f>
        <v/>
      </c>
      <c r="B624" s="173" t="str">
        <f t="array" ref="B624">IF($A624="","",INDEX('主表 Stock_Transaction_Log'!$Q:$Q,$A624))</f>
        <v/>
      </c>
      <c r="C624" s="173" t="str">
        <f t="array" ref="C624">IF($A624="","",IF(INDEX('主表 Stock_Transaction_Log'!$F:$F,$A624)=0,"",INDEX('主表 Stock_Transaction_Log'!$F:$F,$A624)))</f>
        <v/>
      </c>
      <c r="D624" s="173" t="str">
        <f t="array" ref="D624">IF($A624="","",INDEX('主表 Stock_Transaction_Log'!$G:$G,$A624))</f>
        <v/>
      </c>
      <c r="E624" s="173" t="str">
        <f t="array" ref="E624">IF($A624="","",INDEX('主表 Stock_Transaction_Log'!$H:$H,$A624))</f>
        <v/>
      </c>
      <c r="F624" s="173" t="str">
        <f t="array" ref="F624">IF($A624="","",INDEX('主表 Stock_Transaction_Log'!$I:$I,$A624))</f>
        <v/>
      </c>
      <c r="G624" s="173" t="str">
        <f t="array" ref="G624">IF($A624="","",IF(INDEX('主表 Stock_Transaction_Log'!$R:$R,$A624)=0,"",INDEX('主表 Stock_Transaction_Log'!$R:$R,$A624)))</f>
        <v/>
      </c>
      <c r="H624" s="173" t="str">
        <f t="array" ref="H624">IF($A624="","",SUMIF('主表 Stock_Transaction_Log'!$T:$T,INDEX('主表 Stock_Transaction_Log'!$T:$T,$A624),'主表 Stock_Transaction_Log'!$S:$S)+SUMIF('主表 Stock_Transaction_Log'!$AB:$AB,INDEX('主表 Stock_Transaction_Log'!$T:$T,$A624),'主表 Stock_Transaction_Log'!$AC:$AC))</f>
        <v/>
      </c>
      <c r="I624" s="173" t="str">
        <f t="shared" si="1"/>
        <v/>
      </c>
      <c r="J624" s="173" t="str">
        <f t="shared" si="2"/>
        <v/>
      </c>
      <c r="K624" s="173" t="str">
        <f t="shared" si="3"/>
        <v/>
      </c>
      <c r="L624" s="173" t="str">
        <f t="array" ref="L624">IF($A624="","",INDEX('主表 Stock_Transaction_Log'!$P:$P,$A624))</f>
        <v/>
      </c>
      <c r="M624" s="174" t="str">
        <f>IF($A624="","",IF($H624&lt;=0,0,SUMIFS('主表 Stock_Transaction_Log'!$K$2:$K1000,'主表 Stock_Transaction_Log'!$C$2:$C1000,"Prepared",'主表 Stock_Transaction_Log'!$L$2:$L1000,$B624,'主表 Stock_Transaction_Log'!$F$2:$F1000,$C624,'主表 Stock_Transaction_Log'!$G$2:$G1000,$D624,'主表 Stock_Transaction_Log'!$P$2:$P1000,$L624)))</f>
        <v/>
      </c>
    </row>
    <row r="625">
      <c r="A625" s="173" t="str">
        <f>IF('主表 Stock_Transaction_Log'!$T625="","",IF(COUNTIF('主表 Stock_Transaction_Log'!$T$2:$T625,'主表 Stock_Transaction_Log'!$T625)=1,ROW('主表 Stock_Transaction_Log'!$T625),""))</f>
        <v/>
      </c>
      <c r="B625" s="173" t="str">
        <f t="array" ref="B625">IF($A625="","",INDEX('主表 Stock_Transaction_Log'!$Q:$Q,$A625))</f>
        <v/>
      </c>
      <c r="C625" s="173" t="str">
        <f t="array" ref="C625">IF($A625="","",IF(INDEX('主表 Stock_Transaction_Log'!$F:$F,$A625)=0,"",INDEX('主表 Stock_Transaction_Log'!$F:$F,$A625)))</f>
        <v/>
      </c>
      <c r="D625" s="173" t="str">
        <f t="array" ref="D625">IF($A625="","",INDEX('主表 Stock_Transaction_Log'!$G:$G,$A625))</f>
        <v/>
      </c>
      <c r="E625" s="173" t="str">
        <f t="array" ref="E625">IF($A625="","",INDEX('主表 Stock_Transaction_Log'!$H:$H,$A625))</f>
        <v/>
      </c>
      <c r="F625" s="173" t="str">
        <f t="array" ref="F625">IF($A625="","",INDEX('主表 Stock_Transaction_Log'!$I:$I,$A625))</f>
        <v/>
      </c>
      <c r="G625" s="173" t="str">
        <f t="array" ref="G625">IF($A625="","",IF(INDEX('主表 Stock_Transaction_Log'!$R:$R,$A625)=0,"",INDEX('主表 Stock_Transaction_Log'!$R:$R,$A625)))</f>
        <v/>
      </c>
      <c r="H625" s="173" t="str">
        <f t="array" ref="H625">IF($A625="","",SUMIF('主表 Stock_Transaction_Log'!$T:$T,INDEX('主表 Stock_Transaction_Log'!$T:$T,$A625),'主表 Stock_Transaction_Log'!$S:$S)+SUMIF('主表 Stock_Transaction_Log'!$AB:$AB,INDEX('主表 Stock_Transaction_Log'!$T:$T,$A625),'主表 Stock_Transaction_Log'!$AC:$AC))</f>
        <v/>
      </c>
      <c r="I625" s="173" t="str">
        <f t="shared" si="1"/>
        <v/>
      </c>
      <c r="J625" s="173" t="str">
        <f t="shared" si="2"/>
        <v/>
      </c>
      <c r="K625" s="173" t="str">
        <f t="shared" si="3"/>
        <v/>
      </c>
      <c r="L625" s="173" t="str">
        <f t="array" ref="L625">IF($A625="","",INDEX('主表 Stock_Transaction_Log'!$P:$P,$A625))</f>
        <v/>
      </c>
      <c r="M625" s="174" t="str">
        <f>IF($A625="","",IF($H625&lt;=0,0,SUMIFS('主表 Stock_Transaction_Log'!$K$2:$K1000,'主表 Stock_Transaction_Log'!$C$2:$C1000,"Prepared",'主表 Stock_Transaction_Log'!$L$2:$L1000,$B625,'主表 Stock_Transaction_Log'!$F$2:$F1000,$C625,'主表 Stock_Transaction_Log'!$G$2:$G1000,$D625,'主表 Stock_Transaction_Log'!$P$2:$P1000,$L625)))</f>
        <v/>
      </c>
    </row>
    <row r="626">
      <c r="A626" s="173" t="str">
        <f>IF('主表 Stock_Transaction_Log'!$T626="","",IF(COUNTIF('主表 Stock_Transaction_Log'!$T$2:$T626,'主表 Stock_Transaction_Log'!$T626)=1,ROW('主表 Stock_Transaction_Log'!$T626),""))</f>
        <v/>
      </c>
      <c r="B626" s="173" t="str">
        <f t="array" ref="B626">IF($A626="","",INDEX('主表 Stock_Transaction_Log'!$Q:$Q,$A626))</f>
        <v/>
      </c>
      <c r="C626" s="173" t="str">
        <f t="array" ref="C626">IF($A626="","",IF(INDEX('主表 Stock_Transaction_Log'!$F:$F,$A626)=0,"",INDEX('主表 Stock_Transaction_Log'!$F:$F,$A626)))</f>
        <v/>
      </c>
      <c r="D626" s="173" t="str">
        <f t="array" ref="D626">IF($A626="","",INDEX('主表 Stock_Transaction_Log'!$G:$G,$A626))</f>
        <v/>
      </c>
      <c r="E626" s="173" t="str">
        <f t="array" ref="E626">IF($A626="","",INDEX('主表 Stock_Transaction_Log'!$H:$H,$A626))</f>
        <v/>
      </c>
      <c r="F626" s="173" t="str">
        <f t="array" ref="F626">IF($A626="","",INDEX('主表 Stock_Transaction_Log'!$I:$I,$A626))</f>
        <v/>
      </c>
      <c r="G626" s="173" t="str">
        <f t="array" ref="G626">IF($A626="","",IF(INDEX('主表 Stock_Transaction_Log'!$R:$R,$A626)=0,"",INDEX('主表 Stock_Transaction_Log'!$R:$R,$A626)))</f>
        <v/>
      </c>
      <c r="H626" s="173" t="str">
        <f t="array" ref="H626">IF($A626="","",SUMIF('主表 Stock_Transaction_Log'!$T:$T,INDEX('主表 Stock_Transaction_Log'!$T:$T,$A626),'主表 Stock_Transaction_Log'!$S:$S)+SUMIF('主表 Stock_Transaction_Log'!$AB:$AB,INDEX('主表 Stock_Transaction_Log'!$T:$T,$A626),'主表 Stock_Transaction_Log'!$AC:$AC))</f>
        <v/>
      </c>
      <c r="I626" s="173" t="str">
        <f t="shared" si="1"/>
        <v/>
      </c>
      <c r="J626" s="173" t="str">
        <f t="shared" si="2"/>
        <v/>
      </c>
      <c r="K626" s="173" t="str">
        <f t="shared" si="3"/>
        <v/>
      </c>
      <c r="L626" s="173" t="str">
        <f t="array" ref="L626">IF($A626="","",INDEX('主表 Stock_Transaction_Log'!$P:$P,$A626))</f>
        <v/>
      </c>
      <c r="M626" s="174" t="str">
        <f>IF($A626="","",IF($H626&lt;=0,0,SUMIFS('主表 Stock_Transaction_Log'!$K$2:$K1000,'主表 Stock_Transaction_Log'!$C$2:$C1000,"Prepared",'主表 Stock_Transaction_Log'!$L$2:$L1000,$B626,'主表 Stock_Transaction_Log'!$F$2:$F1000,$C626,'主表 Stock_Transaction_Log'!$G$2:$G1000,$D626,'主表 Stock_Transaction_Log'!$P$2:$P1000,$L626)))</f>
        <v/>
      </c>
    </row>
    <row r="627">
      <c r="A627" s="173" t="str">
        <f>IF('主表 Stock_Transaction_Log'!$T627="","",IF(COUNTIF('主表 Stock_Transaction_Log'!$T$2:$T627,'主表 Stock_Transaction_Log'!$T627)=1,ROW('主表 Stock_Transaction_Log'!$T627),""))</f>
        <v/>
      </c>
      <c r="B627" s="173" t="str">
        <f t="array" ref="B627">IF($A627="","",INDEX('主表 Stock_Transaction_Log'!$Q:$Q,$A627))</f>
        <v/>
      </c>
      <c r="C627" s="173" t="str">
        <f t="array" ref="C627">IF($A627="","",IF(INDEX('主表 Stock_Transaction_Log'!$F:$F,$A627)=0,"",INDEX('主表 Stock_Transaction_Log'!$F:$F,$A627)))</f>
        <v/>
      </c>
      <c r="D627" s="173" t="str">
        <f t="array" ref="D627">IF($A627="","",INDEX('主表 Stock_Transaction_Log'!$G:$G,$A627))</f>
        <v/>
      </c>
      <c r="E627" s="173" t="str">
        <f t="array" ref="E627">IF($A627="","",INDEX('主表 Stock_Transaction_Log'!$H:$H,$A627))</f>
        <v/>
      </c>
      <c r="F627" s="173" t="str">
        <f t="array" ref="F627">IF($A627="","",INDEX('主表 Stock_Transaction_Log'!$I:$I,$A627))</f>
        <v/>
      </c>
      <c r="G627" s="173" t="str">
        <f t="array" ref="G627">IF($A627="","",IF(INDEX('主表 Stock_Transaction_Log'!$R:$R,$A627)=0,"",INDEX('主表 Stock_Transaction_Log'!$R:$R,$A627)))</f>
        <v/>
      </c>
      <c r="H627" s="173" t="str">
        <f t="array" ref="H627">IF($A627="","",SUMIF('主表 Stock_Transaction_Log'!$T:$T,INDEX('主表 Stock_Transaction_Log'!$T:$T,$A627),'主表 Stock_Transaction_Log'!$S:$S)+SUMIF('主表 Stock_Transaction_Log'!$AB:$AB,INDEX('主表 Stock_Transaction_Log'!$T:$T,$A627),'主表 Stock_Transaction_Log'!$AC:$AC))</f>
        <v/>
      </c>
      <c r="I627" s="173" t="str">
        <f t="shared" si="1"/>
        <v/>
      </c>
      <c r="J627" s="173" t="str">
        <f t="shared" si="2"/>
        <v/>
      </c>
      <c r="K627" s="173" t="str">
        <f t="shared" si="3"/>
        <v/>
      </c>
      <c r="L627" s="173" t="str">
        <f t="array" ref="L627">IF($A627="","",INDEX('主表 Stock_Transaction_Log'!$P:$P,$A627))</f>
        <v/>
      </c>
      <c r="M627" s="174" t="str">
        <f>IF($A627="","",IF($H627&lt;=0,0,SUMIFS('主表 Stock_Transaction_Log'!$K$2:$K1000,'主表 Stock_Transaction_Log'!$C$2:$C1000,"Prepared",'主表 Stock_Transaction_Log'!$L$2:$L1000,$B627,'主表 Stock_Transaction_Log'!$F$2:$F1000,$C627,'主表 Stock_Transaction_Log'!$G$2:$G1000,$D627,'主表 Stock_Transaction_Log'!$P$2:$P1000,$L627)))</f>
        <v/>
      </c>
    </row>
    <row r="628">
      <c r="A628" s="173" t="str">
        <f>IF('主表 Stock_Transaction_Log'!$T628="","",IF(COUNTIF('主表 Stock_Transaction_Log'!$T$2:$T628,'主表 Stock_Transaction_Log'!$T628)=1,ROW('主表 Stock_Transaction_Log'!$T628),""))</f>
        <v/>
      </c>
      <c r="B628" s="173" t="str">
        <f t="array" ref="B628">IF($A628="","",INDEX('主表 Stock_Transaction_Log'!$Q:$Q,$A628))</f>
        <v/>
      </c>
      <c r="C628" s="173" t="str">
        <f t="array" ref="C628">IF($A628="","",IF(INDEX('主表 Stock_Transaction_Log'!$F:$F,$A628)=0,"",INDEX('主表 Stock_Transaction_Log'!$F:$F,$A628)))</f>
        <v/>
      </c>
      <c r="D628" s="173" t="str">
        <f t="array" ref="D628">IF($A628="","",INDEX('主表 Stock_Transaction_Log'!$G:$G,$A628))</f>
        <v/>
      </c>
      <c r="E628" s="173" t="str">
        <f t="array" ref="E628">IF($A628="","",INDEX('主表 Stock_Transaction_Log'!$H:$H,$A628))</f>
        <v/>
      </c>
      <c r="F628" s="173" t="str">
        <f t="array" ref="F628">IF($A628="","",INDEX('主表 Stock_Transaction_Log'!$I:$I,$A628))</f>
        <v/>
      </c>
      <c r="G628" s="173" t="str">
        <f t="array" ref="G628">IF($A628="","",IF(INDEX('主表 Stock_Transaction_Log'!$R:$R,$A628)=0,"",INDEX('主表 Stock_Transaction_Log'!$R:$R,$A628)))</f>
        <v/>
      </c>
      <c r="H628" s="173" t="str">
        <f t="array" ref="H628">IF($A628="","",SUMIF('主表 Stock_Transaction_Log'!$T:$T,INDEX('主表 Stock_Transaction_Log'!$T:$T,$A628),'主表 Stock_Transaction_Log'!$S:$S)+SUMIF('主表 Stock_Transaction_Log'!$AB:$AB,INDEX('主表 Stock_Transaction_Log'!$T:$T,$A628),'主表 Stock_Transaction_Log'!$AC:$AC))</f>
        <v/>
      </c>
      <c r="I628" s="173" t="str">
        <f t="shared" si="1"/>
        <v/>
      </c>
      <c r="J628" s="173" t="str">
        <f t="shared" si="2"/>
        <v/>
      </c>
      <c r="K628" s="173" t="str">
        <f t="shared" si="3"/>
        <v/>
      </c>
      <c r="L628" s="173" t="str">
        <f t="array" ref="L628">IF($A628="","",INDEX('主表 Stock_Transaction_Log'!$P:$P,$A628))</f>
        <v/>
      </c>
      <c r="M628" s="174" t="str">
        <f>IF($A628="","",IF($H628&lt;=0,0,SUMIFS('主表 Stock_Transaction_Log'!$K$2:$K1000,'主表 Stock_Transaction_Log'!$C$2:$C1000,"Prepared",'主表 Stock_Transaction_Log'!$L$2:$L1000,$B628,'主表 Stock_Transaction_Log'!$F$2:$F1000,$C628,'主表 Stock_Transaction_Log'!$G$2:$G1000,$D628,'主表 Stock_Transaction_Log'!$P$2:$P1000,$L628)))</f>
        <v/>
      </c>
    </row>
    <row r="629">
      <c r="A629" s="173" t="str">
        <f>IF('主表 Stock_Transaction_Log'!$T629="","",IF(COUNTIF('主表 Stock_Transaction_Log'!$T$2:$T629,'主表 Stock_Transaction_Log'!$T629)=1,ROW('主表 Stock_Transaction_Log'!$T629),""))</f>
        <v/>
      </c>
      <c r="B629" s="173" t="str">
        <f t="array" ref="B629">IF($A629="","",INDEX('主表 Stock_Transaction_Log'!$Q:$Q,$A629))</f>
        <v/>
      </c>
      <c r="C629" s="173" t="str">
        <f t="array" ref="C629">IF($A629="","",IF(INDEX('主表 Stock_Transaction_Log'!$F:$F,$A629)=0,"",INDEX('主表 Stock_Transaction_Log'!$F:$F,$A629)))</f>
        <v/>
      </c>
      <c r="D629" s="173" t="str">
        <f t="array" ref="D629">IF($A629="","",INDEX('主表 Stock_Transaction_Log'!$G:$G,$A629))</f>
        <v/>
      </c>
      <c r="E629" s="173" t="str">
        <f t="array" ref="E629">IF($A629="","",INDEX('主表 Stock_Transaction_Log'!$H:$H,$A629))</f>
        <v/>
      </c>
      <c r="F629" s="173" t="str">
        <f t="array" ref="F629">IF($A629="","",INDEX('主表 Stock_Transaction_Log'!$I:$I,$A629))</f>
        <v/>
      </c>
      <c r="G629" s="173" t="str">
        <f t="array" ref="G629">IF($A629="","",IF(INDEX('主表 Stock_Transaction_Log'!$R:$R,$A629)=0,"",INDEX('主表 Stock_Transaction_Log'!$R:$R,$A629)))</f>
        <v/>
      </c>
      <c r="H629" s="173" t="str">
        <f t="array" ref="H629">IF($A629="","",SUMIF('主表 Stock_Transaction_Log'!$T:$T,INDEX('主表 Stock_Transaction_Log'!$T:$T,$A629),'主表 Stock_Transaction_Log'!$S:$S)+SUMIF('主表 Stock_Transaction_Log'!$AB:$AB,INDEX('主表 Stock_Transaction_Log'!$T:$T,$A629),'主表 Stock_Transaction_Log'!$AC:$AC))</f>
        <v/>
      </c>
      <c r="I629" s="173" t="str">
        <f t="shared" si="1"/>
        <v/>
      </c>
      <c r="J629" s="173" t="str">
        <f t="shared" si="2"/>
        <v/>
      </c>
      <c r="K629" s="173" t="str">
        <f t="shared" si="3"/>
        <v/>
      </c>
      <c r="L629" s="173" t="str">
        <f t="array" ref="L629">IF($A629="","",INDEX('主表 Stock_Transaction_Log'!$P:$P,$A629))</f>
        <v/>
      </c>
      <c r="M629" s="174" t="str">
        <f>IF($A629="","",IF($H629&lt;=0,0,SUMIFS('主表 Stock_Transaction_Log'!$K$2:$K1000,'主表 Stock_Transaction_Log'!$C$2:$C1000,"Prepared",'主表 Stock_Transaction_Log'!$L$2:$L1000,$B629,'主表 Stock_Transaction_Log'!$F$2:$F1000,$C629,'主表 Stock_Transaction_Log'!$G$2:$G1000,$D629,'主表 Stock_Transaction_Log'!$P$2:$P1000,$L629)))</f>
        <v/>
      </c>
    </row>
    <row r="630">
      <c r="A630" s="173" t="str">
        <f>IF('主表 Stock_Transaction_Log'!$T630="","",IF(COUNTIF('主表 Stock_Transaction_Log'!$T$2:$T630,'主表 Stock_Transaction_Log'!$T630)=1,ROW('主表 Stock_Transaction_Log'!$T630),""))</f>
        <v/>
      </c>
      <c r="B630" s="173" t="str">
        <f t="array" ref="B630">IF($A630="","",INDEX('主表 Stock_Transaction_Log'!$Q:$Q,$A630))</f>
        <v/>
      </c>
      <c r="C630" s="173" t="str">
        <f t="array" ref="C630">IF($A630="","",IF(INDEX('主表 Stock_Transaction_Log'!$F:$F,$A630)=0,"",INDEX('主表 Stock_Transaction_Log'!$F:$F,$A630)))</f>
        <v/>
      </c>
      <c r="D630" s="173" t="str">
        <f t="array" ref="D630">IF($A630="","",INDEX('主表 Stock_Transaction_Log'!$G:$G,$A630))</f>
        <v/>
      </c>
      <c r="E630" s="173" t="str">
        <f t="array" ref="E630">IF($A630="","",INDEX('主表 Stock_Transaction_Log'!$H:$H,$A630))</f>
        <v/>
      </c>
      <c r="F630" s="173" t="str">
        <f t="array" ref="F630">IF($A630="","",INDEX('主表 Stock_Transaction_Log'!$I:$I,$A630))</f>
        <v/>
      </c>
      <c r="G630" s="173" t="str">
        <f t="array" ref="G630">IF($A630="","",IF(INDEX('主表 Stock_Transaction_Log'!$R:$R,$A630)=0,"",INDEX('主表 Stock_Transaction_Log'!$R:$R,$A630)))</f>
        <v/>
      </c>
      <c r="H630" s="173" t="str">
        <f t="array" ref="H630">IF($A630="","",SUMIF('主表 Stock_Transaction_Log'!$T:$T,INDEX('主表 Stock_Transaction_Log'!$T:$T,$A630),'主表 Stock_Transaction_Log'!$S:$S)+SUMIF('主表 Stock_Transaction_Log'!$AB:$AB,INDEX('主表 Stock_Transaction_Log'!$T:$T,$A630),'主表 Stock_Transaction_Log'!$AC:$AC))</f>
        <v/>
      </c>
      <c r="I630" s="173" t="str">
        <f t="shared" si="1"/>
        <v/>
      </c>
      <c r="J630" s="173" t="str">
        <f t="shared" si="2"/>
        <v/>
      </c>
      <c r="K630" s="173" t="str">
        <f t="shared" si="3"/>
        <v/>
      </c>
      <c r="L630" s="173" t="str">
        <f t="array" ref="L630">IF($A630="","",INDEX('主表 Stock_Transaction_Log'!$P:$P,$A630))</f>
        <v/>
      </c>
      <c r="M630" s="174" t="str">
        <f>IF($A630="","",IF($H630&lt;=0,0,SUMIFS('主表 Stock_Transaction_Log'!$K$2:$K1000,'主表 Stock_Transaction_Log'!$C$2:$C1000,"Prepared",'主表 Stock_Transaction_Log'!$L$2:$L1000,$B630,'主表 Stock_Transaction_Log'!$F$2:$F1000,$C630,'主表 Stock_Transaction_Log'!$G$2:$G1000,$D630,'主表 Stock_Transaction_Log'!$P$2:$P1000,$L630)))</f>
        <v/>
      </c>
    </row>
    <row r="631">
      <c r="A631" s="173" t="str">
        <f>IF('主表 Stock_Transaction_Log'!$T631="","",IF(COUNTIF('主表 Stock_Transaction_Log'!$T$2:$T631,'主表 Stock_Transaction_Log'!$T631)=1,ROW('主表 Stock_Transaction_Log'!$T631),""))</f>
        <v/>
      </c>
      <c r="B631" s="173" t="str">
        <f t="array" ref="B631">IF($A631="","",INDEX('主表 Stock_Transaction_Log'!$Q:$Q,$A631))</f>
        <v/>
      </c>
      <c r="C631" s="173" t="str">
        <f t="array" ref="C631">IF($A631="","",IF(INDEX('主表 Stock_Transaction_Log'!$F:$F,$A631)=0,"",INDEX('主表 Stock_Transaction_Log'!$F:$F,$A631)))</f>
        <v/>
      </c>
      <c r="D631" s="173" t="str">
        <f t="array" ref="D631">IF($A631="","",INDEX('主表 Stock_Transaction_Log'!$G:$G,$A631))</f>
        <v/>
      </c>
      <c r="E631" s="173" t="str">
        <f t="array" ref="E631">IF($A631="","",INDEX('主表 Stock_Transaction_Log'!$H:$H,$A631))</f>
        <v/>
      </c>
      <c r="F631" s="173" t="str">
        <f t="array" ref="F631">IF($A631="","",INDEX('主表 Stock_Transaction_Log'!$I:$I,$A631))</f>
        <v/>
      </c>
      <c r="G631" s="173" t="str">
        <f t="array" ref="G631">IF($A631="","",IF(INDEX('主表 Stock_Transaction_Log'!$R:$R,$A631)=0,"",INDEX('主表 Stock_Transaction_Log'!$R:$R,$A631)))</f>
        <v/>
      </c>
      <c r="H631" s="173" t="str">
        <f t="array" ref="H631">IF($A631="","",SUMIF('主表 Stock_Transaction_Log'!$T:$T,INDEX('主表 Stock_Transaction_Log'!$T:$T,$A631),'主表 Stock_Transaction_Log'!$S:$S)+SUMIF('主表 Stock_Transaction_Log'!$AB:$AB,INDEX('主表 Stock_Transaction_Log'!$T:$T,$A631),'主表 Stock_Transaction_Log'!$AC:$AC))</f>
        <v/>
      </c>
      <c r="I631" s="173" t="str">
        <f t="shared" si="1"/>
        <v/>
      </c>
      <c r="J631" s="173" t="str">
        <f t="shared" si="2"/>
        <v/>
      </c>
      <c r="K631" s="173" t="str">
        <f t="shared" si="3"/>
        <v/>
      </c>
      <c r="L631" s="173" t="str">
        <f t="array" ref="L631">IF($A631="","",INDEX('主表 Stock_Transaction_Log'!$P:$P,$A631))</f>
        <v/>
      </c>
      <c r="M631" s="174" t="str">
        <f>IF($A631="","",IF($H631&lt;=0,0,SUMIFS('主表 Stock_Transaction_Log'!$K$2:$K1000,'主表 Stock_Transaction_Log'!$C$2:$C1000,"Prepared",'主表 Stock_Transaction_Log'!$L$2:$L1000,$B631,'主表 Stock_Transaction_Log'!$F$2:$F1000,$C631,'主表 Stock_Transaction_Log'!$G$2:$G1000,$D631,'主表 Stock_Transaction_Log'!$P$2:$P1000,$L631)))</f>
        <v/>
      </c>
    </row>
    <row r="632">
      <c r="A632" s="173" t="str">
        <f>IF('主表 Stock_Transaction_Log'!$T632="","",IF(COUNTIF('主表 Stock_Transaction_Log'!$T$2:$T632,'主表 Stock_Transaction_Log'!$T632)=1,ROW('主表 Stock_Transaction_Log'!$T632),""))</f>
        <v/>
      </c>
      <c r="B632" s="173" t="str">
        <f t="array" ref="B632">IF($A632="","",INDEX('主表 Stock_Transaction_Log'!$Q:$Q,$A632))</f>
        <v/>
      </c>
      <c r="C632" s="173" t="str">
        <f t="array" ref="C632">IF($A632="","",IF(INDEX('主表 Stock_Transaction_Log'!$F:$F,$A632)=0,"",INDEX('主表 Stock_Transaction_Log'!$F:$F,$A632)))</f>
        <v/>
      </c>
      <c r="D632" s="173" t="str">
        <f t="array" ref="D632">IF($A632="","",INDEX('主表 Stock_Transaction_Log'!$G:$G,$A632))</f>
        <v/>
      </c>
      <c r="E632" s="173" t="str">
        <f t="array" ref="E632">IF($A632="","",INDEX('主表 Stock_Transaction_Log'!$H:$H,$A632))</f>
        <v/>
      </c>
      <c r="F632" s="173" t="str">
        <f t="array" ref="F632">IF($A632="","",INDEX('主表 Stock_Transaction_Log'!$I:$I,$A632))</f>
        <v/>
      </c>
      <c r="G632" s="173" t="str">
        <f t="array" ref="G632">IF($A632="","",IF(INDEX('主表 Stock_Transaction_Log'!$R:$R,$A632)=0,"",INDEX('主表 Stock_Transaction_Log'!$R:$R,$A632)))</f>
        <v/>
      </c>
      <c r="H632" s="173" t="str">
        <f t="array" ref="H632">IF($A632="","",SUMIF('主表 Stock_Transaction_Log'!$T:$T,INDEX('主表 Stock_Transaction_Log'!$T:$T,$A632),'主表 Stock_Transaction_Log'!$S:$S)+SUMIF('主表 Stock_Transaction_Log'!$AB:$AB,INDEX('主表 Stock_Transaction_Log'!$T:$T,$A632),'主表 Stock_Transaction_Log'!$AC:$AC))</f>
        <v/>
      </c>
      <c r="I632" s="173" t="str">
        <f t="shared" si="1"/>
        <v/>
      </c>
      <c r="J632" s="173" t="str">
        <f t="shared" si="2"/>
        <v/>
      </c>
      <c r="K632" s="173" t="str">
        <f t="shared" si="3"/>
        <v/>
      </c>
      <c r="L632" s="173" t="str">
        <f t="array" ref="L632">IF($A632="","",INDEX('主表 Stock_Transaction_Log'!$P:$P,$A632))</f>
        <v/>
      </c>
      <c r="M632" s="174" t="str">
        <f>IF($A632="","",IF($H632&lt;=0,0,SUMIFS('主表 Stock_Transaction_Log'!$K$2:$K1000,'主表 Stock_Transaction_Log'!$C$2:$C1000,"Prepared",'主表 Stock_Transaction_Log'!$L$2:$L1000,$B632,'主表 Stock_Transaction_Log'!$F$2:$F1000,$C632,'主表 Stock_Transaction_Log'!$G$2:$G1000,$D632,'主表 Stock_Transaction_Log'!$P$2:$P1000,$L632)))</f>
        <v/>
      </c>
    </row>
    <row r="633">
      <c r="A633" s="173" t="str">
        <f>IF('主表 Stock_Transaction_Log'!$T633="","",IF(COUNTIF('主表 Stock_Transaction_Log'!$T$2:$T633,'主表 Stock_Transaction_Log'!$T633)=1,ROW('主表 Stock_Transaction_Log'!$T633),""))</f>
        <v/>
      </c>
      <c r="B633" s="173" t="str">
        <f t="array" ref="B633">IF($A633="","",INDEX('主表 Stock_Transaction_Log'!$Q:$Q,$A633))</f>
        <v/>
      </c>
      <c r="C633" s="173" t="str">
        <f t="array" ref="C633">IF($A633="","",IF(INDEX('主表 Stock_Transaction_Log'!$F:$F,$A633)=0,"",INDEX('主表 Stock_Transaction_Log'!$F:$F,$A633)))</f>
        <v/>
      </c>
      <c r="D633" s="173" t="str">
        <f t="array" ref="D633">IF($A633="","",INDEX('主表 Stock_Transaction_Log'!$G:$G,$A633))</f>
        <v/>
      </c>
      <c r="E633" s="173" t="str">
        <f t="array" ref="E633">IF($A633="","",INDEX('主表 Stock_Transaction_Log'!$H:$H,$A633))</f>
        <v/>
      </c>
      <c r="F633" s="173" t="str">
        <f t="array" ref="F633">IF($A633="","",INDEX('主表 Stock_Transaction_Log'!$I:$I,$A633))</f>
        <v/>
      </c>
      <c r="G633" s="173" t="str">
        <f t="array" ref="G633">IF($A633="","",IF(INDEX('主表 Stock_Transaction_Log'!$R:$R,$A633)=0,"",INDEX('主表 Stock_Transaction_Log'!$R:$R,$A633)))</f>
        <v/>
      </c>
      <c r="H633" s="173" t="str">
        <f t="array" ref="H633">IF($A633="","",SUMIF('主表 Stock_Transaction_Log'!$T:$T,INDEX('主表 Stock_Transaction_Log'!$T:$T,$A633),'主表 Stock_Transaction_Log'!$S:$S)+SUMIF('主表 Stock_Transaction_Log'!$AB:$AB,INDEX('主表 Stock_Transaction_Log'!$T:$T,$A633),'主表 Stock_Transaction_Log'!$AC:$AC))</f>
        <v/>
      </c>
      <c r="I633" s="173" t="str">
        <f t="shared" si="1"/>
        <v/>
      </c>
      <c r="J633" s="173" t="str">
        <f t="shared" si="2"/>
        <v/>
      </c>
      <c r="K633" s="173" t="str">
        <f t="shared" si="3"/>
        <v/>
      </c>
      <c r="L633" s="173" t="str">
        <f t="array" ref="L633">IF($A633="","",INDEX('主表 Stock_Transaction_Log'!$P:$P,$A633))</f>
        <v/>
      </c>
      <c r="M633" s="174" t="str">
        <f>IF($A633="","",IF($H633&lt;=0,0,SUMIFS('主表 Stock_Transaction_Log'!$K$2:$K1000,'主表 Stock_Transaction_Log'!$C$2:$C1000,"Prepared",'主表 Stock_Transaction_Log'!$L$2:$L1000,$B633,'主表 Stock_Transaction_Log'!$F$2:$F1000,$C633,'主表 Stock_Transaction_Log'!$G$2:$G1000,$D633,'主表 Stock_Transaction_Log'!$P$2:$P1000,$L633)))</f>
        <v/>
      </c>
    </row>
    <row r="634">
      <c r="A634" s="173" t="str">
        <f>IF('主表 Stock_Transaction_Log'!$T634="","",IF(COUNTIF('主表 Stock_Transaction_Log'!$T$2:$T634,'主表 Stock_Transaction_Log'!$T634)=1,ROW('主表 Stock_Transaction_Log'!$T634),""))</f>
        <v/>
      </c>
      <c r="B634" s="173" t="str">
        <f t="array" ref="B634">IF($A634="","",INDEX('主表 Stock_Transaction_Log'!$Q:$Q,$A634))</f>
        <v/>
      </c>
      <c r="C634" s="173" t="str">
        <f t="array" ref="C634">IF($A634="","",IF(INDEX('主表 Stock_Transaction_Log'!$F:$F,$A634)=0,"",INDEX('主表 Stock_Transaction_Log'!$F:$F,$A634)))</f>
        <v/>
      </c>
      <c r="D634" s="173" t="str">
        <f t="array" ref="D634">IF($A634="","",INDEX('主表 Stock_Transaction_Log'!$G:$G,$A634))</f>
        <v/>
      </c>
      <c r="E634" s="173" t="str">
        <f t="array" ref="E634">IF($A634="","",INDEX('主表 Stock_Transaction_Log'!$H:$H,$A634))</f>
        <v/>
      </c>
      <c r="F634" s="173" t="str">
        <f t="array" ref="F634">IF($A634="","",INDEX('主表 Stock_Transaction_Log'!$I:$I,$A634))</f>
        <v/>
      </c>
      <c r="G634" s="173" t="str">
        <f t="array" ref="G634">IF($A634="","",IF(INDEX('主表 Stock_Transaction_Log'!$R:$R,$A634)=0,"",INDEX('主表 Stock_Transaction_Log'!$R:$R,$A634)))</f>
        <v/>
      </c>
      <c r="H634" s="173" t="str">
        <f t="array" ref="H634">IF($A634="","",SUMIF('主表 Stock_Transaction_Log'!$T:$T,INDEX('主表 Stock_Transaction_Log'!$T:$T,$A634),'主表 Stock_Transaction_Log'!$S:$S)+SUMIF('主表 Stock_Transaction_Log'!$AB:$AB,INDEX('主表 Stock_Transaction_Log'!$T:$T,$A634),'主表 Stock_Transaction_Log'!$AC:$AC))</f>
        <v/>
      </c>
      <c r="I634" s="173" t="str">
        <f t="shared" si="1"/>
        <v/>
      </c>
      <c r="J634" s="173" t="str">
        <f t="shared" si="2"/>
        <v/>
      </c>
      <c r="K634" s="173" t="str">
        <f t="shared" si="3"/>
        <v/>
      </c>
      <c r="L634" s="173" t="str">
        <f t="array" ref="L634">IF($A634="","",INDEX('主表 Stock_Transaction_Log'!$P:$P,$A634))</f>
        <v/>
      </c>
      <c r="M634" s="174" t="str">
        <f>IF($A634="","",IF($H634&lt;=0,0,SUMIFS('主表 Stock_Transaction_Log'!$K$2:$K1000,'主表 Stock_Transaction_Log'!$C$2:$C1000,"Prepared",'主表 Stock_Transaction_Log'!$L$2:$L1000,$B634,'主表 Stock_Transaction_Log'!$F$2:$F1000,$C634,'主表 Stock_Transaction_Log'!$G$2:$G1000,$D634,'主表 Stock_Transaction_Log'!$P$2:$P1000,$L634)))</f>
        <v/>
      </c>
    </row>
    <row r="635">
      <c r="A635" s="173" t="str">
        <f>IF('主表 Stock_Transaction_Log'!$T635="","",IF(COUNTIF('主表 Stock_Transaction_Log'!$T$2:$T635,'主表 Stock_Transaction_Log'!$T635)=1,ROW('主表 Stock_Transaction_Log'!$T635),""))</f>
        <v/>
      </c>
      <c r="B635" s="173" t="str">
        <f t="array" ref="B635">IF($A635="","",INDEX('主表 Stock_Transaction_Log'!$Q:$Q,$A635))</f>
        <v/>
      </c>
      <c r="C635" s="173" t="str">
        <f t="array" ref="C635">IF($A635="","",IF(INDEX('主表 Stock_Transaction_Log'!$F:$F,$A635)=0,"",INDEX('主表 Stock_Transaction_Log'!$F:$F,$A635)))</f>
        <v/>
      </c>
      <c r="D635" s="173" t="str">
        <f t="array" ref="D635">IF($A635="","",INDEX('主表 Stock_Transaction_Log'!$G:$G,$A635))</f>
        <v/>
      </c>
      <c r="E635" s="173" t="str">
        <f t="array" ref="E635">IF($A635="","",INDEX('主表 Stock_Transaction_Log'!$H:$H,$A635))</f>
        <v/>
      </c>
      <c r="F635" s="173" t="str">
        <f t="array" ref="F635">IF($A635="","",INDEX('主表 Stock_Transaction_Log'!$I:$I,$A635))</f>
        <v/>
      </c>
      <c r="G635" s="173" t="str">
        <f t="array" ref="G635">IF($A635="","",IF(INDEX('主表 Stock_Transaction_Log'!$R:$R,$A635)=0,"",INDEX('主表 Stock_Transaction_Log'!$R:$R,$A635)))</f>
        <v/>
      </c>
      <c r="H635" s="173" t="str">
        <f t="array" ref="H635">IF($A635="","",SUMIF('主表 Stock_Transaction_Log'!$T:$T,INDEX('主表 Stock_Transaction_Log'!$T:$T,$A635),'主表 Stock_Transaction_Log'!$S:$S)+SUMIF('主表 Stock_Transaction_Log'!$AB:$AB,INDEX('主表 Stock_Transaction_Log'!$T:$T,$A635),'主表 Stock_Transaction_Log'!$AC:$AC))</f>
        <v/>
      </c>
      <c r="I635" s="173" t="str">
        <f t="shared" si="1"/>
        <v/>
      </c>
      <c r="J635" s="173" t="str">
        <f t="shared" si="2"/>
        <v/>
      </c>
      <c r="K635" s="173" t="str">
        <f t="shared" si="3"/>
        <v/>
      </c>
      <c r="L635" s="173" t="str">
        <f t="array" ref="L635">IF($A635="","",INDEX('主表 Stock_Transaction_Log'!$P:$P,$A635))</f>
        <v/>
      </c>
      <c r="M635" s="174" t="str">
        <f>IF($A635="","",IF($H635&lt;=0,0,SUMIFS('主表 Stock_Transaction_Log'!$K$2:$K1000,'主表 Stock_Transaction_Log'!$C$2:$C1000,"Prepared",'主表 Stock_Transaction_Log'!$L$2:$L1000,$B635,'主表 Stock_Transaction_Log'!$F$2:$F1000,$C635,'主表 Stock_Transaction_Log'!$G$2:$G1000,$D635,'主表 Stock_Transaction_Log'!$P$2:$P1000,$L635)))</f>
        <v/>
      </c>
    </row>
    <row r="636">
      <c r="A636" s="173" t="str">
        <f>IF('主表 Stock_Transaction_Log'!$T636="","",IF(COUNTIF('主表 Stock_Transaction_Log'!$T$2:$T636,'主表 Stock_Transaction_Log'!$T636)=1,ROW('主表 Stock_Transaction_Log'!$T636),""))</f>
        <v/>
      </c>
      <c r="B636" s="173" t="str">
        <f t="array" ref="B636">IF($A636="","",INDEX('主表 Stock_Transaction_Log'!$Q:$Q,$A636))</f>
        <v/>
      </c>
      <c r="C636" s="173" t="str">
        <f t="array" ref="C636">IF($A636="","",IF(INDEX('主表 Stock_Transaction_Log'!$F:$F,$A636)=0,"",INDEX('主表 Stock_Transaction_Log'!$F:$F,$A636)))</f>
        <v/>
      </c>
      <c r="D636" s="173" t="str">
        <f t="array" ref="D636">IF($A636="","",INDEX('主表 Stock_Transaction_Log'!$G:$G,$A636))</f>
        <v/>
      </c>
      <c r="E636" s="173" t="str">
        <f t="array" ref="E636">IF($A636="","",INDEX('主表 Stock_Transaction_Log'!$H:$H,$A636))</f>
        <v/>
      </c>
      <c r="F636" s="173" t="str">
        <f t="array" ref="F636">IF($A636="","",INDEX('主表 Stock_Transaction_Log'!$I:$I,$A636))</f>
        <v/>
      </c>
      <c r="G636" s="173" t="str">
        <f t="array" ref="G636">IF($A636="","",IF(INDEX('主表 Stock_Transaction_Log'!$R:$R,$A636)=0,"",INDEX('主表 Stock_Transaction_Log'!$R:$R,$A636)))</f>
        <v/>
      </c>
      <c r="H636" s="173" t="str">
        <f t="array" ref="H636">IF($A636="","",SUMIF('主表 Stock_Transaction_Log'!$T:$T,INDEX('主表 Stock_Transaction_Log'!$T:$T,$A636),'主表 Stock_Transaction_Log'!$S:$S)+SUMIF('主表 Stock_Transaction_Log'!$AB:$AB,INDEX('主表 Stock_Transaction_Log'!$T:$T,$A636),'主表 Stock_Transaction_Log'!$AC:$AC))</f>
        <v/>
      </c>
      <c r="I636" s="173" t="str">
        <f t="shared" si="1"/>
        <v/>
      </c>
      <c r="J636" s="173" t="str">
        <f t="shared" si="2"/>
        <v/>
      </c>
      <c r="K636" s="173" t="str">
        <f t="shared" si="3"/>
        <v/>
      </c>
      <c r="L636" s="173" t="str">
        <f t="array" ref="L636">IF($A636="","",INDEX('主表 Stock_Transaction_Log'!$P:$P,$A636))</f>
        <v/>
      </c>
      <c r="M636" s="174" t="str">
        <f>IF($A636="","",IF($H636&lt;=0,0,SUMIFS('主表 Stock_Transaction_Log'!$K$2:$K1000,'主表 Stock_Transaction_Log'!$C$2:$C1000,"Prepared",'主表 Stock_Transaction_Log'!$L$2:$L1000,$B636,'主表 Stock_Transaction_Log'!$F$2:$F1000,$C636,'主表 Stock_Transaction_Log'!$G$2:$G1000,$D636,'主表 Stock_Transaction_Log'!$P$2:$P1000,$L636)))</f>
        <v/>
      </c>
    </row>
    <row r="637">
      <c r="A637" s="173" t="str">
        <f>IF('主表 Stock_Transaction_Log'!$T637="","",IF(COUNTIF('主表 Stock_Transaction_Log'!$T$2:$T637,'主表 Stock_Transaction_Log'!$T637)=1,ROW('主表 Stock_Transaction_Log'!$T637),""))</f>
        <v/>
      </c>
      <c r="B637" s="173" t="str">
        <f t="array" ref="B637">IF($A637="","",INDEX('主表 Stock_Transaction_Log'!$Q:$Q,$A637))</f>
        <v/>
      </c>
      <c r="C637" s="173" t="str">
        <f t="array" ref="C637">IF($A637="","",IF(INDEX('主表 Stock_Transaction_Log'!$F:$F,$A637)=0,"",INDEX('主表 Stock_Transaction_Log'!$F:$F,$A637)))</f>
        <v/>
      </c>
      <c r="D637" s="173" t="str">
        <f t="array" ref="D637">IF($A637="","",INDEX('主表 Stock_Transaction_Log'!$G:$G,$A637))</f>
        <v/>
      </c>
      <c r="E637" s="173" t="str">
        <f t="array" ref="E637">IF($A637="","",INDEX('主表 Stock_Transaction_Log'!$H:$H,$A637))</f>
        <v/>
      </c>
      <c r="F637" s="173" t="str">
        <f t="array" ref="F637">IF($A637="","",INDEX('主表 Stock_Transaction_Log'!$I:$I,$A637))</f>
        <v/>
      </c>
      <c r="G637" s="173" t="str">
        <f t="array" ref="G637">IF($A637="","",IF(INDEX('主表 Stock_Transaction_Log'!$R:$R,$A637)=0,"",INDEX('主表 Stock_Transaction_Log'!$R:$R,$A637)))</f>
        <v/>
      </c>
      <c r="H637" s="173" t="str">
        <f t="array" ref="H637">IF($A637="","",SUMIF('主表 Stock_Transaction_Log'!$T:$T,INDEX('主表 Stock_Transaction_Log'!$T:$T,$A637),'主表 Stock_Transaction_Log'!$S:$S)+SUMIF('主表 Stock_Transaction_Log'!$AB:$AB,INDEX('主表 Stock_Transaction_Log'!$T:$T,$A637),'主表 Stock_Transaction_Log'!$AC:$AC))</f>
        <v/>
      </c>
      <c r="I637" s="173" t="str">
        <f t="shared" si="1"/>
        <v/>
      </c>
      <c r="J637" s="173" t="str">
        <f t="shared" si="2"/>
        <v/>
      </c>
      <c r="K637" s="173" t="str">
        <f t="shared" si="3"/>
        <v/>
      </c>
      <c r="L637" s="173" t="str">
        <f t="array" ref="L637">IF($A637="","",INDEX('主表 Stock_Transaction_Log'!$P:$P,$A637))</f>
        <v/>
      </c>
      <c r="M637" s="174" t="str">
        <f>IF($A637="","",IF($H637&lt;=0,0,SUMIFS('主表 Stock_Transaction_Log'!$K$2:$K1000,'主表 Stock_Transaction_Log'!$C$2:$C1000,"Prepared",'主表 Stock_Transaction_Log'!$L$2:$L1000,$B637,'主表 Stock_Transaction_Log'!$F$2:$F1000,$C637,'主表 Stock_Transaction_Log'!$G$2:$G1000,$D637,'主表 Stock_Transaction_Log'!$P$2:$P1000,$L637)))</f>
        <v/>
      </c>
    </row>
    <row r="638">
      <c r="A638" s="173" t="str">
        <f>IF('主表 Stock_Transaction_Log'!$T638="","",IF(COUNTIF('主表 Stock_Transaction_Log'!$T$2:$T638,'主表 Stock_Transaction_Log'!$T638)=1,ROW('主表 Stock_Transaction_Log'!$T638),""))</f>
        <v/>
      </c>
      <c r="B638" s="173" t="str">
        <f t="array" ref="B638">IF($A638="","",INDEX('主表 Stock_Transaction_Log'!$Q:$Q,$A638))</f>
        <v/>
      </c>
      <c r="C638" s="173" t="str">
        <f t="array" ref="C638">IF($A638="","",IF(INDEX('主表 Stock_Transaction_Log'!$F:$F,$A638)=0,"",INDEX('主表 Stock_Transaction_Log'!$F:$F,$A638)))</f>
        <v/>
      </c>
      <c r="D638" s="173" t="str">
        <f t="array" ref="D638">IF($A638="","",INDEX('主表 Stock_Transaction_Log'!$G:$G,$A638))</f>
        <v/>
      </c>
      <c r="E638" s="173" t="str">
        <f t="array" ref="E638">IF($A638="","",INDEX('主表 Stock_Transaction_Log'!$H:$H,$A638))</f>
        <v/>
      </c>
      <c r="F638" s="173" t="str">
        <f t="array" ref="F638">IF($A638="","",INDEX('主表 Stock_Transaction_Log'!$I:$I,$A638))</f>
        <v/>
      </c>
      <c r="G638" s="173" t="str">
        <f t="array" ref="G638">IF($A638="","",IF(INDEX('主表 Stock_Transaction_Log'!$R:$R,$A638)=0,"",INDEX('主表 Stock_Transaction_Log'!$R:$R,$A638)))</f>
        <v/>
      </c>
      <c r="H638" s="173" t="str">
        <f t="array" ref="H638">IF($A638="","",SUMIF('主表 Stock_Transaction_Log'!$T:$T,INDEX('主表 Stock_Transaction_Log'!$T:$T,$A638),'主表 Stock_Transaction_Log'!$S:$S)+SUMIF('主表 Stock_Transaction_Log'!$AB:$AB,INDEX('主表 Stock_Transaction_Log'!$T:$T,$A638),'主表 Stock_Transaction_Log'!$AC:$AC))</f>
        <v/>
      </c>
      <c r="I638" s="173" t="str">
        <f t="shared" si="1"/>
        <v/>
      </c>
      <c r="J638" s="173" t="str">
        <f t="shared" si="2"/>
        <v/>
      </c>
      <c r="K638" s="173" t="str">
        <f t="shared" si="3"/>
        <v/>
      </c>
      <c r="L638" s="173" t="str">
        <f t="array" ref="L638">IF($A638="","",INDEX('主表 Stock_Transaction_Log'!$P:$P,$A638))</f>
        <v/>
      </c>
      <c r="M638" s="174" t="str">
        <f>IF($A638="","",IF($H638&lt;=0,0,SUMIFS('主表 Stock_Transaction_Log'!$K$2:$K1000,'主表 Stock_Transaction_Log'!$C$2:$C1000,"Prepared",'主表 Stock_Transaction_Log'!$L$2:$L1000,$B638,'主表 Stock_Transaction_Log'!$F$2:$F1000,$C638,'主表 Stock_Transaction_Log'!$G$2:$G1000,$D638,'主表 Stock_Transaction_Log'!$P$2:$P1000,$L638)))</f>
        <v/>
      </c>
    </row>
    <row r="639">
      <c r="A639" s="173" t="str">
        <f>IF('主表 Stock_Transaction_Log'!$T639="","",IF(COUNTIF('主表 Stock_Transaction_Log'!$T$2:$T639,'主表 Stock_Transaction_Log'!$T639)=1,ROW('主表 Stock_Transaction_Log'!$T639),""))</f>
        <v/>
      </c>
      <c r="B639" s="173" t="str">
        <f t="array" ref="B639">IF($A639="","",INDEX('主表 Stock_Transaction_Log'!$Q:$Q,$A639))</f>
        <v/>
      </c>
      <c r="C639" s="173" t="str">
        <f t="array" ref="C639">IF($A639="","",IF(INDEX('主表 Stock_Transaction_Log'!$F:$F,$A639)=0,"",INDEX('主表 Stock_Transaction_Log'!$F:$F,$A639)))</f>
        <v/>
      </c>
      <c r="D639" s="173" t="str">
        <f t="array" ref="D639">IF($A639="","",INDEX('主表 Stock_Transaction_Log'!$G:$G,$A639))</f>
        <v/>
      </c>
      <c r="E639" s="173" t="str">
        <f t="array" ref="E639">IF($A639="","",INDEX('主表 Stock_Transaction_Log'!$H:$H,$A639))</f>
        <v/>
      </c>
      <c r="F639" s="173" t="str">
        <f t="array" ref="F639">IF($A639="","",INDEX('主表 Stock_Transaction_Log'!$I:$I,$A639))</f>
        <v/>
      </c>
      <c r="G639" s="173" t="str">
        <f t="array" ref="G639">IF($A639="","",IF(INDEX('主表 Stock_Transaction_Log'!$R:$R,$A639)=0,"",INDEX('主表 Stock_Transaction_Log'!$R:$R,$A639)))</f>
        <v/>
      </c>
      <c r="H639" s="173" t="str">
        <f t="array" ref="H639">IF($A639="","",SUMIF('主表 Stock_Transaction_Log'!$T:$T,INDEX('主表 Stock_Transaction_Log'!$T:$T,$A639),'主表 Stock_Transaction_Log'!$S:$S)+SUMIF('主表 Stock_Transaction_Log'!$AB:$AB,INDEX('主表 Stock_Transaction_Log'!$T:$T,$A639),'主表 Stock_Transaction_Log'!$AC:$AC))</f>
        <v/>
      </c>
      <c r="I639" s="173" t="str">
        <f t="shared" si="1"/>
        <v/>
      </c>
      <c r="J639" s="173" t="str">
        <f t="shared" si="2"/>
        <v/>
      </c>
      <c r="K639" s="173" t="str">
        <f t="shared" si="3"/>
        <v/>
      </c>
      <c r="L639" s="173" t="str">
        <f t="array" ref="L639">IF($A639="","",INDEX('主表 Stock_Transaction_Log'!$P:$P,$A639))</f>
        <v/>
      </c>
      <c r="M639" s="174" t="str">
        <f>IF($A639="","",IF($H639&lt;=0,0,SUMIFS('主表 Stock_Transaction_Log'!$K$2:$K1000,'主表 Stock_Transaction_Log'!$C$2:$C1000,"Prepared",'主表 Stock_Transaction_Log'!$L$2:$L1000,$B639,'主表 Stock_Transaction_Log'!$F$2:$F1000,$C639,'主表 Stock_Transaction_Log'!$G$2:$G1000,$D639,'主表 Stock_Transaction_Log'!$P$2:$P1000,$L639)))</f>
        <v/>
      </c>
    </row>
    <row r="640">
      <c r="A640" s="173" t="str">
        <f>IF('主表 Stock_Transaction_Log'!$T640="","",IF(COUNTIF('主表 Stock_Transaction_Log'!$T$2:$T640,'主表 Stock_Transaction_Log'!$T640)=1,ROW('主表 Stock_Transaction_Log'!$T640),""))</f>
        <v/>
      </c>
      <c r="B640" s="173" t="str">
        <f t="array" ref="B640">IF($A640="","",INDEX('主表 Stock_Transaction_Log'!$Q:$Q,$A640))</f>
        <v/>
      </c>
      <c r="C640" s="173" t="str">
        <f t="array" ref="C640">IF($A640="","",IF(INDEX('主表 Stock_Transaction_Log'!$F:$F,$A640)=0,"",INDEX('主表 Stock_Transaction_Log'!$F:$F,$A640)))</f>
        <v/>
      </c>
      <c r="D640" s="173" t="str">
        <f t="array" ref="D640">IF($A640="","",INDEX('主表 Stock_Transaction_Log'!$G:$G,$A640))</f>
        <v/>
      </c>
      <c r="E640" s="173" t="str">
        <f t="array" ref="E640">IF($A640="","",INDEX('主表 Stock_Transaction_Log'!$H:$H,$A640))</f>
        <v/>
      </c>
      <c r="F640" s="173" t="str">
        <f t="array" ref="F640">IF($A640="","",INDEX('主表 Stock_Transaction_Log'!$I:$I,$A640))</f>
        <v/>
      </c>
      <c r="G640" s="173" t="str">
        <f t="array" ref="G640">IF($A640="","",IF(INDEX('主表 Stock_Transaction_Log'!$R:$R,$A640)=0,"",INDEX('主表 Stock_Transaction_Log'!$R:$R,$A640)))</f>
        <v/>
      </c>
      <c r="H640" s="173" t="str">
        <f t="array" ref="H640">IF($A640="","",SUMIF('主表 Stock_Transaction_Log'!$T:$T,INDEX('主表 Stock_Transaction_Log'!$T:$T,$A640),'主表 Stock_Transaction_Log'!$S:$S)+SUMIF('主表 Stock_Transaction_Log'!$AB:$AB,INDEX('主表 Stock_Transaction_Log'!$T:$T,$A640),'主表 Stock_Transaction_Log'!$AC:$AC))</f>
        <v/>
      </c>
      <c r="I640" s="173" t="str">
        <f t="shared" si="1"/>
        <v/>
      </c>
      <c r="J640" s="173" t="str">
        <f t="shared" si="2"/>
        <v/>
      </c>
      <c r="K640" s="173" t="str">
        <f t="shared" si="3"/>
        <v/>
      </c>
      <c r="L640" s="173" t="str">
        <f t="array" ref="L640">IF($A640="","",INDEX('主表 Stock_Transaction_Log'!$P:$P,$A640))</f>
        <v/>
      </c>
      <c r="M640" s="174" t="str">
        <f>IF($A640="","",IF($H640&lt;=0,0,SUMIFS('主表 Stock_Transaction_Log'!$K$2:$K1000,'主表 Stock_Transaction_Log'!$C$2:$C1000,"Prepared",'主表 Stock_Transaction_Log'!$L$2:$L1000,$B640,'主表 Stock_Transaction_Log'!$F$2:$F1000,$C640,'主表 Stock_Transaction_Log'!$G$2:$G1000,$D640,'主表 Stock_Transaction_Log'!$P$2:$P1000,$L640)))</f>
        <v/>
      </c>
    </row>
    <row r="641">
      <c r="A641" s="173" t="str">
        <f>IF('主表 Stock_Transaction_Log'!$T641="","",IF(COUNTIF('主表 Stock_Transaction_Log'!$T$2:$T641,'主表 Stock_Transaction_Log'!$T641)=1,ROW('主表 Stock_Transaction_Log'!$T641),""))</f>
        <v/>
      </c>
      <c r="B641" s="173" t="str">
        <f t="array" ref="B641">IF($A641="","",INDEX('主表 Stock_Transaction_Log'!$Q:$Q,$A641))</f>
        <v/>
      </c>
      <c r="C641" s="173" t="str">
        <f t="array" ref="C641">IF($A641="","",IF(INDEX('主表 Stock_Transaction_Log'!$F:$F,$A641)=0,"",INDEX('主表 Stock_Transaction_Log'!$F:$F,$A641)))</f>
        <v/>
      </c>
      <c r="D641" s="173" t="str">
        <f t="array" ref="D641">IF($A641="","",INDEX('主表 Stock_Transaction_Log'!$G:$G,$A641))</f>
        <v/>
      </c>
      <c r="E641" s="173" t="str">
        <f t="array" ref="E641">IF($A641="","",INDEX('主表 Stock_Transaction_Log'!$H:$H,$A641))</f>
        <v/>
      </c>
      <c r="F641" s="173" t="str">
        <f t="array" ref="F641">IF($A641="","",INDEX('主表 Stock_Transaction_Log'!$I:$I,$A641))</f>
        <v/>
      </c>
      <c r="G641" s="173" t="str">
        <f t="array" ref="G641">IF($A641="","",IF(INDEX('主表 Stock_Transaction_Log'!$R:$R,$A641)=0,"",INDEX('主表 Stock_Transaction_Log'!$R:$R,$A641)))</f>
        <v/>
      </c>
      <c r="H641" s="173" t="str">
        <f t="array" ref="H641">IF($A641="","",SUMIF('主表 Stock_Transaction_Log'!$T:$T,INDEX('主表 Stock_Transaction_Log'!$T:$T,$A641),'主表 Stock_Transaction_Log'!$S:$S)+SUMIF('主表 Stock_Transaction_Log'!$AB:$AB,INDEX('主表 Stock_Transaction_Log'!$T:$T,$A641),'主表 Stock_Transaction_Log'!$AC:$AC))</f>
        <v/>
      </c>
      <c r="I641" s="173" t="str">
        <f t="shared" si="1"/>
        <v/>
      </c>
      <c r="J641" s="173" t="str">
        <f t="shared" si="2"/>
        <v/>
      </c>
      <c r="K641" s="173" t="str">
        <f t="shared" si="3"/>
        <v/>
      </c>
      <c r="L641" s="173" t="str">
        <f t="array" ref="L641">IF($A641="","",INDEX('主表 Stock_Transaction_Log'!$P:$P,$A641))</f>
        <v/>
      </c>
      <c r="M641" s="174" t="str">
        <f>IF($A641="","",IF($H641&lt;=0,0,SUMIFS('主表 Stock_Transaction_Log'!$K$2:$K1000,'主表 Stock_Transaction_Log'!$C$2:$C1000,"Prepared",'主表 Stock_Transaction_Log'!$L$2:$L1000,$B641,'主表 Stock_Transaction_Log'!$F$2:$F1000,$C641,'主表 Stock_Transaction_Log'!$G$2:$G1000,$D641,'主表 Stock_Transaction_Log'!$P$2:$P1000,$L641)))</f>
        <v/>
      </c>
    </row>
    <row r="642">
      <c r="A642" s="173" t="str">
        <f>IF('主表 Stock_Transaction_Log'!$T642="","",IF(COUNTIF('主表 Stock_Transaction_Log'!$T$2:$T642,'主表 Stock_Transaction_Log'!$T642)=1,ROW('主表 Stock_Transaction_Log'!$T642),""))</f>
        <v/>
      </c>
      <c r="B642" s="173" t="str">
        <f t="array" ref="B642">IF($A642="","",INDEX('主表 Stock_Transaction_Log'!$Q:$Q,$A642))</f>
        <v/>
      </c>
      <c r="C642" s="173" t="str">
        <f t="array" ref="C642">IF($A642="","",IF(INDEX('主表 Stock_Transaction_Log'!$F:$F,$A642)=0,"",INDEX('主表 Stock_Transaction_Log'!$F:$F,$A642)))</f>
        <v/>
      </c>
      <c r="D642" s="173" t="str">
        <f t="array" ref="D642">IF($A642="","",INDEX('主表 Stock_Transaction_Log'!$G:$G,$A642))</f>
        <v/>
      </c>
      <c r="E642" s="173" t="str">
        <f t="array" ref="E642">IF($A642="","",INDEX('主表 Stock_Transaction_Log'!$H:$H,$A642))</f>
        <v/>
      </c>
      <c r="F642" s="173" t="str">
        <f t="array" ref="F642">IF($A642="","",INDEX('主表 Stock_Transaction_Log'!$I:$I,$A642))</f>
        <v/>
      </c>
      <c r="G642" s="173" t="str">
        <f t="array" ref="G642">IF($A642="","",IF(INDEX('主表 Stock_Transaction_Log'!$R:$R,$A642)=0,"",INDEX('主表 Stock_Transaction_Log'!$R:$R,$A642)))</f>
        <v/>
      </c>
      <c r="H642" s="173" t="str">
        <f t="array" ref="H642">IF($A642="","",SUMIF('主表 Stock_Transaction_Log'!$T:$T,INDEX('主表 Stock_Transaction_Log'!$T:$T,$A642),'主表 Stock_Transaction_Log'!$S:$S)+SUMIF('主表 Stock_Transaction_Log'!$AB:$AB,INDEX('主表 Stock_Transaction_Log'!$T:$T,$A642),'主表 Stock_Transaction_Log'!$AC:$AC))</f>
        <v/>
      </c>
      <c r="I642" s="173" t="str">
        <f t="shared" si="1"/>
        <v/>
      </c>
      <c r="J642" s="173" t="str">
        <f t="shared" si="2"/>
        <v/>
      </c>
      <c r="K642" s="173" t="str">
        <f t="shared" si="3"/>
        <v/>
      </c>
      <c r="L642" s="173" t="str">
        <f t="array" ref="L642">IF($A642="","",INDEX('主表 Stock_Transaction_Log'!$P:$P,$A642))</f>
        <v/>
      </c>
      <c r="M642" s="174" t="str">
        <f>IF($A642="","",IF($H642&lt;=0,0,SUMIFS('主表 Stock_Transaction_Log'!$K$2:$K1000,'主表 Stock_Transaction_Log'!$C$2:$C1000,"Prepared",'主表 Stock_Transaction_Log'!$L$2:$L1000,$B642,'主表 Stock_Transaction_Log'!$F$2:$F1000,$C642,'主表 Stock_Transaction_Log'!$G$2:$G1000,$D642,'主表 Stock_Transaction_Log'!$P$2:$P1000,$L642)))</f>
        <v/>
      </c>
    </row>
    <row r="643">
      <c r="A643" s="173" t="str">
        <f>IF('主表 Stock_Transaction_Log'!$T643="","",IF(COUNTIF('主表 Stock_Transaction_Log'!$T$2:$T643,'主表 Stock_Transaction_Log'!$T643)=1,ROW('主表 Stock_Transaction_Log'!$T643),""))</f>
        <v/>
      </c>
      <c r="B643" s="173" t="str">
        <f t="array" ref="B643">IF($A643="","",INDEX('主表 Stock_Transaction_Log'!$Q:$Q,$A643))</f>
        <v/>
      </c>
      <c r="C643" s="173" t="str">
        <f t="array" ref="C643">IF($A643="","",IF(INDEX('主表 Stock_Transaction_Log'!$F:$F,$A643)=0,"",INDEX('主表 Stock_Transaction_Log'!$F:$F,$A643)))</f>
        <v/>
      </c>
      <c r="D643" s="173" t="str">
        <f t="array" ref="D643">IF($A643="","",INDEX('主表 Stock_Transaction_Log'!$G:$G,$A643))</f>
        <v/>
      </c>
      <c r="E643" s="173" t="str">
        <f t="array" ref="E643">IF($A643="","",INDEX('主表 Stock_Transaction_Log'!$H:$H,$A643))</f>
        <v/>
      </c>
      <c r="F643" s="173" t="str">
        <f t="array" ref="F643">IF($A643="","",INDEX('主表 Stock_Transaction_Log'!$I:$I,$A643))</f>
        <v/>
      </c>
      <c r="G643" s="173" t="str">
        <f t="array" ref="G643">IF($A643="","",IF(INDEX('主表 Stock_Transaction_Log'!$R:$R,$A643)=0,"",INDEX('主表 Stock_Transaction_Log'!$R:$R,$A643)))</f>
        <v/>
      </c>
      <c r="H643" s="173" t="str">
        <f t="array" ref="H643">IF($A643="","",SUMIF('主表 Stock_Transaction_Log'!$T:$T,INDEX('主表 Stock_Transaction_Log'!$T:$T,$A643),'主表 Stock_Transaction_Log'!$S:$S)+SUMIF('主表 Stock_Transaction_Log'!$AB:$AB,INDEX('主表 Stock_Transaction_Log'!$T:$T,$A643),'主表 Stock_Transaction_Log'!$AC:$AC))</f>
        <v/>
      </c>
      <c r="I643" s="173" t="str">
        <f t="shared" si="1"/>
        <v/>
      </c>
      <c r="J643" s="173" t="str">
        <f t="shared" si="2"/>
        <v/>
      </c>
      <c r="K643" s="173" t="str">
        <f t="shared" si="3"/>
        <v/>
      </c>
      <c r="L643" s="173" t="str">
        <f t="array" ref="L643">IF($A643="","",INDEX('主表 Stock_Transaction_Log'!$P:$P,$A643))</f>
        <v/>
      </c>
      <c r="M643" s="174" t="str">
        <f>IF($A643="","",IF($H643&lt;=0,0,SUMIFS('主表 Stock_Transaction_Log'!$K$2:$K1000,'主表 Stock_Transaction_Log'!$C$2:$C1000,"Prepared",'主表 Stock_Transaction_Log'!$L$2:$L1000,$B643,'主表 Stock_Transaction_Log'!$F$2:$F1000,$C643,'主表 Stock_Transaction_Log'!$G$2:$G1000,$D643,'主表 Stock_Transaction_Log'!$P$2:$P1000,$L643)))</f>
        <v/>
      </c>
    </row>
    <row r="644">
      <c r="A644" s="173" t="str">
        <f>IF('主表 Stock_Transaction_Log'!$T644="","",IF(COUNTIF('主表 Stock_Transaction_Log'!$T$2:$T644,'主表 Stock_Transaction_Log'!$T644)=1,ROW('主表 Stock_Transaction_Log'!$T644),""))</f>
        <v/>
      </c>
      <c r="B644" s="173" t="str">
        <f t="array" ref="B644">IF($A644="","",INDEX('主表 Stock_Transaction_Log'!$Q:$Q,$A644))</f>
        <v/>
      </c>
      <c r="C644" s="173" t="str">
        <f t="array" ref="C644">IF($A644="","",IF(INDEX('主表 Stock_Transaction_Log'!$F:$F,$A644)=0,"",INDEX('主表 Stock_Transaction_Log'!$F:$F,$A644)))</f>
        <v/>
      </c>
      <c r="D644" s="173" t="str">
        <f t="array" ref="D644">IF($A644="","",INDEX('主表 Stock_Transaction_Log'!$G:$G,$A644))</f>
        <v/>
      </c>
      <c r="E644" s="173" t="str">
        <f t="array" ref="E644">IF($A644="","",INDEX('主表 Stock_Transaction_Log'!$H:$H,$A644))</f>
        <v/>
      </c>
      <c r="F644" s="173" t="str">
        <f t="array" ref="F644">IF($A644="","",INDEX('主表 Stock_Transaction_Log'!$I:$I,$A644))</f>
        <v/>
      </c>
      <c r="G644" s="173" t="str">
        <f t="array" ref="G644">IF($A644="","",IF(INDEX('主表 Stock_Transaction_Log'!$R:$R,$A644)=0,"",INDEX('主表 Stock_Transaction_Log'!$R:$R,$A644)))</f>
        <v/>
      </c>
      <c r="H644" s="173" t="str">
        <f t="array" ref="H644">IF($A644="","",SUMIF('主表 Stock_Transaction_Log'!$T:$T,INDEX('主表 Stock_Transaction_Log'!$T:$T,$A644),'主表 Stock_Transaction_Log'!$S:$S)+SUMIF('主表 Stock_Transaction_Log'!$AB:$AB,INDEX('主表 Stock_Transaction_Log'!$T:$T,$A644),'主表 Stock_Transaction_Log'!$AC:$AC))</f>
        <v/>
      </c>
      <c r="I644" s="173" t="str">
        <f t="shared" si="1"/>
        <v/>
      </c>
      <c r="J644" s="173" t="str">
        <f t="shared" si="2"/>
        <v/>
      </c>
      <c r="K644" s="173" t="str">
        <f t="shared" si="3"/>
        <v/>
      </c>
      <c r="L644" s="173" t="str">
        <f t="array" ref="L644">IF($A644="","",INDEX('主表 Stock_Transaction_Log'!$P:$P,$A644))</f>
        <v/>
      </c>
      <c r="M644" s="174" t="str">
        <f>IF($A644="","",IF($H644&lt;=0,0,SUMIFS('主表 Stock_Transaction_Log'!$K$2:$K1000,'主表 Stock_Transaction_Log'!$C$2:$C1000,"Prepared",'主表 Stock_Transaction_Log'!$L$2:$L1000,$B644,'主表 Stock_Transaction_Log'!$F$2:$F1000,$C644,'主表 Stock_Transaction_Log'!$G$2:$G1000,$D644,'主表 Stock_Transaction_Log'!$P$2:$P1000,$L644)))</f>
        <v/>
      </c>
    </row>
    <row r="645">
      <c r="A645" s="173" t="str">
        <f>IF('主表 Stock_Transaction_Log'!$T645="","",IF(COUNTIF('主表 Stock_Transaction_Log'!$T$2:$T645,'主表 Stock_Transaction_Log'!$T645)=1,ROW('主表 Stock_Transaction_Log'!$T645),""))</f>
        <v/>
      </c>
      <c r="B645" s="173" t="str">
        <f t="array" ref="B645">IF($A645="","",INDEX('主表 Stock_Transaction_Log'!$Q:$Q,$A645))</f>
        <v/>
      </c>
      <c r="C645" s="173" t="str">
        <f t="array" ref="C645">IF($A645="","",IF(INDEX('主表 Stock_Transaction_Log'!$F:$F,$A645)=0,"",INDEX('主表 Stock_Transaction_Log'!$F:$F,$A645)))</f>
        <v/>
      </c>
      <c r="D645" s="173" t="str">
        <f t="array" ref="D645">IF($A645="","",INDEX('主表 Stock_Transaction_Log'!$G:$G,$A645))</f>
        <v/>
      </c>
      <c r="E645" s="173" t="str">
        <f t="array" ref="E645">IF($A645="","",INDEX('主表 Stock_Transaction_Log'!$H:$H,$A645))</f>
        <v/>
      </c>
      <c r="F645" s="173" t="str">
        <f t="array" ref="F645">IF($A645="","",INDEX('主表 Stock_Transaction_Log'!$I:$I,$A645))</f>
        <v/>
      </c>
      <c r="G645" s="173" t="str">
        <f t="array" ref="G645">IF($A645="","",IF(INDEX('主表 Stock_Transaction_Log'!$R:$R,$A645)=0,"",INDEX('主表 Stock_Transaction_Log'!$R:$R,$A645)))</f>
        <v/>
      </c>
      <c r="H645" s="173" t="str">
        <f t="array" ref="H645">IF($A645="","",SUMIF('主表 Stock_Transaction_Log'!$T:$T,INDEX('主表 Stock_Transaction_Log'!$T:$T,$A645),'主表 Stock_Transaction_Log'!$S:$S)+SUMIF('主表 Stock_Transaction_Log'!$AB:$AB,INDEX('主表 Stock_Transaction_Log'!$T:$T,$A645),'主表 Stock_Transaction_Log'!$AC:$AC))</f>
        <v/>
      </c>
      <c r="I645" s="173" t="str">
        <f t="shared" si="1"/>
        <v/>
      </c>
      <c r="J645" s="173" t="str">
        <f t="shared" si="2"/>
        <v/>
      </c>
      <c r="K645" s="173" t="str">
        <f t="shared" si="3"/>
        <v/>
      </c>
      <c r="L645" s="173" t="str">
        <f t="array" ref="L645">IF($A645="","",INDEX('主表 Stock_Transaction_Log'!$P:$P,$A645))</f>
        <v/>
      </c>
      <c r="M645" s="174" t="str">
        <f>IF($A645="","",IF($H645&lt;=0,0,SUMIFS('主表 Stock_Transaction_Log'!$K$2:$K1000,'主表 Stock_Transaction_Log'!$C$2:$C1000,"Prepared",'主表 Stock_Transaction_Log'!$L$2:$L1000,$B645,'主表 Stock_Transaction_Log'!$F$2:$F1000,$C645,'主表 Stock_Transaction_Log'!$G$2:$G1000,$D645,'主表 Stock_Transaction_Log'!$P$2:$P1000,$L645)))</f>
        <v/>
      </c>
    </row>
    <row r="646">
      <c r="A646" s="173" t="str">
        <f>IF('主表 Stock_Transaction_Log'!$T646="","",IF(COUNTIF('主表 Stock_Transaction_Log'!$T$2:$T646,'主表 Stock_Transaction_Log'!$T646)=1,ROW('主表 Stock_Transaction_Log'!$T646),""))</f>
        <v/>
      </c>
      <c r="B646" s="173" t="str">
        <f t="array" ref="B646">IF($A646="","",INDEX('主表 Stock_Transaction_Log'!$Q:$Q,$A646))</f>
        <v/>
      </c>
      <c r="C646" s="173" t="str">
        <f t="array" ref="C646">IF($A646="","",IF(INDEX('主表 Stock_Transaction_Log'!$F:$F,$A646)=0,"",INDEX('主表 Stock_Transaction_Log'!$F:$F,$A646)))</f>
        <v/>
      </c>
      <c r="D646" s="173" t="str">
        <f t="array" ref="D646">IF($A646="","",INDEX('主表 Stock_Transaction_Log'!$G:$G,$A646))</f>
        <v/>
      </c>
      <c r="E646" s="173" t="str">
        <f t="array" ref="E646">IF($A646="","",INDEX('主表 Stock_Transaction_Log'!$H:$H,$A646))</f>
        <v/>
      </c>
      <c r="F646" s="173" t="str">
        <f t="array" ref="F646">IF($A646="","",INDEX('主表 Stock_Transaction_Log'!$I:$I,$A646))</f>
        <v/>
      </c>
      <c r="G646" s="173" t="str">
        <f t="array" ref="G646">IF($A646="","",IF(INDEX('主表 Stock_Transaction_Log'!$R:$R,$A646)=0,"",INDEX('主表 Stock_Transaction_Log'!$R:$R,$A646)))</f>
        <v/>
      </c>
      <c r="H646" s="173" t="str">
        <f t="array" ref="H646">IF($A646="","",SUMIF('主表 Stock_Transaction_Log'!$T:$T,INDEX('主表 Stock_Transaction_Log'!$T:$T,$A646),'主表 Stock_Transaction_Log'!$S:$S)+SUMIF('主表 Stock_Transaction_Log'!$AB:$AB,INDEX('主表 Stock_Transaction_Log'!$T:$T,$A646),'主表 Stock_Transaction_Log'!$AC:$AC))</f>
        <v/>
      </c>
      <c r="I646" s="173" t="str">
        <f t="shared" si="1"/>
        <v/>
      </c>
      <c r="J646" s="173" t="str">
        <f t="shared" si="2"/>
        <v/>
      </c>
      <c r="K646" s="173" t="str">
        <f t="shared" si="3"/>
        <v/>
      </c>
      <c r="L646" s="173" t="str">
        <f t="array" ref="L646">IF($A646="","",INDEX('主表 Stock_Transaction_Log'!$P:$P,$A646))</f>
        <v/>
      </c>
      <c r="M646" s="174" t="str">
        <f>IF($A646="","",IF($H646&lt;=0,0,SUMIFS('主表 Stock_Transaction_Log'!$K$2:$K1000,'主表 Stock_Transaction_Log'!$C$2:$C1000,"Prepared",'主表 Stock_Transaction_Log'!$L$2:$L1000,$B646,'主表 Stock_Transaction_Log'!$F$2:$F1000,$C646,'主表 Stock_Transaction_Log'!$G$2:$G1000,$D646,'主表 Stock_Transaction_Log'!$P$2:$P1000,$L646)))</f>
        <v/>
      </c>
    </row>
    <row r="647">
      <c r="A647" s="173" t="str">
        <f>IF('主表 Stock_Transaction_Log'!$T647="","",IF(COUNTIF('主表 Stock_Transaction_Log'!$T$2:$T647,'主表 Stock_Transaction_Log'!$T647)=1,ROW('主表 Stock_Transaction_Log'!$T647),""))</f>
        <v/>
      </c>
      <c r="B647" s="173" t="str">
        <f t="array" ref="B647">IF($A647="","",INDEX('主表 Stock_Transaction_Log'!$Q:$Q,$A647))</f>
        <v/>
      </c>
      <c r="C647" s="173" t="str">
        <f t="array" ref="C647">IF($A647="","",IF(INDEX('主表 Stock_Transaction_Log'!$F:$F,$A647)=0,"",INDEX('主表 Stock_Transaction_Log'!$F:$F,$A647)))</f>
        <v/>
      </c>
      <c r="D647" s="173" t="str">
        <f t="array" ref="D647">IF($A647="","",INDEX('主表 Stock_Transaction_Log'!$G:$G,$A647))</f>
        <v/>
      </c>
      <c r="E647" s="173" t="str">
        <f t="array" ref="E647">IF($A647="","",INDEX('主表 Stock_Transaction_Log'!$H:$H,$A647))</f>
        <v/>
      </c>
      <c r="F647" s="173" t="str">
        <f t="array" ref="F647">IF($A647="","",INDEX('主表 Stock_Transaction_Log'!$I:$I,$A647))</f>
        <v/>
      </c>
      <c r="G647" s="173" t="str">
        <f t="array" ref="G647">IF($A647="","",IF(INDEX('主表 Stock_Transaction_Log'!$R:$R,$A647)=0,"",INDEX('主表 Stock_Transaction_Log'!$R:$R,$A647)))</f>
        <v/>
      </c>
      <c r="H647" s="173" t="str">
        <f t="array" ref="H647">IF($A647="","",SUMIF('主表 Stock_Transaction_Log'!$T:$T,INDEX('主表 Stock_Transaction_Log'!$T:$T,$A647),'主表 Stock_Transaction_Log'!$S:$S)+SUMIF('主表 Stock_Transaction_Log'!$AB:$AB,INDEX('主表 Stock_Transaction_Log'!$T:$T,$A647),'主表 Stock_Transaction_Log'!$AC:$AC))</f>
        <v/>
      </c>
      <c r="I647" s="173" t="str">
        <f t="shared" si="1"/>
        <v/>
      </c>
      <c r="J647" s="173" t="str">
        <f t="shared" si="2"/>
        <v/>
      </c>
      <c r="K647" s="173" t="str">
        <f t="shared" si="3"/>
        <v/>
      </c>
      <c r="L647" s="173" t="str">
        <f t="array" ref="L647">IF($A647="","",INDEX('主表 Stock_Transaction_Log'!$P:$P,$A647))</f>
        <v/>
      </c>
      <c r="M647" s="174" t="str">
        <f>IF($A647="","",IF($H647&lt;=0,0,SUMIFS('主表 Stock_Transaction_Log'!$K$2:$K1000,'主表 Stock_Transaction_Log'!$C$2:$C1000,"Prepared",'主表 Stock_Transaction_Log'!$L$2:$L1000,$B647,'主表 Stock_Transaction_Log'!$F$2:$F1000,$C647,'主表 Stock_Transaction_Log'!$G$2:$G1000,$D647,'主表 Stock_Transaction_Log'!$P$2:$P1000,$L647)))</f>
        <v/>
      </c>
    </row>
    <row r="648">
      <c r="A648" s="173" t="str">
        <f>IF('主表 Stock_Transaction_Log'!$T648="","",IF(COUNTIF('主表 Stock_Transaction_Log'!$T$2:$T648,'主表 Stock_Transaction_Log'!$T648)=1,ROW('主表 Stock_Transaction_Log'!$T648),""))</f>
        <v/>
      </c>
      <c r="B648" s="173" t="str">
        <f t="array" ref="B648">IF($A648="","",INDEX('主表 Stock_Transaction_Log'!$Q:$Q,$A648))</f>
        <v/>
      </c>
      <c r="C648" s="173" t="str">
        <f t="array" ref="C648">IF($A648="","",IF(INDEX('主表 Stock_Transaction_Log'!$F:$F,$A648)=0,"",INDEX('主表 Stock_Transaction_Log'!$F:$F,$A648)))</f>
        <v/>
      </c>
      <c r="D648" s="173" t="str">
        <f t="array" ref="D648">IF($A648="","",INDEX('主表 Stock_Transaction_Log'!$G:$G,$A648))</f>
        <v/>
      </c>
      <c r="E648" s="173" t="str">
        <f t="array" ref="E648">IF($A648="","",INDEX('主表 Stock_Transaction_Log'!$H:$H,$A648))</f>
        <v/>
      </c>
      <c r="F648" s="173" t="str">
        <f t="array" ref="F648">IF($A648="","",INDEX('主表 Stock_Transaction_Log'!$I:$I,$A648))</f>
        <v/>
      </c>
      <c r="G648" s="173" t="str">
        <f t="array" ref="G648">IF($A648="","",IF(INDEX('主表 Stock_Transaction_Log'!$R:$R,$A648)=0,"",INDEX('主表 Stock_Transaction_Log'!$R:$R,$A648)))</f>
        <v/>
      </c>
      <c r="H648" s="173" t="str">
        <f t="array" ref="H648">IF($A648="","",SUMIF('主表 Stock_Transaction_Log'!$T:$T,INDEX('主表 Stock_Transaction_Log'!$T:$T,$A648),'主表 Stock_Transaction_Log'!$S:$S)+SUMIF('主表 Stock_Transaction_Log'!$AB:$AB,INDEX('主表 Stock_Transaction_Log'!$T:$T,$A648),'主表 Stock_Transaction_Log'!$AC:$AC))</f>
        <v/>
      </c>
      <c r="I648" s="173" t="str">
        <f t="shared" si="1"/>
        <v/>
      </c>
      <c r="J648" s="173" t="str">
        <f t="shared" si="2"/>
        <v/>
      </c>
      <c r="K648" s="173" t="str">
        <f t="shared" si="3"/>
        <v/>
      </c>
      <c r="L648" s="173" t="str">
        <f t="array" ref="L648">IF($A648="","",INDEX('主表 Stock_Transaction_Log'!$P:$P,$A648))</f>
        <v/>
      </c>
      <c r="M648" s="174" t="str">
        <f>IF($A648="","",IF($H648&lt;=0,0,SUMIFS('主表 Stock_Transaction_Log'!$K$2:$K1000,'主表 Stock_Transaction_Log'!$C$2:$C1000,"Prepared",'主表 Stock_Transaction_Log'!$L$2:$L1000,$B648,'主表 Stock_Transaction_Log'!$F$2:$F1000,$C648,'主表 Stock_Transaction_Log'!$G$2:$G1000,$D648,'主表 Stock_Transaction_Log'!$P$2:$P1000,$L648)))</f>
        <v/>
      </c>
    </row>
    <row r="649">
      <c r="A649" s="173" t="str">
        <f>IF('主表 Stock_Transaction_Log'!$T649="","",IF(COUNTIF('主表 Stock_Transaction_Log'!$T$2:$T649,'主表 Stock_Transaction_Log'!$T649)=1,ROW('主表 Stock_Transaction_Log'!$T649),""))</f>
        <v/>
      </c>
      <c r="B649" s="173" t="str">
        <f t="array" ref="B649">IF($A649="","",INDEX('主表 Stock_Transaction_Log'!$Q:$Q,$A649))</f>
        <v/>
      </c>
      <c r="C649" s="173" t="str">
        <f t="array" ref="C649">IF($A649="","",IF(INDEX('主表 Stock_Transaction_Log'!$F:$F,$A649)=0,"",INDEX('主表 Stock_Transaction_Log'!$F:$F,$A649)))</f>
        <v/>
      </c>
      <c r="D649" s="173" t="str">
        <f t="array" ref="D649">IF($A649="","",INDEX('主表 Stock_Transaction_Log'!$G:$G,$A649))</f>
        <v/>
      </c>
      <c r="E649" s="173" t="str">
        <f t="array" ref="E649">IF($A649="","",INDEX('主表 Stock_Transaction_Log'!$H:$H,$A649))</f>
        <v/>
      </c>
      <c r="F649" s="173" t="str">
        <f t="array" ref="F649">IF($A649="","",INDEX('主表 Stock_Transaction_Log'!$I:$I,$A649))</f>
        <v/>
      </c>
      <c r="G649" s="173" t="str">
        <f t="array" ref="G649">IF($A649="","",IF(INDEX('主表 Stock_Transaction_Log'!$R:$R,$A649)=0,"",INDEX('主表 Stock_Transaction_Log'!$R:$R,$A649)))</f>
        <v/>
      </c>
      <c r="H649" s="173" t="str">
        <f t="array" ref="H649">IF($A649="","",SUMIF('主表 Stock_Transaction_Log'!$T:$T,INDEX('主表 Stock_Transaction_Log'!$T:$T,$A649),'主表 Stock_Transaction_Log'!$S:$S)+SUMIF('主表 Stock_Transaction_Log'!$AB:$AB,INDEX('主表 Stock_Transaction_Log'!$T:$T,$A649),'主表 Stock_Transaction_Log'!$AC:$AC))</f>
        <v/>
      </c>
      <c r="I649" s="173" t="str">
        <f t="shared" si="1"/>
        <v/>
      </c>
      <c r="J649" s="173" t="str">
        <f t="shared" si="2"/>
        <v/>
      </c>
      <c r="K649" s="173" t="str">
        <f t="shared" si="3"/>
        <v/>
      </c>
      <c r="L649" s="173" t="str">
        <f t="array" ref="L649">IF($A649="","",INDEX('主表 Stock_Transaction_Log'!$P:$P,$A649))</f>
        <v/>
      </c>
      <c r="M649" s="174" t="str">
        <f>IF($A649="","",IF($H649&lt;=0,0,SUMIFS('主表 Stock_Transaction_Log'!$K$2:$K1000,'主表 Stock_Transaction_Log'!$C$2:$C1000,"Prepared",'主表 Stock_Transaction_Log'!$L$2:$L1000,$B649,'主表 Stock_Transaction_Log'!$F$2:$F1000,$C649,'主表 Stock_Transaction_Log'!$G$2:$G1000,$D649,'主表 Stock_Transaction_Log'!$P$2:$P1000,$L649)))</f>
        <v/>
      </c>
    </row>
    <row r="650">
      <c r="A650" s="173" t="str">
        <f>IF('主表 Stock_Transaction_Log'!$T650="","",IF(COUNTIF('主表 Stock_Transaction_Log'!$T$2:$T650,'主表 Stock_Transaction_Log'!$T650)=1,ROW('主表 Stock_Transaction_Log'!$T650),""))</f>
        <v/>
      </c>
      <c r="B650" s="173" t="str">
        <f t="array" ref="B650">IF($A650="","",INDEX('主表 Stock_Transaction_Log'!$Q:$Q,$A650))</f>
        <v/>
      </c>
      <c r="C650" s="173" t="str">
        <f t="array" ref="C650">IF($A650="","",IF(INDEX('主表 Stock_Transaction_Log'!$F:$F,$A650)=0,"",INDEX('主表 Stock_Transaction_Log'!$F:$F,$A650)))</f>
        <v/>
      </c>
      <c r="D650" s="173" t="str">
        <f t="array" ref="D650">IF($A650="","",INDEX('主表 Stock_Transaction_Log'!$G:$G,$A650))</f>
        <v/>
      </c>
      <c r="E650" s="173" t="str">
        <f t="array" ref="E650">IF($A650="","",INDEX('主表 Stock_Transaction_Log'!$H:$H,$A650))</f>
        <v/>
      </c>
      <c r="F650" s="173" t="str">
        <f t="array" ref="F650">IF($A650="","",INDEX('主表 Stock_Transaction_Log'!$I:$I,$A650))</f>
        <v/>
      </c>
      <c r="G650" s="173" t="str">
        <f t="array" ref="G650">IF($A650="","",IF(INDEX('主表 Stock_Transaction_Log'!$R:$R,$A650)=0,"",INDEX('主表 Stock_Transaction_Log'!$R:$R,$A650)))</f>
        <v/>
      </c>
      <c r="H650" s="173" t="str">
        <f t="array" ref="H650">IF($A650="","",SUMIF('主表 Stock_Transaction_Log'!$T:$T,INDEX('主表 Stock_Transaction_Log'!$T:$T,$A650),'主表 Stock_Transaction_Log'!$S:$S)+SUMIF('主表 Stock_Transaction_Log'!$AB:$AB,INDEX('主表 Stock_Transaction_Log'!$T:$T,$A650),'主表 Stock_Transaction_Log'!$AC:$AC))</f>
        <v/>
      </c>
      <c r="I650" s="173" t="str">
        <f t="shared" si="1"/>
        <v/>
      </c>
      <c r="J650" s="173" t="str">
        <f t="shared" si="2"/>
        <v/>
      </c>
      <c r="K650" s="173" t="str">
        <f t="shared" si="3"/>
        <v/>
      </c>
      <c r="L650" s="173" t="str">
        <f t="array" ref="L650">IF($A650="","",INDEX('主表 Stock_Transaction_Log'!$P:$P,$A650))</f>
        <v/>
      </c>
      <c r="M650" s="174" t="str">
        <f>IF($A650="","",IF($H650&lt;=0,0,SUMIFS('主表 Stock_Transaction_Log'!$K$2:$K1000,'主表 Stock_Transaction_Log'!$C$2:$C1000,"Prepared",'主表 Stock_Transaction_Log'!$L$2:$L1000,$B650,'主表 Stock_Transaction_Log'!$F$2:$F1000,$C650,'主表 Stock_Transaction_Log'!$G$2:$G1000,$D650,'主表 Stock_Transaction_Log'!$P$2:$P1000,$L650)))</f>
        <v/>
      </c>
    </row>
    <row r="651">
      <c r="A651" s="173" t="str">
        <f>IF('主表 Stock_Transaction_Log'!$T651="","",IF(COUNTIF('主表 Stock_Transaction_Log'!$T$2:$T651,'主表 Stock_Transaction_Log'!$T651)=1,ROW('主表 Stock_Transaction_Log'!$T651),""))</f>
        <v/>
      </c>
      <c r="B651" s="173" t="str">
        <f t="array" ref="B651">IF($A651="","",INDEX('主表 Stock_Transaction_Log'!$Q:$Q,$A651))</f>
        <v/>
      </c>
      <c r="C651" s="173" t="str">
        <f t="array" ref="C651">IF($A651="","",IF(INDEX('主表 Stock_Transaction_Log'!$F:$F,$A651)=0,"",INDEX('主表 Stock_Transaction_Log'!$F:$F,$A651)))</f>
        <v/>
      </c>
      <c r="D651" s="173" t="str">
        <f t="array" ref="D651">IF($A651="","",INDEX('主表 Stock_Transaction_Log'!$G:$G,$A651))</f>
        <v/>
      </c>
      <c r="E651" s="173" t="str">
        <f t="array" ref="E651">IF($A651="","",INDEX('主表 Stock_Transaction_Log'!$H:$H,$A651))</f>
        <v/>
      </c>
      <c r="F651" s="173" t="str">
        <f t="array" ref="F651">IF($A651="","",INDEX('主表 Stock_Transaction_Log'!$I:$I,$A651))</f>
        <v/>
      </c>
      <c r="G651" s="173" t="str">
        <f t="array" ref="G651">IF($A651="","",IF(INDEX('主表 Stock_Transaction_Log'!$R:$R,$A651)=0,"",INDEX('主表 Stock_Transaction_Log'!$R:$R,$A651)))</f>
        <v/>
      </c>
      <c r="H651" s="173" t="str">
        <f t="array" ref="H651">IF($A651="","",SUMIF('主表 Stock_Transaction_Log'!$T:$T,INDEX('主表 Stock_Transaction_Log'!$T:$T,$A651),'主表 Stock_Transaction_Log'!$S:$S)+SUMIF('主表 Stock_Transaction_Log'!$AB:$AB,INDEX('主表 Stock_Transaction_Log'!$T:$T,$A651),'主表 Stock_Transaction_Log'!$AC:$AC))</f>
        <v/>
      </c>
      <c r="I651" s="173" t="str">
        <f t="shared" si="1"/>
        <v/>
      </c>
      <c r="J651" s="173" t="str">
        <f t="shared" si="2"/>
        <v/>
      </c>
      <c r="K651" s="173" t="str">
        <f t="shared" si="3"/>
        <v/>
      </c>
      <c r="L651" s="173" t="str">
        <f t="array" ref="L651">IF($A651="","",INDEX('主表 Stock_Transaction_Log'!$P:$P,$A651))</f>
        <v/>
      </c>
      <c r="M651" s="174" t="str">
        <f>IF($A651="","",IF($H651&lt;=0,0,SUMIFS('主表 Stock_Transaction_Log'!$K$2:$K1000,'主表 Stock_Transaction_Log'!$C$2:$C1000,"Prepared",'主表 Stock_Transaction_Log'!$L$2:$L1000,$B651,'主表 Stock_Transaction_Log'!$F$2:$F1000,$C651,'主表 Stock_Transaction_Log'!$G$2:$G1000,$D651,'主表 Stock_Transaction_Log'!$P$2:$P1000,$L651)))</f>
        <v/>
      </c>
    </row>
    <row r="652">
      <c r="A652" s="173" t="str">
        <f>IF('主表 Stock_Transaction_Log'!$T652="","",IF(COUNTIF('主表 Stock_Transaction_Log'!$T$2:$T652,'主表 Stock_Transaction_Log'!$T652)=1,ROW('主表 Stock_Transaction_Log'!$T652),""))</f>
        <v/>
      </c>
      <c r="B652" s="173" t="str">
        <f t="array" ref="B652">IF($A652="","",INDEX('主表 Stock_Transaction_Log'!$Q:$Q,$A652))</f>
        <v/>
      </c>
      <c r="C652" s="173" t="str">
        <f t="array" ref="C652">IF($A652="","",IF(INDEX('主表 Stock_Transaction_Log'!$F:$F,$A652)=0,"",INDEX('主表 Stock_Transaction_Log'!$F:$F,$A652)))</f>
        <v/>
      </c>
      <c r="D652" s="173" t="str">
        <f t="array" ref="D652">IF($A652="","",INDEX('主表 Stock_Transaction_Log'!$G:$G,$A652))</f>
        <v/>
      </c>
      <c r="E652" s="173" t="str">
        <f t="array" ref="E652">IF($A652="","",INDEX('主表 Stock_Transaction_Log'!$H:$H,$A652))</f>
        <v/>
      </c>
      <c r="F652" s="173" t="str">
        <f t="array" ref="F652">IF($A652="","",INDEX('主表 Stock_Transaction_Log'!$I:$I,$A652))</f>
        <v/>
      </c>
      <c r="G652" s="173" t="str">
        <f t="array" ref="G652">IF($A652="","",IF(INDEX('主表 Stock_Transaction_Log'!$R:$R,$A652)=0,"",INDEX('主表 Stock_Transaction_Log'!$R:$R,$A652)))</f>
        <v/>
      </c>
      <c r="H652" s="173" t="str">
        <f t="array" ref="H652">IF($A652="","",SUMIF('主表 Stock_Transaction_Log'!$T:$T,INDEX('主表 Stock_Transaction_Log'!$T:$T,$A652),'主表 Stock_Transaction_Log'!$S:$S)+SUMIF('主表 Stock_Transaction_Log'!$AB:$AB,INDEX('主表 Stock_Transaction_Log'!$T:$T,$A652),'主表 Stock_Transaction_Log'!$AC:$AC))</f>
        <v/>
      </c>
      <c r="I652" s="173" t="str">
        <f t="shared" si="1"/>
        <v/>
      </c>
      <c r="J652" s="173" t="str">
        <f t="shared" si="2"/>
        <v/>
      </c>
      <c r="K652" s="173" t="str">
        <f t="shared" si="3"/>
        <v/>
      </c>
      <c r="L652" s="173" t="str">
        <f t="array" ref="L652">IF($A652="","",INDEX('主表 Stock_Transaction_Log'!$P:$P,$A652))</f>
        <v/>
      </c>
      <c r="M652" s="174" t="str">
        <f>IF($A652="","",IF($H652&lt;=0,0,SUMIFS('主表 Stock_Transaction_Log'!$K$2:$K1000,'主表 Stock_Transaction_Log'!$C$2:$C1000,"Prepared",'主表 Stock_Transaction_Log'!$L$2:$L1000,$B652,'主表 Stock_Transaction_Log'!$F$2:$F1000,$C652,'主表 Stock_Transaction_Log'!$G$2:$G1000,$D652,'主表 Stock_Transaction_Log'!$P$2:$P1000,$L652)))</f>
        <v/>
      </c>
    </row>
    <row r="653">
      <c r="A653" s="173" t="str">
        <f>IF('主表 Stock_Transaction_Log'!$T653="","",IF(COUNTIF('主表 Stock_Transaction_Log'!$T$2:$T653,'主表 Stock_Transaction_Log'!$T653)=1,ROW('主表 Stock_Transaction_Log'!$T653),""))</f>
        <v/>
      </c>
      <c r="B653" s="173" t="str">
        <f t="array" ref="B653">IF($A653="","",INDEX('主表 Stock_Transaction_Log'!$Q:$Q,$A653))</f>
        <v/>
      </c>
      <c r="C653" s="173" t="str">
        <f t="array" ref="C653">IF($A653="","",IF(INDEX('主表 Stock_Transaction_Log'!$F:$F,$A653)=0,"",INDEX('主表 Stock_Transaction_Log'!$F:$F,$A653)))</f>
        <v/>
      </c>
      <c r="D653" s="173" t="str">
        <f t="array" ref="D653">IF($A653="","",INDEX('主表 Stock_Transaction_Log'!$G:$G,$A653))</f>
        <v/>
      </c>
      <c r="E653" s="173" t="str">
        <f t="array" ref="E653">IF($A653="","",INDEX('主表 Stock_Transaction_Log'!$H:$H,$A653))</f>
        <v/>
      </c>
      <c r="F653" s="173" t="str">
        <f t="array" ref="F653">IF($A653="","",INDEX('主表 Stock_Transaction_Log'!$I:$I,$A653))</f>
        <v/>
      </c>
      <c r="G653" s="173" t="str">
        <f t="array" ref="G653">IF($A653="","",IF(INDEX('主表 Stock_Transaction_Log'!$R:$R,$A653)=0,"",INDEX('主表 Stock_Transaction_Log'!$R:$R,$A653)))</f>
        <v/>
      </c>
      <c r="H653" s="173" t="str">
        <f t="array" ref="H653">IF($A653="","",SUMIF('主表 Stock_Transaction_Log'!$T:$T,INDEX('主表 Stock_Transaction_Log'!$T:$T,$A653),'主表 Stock_Transaction_Log'!$S:$S)+SUMIF('主表 Stock_Transaction_Log'!$AB:$AB,INDEX('主表 Stock_Transaction_Log'!$T:$T,$A653),'主表 Stock_Transaction_Log'!$AC:$AC))</f>
        <v/>
      </c>
      <c r="I653" s="173" t="str">
        <f t="shared" si="1"/>
        <v/>
      </c>
      <c r="J653" s="173" t="str">
        <f t="shared" si="2"/>
        <v/>
      </c>
      <c r="K653" s="173" t="str">
        <f t="shared" si="3"/>
        <v/>
      </c>
      <c r="L653" s="173" t="str">
        <f t="array" ref="L653">IF($A653="","",INDEX('主表 Stock_Transaction_Log'!$P:$P,$A653))</f>
        <v/>
      </c>
      <c r="M653" s="174" t="str">
        <f>IF($A653="","",IF($H653&lt;=0,0,SUMIFS('主表 Stock_Transaction_Log'!$K$2:$K1000,'主表 Stock_Transaction_Log'!$C$2:$C1000,"Prepared",'主表 Stock_Transaction_Log'!$L$2:$L1000,$B653,'主表 Stock_Transaction_Log'!$F$2:$F1000,$C653,'主表 Stock_Transaction_Log'!$G$2:$G1000,$D653,'主表 Stock_Transaction_Log'!$P$2:$P1000,$L653)))</f>
        <v/>
      </c>
    </row>
    <row r="654">
      <c r="A654" s="173" t="str">
        <f>IF('主表 Stock_Transaction_Log'!$T654="","",IF(COUNTIF('主表 Stock_Transaction_Log'!$T$2:$T654,'主表 Stock_Transaction_Log'!$T654)=1,ROW('主表 Stock_Transaction_Log'!$T654),""))</f>
        <v/>
      </c>
      <c r="B654" s="173" t="str">
        <f t="array" ref="B654">IF($A654="","",INDEX('主表 Stock_Transaction_Log'!$Q:$Q,$A654))</f>
        <v/>
      </c>
      <c r="C654" s="173" t="str">
        <f t="array" ref="C654">IF($A654="","",IF(INDEX('主表 Stock_Transaction_Log'!$F:$F,$A654)=0,"",INDEX('主表 Stock_Transaction_Log'!$F:$F,$A654)))</f>
        <v/>
      </c>
      <c r="D654" s="173" t="str">
        <f t="array" ref="D654">IF($A654="","",INDEX('主表 Stock_Transaction_Log'!$G:$G,$A654))</f>
        <v/>
      </c>
      <c r="E654" s="173" t="str">
        <f t="array" ref="E654">IF($A654="","",INDEX('主表 Stock_Transaction_Log'!$H:$H,$A654))</f>
        <v/>
      </c>
      <c r="F654" s="173" t="str">
        <f t="array" ref="F654">IF($A654="","",INDEX('主表 Stock_Transaction_Log'!$I:$I,$A654))</f>
        <v/>
      </c>
      <c r="G654" s="173" t="str">
        <f t="array" ref="G654">IF($A654="","",IF(INDEX('主表 Stock_Transaction_Log'!$R:$R,$A654)=0,"",INDEX('主表 Stock_Transaction_Log'!$R:$R,$A654)))</f>
        <v/>
      </c>
      <c r="H654" s="173" t="str">
        <f t="array" ref="H654">IF($A654="","",SUMIF('主表 Stock_Transaction_Log'!$T:$T,INDEX('主表 Stock_Transaction_Log'!$T:$T,$A654),'主表 Stock_Transaction_Log'!$S:$S)+SUMIF('主表 Stock_Transaction_Log'!$AB:$AB,INDEX('主表 Stock_Transaction_Log'!$T:$T,$A654),'主表 Stock_Transaction_Log'!$AC:$AC))</f>
        <v/>
      </c>
      <c r="I654" s="173" t="str">
        <f t="shared" si="1"/>
        <v/>
      </c>
      <c r="J654" s="173" t="str">
        <f t="shared" si="2"/>
        <v/>
      </c>
      <c r="K654" s="173" t="str">
        <f t="shared" si="3"/>
        <v/>
      </c>
      <c r="L654" s="173" t="str">
        <f t="array" ref="L654">IF($A654="","",INDEX('主表 Stock_Transaction_Log'!$P:$P,$A654))</f>
        <v/>
      </c>
      <c r="M654" s="174" t="str">
        <f>IF($A654="","",IF($H654&lt;=0,0,SUMIFS('主表 Stock_Transaction_Log'!$K$2:$K1000,'主表 Stock_Transaction_Log'!$C$2:$C1000,"Prepared",'主表 Stock_Transaction_Log'!$L$2:$L1000,$B654,'主表 Stock_Transaction_Log'!$F$2:$F1000,$C654,'主表 Stock_Transaction_Log'!$G$2:$G1000,$D654,'主表 Stock_Transaction_Log'!$P$2:$P1000,$L654)))</f>
        <v/>
      </c>
    </row>
    <row r="655">
      <c r="A655" s="173" t="str">
        <f>IF('主表 Stock_Transaction_Log'!$T655="","",IF(COUNTIF('主表 Stock_Transaction_Log'!$T$2:$T655,'主表 Stock_Transaction_Log'!$T655)=1,ROW('主表 Stock_Transaction_Log'!$T655),""))</f>
        <v/>
      </c>
      <c r="B655" s="173" t="str">
        <f t="array" ref="B655">IF($A655="","",INDEX('主表 Stock_Transaction_Log'!$Q:$Q,$A655))</f>
        <v/>
      </c>
      <c r="C655" s="173" t="str">
        <f t="array" ref="C655">IF($A655="","",IF(INDEX('主表 Stock_Transaction_Log'!$F:$F,$A655)=0,"",INDEX('主表 Stock_Transaction_Log'!$F:$F,$A655)))</f>
        <v/>
      </c>
      <c r="D655" s="173" t="str">
        <f t="array" ref="D655">IF($A655="","",INDEX('主表 Stock_Transaction_Log'!$G:$G,$A655))</f>
        <v/>
      </c>
      <c r="E655" s="173" t="str">
        <f t="array" ref="E655">IF($A655="","",INDEX('主表 Stock_Transaction_Log'!$H:$H,$A655))</f>
        <v/>
      </c>
      <c r="F655" s="173" t="str">
        <f t="array" ref="F655">IF($A655="","",INDEX('主表 Stock_Transaction_Log'!$I:$I,$A655))</f>
        <v/>
      </c>
      <c r="G655" s="173" t="str">
        <f t="array" ref="G655">IF($A655="","",IF(INDEX('主表 Stock_Transaction_Log'!$R:$R,$A655)=0,"",INDEX('主表 Stock_Transaction_Log'!$R:$R,$A655)))</f>
        <v/>
      </c>
      <c r="H655" s="173" t="str">
        <f t="array" ref="H655">IF($A655="","",SUMIF('主表 Stock_Transaction_Log'!$T:$T,INDEX('主表 Stock_Transaction_Log'!$T:$T,$A655),'主表 Stock_Transaction_Log'!$S:$S)+SUMIF('主表 Stock_Transaction_Log'!$AB:$AB,INDEX('主表 Stock_Transaction_Log'!$T:$T,$A655),'主表 Stock_Transaction_Log'!$AC:$AC))</f>
        <v/>
      </c>
      <c r="I655" s="173" t="str">
        <f t="shared" si="1"/>
        <v/>
      </c>
      <c r="J655" s="173" t="str">
        <f t="shared" si="2"/>
        <v/>
      </c>
      <c r="K655" s="173" t="str">
        <f t="shared" si="3"/>
        <v/>
      </c>
      <c r="L655" s="173" t="str">
        <f t="array" ref="L655">IF($A655="","",INDEX('主表 Stock_Transaction_Log'!$P:$P,$A655))</f>
        <v/>
      </c>
      <c r="M655" s="174" t="str">
        <f>IF($A655="","",IF($H655&lt;=0,0,SUMIFS('主表 Stock_Transaction_Log'!$K$2:$K1000,'主表 Stock_Transaction_Log'!$C$2:$C1000,"Prepared",'主表 Stock_Transaction_Log'!$L$2:$L1000,$B655,'主表 Stock_Transaction_Log'!$F$2:$F1000,$C655,'主表 Stock_Transaction_Log'!$G$2:$G1000,$D655,'主表 Stock_Transaction_Log'!$P$2:$P1000,$L655)))</f>
        <v/>
      </c>
    </row>
    <row r="656">
      <c r="A656" s="173" t="str">
        <f>IF('主表 Stock_Transaction_Log'!$T656="","",IF(COUNTIF('主表 Stock_Transaction_Log'!$T$2:$T656,'主表 Stock_Transaction_Log'!$T656)=1,ROW('主表 Stock_Transaction_Log'!$T656),""))</f>
        <v/>
      </c>
      <c r="B656" s="173" t="str">
        <f t="array" ref="B656">IF($A656="","",INDEX('主表 Stock_Transaction_Log'!$Q:$Q,$A656))</f>
        <v/>
      </c>
      <c r="C656" s="173" t="str">
        <f t="array" ref="C656">IF($A656="","",IF(INDEX('主表 Stock_Transaction_Log'!$F:$F,$A656)=0,"",INDEX('主表 Stock_Transaction_Log'!$F:$F,$A656)))</f>
        <v/>
      </c>
      <c r="D656" s="173" t="str">
        <f t="array" ref="D656">IF($A656="","",INDEX('主表 Stock_Transaction_Log'!$G:$G,$A656))</f>
        <v/>
      </c>
      <c r="E656" s="173" t="str">
        <f t="array" ref="E656">IF($A656="","",INDEX('主表 Stock_Transaction_Log'!$H:$H,$A656))</f>
        <v/>
      </c>
      <c r="F656" s="173" t="str">
        <f t="array" ref="F656">IF($A656="","",INDEX('主表 Stock_Transaction_Log'!$I:$I,$A656))</f>
        <v/>
      </c>
      <c r="G656" s="173" t="str">
        <f t="array" ref="G656">IF($A656="","",IF(INDEX('主表 Stock_Transaction_Log'!$R:$R,$A656)=0,"",INDEX('主表 Stock_Transaction_Log'!$R:$R,$A656)))</f>
        <v/>
      </c>
      <c r="H656" s="173" t="str">
        <f t="array" ref="H656">IF($A656="","",SUMIF('主表 Stock_Transaction_Log'!$T:$T,INDEX('主表 Stock_Transaction_Log'!$T:$T,$A656),'主表 Stock_Transaction_Log'!$S:$S)+SUMIF('主表 Stock_Transaction_Log'!$AB:$AB,INDEX('主表 Stock_Transaction_Log'!$T:$T,$A656),'主表 Stock_Transaction_Log'!$AC:$AC))</f>
        <v/>
      </c>
      <c r="I656" s="173" t="str">
        <f t="shared" si="1"/>
        <v/>
      </c>
      <c r="J656" s="173" t="str">
        <f t="shared" si="2"/>
        <v/>
      </c>
      <c r="K656" s="173" t="str">
        <f t="shared" si="3"/>
        <v/>
      </c>
      <c r="L656" s="173" t="str">
        <f t="array" ref="L656">IF($A656="","",INDEX('主表 Stock_Transaction_Log'!$P:$P,$A656))</f>
        <v/>
      </c>
      <c r="M656" s="174" t="str">
        <f>IF($A656="","",IF($H656&lt;=0,0,SUMIFS('主表 Stock_Transaction_Log'!$K$2:$K1000,'主表 Stock_Transaction_Log'!$C$2:$C1000,"Prepared",'主表 Stock_Transaction_Log'!$L$2:$L1000,$B656,'主表 Stock_Transaction_Log'!$F$2:$F1000,$C656,'主表 Stock_Transaction_Log'!$G$2:$G1000,$D656,'主表 Stock_Transaction_Log'!$P$2:$P1000,$L656)))</f>
        <v/>
      </c>
    </row>
    <row r="657">
      <c r="A657" s="173" t="str">
        <f>IF('主表 Stock_Transaction_Log'!$T657="","",IF(COUNTIF('主表 Stock_Transaction_Log'!$T$2:$T657,'主表 Stock_Transaction_Log'!$T657)=1,ROW('主表 Stock_Transaction_Log'!$T657),""))</f>
        <v/>
      </c>
      <c r="B657" s="173" t="str">
        <f t="array" ref="B657">IF($A657="","",INDEX('主表 Stock_Transaction_Log'!$Q:$Q,$A657))</f>
        <v/>
      </c>
      <c r="C657" s="173" t="str">
        <f t="array" ref="C657">IF($A657="","",IF(INDEX('主表 Stock_Transaction_Log'!$F:$F,$A657)=0,"",INDEX('主表 Stock_Transaction_Log'!$F:$F,$A657)))</f>
        <v/>
      </c>
      <c r="D657" s="173" t="str">
        <f t="array" ref="D657">IF($A657="","",INDEX('主表 Stock_Transaction_Log'!$G:$G,$A657))</f>
        <v/>
      </c>
      <c r="E657" s="173" t="str">
        <f t="array" ref="E657">IF($A657="","",INDEX('主表 Stock_Transaction_Log'!$H:$H,$A657))</f>
        <v/>
      </c>
      <c r="F657" s="173" t="str">
        <f t="array" ref="F657">IF($A657="","",INDEX('主表 Stock_Transaction_Log'!$I:$I,$A657))</f>
        <v/>
      </c>
      <c r="G657" s="173" t="str">
        <f t="array" ref="G657">IF($A657="","",IF(INDEX('主表 Stock_Transaction_Log'!$R:$R,$A657)=0,"",INDEX('主表 Stock_Transaction_Log'!$R:$R,$A657)))</f>
        <v/>
      </c>
      <c r="H657" s="173" t="str">
        <f t="array" ref="H657">IF($A657="","",SUMIF('主表 Stock_Transaction_Log'!$T:$T,INDEX('主表 Stock_Transaction_Log'!$T:$T,$A657),'主表 Stock_Transaction_Log'!$S:$S)+SUMIF('主表 Stock_Transaction_Log'!$AB:$AB,INDEX('主表 Stock_Transaction_Log'!$T:$T,$A657),'主表 Stock_Transaction_Log'!$AC:$AC))</f>
        <v/>
      </c>
      <c r="I657" s="173" t="str">
        <f t="shared" si="1"/>
        <v/>
      </c>
      <c r="J657" s="173" t="str">
        <f t="shared" si="2"/>
        <v/>
      </c>
      <c r="K657" s="173" t="str">
        <f t="shared" si="3"/>
        <v/>
      </c>
      <c r="L657" s="173" t="str">
        <f t="array" ref="L657">IF($A657="","",INDEX('主表 Stock_Transaction_Log'!$P:$P,$A657))</f>
        <v/>
      </c>
      <c r="M657" s="174" t="str">
        <f>IF($A657="","",IF($H657&lt;=0,0,SUMIFS('主表 Stock_Transaction_Log'!$K$2:$K1000,'主表 Stock_Transaction_Log'!$C$2:$C1000,"Prepared",'主表 Stock_Transaction_Log'!$L$2:$L1000,$B657,'主表 Stock_Transaction_Log'!$F$2:$F1000,$C657,'主表 Stock_Transaction_Log'!$G$2:$G1000,$D657,'主表 Stock_Transaction_Log'!$P$2:$P1000,$L657)))</f>
        <v/>
      </c>
    </row>
    <row r="658">
      <c r="A658" s="173" t="str">
        <f>IF('主表 Stock_Transaction_Log'!$T658="","",IF(COUNTIF('主表 Stock_Transaction_Log'!$T$2:$T658,'主表 Stock_Transaction_Log'!$T658)=1,ROW('主表 Stock_Transaction_Log'!$T658),""))</f>
        <v/>
      </c>
      <c r="B658" s="173" t="str">
        <f t="array" ref="B658">IF($A658="","",INDEX('主表 Stock_Transaction_Log'!$Q:$Q,$A658))</f>
        <v/>
      </c>
      <c r="C658" s="173" t="str">
        <f t="array" ref="C658">IF($A658="","",IF(INDEX('主表 Stock_Transaction_Log'!$F:$F,$A658)=0,"",INDEX('主表 Stock_Transaction_Log'!$F:$F,$A658)))</f>
        <v/>
      </c>
      <c r="D658" s="173" t="str">
        <f t="array" ref="D658">IF($A658="","",INDEX('主表 Stock_Transaction_Log'!$G:$G,$A658))</f>
        <v/>
      </c>
      <c r="E658" s="173" t="str">
        <f t="array" ref="E658">IF($A658="","",INDEX('主表 Stock_Transaction_Log'!$H:$H,$A658))</f>
        <v/>
      </c>
      <c r="F658" s="173" t="str">
        <f t="array" ref="F658">IF($A658="","",INDEX('主表 Stock_Transaction_Log'!$I:$I,$A658))</f>
        <v/>
      </c>
      <c r="G658" s="173" t="str">
        <f t="array" ref="G658">IF($A658="","",IF(INDEX('主表 Stock_Transaction_Log'!$R:$R,$A658)=0,"",INDEX('主表 Stock_Transaction_Log'!$R:$R,$A658)))</f>
        <v/>
      </c>
      <c r="H658" s="173" t="str">
        <f t="array" ref="H658">IF($A658="","",SUMIF('主表 Stock_Transaction_Log'!$T:$T,INDEX('主表 Stock_Transaction_Log'!$T:$T,$A658),'主表 Stock_Transaction_Log'!$S:$S)+SUMIF('主表 Stock_Transaction_Log'!$AB:$AB,INDEX('主表 Stock_Transaction_Log'!$T:$T,$A658),'主表 Stock_Transaction_Log'!$AC:$AC))</f>
        <v/>
      </c>
      <c r="I658" s="173" t="str">
        <f t="shared" si="1"/>
        <v/>
      </c>
      <c r="J658" s="173" t="str">
        <f t="shared" si="2"/>
        <v/>
      </c>
      <c r="K658" s="173" t="str">
        <f t="shared" si="3"/>
        <v/>
      </c>
      <c r="L658" s="173" t="str">
        <f t="array" ref="L658">IF($A658="","",INDEX('主表 Stock_Transaction_Log'!$P:$P,$A658))</f>
        <v/>
      </c>
      <c r="M658" s="174" t="str">
        <f>IF($A658="","",IF($H658&lt;=0,0,SUMIFS('主表 Stock_Transaction_Log'!$K$2:$K1000,'主表 Stock_Transaction_Log'!$C$2:$C1000,"Prepared",'主表 Stock_Transaction_Log'!$L$2:$L1000,$B658,'主表 Stock_Transaction_Log'!$F$2:$F1000,$C658,'主表 Stock_Transaction_Log'!$G$2:$G1000,$D658,'主表 Stock_Transaction_Log'!$P$2:$P1000,$L658)))</f>
        <v/>
      </c>
    </row>
    <row r="659">
      <c r="A659" s="173" t="str">
        <f>IF('主表 Stock_Transaction_Log'!$T659="","",IF(COUNTIF('主表 Stock_Transaction_Log'!$T$2:$T659,'主表 Stock_Transaction_Log'!$T659)=1,ROW('主表 Stock_Transaction_Log'!$T659),""))</f>
        <v/>
      </c>
      <c r="B659" s="173" t="str">
        <f t="array" ref="B659">IF($A659="","",INDEX('主表 Stock_Transaction_Log'!$Q:$Q,$A659))</f>
        <v/>
      </c>
      <c r="C659" s="173" t="str">
        <f t="array" ref="C659">IF($A659="","",IF(INDEX('主表 Stock_Transaction_Log'!$F:$F,$A659)=0,"",INDEX('主表 Stock_Transaction_Log'!$F:$F,$A659)))</f>
        <v/>
      </c>
      <c r="D659" s="173" t="str">
        <f t="array" ref="D659">IF($A659="","",INDEX('主表 Stock_Transaction_Log'!$G:$G,$A659))</f>
        <v/>
      </c>
      <c r="E659" s="173" t="str">
        <f t="array" ref="E659">IF($A659="","",INDEX('主表 Stock_Transaction_Log'!$H:$H,$A659))</f>
        <v/>
      </c>
      <c r="F659" s="173" t="str">
        <f t="array" ref="F659">IF($A659="","",INDEX('主表 Stock_Transaction_Log'!$I:$I,$A659))</f>
        <v/>
      </c>
      <c r="G659" s="173" t="str">
        <f t="array" ref="G659">IF($A659="","",IF(INDEX('主表 Stock_Transaction_Log'!$R:$R,$A659)=0,"",INDEX('主表 Stock_Transaction_Log'!$R:$R,$A659)))</f>
        <v/>
      </c>
      <c r="H659" s="173" t="str">
        <f t="array" ref="H659">IF($A659="","",SUMIF('主表 Stock_Transaction_Log'!$T:$T,INDEX('主表 Stock_Transaction_Log'!$T:$T,$A659),'主表 Stock_Transaction_Log'!$S:$S)+SUMIF('主表 Stock_Transaction_Log'!$AB:$AB,INDEX('主表 Stock_Transaction_Log'!$T:$T,$A659),'主表 Stock_Transaction_Log'!$AC:$AC))</f>
        <v/>
      </c>
      <c r="I659" s="173" t="str">
        <f t="shared" si="1"/>
        <v/>
      </c>
      <c r="J659" s="173" t="str">
        <f t="shared" si="2"/>
        <v/>
      </c>
      <c r="K659" s="173" t="str">
        <f t="shared" si="3"/>
        <v/>
      </c>
      <c r="L659" s="173" t="str">
        <f t="array" ref="L659">IF($A659="","",INDEX('主表 Stock_Transaction_Log'!$P:$P,$A659))</f>
        <v/>
      </c>
      <c r="M659" s="174" t="str">
        <f>IF($A659="","",IF($H659&lt;=0,0,SUMIFS('主表 Stock_Transaction_Log'!$K$2:$K1000,'主表 Stock_Transaction_Log'!$C$2:$C1000,"Prepared",'主表 Stock_Transaction_Log'!$L$2:$L1000,$B659,'主表 Stock_Transaction_Log'!$F$2:$F1000,$C659,'主表 Stock_Transaction_Log'!$G$2:$G1000,$D659,'主表 Stock_Transaction_Log'!$P$2:$P1000,$L659)))</f>
        <v/>
      </c>
    </row>
    <row r="660">
      <c r="A660" s="173" t="str">
        <f>IF('主表 Stock_Transaction_Log'!$T660="","",IF(COUNTIF('主表 Stock_Transaction_Log'!$T$2:$T660,'主表 Stock_Transaction_Log'!$T660)=1,ROW('主表 Stock_Transaction_Log'!$T660),""))</f>
        <v/>
      </c>
      <c r="B660" s="173" t="str">
        <f t="array" ref="B660">IF($A660="","",INDEX('主表 Stock_Transaction_Log'!$Q:$Q,$A660))</f>
        <v/>
      </c>
      <c r="C660" s="173" t="str">
        <f t="array" ref="C660">IF($A660="","",IF(INDEX('主表 Stock_Transaction_Log'!$F:$F,$A660)=0,"",INDEX('主表 Stock_Transaction_Log'!$F:$F,$A660)))</f>
        <v/>
      </c>
      <c r="D660" s="173" t="str">
        <f t="array" ref="D660">IF($A660="","",INDEX('主表 Stock_Transaction_Log'!$G:$G,$A660))</f>
        <v/>
      </c>
      <c r="E660" s="173" t="str">
        <f t="array" ref="E660">IF($A660="","",INDEX('主表 Stock_Transaction_Log'!$H:$H,$A660))</f>
        <v/>
      </c>
      <c r="F660" s="173" t="str">
        <f t="array" ref="F660">IF($A660="","",INDEX('主表 Stock_Transaction_Log'!$I:$I,$A660))</f>
        <v/>
      </c>
      <c r="G660" s="173" t="str">
        <f t="array" ref="G660">IF($A660="","",IF(INDEX('主表 Stock_Transaction_Log'!$R:$R,$A660)=0,"",INDEX('主表 Stock_Transaction_Log'!$R:$R,$A660)))</f>
        <v/>
      </c>
      <c r="H660" s="173" t="str">
        <f t="array" ref="H660">IF($A660="","",SUMIF('主表 Stock_Transaction_Log'!$T:$T,INDEX('主表 Stock_Transaction_Log'!$T:$T,$A660),'主表 Stock_Transaction_Log'!$S:$S)+SUMIF('主表 Stock_Transaction_Log'!$AB:$AB,INDEX('主表 Stock_Transaction_Log'!$T:$T,$A660),'主表 Stock_Transaction_Log'!$AC:$AC))</f>
        <v/>
      </c>
      <c r="I660" s="173" t="str">
        <f t="shared" si="1"/>
        <v/>
      </c>
      <c r="J660" s="173" t="str">
        <f t="shared" si="2"/>
        <v/>
      </c>
      <c r="K660" s="173" t="str">
        <f t="shared" si="3"/>
        <v/>
      </c>
      <c r="L660" s="173" t="str">
        <f t="array" ref="L660">IF($A660="","",INDEX('主表 Stock_Transaction_Log'!$P:$P,$A660))</f>
        <v/>
      </c>
      <c r="M660" s="174" t="str">
        <f>IF($A660="","",IF($H660&lt;=0,0,SUMIFS('主表 Stock_Transaction_Log'!$K$2:$K1000,'主表 Stock_Transaction_Log'!$C$2:$C1000,"Prepared",'主表 Stock_Transaction_Log'!$L$2:$L1000,$B660,'主表 Stock_Transaction_Log'!$F$2:$F1000,$C660,'主表 Stock_Transaction_Log'!$G$2:$G1000,$D660,'主表 Stock_Transaction_Log'!$P$2:$P1000,$L660)))</f>
        <v/>
      </c>
    </row>
    <row r="661">
      <c r="A661" s="173" t="str">
        <f>IF('主表 Stock_Transaction_Log'!$T661="","",IF(COUNTIF('主表 Stock_Transaction_Log'!$T$2:$T661,'主表 Stock_Transaction_Log'!$T661)=1,ROW('主表 Stock_Transaction_Log'!$T661),""))</f>
        <v/>
      </c>
      <c r="B661" s="173" t="str">
        <f t="array" ref="B661">IF($A661="","",INDEX('主表 Stock_Transaction_Log'!$Q:$Q,$A661))</f>
        <v/>
      </c>
      <c r="C661" s="173" t="str">
        <f t="array" ref="C661">IF($A661="","",IF(INDEX('主表 Stock_Transaction_Log'!$F:$F,$A661)=0,"",INDEX('主表 Stock_Transaction_Log'!$F:$F,$A661)))</f>
        <v/>
      </c>
      <c r="D661" s="173" t="str">
        <f t="array" ref="D661">IF($A661="","",INDEX('主表 Stock_Transaction_Log'!$G:$G,$A661))</f>
        <v/>
      </c>
      <c r="E661" s="173" t="str">
        <f t="array" ref="E661">IF($A661="","",INDEX('主表 Stock_Transaction_Log'!$H:$H,$A661))</f>
        <v/>
      </c>
      <c r="F661" s="173" t="str">
        <f t="array" ref="F661">IF($A661="","",INDEX('主表 Stock_Transaction_Log'!$I:$I,$A661))</f>
        <v/>
      </c>
      <c r="G661" s="173" t="str">
        <f t="array" ref="G661">IF($A661="","",IF(INDEX('主表 Stock_Transaction_Log'!$R:$R,$A661)=0,"",INDEX('主表 Stock_Transaction_Log'!$R:$R,$A661)))</f>
        <v/>
      </c>
      <c r="H661" s="173" t="str">
        <f t="array" ref="H661">IF($A661="","",SUMIF('主表 Stock_Transaction_Log'!$T:$T,INDEX('主表 Stock_Transaction_Log'!$T:$T,$A661),'主表 Stock_Transaction_Log'!$S:$S)+SUMIF('主表 Stock_Transaction_Log'!$AB:$AB,INDEX('主表 Stock_Transaction_Log'!$T:$T,$A661),'主表 Stock_Transaction_Log'!$AC:$AC))</f>
        <v/>
      </c>
      <c r="I661" s="173" t="str">
        <f t="shared" si="1"/>
        <v/>
      </c>
      <c r="J661" s="173" t="str">
        <f t="shared" si="2"/>
        <v/>
      </c>
      <c r="K661" s="173" t="str">
        <f t="shared" si="3"/>
        <v/>
      </c>
      <c r="L661" s="173" t="str">
        <f t="array" ref="L661">IF($A661="","",INDEX('主表 Stock_Transaction_Log'!$P:$P,$A661))</f>
        <v/>
      </c>
      <c r="M661" s="174" t="str">
        <f>IF($A661="","",IF($H661&lt;=0,0,SUMIFS('主表 Stock_Transaction_Log'!$K$2:$K1000,'主表 Stock_Transaction_Log'!$C$2:$C1000,"Prepared",'主表 Stock_Transaction_Log'!$L$2:$L1000,$B661,'主表 Stock_Transaction_Log'!$F$2:$F1000,$C661,'主表 Stock_Transaction_Log'!$G$2:$G1000,$D661,'主表 Stock_Transaction_Log'!$P$2:$P1000,$L661)))</f>
        <v/>
      </c>
    </row>
    <row r="662">
      <c r="A662" s="173" t="str">
        <f>IF('主表 Stock_Transaction_Log'!$T662="","",IF(COUNTIF('主表 Stock_Transaction_Log'!$T$2:$T662,'主表 Stock_Transaction_Log'!$T662)=1,ROW('主表 Stock_Transaction_Log'!$T662),""))</f>
        <v/>
      </c>
      <c r="B662" s="173" t="str">
        <f t="array" ref="B662">IF($A662="","",INDEX('主表 Stock_Transaction_Log'!$Q:$Q,$A662))</f>
        <v/>
      </c>
      <c r="C662" s="173" t="str">
        <f t="array" ref="C662">IF($A662="","",IF(INDEX('主表 Stock_Transaction_Log'!$F:$F,$A662)=0,"",INDEX('主表 Stock_Transaction_Log'!$F:$F,$A662)))</f>
        <v/>
      </c>
      <c r="D662" s="173" t="str">
        <f t="array" ref="D662">IF($A662="","",INDEX('主表 Stock_Transaction_Log'!$G:$G,$A662))</f>
        <v/>
      </c>
      <c r="E662" s="173" t="str">
        <f t="array" ref="E662">IF($A662="","",INDEX('主表 Stock_Transaction_Log'!$H:$H,$A662))</f>
        <v/>
      </c>
      <c r="F662" s="173" t="str">
        <f t="array" ref="F662">IF($A662="","",INDEX('主表 Stock_Transaction_Log'!$I:$I,$A662))</f>
        <v/>
      </c>
      <c r="G662" s="173" t="str">
        <f t="array" ref="G662">IF($A662="","",IF(INDEX('主表 Stock_Transaction_Log'!$R:$R,$A662)=0,"",INDEX('主表 Stock_Transaction_Log'!$R:$R,$A662)))</f>
        <v/>
      </c>
      <c r="H662" s="173" t="str">
        <f t="array" ref="H662">IF($A662="","",SUMIF('主表 Stock_Transaction_Log'!$T:$T,INDEX('主表 Stock_Transaction_Log'!$T:$T,$A662),'主表 Stock_Transaction_Log'!$S:$S)+SUMIF('主表 Stock_Transaction_Log'!$AB:$AB,INDEX('主表 Stock_Transaction_Log'!$T:$T,$A662),'主表 Stock_Transaction_Log'!$AC:$AC))</f>
        <v/>
      </c>
      <c r="I662" s="173" t="str">
        <f t="shared" si="1"/>
        <v/>
      </c>
      <c r="J662" s="173" t="str">
        <f t="shared" si="2"/>
        <v/>
      </c>
      <c r="K662" s="173" t="str">
        <f t="shared" si="3"/>
        <v/>
      </c>
      <c r="L662" s="173" t="str">
        <f t="array" ref="L662">IF($A662="","",INDEX('主表 Stock_Transaction_Log'!$P:$P,$A662))</f>
        <v/>
      </c>
      <c r="M662" s="174" t="str">
        <f>IF($A662="","",IF($H662&lt;=0,0,SUMIFS('主表 Stock_Transaction_Log'!$K$2:$K1000,'主表 Stock_Transaction_Log'!$C$2:$C1000,"Prepared",'主表 Stock_Transaction_Log'!$L$2:$L1000,$B662,'主表 Stock_Transaction_Log'!$F$2:$F1000,$C662,'主表 Stock_Transaction_Log'!$G$2:$G1000,$D662,'主表 Stock_Transaction_Log'!$P$2:$P1000,$L662)))</f>
        <v/>
      </c>
    </row>
    <row r="663">
      <c r="A663" s="173" t="str">
        <f>IF('主表 Stock_Transaction_Log'!$T663="","",IF(COUNTIF('主表 Stock_Transaction_Log'!$T$2:$T663,'主表 Stock_Transaction_Log'!$T663)=1,ROW('主表 Stock_Transaction_Log'!$T663),""))</f>
        <v/>
      </c>
      <c r="B663" s="173" t="str">
        <f t="array" ref="B663">IF($A663="","",INDEX('主表 Stock_Transaction_Log'!$Q:$Q,$A663))</f>
        <v/>
      </c>
      <c r="C663" s="173" t="str">
        <f t="array" ref="C663">IF($A663="","",IF(INDEX('主表 Stock_Transaction_Log'!$F:$F,$A663)=0,"",INDEX('主表 Stock_Transaction_Log'!$F:$F,$A663)))</f>
        <v/>
      </c>
      <c r="D663" s="173" t="str">
        <f t="array" ref="D663">IF($A663="","",INDEX('主表 Stock_Transaction_Log'!$G:$G,$A663))</f>
        <v/>
      </c>
      <c r="E663" s="173" t="str">
        <f t="array" ref="E663">IF($A663="","",INDEX('主表 Stock_Transaction_Log'!$H:$H,$A663))</f>
        <v/>
      </c>
      <c r="F663" s="173" t="str">
        <f t="array" ref="F663">IF($A663="","",INDEX('主表 Stock_Transaction_Log'!$I:$I,$A663))</f>
        <v/>
      </c>
      <c r="G663" s="173" t="str">
        <f t="array" ref="G663">IF($A663="","",IF(INDEX('主表 Stock_Transaction_Log'!$R:$R,$A663)=0,"",INDEX('主表 Stock_Transaction_Log'!$R:$R,$A663)))</f>
        <v/>
      </c>
      <c r="H663" s="173" t="str">
        <f t="array" ref="H663">IF($A663="","",SUMIF('主表 Stock_Transaction_Log'!$T:$T,INDEX('主表 Stock_Transaction_Log'!$T:$T,$A663),'主表 Stock_Transaction_Log'!$S:$S)+SUMIF('主表 Stock_Transaction_Log'!$AB:$AB,INDEX('主表 Stock_Transaction_Log'!$T:$T,$A663),'主表 Stock_Transaction_Log'!$AC:$AC))</f>
        <v/>
      </c>
      <c r="I663" s="173" t="str">
        <f t="shared" si="1"/>
        <v/>
      </c>
      <c r="J663" s="173" t="str">
        <f t="shared" si="2"/>
        <v/>
      </c>
      <c r="K663" s="173" t="str">
        <f t="shared" si="3"/>
        <v/>
      </c>
      <c r="L663" s="173" t="str">
        <f t="array" ref="L663">IF($A663="","",INDEX('主表 Stock_Transaction_Log'!$P:$P,$A663))</f>
        <v/>
      </c>
      <c r="M663" s="174" t="str">
        <f>IF($A663="","",IF($H663&lt;=0,0,SUMIFS('主表 Stock_Transaction_Log'!$K$2:$K1000,'主表 Stock_Transaction_Log'!$C$2:$C1000,"Prepared",'主表 Stock_Transaction_Log'!$L$2:$L1000,$B663,'主表 Stock_Transaction_Log'!$F$2:$F1000,$C663,'主表 Stock_Transaction_Log'!$G$2:$G1000,$D663,'主表 Stock_Transaction_Log'!$P$2:$P1000,$L663)))</f>
        <v/>
      </c>
    </row>
    <row r="664">
      <c r="A664" s="173" t="str">
        <f>IF('主表 Stock_Transaction_Log'!$T664="","",IF(COUNTIF('主表 Stock_Transaction_Log'!$T$2:$T664,'主表 Stock_Transaction_Log'!$T664)=1,ROW('主表 Stock_Transaction_Log'!$T664),""))</f>
        <v/>
      </c>
      <c r="B664" s="173" t="str">
        <f t="array" ref="B664">IF($A664="","",INDEX('主表 Stock_Transaction_Log'!$Q:$Q,$A664))</f>
        <v/>
      </c>
      <c r="C664" s="173" t="str">
        <f t="array" ref="C664">IF($A664="","",IF(INDEX('主表 Stock_Transaction_Log'!$F:$F,$A664)=0,"",INDEX('主表 Stock_Transaction_Log'!$F:$F,$A664)))</f>
        <v/>
      </c>
      <c r="D664" s="173" t="str">
        <f t="array" ref="D664">IF($A664="","",INDEX('主表 Stock_Transaction_Log'!$G:$G,$A664))</f>
        <v/>
      </c>
      <c r="E664" s="173" t="str">
        <f t="array" ref="E664">IF($A664="","",INDEX('主表 Stock_Transaction_Log'!$H:$H,$A664))</f>
        <v/>
      </c>
      <c r="F664" s="173" t="str">
        <f t="array" ref="F664">IF($A664="","",INDEX('主表 Stock_Transaction_Log'!$I:$I,$A664))</f>
        <v/>
      </c>
      <c r="G664" s="173" t="str">
        <f t="array" ref="G664">IF($A664="","",IF(INDEX('主表 Stock_Transaction_Log'!$R:$R,$A664)=0,"",INDEX('主表 Stock_Transaction_Log'!$R:$R,$A664)))</f>
        <v/>
      </c>
      <c r="H664" s="173" t="str">
        <f t="array" ref="H664">IF($A664="","",SUMIF('主表 Stock_Transaction_Log'!$T:$T,INDEX('主表 Stock_Transaction_Log'!$T:$T,$A664),'主表 Stock_Transaction_Log'!$S:$S)+SUMIF('主表 Stock_Transaction_Log'!$AB:$AB,INDEX('主表 Stock_Transaction_Log'!$T:$T,$A664),'主表 Stock_Transaction_Log'!$AC:$AC))</f>
        <v/>
      </c>
      <c r="I664" s="173" t="str">
        <f t="shared" si="1"/>
        <v/>
      </c>
      <c r="J664" s="173" t="str">
        <f t="shared" si="2"/>
        <v/>
      </c>
      <c r="K664" s="173" t="str">
        <f t="shared" si="3"/>
        <v/>
      </c>
      <c r="L664" s="173" t="str">
        <f t="array" ref="L664">IF($A664="","",INDEX('主表 Stock_Transaction_Log'!$P:$P,$A664))</f>
        <v/>
      </c>
      <c r="M664" s="174" t="str">
        <f>IF($A664="","",IF($H664&lt;=0,0,SUMIFS('主表 Stock_Transaction_Log'!$K$2:$K1000,'主表 Stock_Transaction_Log'!$C$2:$C1000,"Prepared",'主表 Stock_Transaction_Log'!$L$2:$L1000,$B664,'主表 Stock_Transaction_Log'!$F$2:$F1000,$C664,'主表 Stock_Transaction_Log'!$G$2:$G1000,$D664,'主表 Stock_Transaction_Log'!$P$2:$P1000,$L664)))</f>
        <v/>
      </c>
    </row>
    <row r="665">
      <c r="A665" s="173" t="str">
        <f>IF('主表 Stock_Transaction_Log'!$T665="","",IF(COUNTIF('主表 Stock_Transaction_Log'!$T$2:$T665,'主表 Stock_Transaction_Log'!$T665)=1,ROW('主表 Stock_Transaction_Log'!$T665),""))</f>
        <v/>
      </c>
      <c r="B665" s="173" t="str">
        <f t="array" ref="B665">IF($A665="","",INDEX('主表 Stock_Transaction_Log'!$Q:$Q,$A665))</f>
        <v/>
      </c>
      <c r="C665" s="173" t="str">
        <f t="array" ref="C665">IF($A665="","",IF(INDEX('主表 Stock_Transaction_Log'!$F:$F,$A665)=0,"",INDEX('主表 Stock_Transaction_Log'!$F:$F,$A665)))</f>
        <v/>
      </c>
      <c r="D665" s="173" t="str">
        <f t="array" ref="D665">IF($A665="","",INDEX('主表 Stock_Transaction_Log'!$G:$G,$A665))</f>
        <v/>
      </c>
      <c r="E665" s="173" t="str">
        <f t="array" ref="E665">IF($A665="","",INDEX('主表 Stock_Transaction_Log'!$H:$H,$A665))</f>
        <v/>
      </c>
      <c r="F665" s="173" t="str">
        <f t="array" ref="F665">IF($A665="","",INDEX('主表 Stock_Transaction_Log'!$I:$I,$A665))</f>
        <v/>
      </c>
      <c r="G665" s="173" t="str">
        <f t="array" ref="G665">IF($A665="","",IF(INDEX('主表 Stock_Transaction_Log'!$R:$R,$A665)=0,"",INDEX('主表 Stock_Transaction_Log'!$R:$R,$A665)))</f>
        <v/>
      </c>
      <c r="H665" s="173" t="str">
        <f t="array" ref="H665">IF($A665="","",SUMIF('主表 Stock_Transaction_Log'!$T:$T,INDEX('主表 Stock_Transaction_Log'!$T:$T,$A665),'主表 Stock_Transaction_Log'!$S:$S)+SUMIF('主表 Stock_Transaction_Log'!$AB:$AB,INDEX('主表 Stock_Transaction_Log'!$T:$T,$A665),'主表 Stock_Transaction_Log'!$AC:$AC))</f>
        <v/>
      </c>
      <c r="I665" s="173" t="str">
        <f t="shared" si="1"/>
        <v/>
      </c>
      <c r="J665" s="173" t="str">
        <f t="shared" si="2"/>
        <v/>
      </c>
      <c r="K665" s="173" t="str">
        <f t="shared" si="3"/>
        <v/>
      </c>
      <c r="L665" s="173" t="str">
        <f t="array" ref="L665">IF($A665="","",INDEX('主表 Stock_Transaction_Log'!$P:$P,$A665))</f>
        <v/>
      </c>
      <c r="M665" s="174" t="str">
        <f>IF($A665="","",IF($H665&lt;=0,0,SUMIFS('主表 Stock_Transaction_Log'!$K$2:$K1000,'主表 Stock_Transaction_Log'!$C$2:$C1000,"Prepared",'主表 Stock_Transaction_Log'!$L$2:$L1000,$B665,'主表 Stock_Transaction_Log'!$F$2:$F1000,$C665,'主表 Stock_Transaction_Log'!$G$2:$G1000,$D665,'主表 Stock_Transaction_Log'!$P$2:$P1000,$L665)))</f>
        <v/>
      </c>
    </row>
    <row r="666">
      <c r="A666" s="173" t="str">
        <f>IF('主表 Stock_Transaction_Log'!$T666="","",IF(COUNTIF('主表 Stock_Transaction_Log'!$T$2:$T666,'主表 Stock_Transaction_Log'!$T666)=1,ROW('主表 Stock_Transaction_Log'!$T666),""))</f>
        <v/>
      </c>
      <c r="B666" s="173" t="str">
        <f t="array" ref="B666">IF($A666="","",INDEX('主表 Stock_Transaction_Log'!$Q:$Q,$A666))</f>
        <v/>
      </c>
      <c r="C666" s="173" t="str">
        <f t="array" ref="C666">IF($A666="","",IF(INDEX('主表 Stock_Transaction_Log'!$F:$F,$A666)=0,"",INDEX('主表 Stock_Transaction_Log'!$F:$F,$A666)))</f>
        <v/>
      </c>
      <c r="D666" s="173" t="str">
        <f t="array" ref="D666">IF($A666="","",INDEX('主表 Stock_Transaction_Log'!$G:$G,$A666))</f>
        <v/>
      </c>
      <c r="E666" s="173" t="str">
        <f t="array" ref="E666">IF($A666="","",INDEX('主表 Stock_Transaction_Log'!$H:$H,$A666))</f>
        <v/>
      </c>
      <c r="F666" s="173" t="str">
        <f t="array" ref="F666">IF($A666="","",INDEX('主表 Stock_Transaction_Log'!$I:$I,$A666))</f>
        <v/>
      </c>
      <c r="G666" s="173" t="str">
        <f t="array" ref="G666">IF($A666="","",IF(INDEX('主表 Stock_Transaction_Log'!$R:$R,$A666)=0,"",INDEX('主表 Stock_Transaction_Log'!$R:$R,$A666)))</f>
        <v/>
      </c>
      <c r="H666" s="173" t="str">
        <f t="array" ref="H666">IF($A666="","",SUMIF('主表 Stock_Transaction_Log'!$T:$T,INDEX('主表 Stock_Transaction_Log'!$T:$T,$A666),'主表 Stock_Transaction_Log'!$S:$S)+SUMIF('主表 Stock_Transaction_Log'!$AB:$AB,INDEX('主表 Stock_Transaction_Log'!$T:$T,$A666),'主表 Stock_Transaction_Log'!$AC:$AC))</f>
        <v/>
      </c>
      <c r="I666" s="173" t="str">
        <f t="shared" si="1"/>
        <v/>
      </c>
      <c r="J666" s="173" t="str">
        <f t="shared" si="2"/>
        <v/>
      </c>
      <c r="K666" s="173" t="str">
        <f t="shared" si="3"/>
        <v/>
      </c>
      <c r="L666" s="173" t="str">
        <f t="array" ref="L666">IF($A666="","",INDEX('主表 Stock_Transaction_Log'!$P:$P,$A666))</f>
        <v/>
      </c>
      <c r="M666" s="174" t="str">
        <f>IF($A666="","",IF($H666&lt;=0,0,SUMIFS('主表 Stock_Transaction_Log'!$K$2:$K1000,'主表 Stock_Transaction_Log'!$C$2:$C1000,"Prepared",'主表 Stock_Transaction_Log'!$L$2:$L1000,$B666,'主表 Stock_Transaction_Log'!$F$2:$F1000,$C666,'主表 Stock_Transaction_Log'!$G$2:$G1000,$D666,'主表 Stock_Transaction_Log'!$P$2:$P1000,$L666)))</f>
        <v/>
      </c>
    </row>
    <row r="667">
      <c r="A667" s="173" t="str">
        <f>IF('主表 Stock_Transaction_Log'!$T667="","",IF(COUNTIF('主表 Stock_Transaction_Log'!$T$2:$T667,'主表 Stock_Transaction_Log'!$T667)=1,ROW('主表 Stock_Transaction_Log'!$T667),""))</f>
        <v/>
      </c>
      <c r="B667" s="173" t="str">
        <f t="array" ref="B667">IF($A667="","",INDEX('主表 Stock_Transaction_Log'!$Q:$Q,$A667))</f>
        <v/>
      </c>
      <c r="C667" s="173" t="str">
        <f t="array" ref="C667">IF($A667="","",IF(INDEX('主表 Stock_Transaction_Log'!$F:$F,$A667)=0,"",INDEX('主表 Stock_Transaction_Log'!$F:$F,$A667)))</f>
        <v/>
      </c>
      <c r="D667" s="173" t="str">
        <f t="array" ref="D667">IF($A667="","",INDEX('主表 Stock_Transaction_Log'!$G:$G,$A667))</f>
        <v/>
      </c>
      <c r="E667" s="173" t="str">
        <f t="array" ref="E667">IF($A667="","",INDEX('主表 Stock_Transaction_Log'!$H:$H,$A667))</f>
        <v/>
      </c>
      <c r="F667" s="173" t="str">
        <f t="array" ref="F667">IF($A667="","",INDEX('主表 Stock_Transaction_Log'!$I:$I,$A667))</f>
        <v/>
      </c>
      <c r="G667" s="173" t="str">
        <f t="array" ref="G667">IF($A667="","",IF(INDEX('主表 Stock_Transaction_Log'!$R:$R,$A667)=0,"",INDEX('主表 Stock_Transaction_Log'!$R:$R,$A667)))</f>
        <v/>
      </c>
      <c r="H667" s="173" t="str">
        <f t="array" ref="H667">IF($A667="","",SUMIF('主表 Stock_Transaction_Log'!$T:$T,INDEX('主表 Stock_Transaction_Log'!$T:$T,$A667),'主表 Stock_Transaction_Log'!$S:$S)+SUMIF('主表 Stock_Transaction_Log'!$AB:$AB,INDEX('主表 Stock_Transaction_Log'!$T:$T,$A667),'主表 Stock_Transaction_Log'!$AC:$AC))</f>
        <v/>
      </c>
      <c r="I667" s="173" t="str">
        <f t="shared" si="1"/>
        <v/>
      </c>
      <c r="J667" s="173" t="str">
        <f t="shared" si="2"/>
        <v/>
      </c>
      <c r="K667" s="173" t="str">
        <f t="shared" si="3"/>
        <v/>
      </c>
      <c r="L667" s="173" t="str">
        <f t="array" ref="L667">IF($A667="","",INDEX('主表 Stock_Transaction_Log'!$P:$P,$A667))</f>
        <v/>
      </c>
      <c r="M667" s="174" t="str">
        <f>IF($A667="","",IF($H667&lt;=0,0,SUMIFS('主表 Stock_Transaction_Log'!$K$2:$K1000,'主表 Stock_Transaction_Log'!$C$2:$C1000,"Prepared",'主表 Stock_Transaction_Log'!$L$2:$L1000,$B667,'主表 Stock_Transaction_Log'!$F$2:$F1000,$C667,'主表 Stock_Transaction_Log'!$G$2:$G1000,$D667,'主表 Stock_Transaction_Log'!$P$2:$P1000,$L667)))</f>
        <v/>
      </c>
    </row>
    <row r="668">
      <c r="A668" s="173" t="str">
        <f>IF('主表 Stock_Transaction_Log'!$T668="","",IF(COUNTIF('主表 Stock_Transaction_Log'!$T$2:$T668,'主表 Stock_Transaction_Log'!$T668)=1,ROW('主表 Stock_Transaction_Log'!$T668),""))</f>
        <v/>
      </c>
      <c r="B668" s="173" t="str">
        <f t="array" ref="B668">IF($A668="","",INDEX('主表 Stock_Transaction_Log'!$Q:$Q,$A668))</f>
        <v/>
      </c>
      <c r="C668" s="173" t="str">
        <f t="array" ref="C668">IF($A668="","",IF(INDEX('主表 Stock_Transaction_Log'!$F:$F,$A668)=0,"",INDEX('主表 Stock_Transaction_Log'!$F:$F,$A668)))</f>
        <v/>
      </c>
      <c r="D668" s="173" t="str">
        <f t="array" ref="D668">IF($A668="","",INDEX('主表 Stock_Transaction_Log'!$G:$G,$A668))</f>
        <v/>
      </c>
      <c r="E668" s="173" t="str">
        <f t="array" ref="E668">IF($A668="","",INDEX('主表 Stock_Transaction_Log'!$H:$H,$A668))</f>
        <v/>
      </c>
      <c r="F668" s="173" t="str">
        <f t="array" ref="F668">IF($A668="","",INDEX('主表 Stock_Transaction_Log'!$I:$I,$A668))</f>
        <v/>
      </c>
      <c r="G668" s="173" t="str">
        <f t="array" ref="G668">IF($A668="","",IF(INDEX('主表 Stock_Transaction_Log'!$R:$R,$A668)=0,"",INDEX('主表 Stock_Transaction_Log'!$R:$R,$A668)))</f>
        <v/>
      </c>
      <c r="H668" s="173" t="str">
        <f t="array" ref="H668">IF($A668="","",SUMIF('主表 Stock_Transaction_Log'!$T:$T,INDEX('主表 Stock_Transaction_Log'!$T:$T,$A668),'主表 Stock_Transaction_Log'!$S:$S)+SUMIF('主表 Stock_Transaction_Log'!$AB:$AB,INDEX('主表 Stock_Transaction_Log'!$T:$T,$A668),'主表 Stock_Transaction_Log'!$AC:$AC))</f>
        <v/>
      </c>
      <c r="I668" s="173" t="str">
        <f t="shared" si="1"/>
        <v/>
      </c>
      <c r="J668" s="173" t="str">
        <f t="shared" si="2"/>
        <v/>
      </c>
      <c r="K668" s="173" t="str">
        <f t="shared" si="3"/>
        <v/>
      </c>
      <c r="L668" s="173" t="str">
        <f t="array" ref="L668">IF($A668="","",INDEX('主表 Stock_Transaction_Log'!$P:$P,$A668))</f>
        <v/>
      </c>
      <c r="M668" s="174" t="str">
        <f>IF($A668="","",IF($H668&lt;=0,0,SUMIFS('主表 Stock_Transaction_Log'!$K$2:$K1000,'主表 Stock_Transaction_Log'!$C$2:$C1000,"Prepared",'主表 Stock_Transaction_Log'!$L$2:$L1000,$B668,'主表 Stock_Transaction_Log'!$F$2:$F1000,$C668,'主表 Stock_Transaction_Log'!$G$2:$G1000,$D668,'主表 Stock_Transaction_Log'!$P$2:$P1000,$L668)))</f>
        <v/>
      </c>
    </row>
    <row r="669">
      <c r="A669" s="173" t="str">
        <f>IF('主表 Stock_Transaction_Log'!$T669="","",IF(COUNTIF('主表 Stock_Transaction_Log'!$T$2:$T669,'主表 Stock_Transaction_Log'!$T669)=1,ROW('主表 Stock_Transaction_Log'!$T669),""))</f>
        <v/>
      </c>
      <c r="B669" s="173" t="str">
        <f t="array" ref="B669">IF($A669="","",INDEX('主表 Stock_Transaction_Log'!$Q:$Q,$A669))</f>
        <v/>
      </c>
      <c r="C669" s="173" t="str">
        <f t="array" ref="C669">IF($A669="","",IF(INDEX('主表 Stock_Transaction_Log'!$F:$F,$A669)=0,"",INDEX('主表 Stock_Transaction_Log'!$F:$F,$A669)))</f>
        <v/>
      </c>
      <c r="D669" s="173" t="str">
        <f t="array" ref="D669">IF($A669="","",INDEX('主表 Stock_Transaction_Log'!$G:$G,$A669))</f>
        <v/>
      </c>
      <c r="E669" s="173" t="str">
        <f t="array" ref="E669">IF($A669="","",INDEX('主表 Stock_Transaction_Log'!$H:$H,$A669))</f>
        <v/>
      </c>
      <c r="F669" s="173" t="str">
        <f t="array" ref="F669">IF($A669="","",INDEX('主表 Stock_Transaction_Log'!$I:$I,$A669))</f>
        <v/>
      </c>
      <c r="G669" s="173" t="str">
        <f t="array" ref="G669">IF($A669="","",IF(INDEX('主表 Stock_Transaction_Log'!$R:$R,$A669)=0,"",INDEX('主表 Stock_Transaction_Log'!$R:$R,$A669)))</f>
        <v/>
      </c>
      <c r="H669" s="173" t="str">
        <f t="array" ref="H669">IF($A669="","",SUMIF('主表 Stock_Transaction_Log'!$T:$T,INDEX('主表 Stock_Transaction_Log'!$T:$T,$A669),'主表 Stock_Transaction_Log'!$S:$S)+SUMIF('主表 Stock_Transaction_Log'!$AB:$AB,INDEX('主表 Stock_Transaction_Log'!$T:$T,$A669),'主表 Stock_Transaction_Log'!$AC:$AC))</f>
        <v/>
      </c>
      <c r="I669" s="173" t="str">
        <f t="shared" si="1"/>
        <v/>
      </c>
      <c r="J669" s="173" t="str">
        <f t="shared" si="2"/>
        <v/>
      </c>
      <c r="K669" s="173" t="str">
        <f t="shared" si="3"/>
        <v/>
      </c>
      <c r="L669" s="173" t="str">
        <f t="array" ref="L669">IF($A669="","",INDEX('主表 Stock_Transaction_Log'!$P:$P,$A669))</f>
        <v/>
      </c>
      <c r="M669" s="174" t="str">
        <f>IF($A669="","",IF($H669&lt;=0,0,SUMIFS('主表 Stock_Transaction_Log'!$K$2:$K1000,'主表 Stock_Transaction_Log'!$C$2:$C1000,"Prepared",'主表 Stock_Transaction_Log'!$L$2:$L1000,$B669,'主表 Stock_Transaction_Log'!$F$2:$F1000,$C669,'主表 Stock_Transaction_Log'!$G$2:$G1000,$D669,'主表 Stock_Transaction_Log'!$P$2:$P1000,$L669)))</f>
        <v/>
      </c>
    </row>
    <row r="670">
      <c r="A670" s="173" t="str">
        <f>IF('主表 Stock_Transaction_Log'!$T670="","",IF(COUNTIF('主表 Stock_Transaction_Log'!$T$2:$T670,'主表 Stock_Transaction_Log'!$T670)=1,ROW('主表 Stock_Transaction_Log'!$T670),""))</f>
        <v/>
      </c>
      <c r="B670" s="173" t="str">
        <f t="array" ref="B670">IF($A670="","",INDEX('主表 Stock_Transaction_Log'!$Q:$Q,$A670))</f>
        <v/>
      </c>
      <c r="C670" s="173" t="str">
        <f t="array" ref="C670">IF($A670="","",IF(INDEX('主表 Stock_Transaction_Log'!$F:$F,$A670)=0,"",INDEX('主表 Stock_Transaction_Log'!$F:$F,$A670)))</f>
        <v/>
      </c>
      <c r="D670" s="173" t="str">
        <f t="array" ref="D670">IF($A670="","",INDEX('主表 Stock_Transaction_Log'!$G:$G,$A670))</f>
        <v/>
      </c>
      <c r="E670" s="173" t="str">
        <f t="array" ref="E670">IF($A670="","",INDEX('主表 Stock_Transaction_Log'!$H:$H,$A670))</f>
        <v/>
      </c>
      <c r="F670" s="173" t="str">
        <f t="array" ref="F670">IF($A670="","",INDEX('主表 Stock_Transaction_Log'!$I:$I,$A670))</f>
        <v/>
      </c>
      <c r="G670" s="173" t="str">
        <f t="array" ref="G670">IF($A670="","",IF(INDEX('主表 Stock_Transaction_Log'!$R:$R,$A670)=0,"",INDEX('主表 Stock_Transaction_Log'!$R:$R,$A670)))</f>
        <v/>
      </c>
      <c r="H670" s="173" t="str">
        <f t="array" ref="H670">IF($A670="","",SUMIF('主表 Stock_Transaction_Log'!$T:$T,INDEX('主表 Stock_Transaction_Log'!$T:$T,$A670),'主表 Stock_Transaction_Log'!$S:$S)+SUMIF('主表 Stock_Transaction_Log'!$AB:$AB,INDEX('主表 Stock_Transaction_Log'!$T:$T,$A670),'主表 Stock_Transaction_Log'!$AC:$AC))</f>
        <v/>
      </c>
      <c r="I670" s="173" t="str">
        <f t="shared" si="1"/>
        <v/>
      </c>
      <c r="J670" s="173" t="str">
        <f t="shared" si="2"/>
        <v/>
      </c>
      <c r="K670" s="173" t="str">
        <f t="shared" si="3"/>
        <v/>
      </c>
      <c r="L670" s="173" t="str">
        <f t="array" ref="L670">IF($A670="","",INDEX('主表 Stock_Transaction_Log'!$P:$P,$A670))</f>
        <v/>
      </c>
      <c r="M670" s="174" t="str">
        <f>IF($A670="","",IF($H670&lt;=0,0,SUMIFS('主表 Stock_Transaction_Log'!$K$2:$K1000,'主表 Stock_Transaction_Log'!$C$2:$C1000,"Prepared",'主表 Stock_Transaction_Log'!$L$2:$L1000,$B670,'主表 Stock_Transaction_Log'!$F$2:$F1000,$C670,'主表 Stock_Transaction_Log'!$G$2:$G1000,$D670,'主表 Stock_Transaction_Log'!$P$2:$P1000,$L670)))</f>
        <v/>
      </c>
    </row>
    <row r="671">
      <c r="A671" s="173" t="str">
        <f>IF('主表 Stock_Transaction_Log'!$T671="","",IF(COUNTIF('主表 Stock_Transaction_Log'!$T$2:$T671,'主表 Stock_Transaction_Log'!$T671)=1,ROW('主表 Stock_Transaction_Log'!$T671),""))</f>
        <v/>
      </c>
      <c r="B671" s="173" t="str">
        <f t="array" ref="B671">IF($A671="","",INDEX('主表 Stock_Transaction_Log'!$Q:$Q,$A671))</f>
        <v/>
      </c>
      <c r="C671" s="173" t="str">
        <f t="array" ref="C671">IF($A671="","",IF(INDEX('主表 Stock_Transaction_Log'!$F:$F,$A671)=0,"",INDEX('主表 Stock_Transaction_Log'!$F:$F,$A671)))</f>
        <v/>
      </c>
      <c r="D671" s="173" t="str">
        <f t="array" ref="D671">IF($A671="","",INDEX('主表 Stock_Transaction_Log'!$G:$G,$A671))</f>
        <v/>
      </c>
      <c r="E671" s="173" t="str">
        <f t="array" ref="E671">IF($A671="","",INDEX('主表 Stock_Transaction_Log'!$H:$H,$A671))</f>
        <v/>
      </c>
      <c r="F671" s="173" t="str">
        <f t="array" ref="F671">IF($A671="","",INDEX('主表 Stock_Transaction_Log'!$I:$I,$A671))</f>
        <v/>
      </c>
      <c r="G671" s="173" t="str">
        <f t="array" ref="G671">IF($A671="","",IF(INDEX('主表 Stock_Transaction_Log'!$R:$R,$A671)=0,"",INDEX('主表 Stock_Transaction_Log'!$R:$R,$A671)))</f>
        <v/>
      </c>
      <c r="H671" s="173" t="str">
        <f t="array" ref="H671">IF($A671="","",SUMIF('主表 Stock_Transaction_Log'!$T:$T,INDEX('主表 Stock_Transaction_Log'!$T:$T,$A671),'主表 Stock_Transaction_Log'!$S:$S)+SUMIF('主表 Stock_Transaction_Log'!$AB:$AB,INDEX('主表 Stock_Transaction_Log'!$T:$T,$A671),'主表 Stock_Transaction_Log'!$AC:$AC))</f>
        <v/>
      </c>
      <c r="I671" s="173" t="str">
        <f t="shared" si="1"/>
        <v/>
      </c>
      <c r="J671" s="173" t="str">
        <f t="shared" si="2"/>
        <v/>
      </c>
      <c r="K671" s="173" t="str">
        <f t="shared" si="3"/>
        <v/>
      </c>
      <c r="L671" s="173" t="str">
        <f t="array" ref="L671">IF($A671="","",INDEX('主表 Stock_Transaction_Log'!$P:$P,$A671))</f>
        <v/>
      </c>
      <c r="M671" s="174" t="str">
        <f>IF($A671="","",IF($H671&lt;=0,0,SUMIFS('主表 Stock_Transaction_Log'!$K$2:$K1000,'主表 Stock_Transaction_Log'!$C$2:$C1000,"Prepared",'主表 Stock_Transaction_Log'!$L$2:$L1000,$B671,'主表 Stock_Transaction_Log'!$F$2:$F1000,$C671,'主表 Stock_Transaction_Log'!$G$2:$G1000,$D671,'主表 Stock_Transaction_Log'!$P$2:$P1000,$L671)))</f>
        <v/>
      </c>
    </row>
    <row r="672">
      <c r="A672" s="173" t="str">
        <f>IF('主表 Stock_Transaction_Log'!$T672="","",IF(COUNTIF('主表 Stock_Transaction_Log'!$T$2:$T672,'主表 Stock_Transaction_Log'!$T672)=1,ROW('主表 Stock_Transaction_Log'!$T672),""))</f>
        <v/>
      </c>
      <c r="B672" s="173" t="str">
        <f t="array" ref="B672">IF($A672="","",INDEX('主表 Stock_Transaction_Log'!$Q:$Q,$A672))</f>
        <v/>
      </c>
      <c r="C672" s="173" t="str">
        <f t="array" ref="C672">IF($A672="","",IF(INDEX('主表 Stock_Transaction_Log'!$F:$F,$A672)=0,"",INDEX('主表 Stock_Transaction_Log'!$F:$F,$A672)))</f>
        <v/>
      </c>
      <c r="D672" s="173" t="str">
        <f t="array" ref="D672">IF($A672="","",INDEX('主表 Stock_Transaction_Log'!$G:$G,$A672))</f>
        <v/>
      </c>
      <c r="E672" s="173" t="str">
        <f t="array" ref="E672">IF($A672="","",INDEX('主表 Stock_Transaction_Log'!$H:$H,$A672))</f>
        <v/>
      </c>
      <c r="F672" s="173" t="str">
        <f t="array" ref="F672">IF($A672="","",INDEX('主表 Stock_Transaction_Log'!$I:$I,$A672))</f>
        <v/>
      </c>
      <c r="G672" s="173" t="str">
        <f t="array" ref="G672">IF($A672="","",IF(INDEX('主表 Stock_Transaction_Log'!$R:$R,$A672)=0,"",INDEX('主表 Stock_Transaction_Log'!$R:$R,$A672)))</f>
        <v/>
      </c>
      <c r="H672" s="173" t="str">
        <f t="array" ref="H672">IF($A672="","",SUMIF('主表 Stock_Transaction_Log'!$T:$T,INDEX('主表 Stock_Transaction_Log'!$T:$T,$A672),'主表 Stock_Transaction_Log'!$S:$S)+SUMIF('主表 Stock_Transaction_Log'!$AB:$AB,INDEX('主表 Stock_Transaction_Log'!$T:$T,$A672),'主表 Stock_Transaction_Log'!$AC:$AC))</f>
        <v/>
      </c>
      <c r="I672" s="173" t="str">
        <f t="shared" si="1"/>
        <v/>
      </c>
      <c r="J672" s="173" t="str">
        <f t="shared" si="2"/>
        <v/>
      </c>
      <c r="K672" s="173" t="str">
        <f t="shared" si="3"/>
        <v/>
      </c>
      <c r="L672" s="173" t="str">
        <f t="array" ref="L672">IF($A672="","",INDEX('主表 Stock_Transaction_Log'!$P:$P,$A672))</f>
        <v/>
      </c>
      <c r="M672" s="174" t="str">
        <f>IF($A672="","",IF($H672&lt;=0,0,SUMIFS('主表 Stock_Transaction_Log'!$K$2:$K1000,'主表 Stock_Transaction_Log'!$C$2:$C1000,"Prepared",'主表 Stock_Transaction_Log'!$L$2:$L1000,$B672,'主表 Stock_Transaction_Log'!$F$2:$F1000,$C672,'主表 Stock_Transaction_Log'!$G$2:$G1000,$D672,'主表 Stock_Transaction_Log'!$P$2:$P1000,$L672)))</f>
        <v/>
      </c>
    </row>
    <row r="673">
      <c r="A673" s="173" t="str">
        <f>IF('主表 Stock_Transaction_Log'!$T673="","",IF(COUNTIF('主表 Stock_Transaction_Log'!$T$2:$T673,'主表 Stock_Transaction_Log'!$T673)=1,ROW('主表 Stock_Transaction_Log'!$T673),""))</f>
        <v/>
      </c>
      <c r="B673" s="173" t="str">
        <f t="array" ref="B673">IF($A673="","",INDEX('主表 Stock_Transaction_Log'!$Q:$Q,$A673))</f>
        <v/>
      </c>
      <c r="C673" s="173" t="str">
        <f t="array" ref="C673">IF($A673="","",IF(INDEX('主表 Stock_Transaction_Log'!$F:$F,$A673)=0,"",INDEX('主表 Stock_Transaction_Log'!$F:$F,$A673)))</f>
        <v/>
      </c>
      <c r="D673" s="173" t="str">
        <f t="array" ref="D673">IF($A673="","",INDEX('主表 Stock_Transaction_Log'!$G:$G,$A673))</f>
        <v/>
      </c>
      <c r="E673" s="173" t="str">
        <f t="array" ref="E673">IF($A673="","",INDEX('主表 Stock_Transaction_Log'!$H:$H,$A673))</f>
        <v/>
      </c>
      <c r="F673" s="173" t="str">
        <f t="array" ref="F673">IF($A673="","",INDEX('主表 Stock_Transaction_Log'!$I:$I,$A673))</f>
        <v/>
      </c>
      <c r="G673" s="173" t="str">
        <f t="array" ref="G673">IF($A673="","",IF(INDEX('主表 Stock_Transaction_Log'!$R:$R,$A673)=0,"",INDEX('主表 Stock_Transaction_Log'!$R:$R,$A673)))</f>
        <v/>
      </c>
      <c r="H673" s="173" t="str">
        <f t="array" ref="H673">IF($A673="","",SUMIF('主表 Stock_Transaction_Log'!$T:$T,INDEX('主表 Stock_Transaction_Log'!$T:$T,$A673),'主表 Stock_Transaction_Log'!$S:$S)+SUMIF('主表 Stock_Transaction_Log'!$AB:$AB,INDEX('主表 Stock_Transaction_Log'!$T:$T,$A673),'主表 Stock_Transaction_Log'!$AC:$AC))</f>
        <v/>
      </c>
      <c r="I673" s="173" t="str">
        <f t="shared" si="1"/>
        <v/>
      </c>
      <c r="J673" s="173" t="str">
        <f t="shared" si="2"/>
        <v/>
      </c>
      <c r="K673" s="173" t="str">
        <f t="shared" si="3"/>
        <v/>
      </c>
      <c r="L673" s="173" t="str">
        <f t="array" ref="L673">IF($A673="","",INDEX('主表 Stock_Transaction_Log'!$P:$P,$A673))</f>
        <v/>
      </c>
      <c r="M673" s="174" t="str">
        <f>IF($A673="","",IF($H673&lt;=0,0,SUMIFS('主表 Stock_Transaction_Log'!$K$2:$K1000,'主表 Stock_Transaction_Log'!$C$2:$C1000,"Prepared",'主表 Stock_Transaction_Log'!$L$2:$L1000,$B673,'主表 Stock_Transaction_Log'!$F$2:$F1000,$C673,'主表 Stock_Transaction_Log'!$G$2:$G1000,$D673,'主表 Stock_Transaction_Log'!$P$2:$P1000,$L673)))</f>
        <v/>
      </c>
    </row>
    <row r="674">
      <c r="A674" s="173" t="str">
        <f>IF('主表 Stock_Transaction_Log'!$T674="","",IF(COUNTIF('主表 Stock_Transaction_Log'!$T$2:$T674,'主表 Stock_Transaction_Log'!$T674)=1,ROW('主表 Stock_Transaction_Log'!$T674),""))</f>
        <v/>
      </c>
      <c r="B674" s="173" t="str">
        <f t="array" ref="B674">IF($A674="","",INDEX('主表 Stock_Transaction_Log'!$Q:$Q,$A674))</f>
        <v/>
      </c>
      <c r="C674" s="173" t="str">
        <f t="array" ref="C674">IF($A674="","",IF(INDEX('主表 Stock_Transaction_Log'!$F:$F,$A674)=0,"",INDEX('主表 Stock_Transaction_Log'!$F:$F,$A674)))</f>
        <v/>
      </c>
      <c r="D674" s="173" t="str">
        <f t="array" ref="D674">IF($A674="","",INDEX('主表 Stock_Transaction_Log'!$G:$G,$A674))</f>
        <v/>
      </c>
      <c r="E674" s="173" t="str">
        <f t="array" ref="E674">IF($A674="","",INDEX('主表 Stock_Transaction_Log'!$H:$H,$A674))</f>
        <v/>
      </c>
      <c r="F674" s="173" t="str">
        <f t="array" ref="F674">IF($A674="","",INDEX('主表 Stock_Transaction_Log'!$I:$I,$A674))</f>
        <v/>
      </c>
      <c r="G674" s="173" t="str">
        <f t="array" ref="G674">IF($A674="","",IF(INDEX('主表 Stock_Transaction_Log'!$R:$R,$A674)=0,"",INDEX('主表 Stock_Transaction_Log'!$R:$R,$A674)))</f>
        <v/>
      </c>
      <c r="H674" s="173" t="str">
        <f t="array" ref="H674">IF($A674="","",SUMIF('主表 Stock_Transaction_Log'!$T:$T,INDEX('主表 Stock_Transaction_Log'!$T:$T,$A674),'主表 Stock_Transaction_Log'!$S:$S)+SUMIF('主表 Stock_Transaction_Log'!$AB:$AB,INDEX('主表 Stock_Transaction_Log'!$T:$T,$A674),'主表 Stock_Transaction_Log'!$AC:$AC))</f>
        <v/>
      </c>
      <c r="I674" s="173" t="str">
        <f t="shared" si="1"/>
        <v/>
      </c>
      <c r="J674" s="173" t="str">
        <f t="shared" si="2"/>
        <v/>
      </c>
      <c r="K674" s="173" t="str">
        <f t="shared" si="3"/>
        <v/>
      </c>
      <c r="L674" s="173" t="str">
        <f t="array" ref="L674">IF($A674="","",INDEX('主表 Stock_Transaction_Log'!$P:$P,$A674))</f>
        <v/>
      </c>
      <c r="M674" s="174" t="str">
        <f>IF($A674="","",IF($H674&lt;=0,0,SUMIFS('主表 Stock_Transaction_Log'!$K$2:$K1000,'主表 Stock_Transaction_Log'!$C$2:$C1000,"Prepared",'主表 Stock_Transaction_Log'!$L$2:$L1000,$B674,'主表 Stock_Transaction_Log'!$F$2:$F1000,$C674,'主表 Stock_Transaction_Log'!$G$2:$G1000,$D674,'主表 Stock_Transaction_Log'!$P$2:$P1000,$L674)))</f>
        <v/>
      </c>
    </row>
    <row r="675">
      <c r="A675" s="173" t="str">
        <f>IF('主表 Stock_Transaction_Log'!$T675="","",IF(COUNTIF('主表 Stock_Transaction_Log'!$T$2:$T675,'主表 Stock_Transaction_Log'!$T675)=1,ROW('主表 Stock_Transaction_Log'!$T675),""))</f>
        <v/>
      </c>
      <c r="B675" s="173" t="str">
        <f t="array" ref="B675">IF($A675="","",INDEX('主表 Stock_Transaction_Log'!$Q:$Q,$A675))</f>
        <v/>
      </c>
      <c r="C675" s="173" t="str">
        <f t="array" ref="C675">IF($A675="","",IF(INDEX('主表 Stock_Transaction_Log'!$F:$F,$A675)=0,"",INDEX('主表 Stock_Transaction_Log'!$F:$F,$A675)))</f>
        <v/>
      </c>
      <c r="D675" s="173" t="str">
        <f t="array" ref="D675">IF($A675="","",INDEX('主表 Stock_Transaction_Log'!$G:$G,$A675))</f>
        <v/>
      </c>
      <c r="E675" s="173" t="str">
        <f t="array" ref="E675">IF($A675="","",INDEX('主表 Stock_Transaction_Log'!$H:$H,$A675))</f>
        <v/>
      </c>
      <c r="F675" s="173" t="str">
        <f t="array" ref="F675">IF($A675="","",INDEX('主表 Stock_Transaction_Log'!$I:$I,$A675))</f>
        <v/>
      </c>
      <c r="G675" s="173" t="str">
        <f t="array" ref="G675">IF($A675="","",IF(INDEX('主表 Stock_Transaction_Log'!$R:$R,$A675)=0,"",INDEX('主表 Stock_Transaction_Log'!$R:$R,$A675)))</f>
        <v/>
      </c>
      <c r="H675" s="173" t="str">
        <f t="array" ref="H675">IF($A675="","",SUMIF('主表 Stock_Transaction_Log'!$T:$T,INDEX('主表 Stock_Transaction_Log'!$T:$T,$A675),'主表 Stock_Transaction_Log'!$S:$S)+SUMIF('主表 Stock_Transaction_Log'!$AB:$AB,INDEX('主表 Stock_Transaction_Log'!$T:$T,$A675),'主表 Stock_Transaction_Log'!$AC:$AC))</f>
        <v/>
      </c>
      <c r="I675" s="173" t="str">
        <f t="shared" si="1"/>
        <v/>
      </c>
      <c r="J675" s="173" t="str">
        <f t="shared" si="2"/>
        <v/>
      </c>
      <c r="K675" s="173" t="str">
        <f t="shared" si="3"/>
        <v/>
      </c>
      <c r="L675" s="173" t="str">
        <f t="array" ref="L675">IF($A675="","",INDEX('主表 Stock_Transaction_Log'!$P:$P,$A675))</f>
        <v/>
      </c>
      <c r="M675" s="174" t="str">
        <f>IF($A675="","",IF($H675&lt;=0,0,SUMIFS('主表 Stock_Transaction_Log'!$K$2:$K1000,'主表 Stock_Transaction_Log'!$C$2:$C1000,"Prepared",'主表 Stock_Transaction_Log'!$L$2:$L1000,$B675,'主表 Stock_Transaction_Log'!$F$2:$F1000,$C675,'主表 Stock_Transaction_Log'!$G$2:$G1000,$D675,'主表 Stock_Transaction_Log'!$P$2:$P1000,$L675)))</f>
        <v/>
      </c>
    </row>
    <row r="676">
      <c r="A676" s="173" t="str">
        <f>IF('主表 Stock_Transaction_Log'!$T676="","",IF(COUNTIF('主表 Stock_Transaction_Log'!$T$2:$T676,'主表 Stock_Transaction_Log'!$T676)=1,ROW('主表 Stock_Transaction_Log'!$T676),""))</f>
        <v/>
      </c>
      <c r="B676" s="173" t="str">
        <f t="array" ref="B676">IF($A676="","",INDEX('主表 Stock_Transaction_Log'!$Q:$Q,$A676))</f>
        <v/>
      </c>
      <c r="C676" s="173" t="str">
        <f t="array" ref="C676">IF($A676="","",IF(INDEX('主表 Stock_Transaction_Log'!$F:$F,$A676)=0,"",INDEX('主表 Stock_Transaction_Log'!$F:$F,$A676)))</f>
        <v/>
      </c>
      <c r="D676" s="173" t="str">
        <f t="array" ref="D676">IF($A676="","",INDEX('主表 Stock_Transaction_Log'!$G:$G,$A676))</f>
        <v/>
      </c>
      <c r="E676" s="173" t="str">
        <f t="array" ref="E676">IF($A676="","",INDEX('主表 Stock_Transaction_Log'!$H:$H,$A676))</f>
        <v/>
      </c>
      <c r="F676" s="173" t="str">
        <f t="array" ref="F676">IF($A676="","",INDEX('主表 Stock_Transaction_Log'!$I:$I,$A676))</f>
        <v/>
      </c>
      <c r="G676" s="173" t="str">
        <f t="array" ref="G676">IF($A676="","",IF(INDEX('主表 Stock_Transaction_Log'!$R:$R,$A676)=0,"",INDEX('主表 Stock_Transaction_Log'!$R:$R,$A676)))</f>
        <v/>
      </c>
      <c r="H676" s="173" t="str">
        <f t="array" ref="H676">IF($A676="","",SUMIF('主表 Stock_Transaction_Log'!$T:$T,INDEX('主表 Stock_Transaction_Log'!$T:$T,$A676),'主表 Stock_Transaction_Log'!$S:$S)+SUMIF('主表 Stock_Transaction_Log'!$AB:$AB,INDEX('主表 Stock_Transaction_Log'!$T:$T,$A676),'主表 Stock_Transaction_Log'!$AC:$AC))</f>
        <v/>
      </c>
      <c r="I676" s="173" t="str">
        <f t="shared" si="1"/>
        <v/>
      </c>
      <c r="J676" s="173" t="str">
        <f t="shared" si="2"/>
        <v/>
      </c>
      <c r="K676" s="173" t="str">
        <f t="shared" si="3"/>
        <v/>
      </c>
      <c r="L676" s="173" t="str">
        <f t="array" ref="L676">IF($A676="","",INDEX('主表 Stock_Transaction_Log'!$P:$P,$A676))</f>
        <v/>
      </c>
      <c r="M676" s="174" t="str">
        <f>IF($A676="","",IF($H676&lt;=0,0,SUMIFS('主表 Stock_Transaction_Log'!$K$2:$K1000,'主表 Stock_Transaction_Log'!$C$2:$C1000,"Prepared",'主表 Stock_Transaction_Log'!$L$2:$L1000,$B676,'主表 Stock_Transaction_Log'!$F$2:$F1000,$C676,'主表 Stock_Transaction_Log'!$G$2:$G1000,$D676,'主表 Stock_Transaction_Log'!$P$2:$P1000,$L676)))</f>
        <v/>
      </c>
    </row>
    <row r="677">
      <c r="A677" s="173" t="str">
        <f>IF('主表 Stock_Transaction_Log'!$T677="","",IF(COUNTIF('主表 Stock_Transaction_Log'!$T$2:$T677,'主表 Stock_Transaction_Log'!$T677)=1,ROW('主表 Stock_Transaction_Log'!$T677),""))</f>
        <v/>
      </c>
      <c r="B677" s="173" t="str">
        <f t="array" ref="B677">IF($A677="","",INDEX('主表 Stock_Transaction_Log'!$Q:$Q,$A677))</f>
        <v/>
      </c>
      <c r="C677" s="173" t="str">
        <f t="array" ref="C677">IF($A677="","",IF(INDEX('主表 Stock_Transaction_Log'!$F:$F,$A677)=0,"",INDEX('主表 Stock_Transaction_Log'!$F:$F,$A677)))</f>
        <v/>
      </c>
      <c r="D677" s="173" t="str">
        <f t="array" ref="D677">IF($A677="","",INDEX('主表 Stock_Transaction_Log'!$G:$G,$A677))</f>
        <v/>
      </c>
      <c r="E677" s="173" t="str">
        <f t="array" ref="E677">IF($A677="","",INDEX('主表 Stock_Transaction_Log'!$H:$H,$A677))</f>
        <v/>
      </c>
      <c r="F677" s="173" t="str">
        <f t="array" ref="F677">IF($A677="","",INDEX('主表 Stock_Transaction_Log'!$I:$I,$A677))</f>
        <v/>
      </c>
      <c r="G677" s="173" t="str">
        <f t="array" ref="G677">IF($A677="","",IF(INDEX('主表 Stock_Transaction_Log'!$R:$R,$A677)=0,"",INDEX('主表 Stock_Transaction_Log'!$R:$R,$A677)))</f>
        <v/>
      </c>
      <c r="H677" s="173" t="str">
        <f t="array" ref="H677">IF($A677="","",SUMIF('主表 Stock_Transaction_Log'!$T:$T,INDEX('主表 Stock_Transaction_Log'!$T:$T,$A677),'主表 Stock_Transaction_Log'!$S:$S)+SUMIF('主表 Stock_Transaction_Log'!$AB:$AB,INDEX('主表 Stock_Transaction_Log'!$T:$T,$A677),'主表 Stock_Transaction_Log'!$AC:$AC))</f>
        <v/>
      </c>
      <c r="I677" s="173" t="str">
        <f t="shared" si="1"/>
        <v/>
      </c>
      <c r="J677" s="173" t="str">
        <f t="shared" si="2"/>
        <v/>
      </c>
      <c r="K677" s="173" t="str">
        <f t="shared" si="3"/>
        <v/>
      </c>
      <c r="L677" s="173" t="str">
        <f t="array" ref="L677">IF($A677="","",INDEX('主表 Stock_Transaction_Log'!$P:$P,$A677))</f>
        <v/>
      </c>
      <c r="M677" s="174" t="str">
        <f>IF($A677="","",IF($H677&lt;=0,0,SUMIFS('主表 Stock_Transaction_Log'!$K$2:$K1000,'主表 Stock_Transaction_Log'!$C$2:$C1000,"Prepared",'主表 Stock_Transaction_Log'!$L$2:$L1000,$B677,'主表 Stock_Transaction_Log'!$F$2:$F1000,$C677,'主表 Stock_Transaction_Log'!$G$2:$G1000,$D677,'主表 Stock_Transaction_Log'!$P$2:$P1000,$L677)))</f>
        <v/>
      </c>
    </row>
    <row r="678">
      <c r="A678" s="173" t="str">
        <f>IF('主表 Stock_Transaction_Log'!$T678="","",IF(COUNTIF('主表 Stock_Transaction_Log'!$T$2:$T678,'主表 Stock_Transaction_Log'!$T678)=1,ROW('主表 Stock_Transaction_Log'!$T678),""))</f>
        <v/>
      </c>
      <c r="B678" s="173" t="str">
        <f t="array" ref="B678">IF($A678="","",INDEX('主表 Stock_Transaction_Log'!$Q:$Q,$A678))</f>
        <v/>
      </c>
      <c r="C678" s="173" t="str">
        <f t="array" ref="C678">IF($A678="","",IF(INDEX('主表 Stock_Transaction_Log'!$F:$F,$A678)=0,"",INDEX('主表 Stock_Transaction_Log'!$F:$F,$A678)))</f>
        <v/>
      </c>
      <c r="D678" s="173" t="str">
        <f t="array" ref="D678">IF($A678="","",INDEX('主表 Stock_Transaction_Log'!$G:$G,$A678))</f>
        <v/>
      </c>
      <c r="E678" s="173" t="str">
        <f t="array" ref="E678">IF($A678="","",INDEX('主表 Stock_Transaction_Log'!$H:$H,$A678))</f>
        <v/>
      </c>
      <c r="F678" s="173" t="str">
        <f t="array" ref="F678">IF($A678="","",INDEX('主表 Stock_Transaction_Log'!$I:$I,$A678))</f>
        <v/>
      </c>
      <c r="G678" s="173" t="str">
        <f t="array" ref="G678">IF($A678="","",IF(INDEX('主表 Stock_Transaction_Log'!$R:$R,$A678)=0,"",INDEX('主表 Stock_Transaction_Log'!$R:$R,$A678)))</f>
        <v/>
      </c>
      <c r="H678" s="173" t="str">
        <f t="array" ref="H678">IF($A678="","",SUMIF('主表 Stock_Transaction_Log'!$T:$T,INDEX('主表 Stock_Transaction_Log'!$T:$T,$A678),'主表 Stock_Transaction_Log'!$S:$S)+SUMIF('主表 Stock_Transaction_Log'!$AB:$AB,INDEX('主表 Stock_Transaction_Log'!$T:$T,$A678),'主表 Stock_Transaction_Log'!$AC:$AC))</f>
        <v/>
      </c>
      <c r="I678" s="173" t="str">
        <f t="shared" si="1"/>
        <v/>
      </c>
      <c r="J678" s="173" t="str">
        <f t="shared" si="2"/>
        <v/>
      </c>
      <c r="K678" s="173" t="str">
        <f t="shared" si="3"/>
        <v/>
      </c>
      <c r="L678" s="173" t="str">
        <f t="array" ref="L678">IF($A678="","",INDEX('主表 Stock_Transaction_Log'!$P:$P,$A678))</f>
        <v/>
      </c>
      <c r="M678" s="174" t="str">
        <f>IF($A678="","",IF($H678&lt;=0,0,SUMIFS('主表 Stock_Transaction_Log'!$K$2:$K1000,'主表 Stock_Transaction_Log'!$C$2:$C1000,"Prepared",'主表 Stock_Transaction_Log'!$L$2:$L1000,$B678,'主表 Stock_Transaction_Log'!$F$2:$F1000,$C678,'主表 Stock_Transaction_Log'!$G$2:$G1000,$D678,'主表 Stock_Transaction_Log'!$P$2:$P1000,$L678)))</f>
        <v/>
      </c>
    </row>
    <row r="679">
      <c r="A679" s="173" t="str">
        <f>IF('主表 Stock_Transaction_Log'!$T679="","",IF(COUNTIF('主表 Stock_Transaction_Log'!$T$2:$T679,'主表 Stock_Transaction_Log'!$T679)=1,ROW('主表 Stock_Transaction_Log'!$T679),""))</f>
        <v/>
      </c>
      <c r="B679" s="173" t="str">
        <f t="array" ref="B679">IF($A679="","",INDEX('主表 Stock_Transaction_Log'!$Q:$Q,$A679))</f>
        <v/>
      </c>
      <c r="C679" s="173" t="str">
        <f t="array" ref="C679">IF($A679="","",IF(INDEX('主表 Stock_Transaction_Log'!$F:$F,$A679)=0,"",INDEX('主表 Stock_Transaction_Log'!$F:$F,$A679)))</f>
        <v/>
      </c>
      <c r="D679" s="173" t="str">
        <f t="array" ref="D679">IF($A679="","",INDEX('主表 Stock_Transaction_Log'!$G:$G,$A679))</f>
        <v/>
      </c>
      <c r="E679" s="173" t="str">
        <f t="array" ref="E679">IF($A679="","",INDEX('主表 Stock_Transaction_Log'!$H:$H,$A679))</f>
        <v/>
      </c>
      <c r="F679" s="173" t="str">
        <f t="array" ref="F679">IF($A679="","",INDEX('主表 Stock_Transaction_Log'!$I:$I,$A679))</f>
        <v/>
      </c>
      <c r="G679" s="173" t="str">
        <f t="array" ref="G679">IF($A679="","",IF(INDEX('主表 Stock_Transaction_Log'!$R:$R,$A679)=0,"",INDEX('主表 Stock_Transaction_Log'!$R:$R,$A679)))</f>
        <v/>
      </c>
      <c r="H679" s="173" t="str">
        <f t="array" ref="H679">IF($A679="","",SUMIF('主表 Stock_Transaction_Log'!$T:$T,INDEX('主表 Stock_Transaction_Log'!$T:$T,$A679),'主表 Stock_Transaction_Log'!$S:$S)+SUMIF('主表 Stock_Transaction_Log'!$AB:$AB,INDEX('主表 Stock_Transaction_Log'!$T:$T,$A679),'主表 Stock_Transaction_Log'!$AC:$AC))</f>
        <v/>
      </c>
      <c r="I679" s="173" t="str">
        <f t="shared" si="1"/>
        <v/>
      </c>
      <c r="J679" s="173" t="str">
        <f t="shared" si="2"/>
        <v/>
      </c>
      <c r="K679" s="173" t="str">
        <f t="shared" si="3"/>
        <v/>
      </c>
      <c r="L679" s="173" t="str">
        <f t="array" ref="L679">IF($A679="","",INDEX('主表 Stock_Transaction_Log'!$P:$P,$A679))</f>
        <v/>
      </c>
      <c r="M679" s="174" t="str">
        <f>IF($A679="","",IF($H679&lt;=0,0,SUMIFS('主表 Stock_Transaction_Log'!$K$2:$K1000,'主表 Stock_Transaction_Log'!$C$2:$C1000,"Prepared",'主表 Stock_Transaction_Log'!$L$2:$L1000,$B679,'主表 Stock_Transaction_Log'!$F$2:$F1000,$C679,'主表 Stock_Transaction_Log'!$G$2:$G1000,$D679,'主表 Stock_Transaction_Log'!$P$2:$P1000,$L679)))</f>
        <v/>
      </c>
    </row>
    <row r="680">
      <c r="A680" s="173" t="str">
        <f>IF('主表 Stock_Transaction_Log'!$T680="","",IF(COUNTIF('主表 Stock_Transaction_Log'!$T$2:$T680,'主表 Stock_Transaction_Log'!$T680)=1,ROW('主表 Stock_Transaction_Log'!$T680),""))</f>
        <v/>
      </c>
      <c r="B680" s="173" t="str">
        <f t="array" ref="B680">IF($A680="","",INDEX('主表 Stock_Transaction_Log'!$Q:$Q,$A680))</f>
        <v/>
      </c>
      <c r="C680" s="173" t="str">
        <f t="array" ref="C680">IF($A680="","",IF(INDEX('主表 Stock_Transaction_Log'!$F:$F,$A680)=0,"",INDEX('主表 Stock_Transaction_Log'!$F:$F,$A680)))</f>
        <v/>
      </c>
      <c r="D680" s="173" t="str">
        <f t="array" ref="D680">IF($A680="","",INDEX('主表 Stock_Transaction_Log'!$G:$G,$A680))</f>
        <v/>
      </c>
      <c r="E680" s="173" t="str">
        <f t="array" ref="E680">IF($A680="","",INDEX('主表 Stock_Transaction_Log'!$H:$H,$A680))</f>
        <v/>
      </c>
      <c r="F680" s="173" t="str">
        <f t="array" ref="F680">IF($A680="","",INDEX('主表 Stock_Transaction_Log'!$I:$I,$A680))</f>
        <v/>
      </c>
      <c r="G680" s="173" t="str">
        <f t="array" ref="G680">IF($A680="","",IF(INDEX('主表 Stock_Transaction_Log'!$R:$R,$A680)=0,"",INDEX('主表 Stock_Transaction_Log'!$R:$R,$A680)))</f>
        <v/>
      </c>
      <c r="H680" s="173" t="str">
        <f t="array" ref="H680">IF($A680="","",SUMIF('主表 Stock_Transaction_Log'!$T:$T,INDEX('主表 Stock_Transaction_Log'!$T:$T,$A680),'主表 Stock_Transaction_Log'!$S:$S)+SUMIF('主表 Stock_Transaction_Log'!$AB:$AB,INDEX('主表 Stock_Transaction_Log'!$T:$T,$A680),'主表 Stock_Transaction_Log'!$AC:$AC))</f>
        <v/>
      </c>
      <c r="I680" s="173" t="str">
        <f t="shared" si="1"/>
        <v/>
      </c>
      <c r="J680" s="173" t="str">
        <f t="shared" si="2"/>
        <v/>
      </c>
      <c r="K680" s="173" t="str">
        <f t="shared" si="3"/>
        <v/>
      </c>
      <c r="L680" s="173" t="str">
        <f t="array" ref="L680">IF($A680="","",INDEX('主表 Stock_Transaction_Log'!$P:$P,$A680))</f>
        <v/>
      </c>
      <c r="M680" s="174" t="str">
        <f>IF($A680="","",IF($H680&lt;=0,0,SUMIFS('主表 Stock_Transaction_Log'!$K$2:$K1000,'主表 Stock_Transaction_Log'!$C$2:$C1000,"Prepared",'主表 Stock_Transaction_Log'!$L$2:$L1000,$B680,'主表 Stock_Transaction_Log'!$F$2:$F1000,$C680,'主表 Stock_Transaction_Log'!$G$2:$G1000,$D680,'主表 Stock_Transaction_Log'!$P$2:$P1000,$L680)))</f>
        <v/>
      </c>
    </row>
    <row r="681">
      <c r="A681" s="173" t="str">
        <f>IF('主表 Stock_Transaction_Log'!$T681="","",IF(COUNTIF('主表 Stock_Transaction_Log'!$T$2:$T681,'主表 Stock_Transaction_Log'!$T681)=1,ROW('主表 Stock_Transaction_Log'!$T681),""))</f>
        <v/>
      </c>
      <c r="B681" s="173" t="str">
        <f t="array" ref="B681">IF($A681="","",INDEX('主表 Stock_Transaction_Log'!$Q:$Q,$A681))</f>
        <v/>
      </c>
      <c r="C681" s="173" t="str">
        <f t="array" ref="C681">IF($A681="","",IF(INDEX('主表 Stock_Transaction_Log'!$F:$F,$A681)=0,"",INDEX('主表 Stock_Transaction_Log'!$F:$F,$A681)))</f>
        <v/>
      </c>
      <c r="D681" s="173" t="str">
        <f t="array" ref="D681">IF($A681="","",INDEX('主表 Stock_Transaction_Log'!$G:$G,$A681))</f>
        <v/>
      </c>
      <c r="E681" s="173" t="str">
        <f t="array" ref="E681">IF($A681="","",INDEX('主表 Stock_Transaction_Log'!$H:$H,$A681))</f>
        <v/>
      </c>
      <c r="F681" s="173" t="str">
        <f t="array" ref="F681">IF($A681="","",INDEX('主表 Stock_Transaction_Log'!$I:$I,$A681))</f>
        <v/>
      </c>
      <c r="G681" s="173" t="str">
        <f t="array" ref="G681">IF($A681="","",IF(INDEX('主表 Stock_Transaction_Log'!$R:$R,$A681)=0,"",INDEX('主表 Stock_Transaction_Log'!$R:$R,$A681)))</f>
        <v/>
      </c>
      <c r="H681" s="173" t="str">
        <f t="array" ref="H681">IF($A681="","",SUMIF('主表 Stock_Transaction_Log'!$T:$T,INDEX('主表 Stock_Transaction_Log'!$T:$T,$A681),'主表 Stock_Transaction_Log'!$S:$S)+SUMIF('主表 Stock_Transaction_Log'!$AB:$AB,INDEX('主表 Stock_Transaction_Log'!$T:$T,$A681),'主表 Stock_Transaction_Log'!$AC:$AC))</f>
        <v/>
      </c>
      <c r="I681" s="173" t="str">
        <f t="shared" si="1"/>
        <v/>
      </c>
      <c r="J681" s="173" t="str">
        <f t="shared" si="2"/>
        <v/>
      </c>
      <c r="K681" s="173" t="str">
        <f t="shared" si="3"/>
        <v/>
      </c>
      <c r="L681" s="173" t="str">
        <f t="array" ref="L681">IF($A681="","",INDEX('主表 Stock_Transaction_Log'!$P:$P,$A681))</f>
        <v/>
      </c>
      <c r="M681" s="174" t="str">
        <f>IF($A681="","",IF($H681&lt;=0,0,SUMIFS('主表 Stock_Transaction_Log'!$K$2:$K1000,'主表 Stock_Transaction_Log'!$C$2:$C1000,"Prepared",'主表 Stock_Transaction_Log'!$L$2:$L1000,$B681,'主表 Stock_Transaction_Log'!$F$2:$F1000,$C681,'主表 Stock_Transaction_Log'!$G$2:$G1000,$D681,'主表 Stock_Transaction_Log'!$P$2:$P1000,$L681)))</f>
        <v/>
      </c>
    </row>
    <row r="682">
      <c r="A682" s="173" t="str">
        <f>IF('主表 Stock_Transaction_Log'!$T682="","",IF(COUNTIF('主表 Stock_Transaction_Log'!$T$2:$T682,'主表 Stock_Transaction_Log'!$T682)=1,ROW('主表 Stock_Transaction_Log'!$T682),""))</f>
        <v/>
      </c>
      <c r="B682" s="173" t="str">
        <f t="array" ref="B682">IF($A682="","",INDEX('主表 Stock_Transaction_Log'!$Q:$Q,$A682))</f>
        <v/>
      </c>
      <c r="C682" s="173" t="str">
        <f t="array" ref="C682">IF($A682="","",IF(INDEX('主表 Stock_Transaction_Log'!$F:$F,$A682)=0,"",INDEX('主表 Stock_Transaction_Log'!$F:$F,$A682)))</f>
        <v/>
      </c>
      <c r="D682" s="173" t="str">
        <f t="array" ref="D682">IF($A682="","",INDEX('主表 Stock_Transaction_Log'!$G:$G,$A682))</f>
        <v/>
      </c>
      <c r="E682" s="173" t="str">
        <f t="array" ref="E682">IF($A682="","",INDEX('主表 Stock_Transaction_Log'!$H:$H,$A682))</f>
        <v/>
      </c>
      <c r="F682" s="173" t="str">
        <f t="array" ref="F682">IF($A682="","",INDEX('主表 Stock_Transaction_Log'!$I:$I,$A682))</f>
        <v/>
      </c>
      <c r="G682" s="173" t="str">
        <f t="array" ref="G682">IF($A682="","",IF(INDEX('主表 Stock_Transaction_Log'!$R:$R,$A682)=0,"",INDEX('主表 Stock_Transaction_Log'!$R:$R,$A682)))</f>
        <v/>
      </c>
      <c r="H682" s="173" t="str">
        <f t="array" ref="H682">IF($A682="","",SUMIF('主表 Stock_Transaction_Log'!$T:$T,INDEX('主表 Stock_Transaction_Log'!$T:$T,$A682),'主表 Stock_Transaction_Log'!$S:$S)+SUMIF('主表 Stock_Transaction_Log'!$AB:$AB,INDEX('主表 Stock_Transaction_Log'!$T:$T,$A682),'主表 Stock_Transaction_Log'!$AC:$AC))</f>
        <v/>
      </c>
      <c r="I682" s="173" t="str">
        <f t="shared" si="1"/>
        <v/>
      </c>
      <c r="J682" s="173" t="str">
        <f t="shared" si="2"/>
        <v/>
      </c>
      <c r="K682" s="173" t="str">
        <f t="shared" si="3"/>
        <v/>
      </c>
      <c r="L682" s="173" t="str">
        <f t="array" ref="L682">IF($A682="","",INDEX('主表 Stock_Transaction_Log'!$P:$P,$A682))</f>
        <v/>
      </c>
      <c r="M682" s="174" t="str">
        <f>IF($A682="","",IF($H682&lt;=0,0,SUMIFS('主表 Stock_Transaction_Log'!$K$2:$K1000,'主表 Stock_Transaction_Log'!$C$2:$C1000,"Prepared",'主表 Stock_Transaction_Log'!$L$2:$L1000,$B682,'主表 Stock_Transaction_Log'!$F$2:$F1000,$C682,'主表 Stock_Transaction_Log'!$G$2:$G1000,$D682,'主表 Stock_Transaction_Log'!$P$2:$P1000,$L682)))</f>
        <v/>
      </c>
    </row>
    <row r="683">
      <c r="A683" s="173" t="str">
        <f>IF('主表 Stock_Transaction_Log'!$T683="","",IF(COUNTIF('主表 Stock_Transaction_Log'!$T$2:$T683,'主表 Stock_Transaction_Log'!$T683)=1,ROW('主表 Stock_Transaction_Log'!$T683),""))</f>
        <v/>
      </c>
      <c r="B683" s="173" t="str">
        <f t="array" ref="B683">IF($A683="","",INDEX('主表 Stock_Transaction_Log'!$Q:$Q,$A683))</f>
        <v/>
      </c>
      <c r="C683" s="173" t="str">
        <f t="array" ref="C683">IF($A683="","",IF(INDEX('主表 Stock_Transaction_Log'!$F:$F,$A683)=0,"",INDEX('主表 Stock_Transaction_Log'!$F:$F,$A683)))</f>
        <v/>
      </c>
      <c r="D683" s="173" t="str">
        <f t="array" ref="D683">IF($A683="","",INDEX('主表 Stock_Transaction_Log'!$G:$G,$A683))</f>
        <v/>
      </c>
      <c r="E683" s="173" t="str">
        <f t="array" ref="E683">IF($A683="","",INDEX('主表 Stock_Transaction_Log'!$H:$H,$A683))</f>
        <v/>
      </c>
      <c r="F683" s="173" t="str">
        <f t="array" ref="F683">IF($A683="","",INDEX('主表 Stock_Transaction_Log'!$I:$I,$A683))</f>
        <v/>
      </c>
      <c r="G683" s="173" t="str">
        <f t="array" ref="G683">IF($A683="","",IF(INDEX('主表 Stock_Transaction_Log'!$R:$R,$A683)=0,"",INDEX('主表 Stock_Transaction_Log'!$R:$R,$A683)))</f>
        <v/>
      </c>
      <c r="H683" s="173" t="str">
        <f t="array" ref="H683">IF($A683="","",SUMIF('主表 Stock_Transaction_Log'!$T:$T,INDEX('主表 Stock_Transaction_Log'!$T:$T,$A683),'主表 Stock_Transaction_Log'!$S:$S)+SUMIF('主表 Stock_Transaction_Log'!$AB:$AB,INDEX('主表 Stock_Transaction_Log'!$T:$T,$A683),'主表 Stock_Transaction_Log'!$AC:$AC))</f>
        <v/>
      </c>
      <c r="I683" s="173" t="str">
        <f t="shared" si="1"/>
        <v/>
      </c>
      <c r="J683" s="173" t="str">
        <f t="shared" si="2"/>
        <v/>
      </c>
      <c r="K683" s="173" t="str">
        <f t="shared" si="3"/>
        <v/>
      </c>
      <c r="L683" s="173" t="str">
        <f t="array" ref="L683">IF($A683="","",INDEX('主表 Stock_Transaction_Log'!$P:$P,$A683))</f>
        <v/>
      </c>
      <c r="M683" s="174" t="str">
        <f>IF($A683="","",IF($H683&lt;=0,0,SUMIFS('主表 Stock_Transaction_Log'!$K$2:$K1000,'主表 Stock_Transaction_Log'!$C$2:$C1000,"Prepared",'主表 Stock_Transaction_Log'!$L$2:$L1000,$B683,'主表 Stock_Transaction_Log'!$F$2:$F1000,$C683,'主表 Stock_Transaction_Log'!$G$2:$G1000,$D683,'主表 Stock_Transaction_Log'!$P$2:$P1000,$L683)))</f>
        <v/>
      </c>
    </row>
    <row r="684">
      <c r="A684" s="173" t="str">
        <f>IF('主表 Stock_Transaction_Log'!$T684="","",IF(COUNTIF('主表 Stock_Transaction_Log'!$T$2:$T684,'主表 Stock_Transaction_Log'!$T684)=1,ROW('主表 Stock_Transaction_Log'!$T684),""))</f>
        <v/>
      </c>
      <c r="B684" s="173" t="str">
        <f t="array" ref="B684">IF($A684="","",INDEX('主表 Stock_Transaction_Log'!$Q:$Q,$A684))</f>
        <v/>
      </c>
      <c r="C684" s="173" t="str">
        <f t="array" ref="C684">IF($A684="","",IF(INDEX('主表 Stock_Transaction_Log'!$F:$F,$A684)=0,"",INDEX('主表 Stock_Transaction_Log'!$F:$F,$A684)))</f>
        <v/>
      </c>
      <c r="D684" s="173" t="str">
        <f t="array" ref="D684">IF($A684="","",INDEX('主表 Stock_Transaction_Log'!$G:$G,$A684))</f>
        <v/>
      </c>
      <c r="E684" s="173" t="str">
        <f t="array" ref="E684">IF($A684="","",INDEX('主表 Stock_Transaction_Log'!$H:$H,$A684))</f>
        <v/>
      </c>
      <c r="F684" s="173" t="str">
        <f t="array" ref="F684">IF($A684="","",INDEX('主表 Stock_Transaction_Log'!$I:$I,$A684))</f>
        <v/>
      </c>
      <c r="G684" s="173" t="str">
        <f t="array" ref="G684">IF($A684="","",IF(INDEX('主表 Stock_Transaction_Log'!$R:$R,$A684)=0,"",INDEX('主表 Stock_Transaction_Log'!$R:$R,$A684)))</f>
        <v/>
      </c>
      <c r="H684" s="173" t="str">
        <f t="array" ref="H684">IF($A684="","",SUMIF('主表 Stock_Transaction_Log'!$T:$T,INDEX('主表 Stock_Transaction_Log'!$T:$T,$A684),'主表 Stock_Transaction_Log'!$S:$S)+SUMIF('主表 Stock_Transaction_Log'!$AB:$AB,INDEX('主表 Stock_Transaction_Log'!$T:$T,$A684),'主表 Stock_Transaction_Log'!$AC:$AC))</f>
        <v/>
      </c>
      <c r="I684" s="173" t="str">
        <f t="shared" si="1"/>
        <v/>
      </c>
      <c r="J684" s="173" t="str">
        <f t="shared" si="2"/>
        <v/>
      </c>
      <c r="K684" s="173" t="str">
        <f t="shared" si="3"/>
        <v/>
      </c>
      <c r="L684" s="173" t="str">
        <f t="array" ref="L684">IF($A684="","",INDEX('主表 Stock_Transaction_Log'!$P:$P,$A684))</f>
        <v/>
      </c>
      <c r="M684" s="174" t="str">
        <f>IF($A684="","",IF($H684&lt;=0,0,SUMIFS('主表 Stock_Transaction_Log'!$K$2:$K1000,'主表 Stock_Transaction_Log'!$C$2:$C1000,"Prepared",'主表 Stock_Transaction_Log'!$L$2:$L1000,$B684,'主表 Stock_Transaction_Log'!$F$2:$F1000,$C684,'主表 Stock_Transaction_Log'!$G$2:$G1000,$D684,'主表 Stock_Transaction_Log'!$P$2:$P1000,$L684)))</f>
        <v/>
      </c>
    </row>
    <row r="685">
      <c r="A685" s="173" t="str">
        <f>IF('主表 Stock_Transaction_Log'!$T685="","",IF(COUNTIF('主表 Stock_Transaction_Log'!$T$2:$T685,'主表 Stock_Transaction_Log'!$T685)=1,ROW('主表 Stock_Transaction_Log'!$T685),""))</f>
        <v/>
      </c>
      <c r="B685" s="173" t="str">
        <f t="array" ref="B685">IF($A685="","",INDEX('主表 Stock_Transaction_Log'!$Q:$Q,$A685))</f>
        <v/>
      </c>
      <c r="C685" s="173" t="str">
        <f t="array" ref="C685">IF($A685="","",IF(INDEX('主表 Stock_Transaction_Log'!$F:$F,$A685)=0,"",INDEX('主表 Stock_Transaction_Log'!$F:$F,$A685)))</f>
        <v/>
      </c>
      <c r="D685" s="173" t="str">
        <f t="array" ref="D685">IF($A685="","",INDEX('主表 Stock_Transaction_Log'!$G:$G,$A685))</f>
        <v/>
      </c>
      <c r="E685" s="173" t="str">
        <f t="array" ref="E685">IF($A685="","",INDEX('主表 Stock_Transaction_Log'!$H:$H,$A685))</f>
        <v/>
      </c>
      <c r="F685" s="173" t="str">
        <f t="array" ref="F685">IF($A685="","",INDEX('主表 Stock_Transaction_Log'!$I:$I,$A685))</f>
        <v/>
      </c>
      <c r="G685" s="173" t="str">
        <f t="array" ref="G685">IF($A685="","",IF(INDEX('主表 Stock_Transaction_Log'!$R:$R,$A685)=0,"",INDEX('主表 Stock_Transaction_Log'!$R:$R,$A685)))</f>
        <v/>
      </c>
      <c r="H685" s="173" t="str">
        <f t="array" ref="H685">IF($A685="","",SUMIF('主表 Stock_Transaction_Log'!$T:$T,INDEX('主表 Stock_Transaction_Log'!$T:$T,$A685),'主表 Stock_Transaction_Log'!$S:$S)+SUMIF('主表 Stock_Transaction_Log'!$AB:$AB,INDEX('主表 Stock_Transaction_Log'!$T:$T,$A685),'主表 Stock_Transaction_Log'!$AC:$AC))</f>
        <v/>
      </c>
      <c r="I685" s="173" t="str">
        <f t="shared" si="1"/>
        <v/>
      </c>
      <c r="J685" s="173" t="str">
        <f t="shared" si="2"/>
        <v/>
      </c>
      <c r="K685" s="173" t="str">
        <f t="shared" si="3"/>
        <v/>
      </c>
      <c r="L685" s="173" t="str">
        <f t="array" ref="L685">IF($A685="","",INDEX('主表 Stock_Transaction_Log'!$P:$P,$A685))</f>
        <v/>
      </c>
      <c r="M685" s="174" t="str">
        <f>IF($A685="","",IF($H685&lt;=0,0,SUMIFS('主表 Stock_Transaction_Log'!$K$2:$K1000,'主表 Stock_Transaction_Log'!$C$2:$C1000,"Prepared",'主表 Stock_Transaction_Log'!$L$2:$L1000,$B685,'主表 Stock_Transaction_Log'!$F$2:$F1000,$C685,'主表 Stock_Transaction_Log'!$G$2:$G1000,$D685,'主表 Stock_Transaction_Log'!$P$2:$P1000,$L685)))</f>
        <v/>
      </c>
    </row>
    <row r="686">
      <c r="A686" s="173" t="str">
        <f>IF('主表 Stock_Transaction_Log'!$T686="","",IF(COUNTIF('主表 Stock_Transaction_Log'!$T$2:$T686,'主表 Stock_Transaction_Log'!$T686)=1,ROW('主表 Stock_Transaction_Log'!$T686),""))</f>
        <v/>
      </c>
      <c r="B686" s="173" t="str">
        <f t="array" ref="B686">IF($A686="","",INDEX('主表 Stock_Transaction_Log'!$Q:$Q,$A686))</f>
        <v/>
      </c>
      <c r="C686" s="173" t="str">
        <f t="array" ref="C686">IF($A686="","",IF(INDEX('主表 Stock_Transaction_Log'!$F:$F,$A686)=0,"",INDEX('主表 Stock_Transaction_Log'!$F:$F,$A686)))</f>
        <v/>
      </c>
      <c r="D686" s="173" t="str">
        <f t="array" ref="D686">IF($A686="","",INDEX('主表 Stock_Transaction_Log'!$G:$G,$A686))</f>
        <v/>
      </c>
      <c r="E686" s="173" t="str">
        <f t="array" ref="E686">IF($A686="","",INDEX('主表 Stock_Transaction_Log'!$H:$H,$A686))</f>
        <v/>
      </c>
      <c r="F686" s="173" t="str">
        <f t="array" ref="F686">IF($A686="","",INDEX('主表 Stock_Transaction_Log'!$I:$I,$A686))</f>
        <v/>
      </c>
      <c r="G686" s="173" t="str">
        <f t="array" ref="G686">IF($A686="","",IF(INDEX('主表 Stock_Transaction_Log'!$R:$R,$A686)=0,"",INDEX('主表 Stock_Transaction_Log'!$R:$R,$A686)))</f>
        <v/>
      </c>
      <c r="H686" s="173" t="str">
        <f t="array" ref="H686">IF($A686="","",SUMIF('主表 Stock_Transaction_Log'!$T:$T,INDEX('主表 Stock_Transaction_Log'!$T:$T,$A686),'主表 Stock_Transaction_Log'!$S:$S)+SUMIF('主表 Stock_Transaction_Log'!$AB:$AB,INDEX('主表 Stock_Transaction_Log'!$T:$T,$A686),'主表 Stock_Transaction_Log'!$AC:$AC))</f>
        <v/>
      </c>
      <c r="I686" s="173" t="str">
        <f t="shared" si="1"/>
        <v/>
      </c>
      <c r="J686" s="173" t="str">
        <f t="shared" si="2"/>
        <v/>
      </c>
      <c r="K686" s="173" t="str">
        <f t="shared" si="3"/>
        <v/>
      </c>
      <c r="L686" s="173" t="str">
        <f t="array" ref="L686">IF($A686="","",INDEX('主表 Stock_Transaction_Log'!$P:$P,$A686))</f>
        <v/>
      </c>
      <c r="M686" s="174" t="str">
        <f>IF($A686="","",IF($H686&lt;=0,0,SUMIFS('主表 Stock_Transaction_Log'!$K$2:$K1000,'主表 Stock_Transaction_Log'!$C$2:$C1000,"Prepared",'主表 Stock_Transaction_Log'!$L$2:$L1000,$B686,'主表 Stock_Transaction_Log'!$F$2:$F1000,$C686,'主表 Stock_Transaction_Log'!$G$2:$G1000,$D686,'主表 Stock_Transaction_Log'!$P$2:$P1000,$L686)))</f>
        <v/>
      </c>
    </row>
    <row r="687">
      <c r="A687" s="173" t="str">
        <f>IF('主表 Stock_Transaction_Log'!$T687="","",IF(COUNTIF('主表 Stock_Transaction_Log'!$T$2:$T687,'主表 Stock_Transaction_Log'!$T687)=1,ROW('主表 Stock_Transaction_Log'!$T687),""))</f>
        <v/>
      </c>
      <c r="B687" s="173" t="str">
        <f t="array" ref="B687">IF($A687="","",INDEX('主表 Stock_Transaction_Log'!$Q:$Q,$A687))</f>
        <v/>
      </c>
      <c r="C687" s="173" t="str">
        <f t="array" ref="C687">IF($A687="","",IF(INDEX('主表 Stock_Transaction_Log'!$F:$F,$A687)=0,"",INDEX('主表 Stock_Transaction_Log'!$F:$F,$A687)))</f>
        <v/>
      </c>
      <c r="D687" s="173" t="str">
        <f t="array" ref="D687">IF($A687="","",INDEX('主表 Stock_Transaction_Log'!$G:$G,$A687))</f>
        <v/>
      </c>
      <c r="E687" s="173" t="str">
        <f t="array" ref="E687">IF($A687="","",INDEX('主表 Stock_Transaction_Log'!$H:$H,$A687))</f>
        <v/>
      </c>
      <c r="F687" s="173" t="str">
        <f t="array" ref="F687">IF($A687="","",INDEX('主表 Stock_Transaction_Log'!$I:$I,$A687))</f>
        <v/>
      </c>
      <c r="G687" s="173" t="str">
        <f t="array" ref="G687">IF($A687="","",IF(INDEX('主表 Stock_Transaction_Log'!$R:$R,$A687)=0,"",INDEX('主表 Stock_Transaction_Log'!$R:$R,$A687)))</f>
        <v/>
      </c>
      <c r="H687" s="173" t="str">
        <f t="array" ref="H687">IF($A687="","",SUMIF('主表 Stock_Transaction_Log'!$T:$T,INDEX('主表 Stock_Transaction_Log'!$T:$T,$A687),'主表 Stock_Transaction_Log'!$S:$S)+SUMIF('主表 Stock_Transaction_Log'!$AB:$AB,INDEX('主表 Stock_Transaction_Log'!$T:$T,$A687),'主表 Stock_Transaction_Log'!$AC:$AC))</f>
        <v/>
      </c>
      <c r="I687" s="173" t="str">
        <f t="shared" si="1"/>
        <v/>
      </c>
      <c r="J687" s="173" t="str">
        <f t="shared" si="2"/>
        <v/>
      </c>
      <c r="K687" s="173" t="str">
        <f t="shared" si="3"/>
        <v/>
      </c>
      <c r="L687" s="173" t="str">
        <f t="array" ref="L687">IF($A687="","",INDEX('主表 Stock_Transaction_Log'!$P:$P,$A687))</f>
        <v/>
      </c>
      <c r="M687" s="174" t="str">
        <f>IF($A687="","",IF($H687&lt;=0,0,SUMIFS('主表 Stock_Transaction_Log'!$K$2:$K1000,'主表 Stock_Transaction_Log'!$C$2:$C1000,"Prepared",'主表 Stock_Transaction_Log'!$L$2:$L1000,$B687,'主表 Stock_Transaction_Log'!$F$2:$F1000,$C687,'主表 Stock_Transaction_Log'!$G$2:$G1000,$D687,'主表 Stock_Transaction_Log'!$P$2:$P1000,$L687)))</f>
        <v/>
      </c>
    </row>
    <row r="688">
      <c r="A688" s="173" t="str">
        <f>IF('主表 Stock_Transaction_Log'!$T688="","",IF(COUNTIF('主表 Stock_Transaction_Log'!$T$2:$T688,'主表 Stock_Transaction_Log'!$T688)=1,ROW('主表 Stock_Transaction_Log'!$T688),""))</f>
        <v/>
      </c>
      <c r="B688" s="173" t="str">
        <f t="array" ref="B688">IF($A688="","",INDEX('主表 Stock_Transaction_Log'!$Q:$Q,$A688))</f>
        <v/>
      </c>
      <c r="C688" s="173" t="str">
        <f t="array" ref="C688">IF($A688="","",IF(INDEX('主表 Stock_Transaction_Log'!$F:$F,$A688)=0,"",INDEX('主表 Stock_Transaction_Log'!$F:$F,$A688)))</f>
        <v/>
      </c>
      <c r="D688" s="173" t="str">
        <f t="array" ref="D688">IF($A688="","",INDEX('主表 Stock_Transaction_Log'!$G:$G,$A688))</f>
        <v/>
      </c>
      <c r="E688" s="173" t="str">
        <f t="array" ref="E688">IF($A688="","",INDEX('主表 Stock_Transaction_Log'!$H:$H,$A688))</f>
        <v/>
      </c>
      <c r="F688" s="173" t="str">
        <f t="array" ref="F688">IF($A688="","",INDEX('主表 Stock_Transaction_Log'!$I:$I,$A688))</f>
        <v/>
      </c>
      <c r="G688" s="173" t="str">
        <f t="array" ref="G688">IF($A688="","",IF(INDEX('主表 Stock_Transaction_Log'!$R:$R,$A688)=0,"",INDEX('主表 Stock_Transaction_Log'!$R:$R,$A688)))</f>
        <v/>
      </c>
      <c r="H688" s="173" t="str">
        <f t="array" ref="H688">IF($A688="","",SUMIF('主表 Stock_Transaction_Log'!$T:$T,INDEX('主表 Stock_Transaction_Log'!$T:$T,$A688),'主表 Stock_Transaction_Log'!$S:$S)+SUMIF('主表 Stock_Transaction_Log'!$AB:$AB,INDEX('主表 Stock_Transaction_Log'!$T:$T,$A688),'主表 Stock_Transaction_Log'!$AC:$AC))</f>
        <v/>
      </c>
      <c r="I688" s="173" t="str">
        <f t="shared" si="1"/>
        <v/>
      </c>
      <c r="J688" s="173" t="str">
        <f t="shared" si="2"/>
        <v/>
      </c>
      <c r="K688" s="173" t="str">
        <f t="shared" si="3"/>
        <v/>
      </c>
      <c r="L688" s="173" t="str">
        <f t="array" ref="L688">IF($A688="","",INDEX('主表 Stock_Transaction_Log'!$P:$P,$A688))</f>
        <v/>
      </c>
      <c r="M688" s="174" t="str">
        <f>IF($A688="","",IF($H688&lt;=0,0,SUMIFS('主表 Stock_Transaction_Log'!$K$2:$K1000,'主表 Stock_Transaction_Log'!$C$2:$C1000,"Prepared",'主表 Stock_Transaction_Log'!$L$2:$L1000,$B688,'主表 Stock_Transaction_Log'!$F$2:$F1000,$C688,'主表 Stock_Transaction_Log'!$G$2:$G1000,$D688,'主表 Stock_Transaction_Log'!$P$2:$P1000,$L688)))</f>
        <v/>
      </c>
    </row>
    <row r="689">
      <c r="A689" s="173" t="str">
        <f>IF('主表 Stock_Transaction_Log'!$T689="","",IF(COUNTIF('主表 Stock_Transaction_Log'!$T$2:$T689,'主表 Stock_Transaction_Log'!$T689)=1,ROW('主表 Stock_Transaction_Log'!$T689),""))</f>
        <v/>
      </c>
      <c r="B689" s="173" t="str">
        <f t="array" ref="B689">IF($A689="","",INDEX('主表 Stock_Transaction_Log'!$Q:$Q,$A689))</f>
        <v/>
      </c>
      <c r="C689" s="173" t="str">
        <f t="array" ref="C689">IF($A689="","",IF(INDEX('主表 Stock_Transaction_Log'!$F:$F,$A689)=0,"",INDEX('主表 Stock_Transaction_Log'!$F:$F,$A689)))</f>
        <v/>
      </c>
      <c r="D689" s="173" t="str">
        <f t="array" ref="D689">IF($A689="","",INDEX('主表 Stock_Transaction_Log'!$G:$G,$A689))</f>
        <v/>
      </c>
      <c r="E689" s="173" t="str">
        <f t="array" ref="E689">IF($A689="","",INDEX('主表 Stock_Transaction_Log'!$H:$H,$A689))</f>
        <v/>
      </c>
      <c r="F689" s="173" t="str">
        <f t="array" ref="F689">IF($A689="","",INDEX('主表 Stock_Transaction_Log'!$I:$I,$A689))</f>
        <v/>
      </c>
      <c r="G689" s="173" t="str">
        <f t="array" ref="G689">IF($A689="","",IF(INDEX('主表 Stock_Transaction_Log'!$R:$R,$A689)=0,"",INDEX('主表 Stock_Transaction_Log'!$R:$R,$A689)))</f>
        <v/>
      </c>
      <c r="H689" s="173" t="str">
        <f t="array" ref="H689">IF($A689="","",SUMIF('主表 Stock_Transaction_Log'!$T:$T,INDEX('主表 Stock_Transaction_Log'!$T:$T,$A689),'主表 Stock_Transaction_Log'!$S:$S)+SUMIF('主表 Stock_Transaction_Log'!$AB:$AB,INDEX('主表 Stock_Transaction_Log'!$T:$T,$A689),'主表 Stock_Transaction_Log'!$AC:$AC))</f>
        <v/>
      </c>
      <c r="I689" s="173" t="str">
        <f t="shared" si="1"/>
        <v/>
      </c>
      <c r="J689" s="173" t="str">
        <f t="shared" si="2"/>
        <v/>
      </c>
      <c r="K689" s="173" t="str">
        <f t="shared" si="3"/>
        <v/>
      </c>
      <c r="L689" s="173" t="str">
        <f t="array" ref="L689">IF($A689="","",INDEX('主表 Stock_Transaction_Log'!$P:$P,$A689))</f>
        <v/>
      </c>
      <c r="M689" s="174" t="str">
        <f>IF($A689="","",IF($H689&lt;=0,0,SUMIFS('主表 Stock_Transaction_Log'!$K$2:$K1000,'主表 Stock_Transaction_Log'!$C$2:$C1000,"Prepared",'主表 Stock_Transaction_Log'!$L$2:$L1000,$B689,'主表 Stock_Transaction_Log'!$F$2:$F1000,$C689,'主表 Stock_Transaction_Log'!$G$2:$G1000,$D689,'主表 Stock_Transaction_Log'!$P$2:$P1000,$L689)))</f>
        <v/>
      </c>
    </row>
    <row r="690">
      <c r="A690" s="173" t="str">
        <f>IF('主表 Stock_Transaction_Log'!$T690="","",IF(COUNTIF('主表 Stock_Transaction_Log'!$T$2:$T690,'主表 Stock_Transaction_Log'!$T690)=1,ROW('主表 Stock_Transaction_Log'!$T690),""))</f>
        <v/>
      </c>
      <c r="B690" s="173" t="str">
        <f t="array" ref="B690">IF($A690="","",INDEX('主表 Stock_Transaction_Log'!$Q:$Q,$A690))</f>
        <v/>
      </c>
      <c r="C690" s="173" t="str">
        <f t="array" ref="C690">IF($A690="","",IF(INDEX('主表 Stock_Transaction_Log'!$F:$F,$A690)=0,"",INDEX('主表 Stock_Transaction_Log'!$F:$F,$A690)))</f>
        <v/>
      </c>
      <c r="D690" s="173" t="str">
        <f t="array" ref="D690">IF($A690="","",INDEX('主表 Stock_Transaction_Log'!$G:$G,$A690))</f>
        <v/>
      </c>
      <c r="E690" s="173" t="str">
        <f t="array" ref="E690">IF($A690="","",INDEX('主表 Stock_Transaction_Log'!$H:$H,$A690))</f>
        <v/>
      </c>
      <c r="F690" s="173" t="str">
        <f t="array" ref="F690">IF($A690="","",INDEX('主表 Stock_Transaction_Log'!$I:$I,$A690))</f>
        <v/>
      </c>
      <c r="G690" s="173" t="str">
        <f t="array" ref="G690">IF($A690="","",IF(INDEX('主表 Stock_Transaction_Log'!$R:$R,$A690)=0,"",INDEX('主表 Stock_Transaction_Log'!$R:$R,$A690)))</f>
        <v/>
      </c>
      <c r="H690" s="173" t="str">
        <f t="array" ref="H690">IF($A690="","",SUMIF('主表 Stock_Transaction_Log'!$T:$T,INDEX('主表 Stock_Transaction_Log'!$T:$T,$A690),'主表 Stock_Transaction_Log'!$S:$S)+SUMIF('主表 Stock_Transaction_Log'!$AB:$AB,INDEX('主表 Stock_Transaction_Log'!$T:$T,$A690),'主表 Stock_Transaction_Log'!$AC:$AC))</f>
        <v/>
      </c>
      <c r="I690" s="173" t="str">
        <f t="shared" si="1"/>
        <v/>
      </c>
      <c r="J690" s="173" t="str">
        <f t="shared" si="2"/>
        <v/>
      </c>
      <c r="K690" s="173" t="str">
        <f t="shared" si="3"/>
        <v/>
      </c>
      <c r="L690" s="173" t="str">
        <f t="array" ref="L690">IF($A690="","",INDEX('主表 Stock_Transaction_Log'!$P:$P,$A690))</f>
        <v/>
      </c>
      <c r="M690" s="174" t="str">
        <f>IF($A690="","",IF($H690&lt;=0,0,SUMIFS('主表 Stock_Transaction_Log'!$K$2:$K1000,'主表 Stock_Transaction_Log'!$C$2:$C1000,"Prepared",'主表 Stock_Transaction_Log'!$L$2:$L1000,$B690,'主表 Stock_Transaction_Log'!$F$2:$F1000,$C690,'主表 Stock_Transaction_Log'!$G$2:$G1000,$D690,'主表 Stock_Transaction_Log'!$P$2:$P1000,$L690)))</f>
        <v/>
      </c>
    </row>
    <row r="691">
      <c r="A691" s="173" t="str">
        <f>IF('主表 Stock_Transaction_Log'!$T691="","",IF(COUNTIF('主表 Stock_Transaction_Log'!$T$2:$T691,'主表 Stock_Transaction_Log'!$T691)=1,ROW('主表 Stock_Transaction_Log'!$T691),""))</f>
        <v/>
      </c>
      <c r="B691" s="173" t="str">
        <f t="array" ref="B691">IF($A691="","",INDEX('主表 Stock_Transaction_Log'!$Q:$Q,$A691))</f>
        <v/>
      </c>
      <c r="C691" s="173" t="str">
        <f t="array" ref="C691">IF($A691="","",IF(INDEX('主表 Stock_Transaction_Log'!$F:$F,$A691)=0,"",INDEX('主表 Stock_Transaction_Log'!$F:$F,$A691)))</f>
        <v/>
      </c>
      <c r="D691" s="173" t="str">
        <f t="array" ref="D691">IF($A691="","",INDEX('主表 Stock_Transaction_Log'!$G:$G,$A691))</f>
        <v/>
      </c>
      <c r="E691" s="173" t="str">
        <f t="array" ref="E691">IF($A691="","",INDEX('主表 Stock_Transaction_Log'!$H:$H,$A691))</f>
        <v/>
      </c>
      <c r="F691" s="173" t="str">
        <f t="array" ref="F691">IF($A691="","",INDEX('主表 Stock_Transaction_Log'!$I:$I,$A691))</f>
        <v/>
      </c>
      <c r="G691" s="173" t="str">
        <f t="array" ref="G691">IF($A691="","",IF(INDEX('主表 Stock_Transaction_Log'!$R:$R,$A691)=0,"",INDEX('主表 Stock_Transaction_Log'!$R:$R,$A691)))</f>
        <v/>
      </c>
      <c r="H691" s="173" t="str">
        <f t="array" ref="H691">IF($A691="","",SUMIF('主表 Stock_Transaction_Log'!$T:$T,INDEX('主表 Stock_Transaction_Log'!$T:$T,$A691),'主表 Stock_Transaction_Log'!$S:$S)+SUMIF('主表 Stock_Transaction_Log'!$AB:$AB,INDEX('主表 Stock_Transaction_Log'!$T:$T,$A691),'主表 Stock_Transaction_Log'!$AC:$AC))</f>
        <v/>
      </c>
      <c r="I691" s="173" t="str">
        <f t="shared" si="1"/>
        <v/>
      </c>
      <c r="J691" s="173" t="str">
        <f t="shared" si="2"/>
        <v/>
      </c>
      <c r="K691" s="173" t="str">
        <f t="shared" si="3"/>
        <v/>
      </c>
      <c r="L691" s="173" t="str">
        <f t="array" ref="L691">IF($A691="","",INDEX('主表 Stock_Transaction_Log'!$P:$P,$A691))</f>
        <v/>
      </c>
      <c r="M691" s="174" t="str">
        <f>IF($A691="","",IF($H691&lt;=0,0,SUMIFS('主表 Stock_Transaction_Log'!$K$2:$K1000,'主表 Stock_Transaction_Log'!$C$2:$C1000,"Prepared",'主表 Stock_Transaction_Log'!$L$2:$L1000,$B691,'主表 Stock_Transaction_Log'!$F$2:$F1000,$C691,'主表 Stock_Transaction_Log'!$G$2:$G1000,$D691,'主表 Stock_Transaction_Log'!$P$2:$P1000,$L691)))</f>
        <v/>
      </c>
    </row>
    <row r="692">
      <c r="A692" s="173" t="str">
        <f>IF('主表 Stock_Transaction_Log'!$T692="","",IF(COUNTIF('主表 Stock_Transaction_Log'!$T$2:$T692,'主表 Stock_Transaction_Log'!$T692)=1,ROW('主表 Stock_Transaction_Log'!$T692),""))</f>
        <v/>
      </c>
      <c r="B692" s="173" t="str">
        <f t="array" ref="B692">IF($A692="","",INDEX('主表 Stock_Transaction_Log'!$Q:$Q,$A692))</f>
        <v/>
      </c>
      <c r="C692" s="173" t="str">
        <f t="array" ref="C692">IF($A692="","",IF(INDEX('主表 Stock_Transaction_Log'!$F:$F,$A692)=0,"",INDEX('主表 Stock_Transaction_Log'!$F:$F,$A692)))</f>
        <v/>
      </c>
      <c r="D692" s="173" t="str">
        <f t="array" ref="D692">IF($A692="","",INDEX('主表 Stock_Transaction_Log'!$G:$G,$A692))</f>
        <v/>
      </c>
      <c r="E692" s="173" t="str">
        <f t="array" ref="E692">IF($A692="","",INDEX('主表 Stock_Transaction_Log'!$H:$H,$A692))</f>
        <v/>
      </c>
      <c r="F692" s="173" t="str">
        <f t="array" ref="F692">IF($A692="","",INDEX('主表 Stock_Transaction_Log'!$I:$I,$A692))</f>
        <v/>
      </c>
      <c r="G692" s="173" t="str">
        <f t="array" ref="G692">IF($A692="","",IF(INDEX('主表 Stock_Transaction_Log'!$R:$R,$A692)=0,"",INDEX('主表 Stock_Transaction_Log'!$R:$R,$A692)))</f>
        <v/>
      </c>
      <c r="H692" s="173" t="str">
        <f t="array" ref="H692">IF($A692="","",SUMIF('主表 Stock_Transaction_Log'!$T:$T,INDEX('主表 Stock_Transaction_Log'!$T:$T,$A692),'主表 Stock_Transaction_Log'!$S:$S)+SUMIF('主表 Stock_Transaction_Log'!$AB:$AB,INDEX('主表 Stock_Transaction_Log'!$T:$T,$A692),'主表 Stock_Transaction_Log'!$AC:$AC))</f>
        <v/>
      </c>
      <c r="I692" s="173" t="str">
        <f t="shared" si="1"/>
        <v/>
      </c>
      <c r="J692" s="173" t="str">
        <f t="shared" si="2"/>
        <v/>
      </c>
      <c r="K692" s="173" t="str">
        <f t="shared" si="3"/>
        <v/>
      </c>
      <c r="L692" s="173" t="str">
        <f t="array" ref="L692">IF($A692="","",INDEX('主表 Stock_Transaction_Log'!$P:$P,$A692))</f>
        <v/>
      </c>
      <c r="M692" s="174" t="str">
        <f>IF($A692="","",IF($H692&lt;=0,0,SUMIFS('主表 Stock_Transaction_Log'!$K$2:$K1000,'主表 Stock_Transaction_Log'!$C$2:$C1000,"Prepared",'主表 Stock_Transaction_Log'!$L$2:$L1000,$B692,'主表 Stock_Transaction_Log'!$F$2:$F1000,$C692,'主表 Stock_Transaction_Log'!$G$2:$G1000,$D692,'主表 Stock_Transaction_Log'!$P$2:$P1000,$L692)))</f>
        <v/>
      </c>
    </row>
    <row r="693">
      <c r="A693" s="173" t="str">
        <f>IF('主表 Stock_Transaction_Log'!$T693="","",IF(COUNTIF('主表 Stock_Transaction_Log'!$T$2:$T693,'主表 Stock_Transaction_Log'!$T693)=1,ROW('主表 Stock_Transaction_Log'!$T693),""))</f>
        <v/>
      </c>
      <c r="B693" s="173" t="str">
        <f t="array" ref="B693">IF($A693="","",INDEX('主表 Stock_Transaction_Log'!$Q:$Q,$A693))</f>
        <v/>
      </c>
      <c r="C693" s="173" t="str">
        <f t="array" ref="C693">IF($A693="","",IF(INDEX('主表 Stock_Transaction_Log'!$F:$F,$A693)=0,"",INDEX('主表 Stock_Transaction_Log'!$F:$F,$A693)))</f>
        <v/>
      </c>
      <c r="D693" s="173" t="str">
        <f t="array" ref="D693">IF($A693="","",INDEX('主表 Stock_Transaction_Log'!$G:$G,$A693))</f>
        <v/>
      </c>
      <c r="E693" s="173" t="str">
        <f t="array" ref="E693">IF($A693="","",INDEX('主表 Stock_Transaction_Log'!$H:$H,$A693))</f>
        <v/>
      </c>
      <c r="F693" s="173" t="str">
        <f t="array" ref="F693">IF($A693="","",INDEX('主表 Stock_Transaction_Log'!$I:$I,$A693))</f>
        <v/>
      </c>
      <c r="G693" s="173" t="str">
        <f t="array" ref="G693">IF($A693="","",IF(INDEX('主表 Stock_Transaction_Log'!$R:$R,$A693)=0,"",INDEX('主表 Stock_Transaction_Log'!$R:$R,$A693)))</f>
        <v/>
      </c>
      <c r="H693" s="173" t="str">
        <f t="array" ref="H693">IF($A693="","",SUMIF('主表 Stock_Transaction_Log'!$T:$T,INDEX('主表 Stock_Transaction_Log'!$T:$T,$A693),'主表 Stock_Transaction_Log'!$S:$S)+SUMIF('主表 Stock_Transaction_Log'!$AB:$AB,INDEX('主表 Stock_Transaction_Log'!$T:$T,$A693),'主表 Stock_Transaction_Log'!$AC:$AC))</f>
        <v/>
      </c>
      <c r="I693" s="173" t="str">
        <f t="shared" si="1"/>
        <v/>
      </c>
      <c r="J693" s="173" t="str">
        <f t="shared" si="2"/>
        <v/>
      </c>
      <c r="K693" s="173" t="str">
        <f t="shared" si="3"/>
        <v/>
      </c>
      <c r="L693" s="173" t="str">
        <f t="array" ref="L693">IF($A693="","",INDEX('主表 Stock_Transaction_Log'!$P:$P,$A693))</f>
        <v/>
      </c>
      <c r="M693" s="174" t="str">
        <f>IF($A693="","",IF($H693&lt;=0,0,SUMIFS('主表 Stock_Transaction_Log'!$K$2:$K1000,'主表 Stock_Transaction_Log'!$C$2:$C1000,"Prepared",'主表 Stock_Transaction_Log'!$L$2:$L1000,$B693,'主表 Stock_Transaction_Log'!$F$2:$F1000,$C693,'主表 Stock_Transaction_Log'!$G$2:$G1000,$D693,'主表 Stock_Transaction_Log'!$P$2:$P1000,$L693)))</f>
        <v/>
      </c>
    </row>
    <row r="694">
      <c r="A694" s="173" t="str">
        <f>IF('主表 Stock_Transaction_Log'!$T694="","",IF(COUNTIF('主表 Stock_Transaction_Log'!$T$2:$T694,'主表 Stock_Transaction_Log'!$T694)=1,ROW('主表 Stock_Transaction_Log'!$T694),""))</f>
        <v/>
      </c>
      <c r="B694" s="173" t="str">
        <f t="array" ref="B694">IF($A694="","",INDEX('主表 Stock_Transaction_Log'!$Q:$Q,$A694))</f>
        <v/>
      </c>
      <c r="C694" s="173" t="str">
        <f t="array" ref="C694">IF($A694="","",IF(INDEX('主表 Stock_Transaction_Log'!$F:$F,$A694)=0,"",INDEX('主表 Stock_Transaction_Log'!$F:$F,$A694)))</f>
        <v/>
      </c>
      <c r="D694" s="173" t="str">
        <f t="array" ref="D694">IF($A694="","",INDEX('主表 Stock_Transaction_Log'!$G:$G,$A694))</f>
        <v/>
      </c>
      <c r="E694" s="173" t="str">
        <f t="array" ref="E694">IF($A694="","",INDEX('主表 Stock_Transaction_Log'!$H:$H,$A694))</f>
        <v/>
      </c>
      <c r="F694" s="173" t="str">
        <f t="array" ref="F694">IF($A694="","",INDEX('主表 Stock_Transaction_Log'!$I:$I,$A694))</f>
        <v/>
      </c>
      <c r="G694" s="173" t="str">
        <f t="array" ref="G694">IF($A694="","",IF(INDEX('主表 Stock_Transaction_Log'!$R:$R,$A694)=0,"",INDEX('主表 Stock_Transaction_Log'!$R:$R,$A694)))</f>
        <v/>
      </c>
      <c r="H694" s="173" t="str">
        <f t="array" ref="H694">IF($A694="","",SUMIF('主表 Stock_Transaction_Log'!$T:$T,INDEX('主表 Stock_Transaction_Log'!$T:$T,$A694),'主表 Stock_Transaction_Log'!$S:$S)+SUMIF('主表 Stock_Transaction_Log'!$AB:$AB,INDEX('主表 Stock_Transaction_Log'!$T:$T,$A694),'主表 Stock_Transaction_Log'!$AC:$AC))</f>
        <v/>
      </c>
      <c r="I694" s="173" t="str">
        <f t="shared" si="1"/>
        <v/>
      </c>
      <c r="J694" s="173" t="str">
        <f t="shared" si="2"/>
        <v/>
      </c>
      <c r="K694" s="173" t="str">
        <f t="shared" si="3"/>
        <v/>
      </c>
      <c r="L694" s="173" t="str">
        <f t="array" ref="L694">IF($A694="","",INDEX('主表 Stock_Transaction_Log'!$P:$P,$A694))</f>
        <v/>
      </c>
      <c r="M694" s="174" t="str">
        <f>IF($A694="","",IF($H694&lt;=0,0,SUMIFS('主表 Stock_Transaction_Log'!$K$2:$K1000,'主表 Stock_Transaction_Log'!$C$2:$C1000,"Prepared",'主表 Stock_Transaction_Log'!$L$2:$L1000,$B694,'主表 Stock_Transaction_Log'!$F$2:$F1000,$C694,'主表 Stock_Transaction_Log'!$G$2:$G1000,$D694,'主表 Stock_Transaction_Log'!$P$2:$P1000,$L694)))</f>
        <v/>
      </c>
    </row>
    <row r="695">
      <c r="A695" s="173" t="str">
        <f>IF('主表 Stock_Transaction_Log'!$T695="","",IF(COUNTIF('主表 Stock_Transaction_Log'!$T$2:$T695,'主表 Stock_Transaction_Log'!$T695)=1,ROW('主表 Stock_Transaction_Log'!$T695),""))</f>
        <v/>
      </c>
      <c r="B695" s="173" t="str">
        <f t="array" ref="B695">IF($A695="","",INDEX('主表 Stock_Transaction_Log'!$Q:$Q,$A695))</f>
        <v/>
      </c>
      <c r="C695" s="173" t="str">
        <f t="array" ref="C695">IF($A695="","",IF(INDEX('主表 Stock_Transaction_Log'!$F:$F,$A695)=0,"",INDEX('主表 Stock_Transaction_Log'!$F:$F,$A695)))</f>
        <v/>
      </c>
      <c r="D695" s="173" t="str">
        <f t="array" ref="D695">IF($A695="","",INDEX('主表 Stock_Transaction_Log'!$G:$G,$A695))</f>
        <v/>
      </c>
      <c r="E695" s="173" t="str">
        <f t="array" ref="E695">IF($A695="","",INDEX('主表 Stock_Transaction_Log'!$H:$H,$A695))</f>
        <v/>
      </c>
      <c r="F695" s="173" t="str">
        <f t="array" ref="F695">IF($A695="","",INDEX('主表 Stock_Transaction_Log'!$I:$I,$A695))</f>
        <v/>
      </c>
      <c r="G695" s="173" t="str">
        <f t="array" ref="G695">IF($A695="","",IF(INDEX('主表 Stock_Transaction_Log'!$R:$R,$A695)=0,"",INDEX('主表 Stock_Transaction_Log'!$R:$R,$A695)))</f>
        <v/>
      </c>
      <c r="H695" s="173" t="str">
        <f t="array" ref="H695">IF($A695="","",SUMIF('主表 Stock_Transaction_Log'!$T:$T,INDEX('主表 Stock_Transaction_Log'!$T:$T,$A695),'主表 Stock_Transaction_Log'!$S:$S)+SUMIF('主表 Stock_Transaction_Log'!$AB:$AB,INDEX('主表 Stock_Transaction_Log'!$T:$T,$A695),'主表 Stock_Transaction_Log'!$AC:$AC))</f>
        <v/>
      </c>
      <c r="I695" s="173" t="str">
        <f t="shared" si="1"/>
        <v/>
      </c>
      <c r="J695" s="173" t="str">
        <f t="shared" si="2"/>
        <v/>
      </c>
      <c r="K695" s="173" t="str">
        <f t="shared" si="3"/>
        <v/>
      </c>
      <c r="L695" s="173" t="str">
        <f t="array" ref="L695">IF($A695="","",INDEX('主表 Stock_Transaction_Log'!$P:$P,$A695))</f>
        <v/>
      </c>
      <c r="M695" s="174" t="str">
        <f>IF($A695="","",IF($H695&lt;=0,0,SUMIFS('主表 Stock_Transaction_Log'!$K$2:$K1000,'主表 Stock_Transaction_Log'!$C$2:$C1000,"Prepared",'主表 Stock_Transaction_Log'!$L$2:$L1000,$B695,'主表 Stock_Transaction_Log'!$F$2:$F1000,$C695,'主表 Stock_Transaction_Log'!$G$2:$G1000,$D695,'主表 Stock_Transaction_Log'!$P$2:$P1000,$L695)))</f>
        <v/>
      </c>
    </row>
    <row r="696">
      <c r="A696" s="173" t="str">
        <f>IF('主表 Stock_Transaction_Log'!$T696="","",IF(COUNTIF('主表 Stock_Transaction_Log'!$T$2:$T696,'主表 Stock_Transaction_Log'!$T696)=1,ROW('主表 Stock_Transaction_Log'!$T696),""))</f>
        <v/>
      </c>
      <c r="B696" s="173" t="str">
        <f t="array" ref="B696">IF($A696="","",INDEX('主表 Stock_Transaction_Log'!$Q:$Q,$A696))</f>
        <v/>
      </c>
      <c r="C696" s="173" t="str">
        <f t="array" ref="C696">IF($A696="","",IF(INDEX('主表 Stock_Transaction_Log'!$F:$F,$A696)=0,"",INDEX('主表 Stock_Transaction_Log'!$F:$F,$A696)))</f>
        <v/>
      </c>
      <c r="D696" s="173" t="str">
        <f t="array" ref="D696">IF($A696="","",INDEX('主表 Stock_Transaction_Log'!$G:$G,$A696))</f>
        <v/>
      </c>
      <c r="E696" s="173" t="str">
        <f t="array" ref="E696">IF($A696="","",INDEX('主表 Stock_Transaction_Log'!$H:$H,$A696))</f>
        <v/>
      </c>
      <c r="F696" s="173" t="str">
        <f t="array" ref="F696">IF($A696="","",INDEX('主表 Stock_Transaction_Log'!$I:$I,$A696))</f>
        <v/>
      </c>
      <c r="G696" s="173" t="str">
        <f t="array" ref="G696">IF($A696="","",IF(INDEX('主表 Stock_Transaction_Log'!$R:$R,$A696)=0,"",INDEX('主表 Stock_Transaction_Log'!$R:$R,$A696)))</f>
        <v/>
      </c>
      <c r="H696" s="173" t="str">
        <f t="array" ref="H696">IF($A696="","",SUMIF('主表 Stock_Transaction_Log'!$T:$T,INDEX('主表 Stock_Transaction_Log'!$T:$T,$A696),'主表 Stock_Transaction_Log'!$S:$S)+SUMIF('主表 Stock_Transaction_Log'!$AB:$AB,INDEX('主表 Stock_Transaction_Log'!$T:$T,$A696),'主表 Stock_Transaction_Log'!$AC:$AC))</f>
        <v/>
      </c>
      <c r="I696" s="173" t="str">
        <f t="shared" si="1"/>
        <v/>
      </c>
      <c r="J696" s="173" t="str">
        <f t="shared" si="2"/>
        <v/>
      </c>
      <c r="K696" s="173" t="str">
        <f t="shared" si="3"/>
        <v/>
      </c>
      <c r="L696" s="173" t="str">
        <f t="array" ref="L696">IF($A696="","",INDEX('主表 Stock_Transaction_Log'!$P:$P,$A696))</f>
        <v/>
      </c>
      <c r="M696" s="174" t="str">
        <f>IF($A696="","",IF($H696&lt;=0,0,SUMIFS('主表 Stock_Transaction_Log'!$K$2:$K1000,'主表 Stock_Transaction_Log'!$C$2:$C1000,"Prepared",'主表 Stock_Transaction_Log'!$L$2:$L1000,$B696,'主表 Stock_Transaction_Log'!$F$2:$F1000,$C696,'主表 Stock_Transaction_Log'!$G$2:$G1000,$D696,'主表 Stock_Transaction_Log'!$P$2:$P1000,$L696)))</f>
        <v/>
      </c>
    </row>
    <row r="697">
      <c r="A697" s="173" t="str">
        <f>IF('主表 Stock_Transaction_Log'!$T697="","",IF(COUNTIF('主表 Stock_Transaction_Log'!$T$2:$T697,'主表 Stock_Transaction_Log'!$T697)=1,ROW('主表 Stock_Transaction_Log'!$T697),""))</f>
        <v/>
      </c>
      <c r="B697" s="173" t="str">
        <f t="array" ref="B697">IF($A697="","",INDEX('主表 Stock_Transaction_Log'!$Q:$Q,$A697))</f>
        <v/>
      </c>
      <c r="C697" s="173" t="str">
        <f t="array" ref="C697">IF($A697="","",IF(INDEX('主表 Stock_Transaction_Log'!$F:$F,$A697)=0,"",INDEX('主表 Stock_Transaction_Log'!$F:$F,$A697)))</f>
        <v/>
      </c>
      <c r="D697" s="173" t="str">
        <f t="array" ref="D697">IF($A697="","",INDEX('主表 Stock_Transaction_Log'!$G:$G,$A697))</f>
        <v/>
      </c>
      <c r="E697" s="173" t="str">
        <f t="array" ref="E697">IF($A697="","",INDEX('主表 Stock_Transaction_Log'!$H:$H,$A697))</f>
        <v/>
      </c>
      <c r="F697" s="173" t="str">
        <f t="array" ref="F697">IF($A697="","",INDEX('主表 Stock_Transaction_Log'!$I:$I,$A697))</f>
        <v/>
      </c>
      <c r="G697" s="173" t="str">
        <f t="array" ref="G697">IF($A697="","",IF(INDEX('主表 Stock_Transaction_Log'!$R:$R,$A697)=0,"",INDEX('主表 Stock_Transaction_Log'!$R:$R,$A697)))</f>
        <v/>
      </c>
      <c r="H697" s="173" t="str">
        <f t="array" ref="H697">IF($A697="","",SUMIF('主表 Stock_Transaction_Log'!$T:$T,INDEX('主表 Stock_Transaction_Log'!$T:$T,$A697),'主表 Stock_Transaction_Log'!$S:$S)+SUMIF('主表 Stock_Transaction_Log'!$AB:$AB,INDEX('主表 Stock_Transaction_Log'!$T:$T,$A697),'主表 Stock_Transaction_Log'!$AC:$AC))</f>
        <v/>
      </c>
      <c r="I697" s="173" t="str">
        <f t="shared" si="1"/>
        <v/>
      </c>
      <c r="J697" s="173" t="str">
        <f t="shared" si="2"/>
        <v/>
      </c>
      <c r="K697" s="173" t="str">
        <f t="shared" si="3"/>
        <v/>
      </c>
      <c r="L697" s="173" t="str">
        <f t="array" ref="L697">IF($A697="","",INDEX('主表 Stock_Transaction_Log'!$P:$P,$A697))</f>
        <v/>
      </c>
      <c r="M697" s="174" t="str">
        <f>IF($A697="","",IF($H697&lt;=0,0,SUMIFS('主表 Stock_Transaction_Log'!$K$2:$K1000,'主表 Stock_Transaction_Log'!$C$2:$C1000,"Prepared",'主表 Stock_Transaction_Log'!$L$2:$L1000,$B697,'主表 Stock_Transaction_Log'!$F$2:$F1000,$C697,'主表 Stock_Transaction_Log'!$G$2:$G1000,$D697,'主表 Stock_Transaction_Log'!$P$2:$P1000,$L697)))</f>
        <v/>
      </c>
    </row>
    <row r="698">
      <c r="A698" s="173" t="str">
        <f>IF('主表 Stock_Transaction_Log'!$T698="","",IF(COUNTIF('主表 Stock_Transaction_Log'!$T$2:$T698,'主表 Stock_Transaction_Log'!$T698)=1,ROW('主表 Stock_Transaction_Log'!$T698),""))</f>
        <v/>
      </c>
      <c r="B698" s="173" t="str">
        <f t="array" ref="B698">IF($A698="","",INDEX('主表 Stock_Transaction_Log'!$Q:$Q,$A698))</f>
        <v/>
      </c>
      <c r="C698" s="173" t="str">
        <f t="array" ref="C698">IF($A698="","",IF(INDEX('主表 Stock_Transaction_Log'!$F:$F,$A698)=0,"",INDEX('主表 Stock_Transaction_Log'!$F:$F,$A698)))</f>
        <v/>
      </c>
      <c r="D698" s="173" t="str">
        <f t="array" ref="D698">IF($A698="","",INDEX('主表 Stock_Transaction_Log'!$G:$G,$A698))</f>
        <v/>
      </c>
      <c r="E698" s="173" t="str">
        <f t="array" ref="E698">IF($A698="","",INDEX('主表 Stock_Transaction_Log'!$H:$H,$A698))</f>
        <v/>
      </c>
      <c r="F698" s="173" t="str">
        <f t="array" ref="F698">IF($A698="","",INDEX('主表 Stock_Transaction_Log'!$I:$I,$A698))</f>
        <v/>
      </c>
      <c r="G698" s="173" t="str">
        <f t="array" ref="G698">IF($A698="","",IF(INDEX('主表 Stock_Transaction_Log'!$R:$R,$A698)=0,"",INDEX('主表 Stock_Transaction_Log'!$R:$R,$A698)))</f>
        <v/>
      </c>
      <c r="H698" s="173" t="str">
        <f t="array" ref="H698">IF($A698="","",SUMIF('主表 Stock_Transaction_Log'!$T:$T,INDEX('主表 Stock_Transaction_Log'!$T:$T,$A698),'主表 Stock_Transaction_Log'!$S:$S)+SUMIF('主表 Stock_Transaction_Log'!$AB:$AB,INDEX('主表 Stock_Transaction_Log'!$T:$T,$A698),'主表 Stock_Transaction_Log'!$AC:$AC))</f>
        <v/>
      </c>
      <c r="I698" s="173" t="str">
        <f t="shared" si="1"/>
        <v/>
      </c>
      <c r="J698" s="173" t="str">
        <f t="shared" si="2"/>
        <v/>
      </c>
      <c r="K698" s="173" t="str">
        <f t="shared" si="3"/>
        <v/>
      </c>
      <c r="L698" s="173" t="str">
        <f t="array" ref="L698">IF($A698="","",INDEX('主表 Stock_Transaction_Log'!$P:$P,$A698))</f>
        <v/>
      </c>
      <c r="M698" s="174" t="str">
        <f>IF($A698="","",IF($H698&lt;=0,0,SUMIFS('主表 Stock_Transaction_Log'!$K$2:$K1000,'主表 Stock_Transaction_Log'!$C$2:$C1000,"Prepared",'主表 Stock_Transaction_Log'!$L$2:$L1000,$B698,'主表 Stock_Transaction_Log'!$F$2:$F1000,$C698,'主表 Stock_Transaction_Log'!$G$2:$G1000,$D698,'主表 Stock_Transaction_Log'!$P$2:$P1000,$L698)))</f>
        <v/>
      </c>
    </row>
    <row r="699">
      <c r="A699" s="173" t="str">
        <f>IF('主表 Stock_Transaction_Log'!$T699="","",IF(COUNTIF('主表 Stock_Transaction_Log'!$T$2:$T699,'主表 Stock_Transaction_Log'!$T699)=1,ROW('主表 Stock_Transaction_Log'!$T699),""))</f>
        <v/>
      </c>
      <c r="B699" s="173" t="str">
        <f t="array" ref="B699">IF($A699="","",INDEX('主表 Stock_Transaction_Log'!$Q:$Q,$A699))</f>
        <v/>
      </c>
      <c r="C699" s="173" t="str">
        <f t="array" ref="C699">IF($A699="","",IF(INDEX('主表 Stock_Transaction_Log'!$F:$F,$A699)=0,"",INDEX('主表 Stock_Transaction_Log'!$F:$F,$A699)))</f>
        <v/>
      </c>
      <c r="D699" s="173" t="str">
        <f t="array" ref="D699">IF($A699="","",INDEX('主表 Stock_Transaction_Log'!$G:$G,$A699))</f>
        <v/>
      </c>
      <c r="E699" s="173" t="str">
        <f t="array" ref="E699">IF($A699="","",INDEX('主表 Stock_Transaction_Log'!$H:$H,$A699))</f>
        <v/>
      </c>
      <c r="F699" s="173" t="str">
        <f t="array" ref="F699">IF($A699="","",INDEX('主表 Stock_Transaction_Log'!$I:$I,$A699))</f>
        <v/>
      </c>
      <c r="G699" s="173" t="str">
        <f t="array" ref="G699">IF($A699="","",IF(INDEX('主表 Stock_Transaction_Log'!$R:$R,$A699)=0,"",INDEX('主表 Stock_Transaction_Log'!$R:$R,$A699)))</f>
        <v/>
      </c>
      <c r="H699" s="173" t="str">
        <f t="array" ref="H699">IF($A699="","",SUMIF('主表 Stock_Transaction_Log'!$T:$T,INDEX('主表 Stock_Transaction_Log'!$T:$T,$A699),'主表 Stock_Transaction_Log'!$S:$S)+SUMIF('主表 Stock_Transaction_Log'!$AB:$AB,INDEX('主表 Stock_Transaction_Log'!$T:$T,$A699),'主表 Stock_Transaction_Log'!$AC:$AC))</f>
        <v/>
      </c>
      <c r="I699" s="173" t="str">
        <f t="shared" si="1"/>
        <v/>
      </c>
      <c r="J699" s="173" t="str">
        <f t="shared" si="2"/>
        <v/>
      </c>
      <c r="K699" s="173" t="str">
        <f t="shared" si="3"/>
        <v/>
      </c>
      <c r="L699" s="173" t="str">
        <f t="array" ref="L699">IF($A699="","",INDEX('主表 Stock_Transaction_Log'!$P:$P,$A699))</f>
        <v/>
      </c>
      <c r="M699" s="174" t="str">
        <f>IF($A699="","",IF($H699&lt;=0,0,SUMIFS('主表 Stock_Transaction_Log'!$K$2:$K1000,'主表 Stock_Transaction_Log'!$C$2:$C1000,"Prepared",'主表 Stock_Transaction_Log'!$L$2:$L1000,$B699,'主表 Stock_Transaction_Log'!$F$2:$F1000,$C699,'主表 Stock_Transaction_Log'!$G$2:$G1000,$D699,'主表 Stock_Transaction_Log'!$P$2:$P1000,$L699)))</f>
        <v/>
      </c>
    </row>
    <row r="700">
      <c r="A700" s="173" t="str">
        <f>IF('主表 Stock_Transaction_Log'!$T700="","",IF(COUNTIF('主表 Stock_Transaction_Log'!$T$2:$T700,'主表 Stock_Transaction_Log'!$T700)=1,ROW('主表 Stock_Transaction_Log'!$T700),""))</f>
        <v/>
      </c>
      <c r="B700" s="173" t="str">
        <f t="array" ref="B700">IF($A700="","",INDEX('主表 Stock_Transaction_Log'!$Q:$Q,$A700))</f>
        <v/>
      </c>
      <c r="C700" s="173" t="str">
        <f t="array" ref="C700">IF($A700="","",IF(INDEX('主表 Stock_Transaction_Log'!$F:$F,$A700)=0,"",INDEX('主表 Stock_Transaction_Log'!$F:$F,$A700)))</f>
        <v/>
      </c>
      <c r="D700" s="173" t="str">
        <f t="array" ref="D700">IF($A700="","",INDEX('主表 Stock_Transaction_Log'!$G:$G,$A700))</f>
        <v/>
      </c>
      <c r="E700" s="173" t="str">
        <f t="array" ref="E700">IF($A700="","",INDEX('主表 Stock_Transaction_Log'!$H:$H,$A700))</f>
        <v/>
      </c>
      <c r="F700" s="173" t="str">
        <f t="array" ref="F700">IF($A700="","",INDEX('主表 Stock_Transaction_Log'!$I:$I,$A700))</f>
        <v/>
      </c>
      <c r="G700" s="173" t="str">
        <f t="array" ref="G700">IF($A700="","",IF(INDEX('主表 Stock_Transaction_Log'!$R:$R,$A700)=0,"",INDEX('主表 Stock_Transaction_Log'!$R:$R,$A700)))</f>
        <v/>
      </c>
      <c r="H700" s="173" t="str">
        <f t="array" ref="H700">IF($A700="","",SUMIF('主表 Stock_Transaction_Log'!$T:$T,INDEX('主表 Stock_Transaction_Log'!$T:$T,$A700),'主表 Stock_Transaction_Log'!$S:$S)+SUMIF('主表 Stock_Transaction_Log'!$AB:$AB,INDEX('主表 Stock_Transaction_Log'!$T:$T,$A700),'主表 Stock_Transaction_Log'!$AC:$AC))</f>
        <v/>
      </c>
      <c r="I700" s="173" t="str">
        <f t="shared" si="1"/>
        <v/>
      </c>
      <c r="J700" s="173" t="str">
        <f t="shared" si="2"/>
        <v/>
      </c>
      <c r="K700" s="173" t="str">
        <f t="shared" si="3"/>
        <v/>
      </c>
      <c r="L700" s="173" t="str">
        <f t="array" ref="L700">IF($A700="","",INDEX('主表 Stock_Transaction_Log'!$P:$P,$A700))</f>
        <v/>
      </c>
      <c r="M700" s="174" t="str">
        <f>IF($A700="","",IF($H700&lt;=0,0,SUMIFS('主表 Stock_Transaction_Log'!$K$2:$K1000,'主表 Stock_Transaction_Log'!$C$2:$C1000,"Prepared",'主表 Stock_Transaction_Log'!$L$2:$L1000,$B700,'主表 Stock_Transaction_Log'!$F$2:$F1000,$C700,'主表 Stock_Transaction_Log'!$G$2:$G1000,$D700,'主表 Stock_Transaction_Log'!$P$2:$P1000,$L700)))</f>
        <v/>
      </c>
    </row>
    <row r="701">
      <c r="A701" s="173" t="str">
        <f>IF('主表 Stock_Transaction_Log'!$T701="","",IF(COUNTIF('主表 Stock_Transaction_Log'!$T$2:$T701,'主表 Stock_Transaction_Log'!$T701)=1,ROW('主表 Stock_Transaction_Log'!$T701),""))</f>
        <v/>
      </c>
      <c r="B701" s="173" t="str">
        <f t="array" ref="B701">IF($A701="","",INDEX('主表 Stock_Transaction_Log'!$Q:$Q,$A701))</f>
        <v/>
      </c>
      <c r="C701" s="173" t="str">
        <f t="array" ref="C701">IF($A701="","",IF(INDEX('主表 Stock_Transaction_Log'!$F:$F,$A701)=0,"",INDEX('主表 Stock_Transaction_Log'!$F:$F,$A701)))</f>
        <v/>
      </c>
      <c r="D701" s="173" t="str">
        <f t="array" ref="D701">IF($A701="","",INDEX('主表 Stock_Transaction_Log'!$G:$G,$A701))</f>
        <v/>
      </c>
      <c r="E701" s="173" t="str">
        <f t="array" ref="E701">IF($A701="","",INDEX('主表 Stock_Transaction_Log'!$H:$H,$A701))</f>
        <v/>
      </c>
      <c r="F701" s="173" t="str">
        <f t="array" ref="F701">IF($A701="","",INDEX('主表 Stock_Transaction_Log'!$I:$I,$A701))</f>
        <v/>
      </c>
      <c r="G701" s="173" t="str">
        <f t="array" ref="G701">IF($A701="","",IF(INDEX('主表 Stock_Transaction_Log'!$R:$R,$A701)=0,"",INDEX('主表 Stock_Transaction_Log'!$R:$R,$A701)))</f>
        <v/>
      </c>
      <c r="H701" s="173" t="str">
        <f t="array" ref="H701">IF($A701="","",SUMIF('主表 Stock_Transaction_Log'!$T:$T,INDEX('主表 Stock_Transaction_Log'!$T:$T,$A701),'主表 Stock_Transaction_Log'!$S:$S)+SUMIF('主表 Stock_Transaction_Log'!$AB:$AB,INDEX('主表 Stock_Transaction_Log'!$T:$T,$A701),'主表 Stock_Transaction_Log'!$AC:$AC))</f>
        <v/>
      </c>
      <c r="I701" s="173" t="str">
        <f t="shared" si="1"/>
        <v/>
      </c>
      <c r="J701" s="173" t="str">
        <f t="shared" si="2"/>
        <v/>
      </c>
      <c r="K701" s="173" t="str">
        <f t="shared" si="3"/>
        <v/>
      </c>
      <c r="L701" s="173" t="str">
        <f t="array" ref="L701">IF($A701="","",INDEX('主表 Stock_Transaction_Log'!$P:$P,$A701))</f>
        <v/>
      </c>
      <c r="M701" s="174" t="str">
        <f>IF($A701="","",IF($H701&lt;=0,0,SUMIFS('主表 Stock_Transaction_Log'!$K$2:$K1000,'主表 Stock_Transaction_Log'!$C$2:$C1000,"Prepared",'主表 Stock_Transaction_Log'!$L$2:$L1000,$B701,'主表 Stock_Transaction_Log'!$F$2:$F1000,$C701,'主表 Stock_Transaction_Log'!$G$2:$G1000,$D701,'主表 Stock_Transaction_Log'!$P$2:$P1000,$L701)))</f>
        <v/>
      </c>
    </row>
    <row r="702">
      <c r="A702" s="173" t="str">
        <f>IF('主表 Stock_Transaction_Log'!$T702="","",IF(COUNTIF('主表 Stock_Transaction_Log'!$T$2:$T702,'主表 Stock_Transaction_Log'!$T702)=1,ROW('主表 Stock_Transaction_Log'!$T702),""))</f>
        <v/>
      </c>
      <c r="B702" s="173" t="str">
        <f t="array" ref="B702">IF($A702="","",INDEX('主表 Stock_Transaction_Log'!$Q:$Q,$A702))</f>
        <v/>
      </c>
      <c r="C702" s="173" t="str">
        <f t="array" ref="C702">IF($A702="","",IF(INDEX('主表 Stock_Transaction_Log'!$F:$F,$A702)=0,"",INDEX('主表 Stock_Transaction_Log'!$F:$F,$A702)))</f>
        <v/>
      </c>
      <c r="D702" s="173" t="str">
        <f t="array" ref="D702">IF($A702="","",INDEX('主表 Stock_Transaction_Log'!$G:$G,$A702))</f>
        <v/>
      </c>
      <c r="E702" s="173" t="str">
        <f t="array" ref="E702">IF($A702="","",INDEX('主表 Stock_Transaction_Log'!$H:$H,$A702))</f>
        <v/>
      </c>
      <c r="F702" s="173" t="str">
        <f t="array" ref="F702">IF($A702="","",INDEX('主表 Stock_Transaction_Log'!$I:$I,$A702))</f>
        <v/>
      </c>
      <c r="G702" s="173" t="str">
        <f t="array" ref="G702">IF($A702="","",IF(INDEX('主表 Stock_Transaction_Log'!$R:$R,$A702)=0,"",INDEX('主表 Stock_Transaction_Log'!$R:$R,$A702)))</f>
        <v/>
      </c>
      <c r="H702" s="173" t="str">
        <f t="array" ref="H702">IF($A702="","",SUMIF('主表 Stock_Transaction_Log'!$T:$T,INDEX('主表 Stock_Transaction_Log'!$T:$T,$A702),'主表 Stock_Transaction_Log'!$S:$S)+SUMIF('主表 Stock_Transaction_Log'!$AB:$AB,INDEX('主表 Stock_Transaction_Log'!$T:$T,$A702),'主表 Stock_Transaction_Log'!$AC:$AC))</f>
        <v/>
      </c>
      <c r="I702" s="173" t="str">
        <f t="shared" si="1"/>
        <v/>
      </c>
      <c r="J702" s="173" t="str">
        <f t="shared" si="2"/>
        <v/>
      </c>
      <c r="K702" s="173" t="str">
        <f t="shared" si="3"/>
        <v/>
      </c>
      <c r="L702" s="173" t="str">
        <f t="array" ref="L702">IF($A702="","",INDEX('主表 Stock_Transaction_Log'!$P:$P,$A702))</f>
        <v/>
      </c>
      <c r="M702" s="174" t="str">
        <f>IF($A702="","",IF($H702&lt;=0,0,SUMIFS('主表 Stock_Transaction_Log'!$K$2:$K1000,'主表 Stock_Transaction_Log'!$C$2:$C1000,"Prepared",'主表 Stock_Transaction_Log'!$L$2:$L1000,$B702,'主表 Stock_Transaction_Log'!$F$2:$F1000,$C702,'主表 Stock_Transaction_Log'!$G$2:$G1000,$D702,'主表 Stock_Transaction_Log'!$P$2:$P1000,$L702)))</f>
        <v/>
      </c>
    </row>
    <row r="703">
      <c r="A703" s="173" t="str">
        <f>IF('主表 Stock_Transaction_Log'!$T703="","",IF(COUNTIF('主表 Stock_Transaction_Log'!$T$2:$T703,'主表 Stock_Transaction_Log'!$T703)=1,ROW('主表 Stock_Transaction_Log'!$T703),""))</f>
        <v/>
      </c>
      <c r="B703" s="173" t="str">
        <f t="array" ref="B703">IF($A703="","",INDEX('主表 Stock_Transaction_Log'!$Q:$Q,$A703))</f>
        <v/>
      </c>
      <c r="C703" s="173" t="str">
        <f t="array" ref="C703">IF($A703="","",IF(INDEX('主表 Stock_Transaction_Log'!$F:$F,$A703)=0,"",INDEX('主表 Stock_Transaction_Log'!$F:$F,$A703)))</f>
        <v/>
      </c>
      <c r="D703" s="173" t="str">
        <f t="array" ref="D703">IF($A703="","",INDEX('主表 Stock_Transaction_Log'!$G:$G,$A703))</f>
        <v/>
      </c>
      <c r="E703" s="173" t="str">
        <f t="array" ref="E703">IF($A703="","",INDEX('主表 Stock_Transaction_Log'!$H:$H,$A703))</f>
        <v/>
      </c>
      <c r="F703" s="173" t="str">
        <f t="array" ref="F703">IF($A703="","",INDEX('主表 Stock_Transaction_Log'!$I:$I,$A703))</f>
        <v/>
      </c>
      <c r="G703" s="173" t="str">
        <f t="array" ref="G703">IF($A703="","",IF(INDEX('主表 Stock_Transaction_Log'!$R:$R,$A703)=0,"",INDEX('主表 Stock_Transaction_Log'!$R:$R,$A703)))</f>
        <v/>
      </c>
      <c r="H703" s="173" t="str">
        <f t="array" ref="H703">IF($A703="","",SUMIF('主表 Stock_Transaction_Log'!$T:$T,INDEX('主表 Stock_Transaction_Log'!$T:$T,$A703),'主表 Stock_Transaction_Log'!$S:$S)+SUMIF('主表 Stock_Transaction_Log'!$AB:$AB,INDEX('主表 Stock_Transaction_Log'!$T:$T,$A703),'主表 Stock_Transaction_Log'!$AC:$AC))</f>
        <v/>
      </c>
      <c r="I703" s="173" t="str">
        <f t="shared" si="1"/>
        <v/>
      </c>
      <c r="J703" s="173" t="str">
        <f t="shared" si="2"/>
        <v/>
      </c>
      <c r="K703" s="173" t="str">
        <f t="shared" si="3"/>
        <v/>
      </c>
      <c r="L703" s="173" t="str">
        <f t="array" ref="L703">IF($A703="","",INDEX('主表 Stock_Transaction_Log'!$P:$P,$A703))</f>
        <v/>
      </c>
      <c r="M703" s="174" t="str">
        <f>IF($A703="","",IF($H703&lt;=0,0,SUMIFS('主表 Stock_Transaction_Log'!$K$2:$K1000,'主表 Stock_Transaction_Log'!$C$2:$C1000,"Prepared",'主表 Stock_Transaction_Log'!$L$2:$L1000,$B703,'主表 Stock_Transaction_Log'!$F$2:$F1000,$C703,'主表 Stock_Transaction_Log'!$G$2:$G1000,$D703,'主表 Stock_Transaction_Log'!$P$2:$P1000,$L703)))</f>
        <v/>
      </c>
    </row>
    <row r="704">
      <c r="A704" s="173" t="str">
        <f>IF('主表 Stock_Transaction_Log'!$T704="","",IF(COUNTIF('主表 Stock_Transaction_Log'!$T$2:$T704,'主表 Stock_Transaction_Log'!$T704)=1,ROW('主表 Stock_Transaction_Log'!$T704),""))</f>
        <v/>
      </c>
      <c r="B704" s="173" t="str">
        <f t="array" ref="B704">IF($A704="","",INDEX('主表 Stock_Transaction_Log'!$Q:$Q,$A704))</f>
        <v/>
      </c>
      <c r="C704" s="173" t="str">
        <f t="array" ref="C704">IF($A704="","",IF(INDEX('主表 Stock_Transaction_Log'!$F:$F,$A704)=0,"",INDEX('主表 Stock_Transaction_Log'!$F:$F,$A704)))</f>
        <v/>
      </c>
      <c r="D704" s="173" t="str">
        <f t="array" ref="D704">IF($A704="","",INDEX('主表 Stock_Transaction_Log'!$G:$G,$A704))</f>
        <v/>
      </c>
      <c r="E704" s="173" t="str">
        <f t="array" ref="E704">IF($A704="","",INDEX('主表 Stock_Transaction_Log'!$H:$H,$A704))</f>
        <v/>
      </c>
      <c r="F704" s="173" t="str">
        <f t="array" ref="F704">IF($A704="","",INDEX('主表 Stock_Transaction_Log'!$I:$I,$A704))</f>
        <v/>
      </c>
      <c r="G704" s="173" t="str">
        <f t="array" ref="G704">IF($A704="","",IF(INDEX('主表 Stock_Transaction_Log'!$R:$R,$A704)=0,"",INDEX('主表 Stock_Transaction_Log'!$R:$R,$A704)))</f>
        <v/>
      </c>
      <c r="H704" s="173" t="str">
        <f t="array" ref="H704">IF($A704="","",SUMIF('主表 Stock_Transaction_Log'!$T:$T,INDEX('主表 Stock_Transaction_Log'!$T:$T,$A704),'主表 Stock_Transaction_Log'!$S:$S)+SUMIF('主表 Stock_Transaction_Log'!$AB:$AB,INDEX('主表 Stock_Transaction_Log'!$T:$T,$A704),'主表 Stock_Transaction_Log'!$AC:$AC))</f>
        <v/>
      </c>
      <c r="I704" s="173" t="str">
        <f t="shared" si="1"/>
        <v/>
      </c>
      <c r="J704" s="173" t="str">
        <f t="shared" si="2"/>
        <v/>
      </c>
      <c r="K704" s="173" t="str">
        <f t="shared" si="3"/>
        <v/>
      </c>
      <c r="L704" s="173" t="str">
        <f t="array" ref="L704">IF($A704="","",INDEX('主表 Stock_Transaction_Log'!$P:$P,$A704))</f>
        <v/>
      </c>
      <c r="M704" s="174" t="str">
        <f>IF($A704="","",IF($H704&lt;=0,0,SUMIFS('主表 Stock_Transaction_Log'!$K$2:$K1000,'主表 Stock_Transaction_Log'!$C$2:$C1000,"Prepared",'主表 Stock_Transaction_Log'!$L$2:$L1000,$B704,'主表 Stock_Transaction_Log'!$F$2:$F1000,$C704,'主表 Stock_Transaction_Log'!$G$2:$G1000,$D704,'主表 Stock_Transaction_Log'!$P$2:$P1000,$L704)))</f>
        <v/>
      </c>
    </row>
    <row r="705">
      <c r="A705" s="173" t="str">
        <f>IF('主表 Stock_Transaction_Log'!$T705="","",IF(COUNTIF('主表 Stock_Transaction_Log'!$T$2:$T705,'主表 Stock_Transaction_Log'!$T705)=1,ROW('主表 Stock_Transaction_Log'!$T705),""))</f>
        <v/>
      </c>
      <c r="B705" s="173" t="str">
        <f t="array" ref="B705">IF($A705="","",INDEX('主表 Stock_Transaction_Log'!$Q:$Q,$A705))</f>
        <v/>
      </c>
      <c r="C705" s="173" t="str">
        <f t="array" ref="C705">IF($A705="","",IF(INDEX('主表 Stock_Transaction_Log'!$F:$F,$A705)=0,"",INDEX('主表 Stock_Transaction_Log'!$F:$F,$A705)))</f>
        <v/>
      </c>
      <c r="D705" s="173" t="str">
        <f t="array" ref="D705">IF($A705="","",INDEX('主表 Stock_Transaction_Log'!$G:$G,$A705))</f>
        <v/>
      </c>
      <c r="E705" s="173" t="str">
        <f t="array" ref="E705">IF($A705="","",INDEX('主表 Stock_Transaction_Log'!$H:$H,$A705))</f>
        <v/>
      </c>
      <c r="F705" s="173" t="str">
        <f t="array" ref="F705">IF($A705="","",INDEX('主表 Stock_Transaction_Log'!$I:$I,$A705))</f>
        <v/>
      </c>
      <c r="G705" s="173" t="str">
        <f t="array" ref="G705">IF($A705="","",IF(INDEX('主表 Stock_Transaction_Log'!$R:$R,$A705)=0,"",INDEX('主表 Stock_Transaction_Log'!$R:$R,$A705)))</f>
        <v/>
      </c>
      <c r="H705" s="173" t="str">
        <f t="array" ref="H705">IF($A705="","",SUMIF('主表 Stock_Transaction_Log'!$T:$T,INDEX('主表 Stock_Transaction_Log'!$T:$T,$A705),'主表 Stock_Transaction_Log'!$S:$S)+SUMIF('主表 Stock_Transaction_Log'!$AB:$AB,INDEX('主表 Stock_Transaction_Log'!$T:$T,$A705),'主表 Stock_Transaction_Log'!$AC:$AC))</f>
        <v/>
      </c>
      <c r="I705" s="173" t="str">
        <f t="shared" si="1"/>
        <v/>
      </c>
      <c r="J705" s="173" t="str">
        <f t="shared" si="2"/>
        <v/>
      </c>
      <c r="K705" s="173" t="str">
        <f t="shared" si="3"/>
        <v/>
      </c>
      <c r="L705" s="173" t="str">
        <f t="array" ref="L705">IF($A705="","",INDEX('主表 Stock_Transaction_Log'!$P:$P,$A705))</f>
        <v/>
      </c>
      <c r="M705" s="174" t="str">
        <f>IF($A705="","",IF($H705&lt;=0,0,SUMIFS('主表 Stock_Transaction_Log'!$K$2:$K1000,'主表 Stock_Transaction_Log'!$C$2:$C1000,"Prepared",'主表 Stock_Transaction_Log'!$L$2:$L1000,$B705,'主表 Stock_Transaction_Log'!$F$2:$F1000,$C705,'主表 Stock_Transaction_Log'!$G$2:$G1000,$D705,'主表 Stock_Transaction_Log'!$P$2:$P1000,$L705)))</f>
        <v/>
      </c>
    </row>
    <row r="706">
      <c r="A706" s="173" t="str">
        <f>IF('主表 Stock_Transaction_Log'!$T706="","",IF(COUNTIF('主表 Stock_Transaction_Log'!$T$2:$T706,'主表 Stock_Transaction_Log'!$T706)=1,ROW('主表 Stock_Transaction_Log'!$T706),""))</f>
        <v/>
      </c>
      <c r="B706" s="173" t="str">
        <f t="array" ref="B706">IF($A706="","",INDEX('主表 Stock_Transaction_Log'!$Q:$Q,$A706))</f>
        <v/>
      </c>
      <c r="C706" s="173" t="str">
        <f t="array" ref="C706">IF($A706="","",IF(INDEX('主表 Stock_Transaction_Log'!$F:$F,$A706)=0,"",INDEX('主表 Stock_Transaction_Log'!$F:$F,$A706)))</f>
        <v/>
      </c>
      <c r="D706" s="173" t="str">
        <f t="array" ref="D706">IF($A706="","",INDEX('主表 Stock_Transaction_Log'!$G:$G,$A706))</f>
        <v/>
      </c>
      <c r="E706" s="173" t="str">
        <f t="array" ref="E706">IF($A706="","",INDEX('主表 Stock_Transaction_Log'!$H:$H,$A706))</f>
        <v/>
      </c>
      <c r="F706" s="173" t="str">
        <f t="array" ref="F706">IF($A706="","",INDEX('主表 Stock_Transaction_Log'!$I:$I,$A706))</f>
        <v/>
      </c>
      <c r="G706" s="173" t="str">
        <f t="array" ref="G706">IF($A706="","",IF(INDEX('主表 Stock_Transaction_Log'!$R:$R,$A706)=0,"",INDEX('主表 Stock_Transaction_Log'!$R:$R,$A706)))</f>
        <v/>
      </c>
      <c r="H706" s="173" t="str">
        <f t="array" ref="H706">IF($A706="","",SUMIF('主表 Stock_Transaction_Log'!$T:$T,INDEX('主表 Stock_Transaction_Log'!$T:$T,$A706),'主表 Stock_Transaction_Log'!$S:$S)+SUMIF('主表 Stock_Transaction_Log'!$AB:$AB,INDEX('主表 Stock_Transaction_Log'!$T:$T,$A706),'主表 Stock_Transaction_Log'!$AC:$AC))</f>
        <v/>
      </c>
      <c r="I706" s="173" t="str">
        <f t="shared" si="1"/>
        <v/>
      </c>
      <c r="J706" s="173" t="str">
        <f t="shared" si="2"/>
        <v/>
      </c>
      <c r="K706" s="173" t="str">
        <f t="shared" si="3"/>
        <v/>
      </c>
      <c r="L706" s="173" t="str">
        <f t="array" ref="L706">IF($A706="","",INDEX('主表 Stock_Transaction_Log'!$P:$P,$A706))</f>
        <v/>
      </c>
      <c r="M706" s="174" t="str">
        <f>IF($A706="","",IF($H706&lt;=0,0,SUMIFS('主表 Stock_Transaction_Log'!$K$2:$K1000,'主表 Stock_Transaction_Log'!$C$2:$C1000,"Prepared",'主表 Stock_Transaction_Log'!$L$2:$L1000,$B706,'主表 Stock_Transaction_Log'!$F$2:$F1000,$C706,'主表 Stock_Transaction_Log'!$G$2:$G1000,$D706,'主表 Stock_Transaction_Log'!$P$2:$P1000,$L706)))</f>
        <v/>
      </c>
    </row>
    <row r="707">
      <c r="A707" s="173" t="str">
        <f>IF('主表 Stock_Transaction_Log'!$T707="","",IF(COUNTIF('主表 Stock_Transaction_Log'!$T$2:$T707,'主表 Stock_Transaction_Log'!$T707)=1,ROW('主表 Stock_Transaction_Log'!$T707),""))</f>
        <v/>
      </c>
      <c r="B707" s="173" t="str">
        <f t="array" ref="B707">IF($A707="","",INDEX('主表 Stock_Transaction_Log'!$Q:$Q,$A707))</f>
        <v/>
      </c>
      <c r="C707" s="173" t="str">
        <f t="array" ref="C707">IF($A707="","",IF(INDEX('主表 Stock_Transaction_Log'!$F:$F,$A707)=0,"",INDEX('主表 Stock_Transaction_Log'!$F:$F,$A707)))</f>
        <v/>
      </c>
      <c r="D707" s="173" t="str">
        <f t="array" ref="D707">IF($A707="","",INDEX('主表 Stock_Transaction_Log'!$G:$G,$A707))</f>
        <v/>
      </c>
      <c r="E707" s="173" t="str">
        <f t="array" ref="E707">IF($A707="","",INDEX('主表 Stock_Transaction_Log'!$H:$H,$A707))</f>
        <v/>
      </c>
      <c r="F707" s="173" t="str">
        <f t="array" ref="F707">IF($A707="","",INDEX('主表 Stock_Transaction_Log'!$I:$I,$A707))</f>
        <v/>
      </c>
      <c r="G707" s="173" t="str">
        <f t="array" ref="G707">IF($A707="","",IF(INDEX('主表 Stock_Transaction_Log'!$R:$R,$A707)=0,"",INDEX('主表 Stock_Transaction_Log'!$R:$R,$A707)))</f>
        <v/>
      </c>
      <c r="H707" s="173" t="str">
        <f t="array" ref="H707">IF($A707="","",SUMIF('主表 Stock_Transaction_Log'!$T:$T,INDEX('主表 Stock_Transaction_Log'!$T:$T,$A707),'主表 Stock_Transaction_Log'!$S:$S)+SUMIF('主表 Stock_Transaction_Log'!$AB:$AB,INDEX('主表 Stock_Transaction_Log'!$T:$T,$A707),'主表 Stock_Transaction_Log'!$AC:$AC))</f>
        <v/>
      </c>
      <c r="I707" s="173" t="str">
        <f t="shared" si="1"/>
        <v/>
      </c>
      <c r="J707" s="173" t="str">
        <f t="shared" si="2"/>
        <v/>
      </c>
      <c r="K707" s="173" t="str">
        <f t="shared" si="3"/>
        <v/>
      </c>
      <c r="L707" s="173" t="str">
        <f t="array" ref="L707">IF($A707="","",INDEX('主表 Stock_Transaction_Log'!$P:$P,$A707))</f>
        <v/>
      </c>
      <c r="M707" s="174" t="str">
        <f>IF($A707="","",IF($H707&lt;=0,0,SUMIFS('主表 Stock_Transaction_Log'!$K$2:$K1000,'主表 Stock_Transaction_Log'!$C$2:$C1000,"Prepared",'主表 Stock_Transaction_Log'!$L$2:$L1000,$B707,'主表 Stock_Transaction_Log'!$F$2:$F1000,$C707,'主表 Stock_Transaction_Log'!$G$2:$G1000,$D707,'主表 Stock_Transaction_Log'!$P$2:$P1000,$L707)))</f>
        <v/>
      </c>
    </row>
    <row r="708">
      <c r="A708" s="173" t="str">
        <f>IF('主表 Stock_Transaction_Log'!$T708="","",IF(COUNTIF('主表 Stock_Transaction_Log'!$T$2:$T708,'主表 Stock_Transaction_Log'!$T708)=1,ROW('主表 Stock_Transaction_Log'!$T708),""))</f>
        <v/>
      </c>
      <c r="B708" s="173" t="str">
        <f t="array" ref="B708">IF($A708="","",INDEX('主表 Stock_Transaction_Log'!$Q:$Q,$A708))</f>
        <v/>
      </c>
      <c r="C708" s="173" t="str">
        <f t="array" ref="C708">IF($A708="","",IF(INDEX('主表 Stock_Transaction_Log'!$F:$F,$A708)=0,"",INDEX('主表 Stock_Transaction_Log'!$F:$F,$A708)))</f>
        <v/>
      </c>
      <c r="D708" s="173" t="str">
        <f t="array" ref="D708">IF($A708="","",INDEX('主表 Stock_Transaction_Log'!$G:$G,$A708))</f>
        <v/>
      </c>
      <c r="E708" s="173" t="str">
        <f t="array" ref="E708">IF($A708="","",INDEX('主表 Stock_Transaction_Log'!$H:$H,$A708))</f>
        <v/>
      </c>
      <c r="F708" s="173" t="str">
        <f t="array" ref="F708">IF($A708="","",INDEX('主表 Stock_Transaction_Log'!$I:$I,$A708))</f>
        <v/>
      </c>
      <c r="G708" s="173" t="str">
        <f t="array" ref="G708">IF($A708="","",IF(INDEX('主表 Stock_Transaction_Log'!$R:$R,$A708)=0,"",INDEX('主表 Stock_Transaction_Log'!$R:$R,$A708)))</f>
        <v/>
      </c>
      <c r="H708" s="173" t="str">
        <f t="array" ref="H708">IF($A708="","",SUMIF('主表 Stock_Transaction_Log'!$T:$T,INDEX('主表 Stock_Transaction_Log'!$T:$T,$A708),'主表 Stock_Transaction_Log'!$S:$S)+SUMIF('主表 Stock_Transaction_Log'!$AB:$AB,INDEX('主表 Stock_Transaction_Log'!$T:$T,$A708),'主表 Stock_Transaction_Log'!$AC:$AC))</f>
        <v/>
      </c>
      <c r="I708" s="173" t="str">
        <f t="shared" si="1"/>
        <v/>
      </c>
      <c r="J708" s="173" t="str">
        <f t="shared" si="2"/>
        <v/>
      </c>
      <c r="K708" s="173" t="str">
        <f t="shared" si="3"/>
        <v/>
      </c>
      <c r="L708" s="173" t="str">
        <f t="array" ref="L708">IF($A708="","",INDEX('主表 Stock_Transaction_Log'!$P:$P,$A708))</f>
        <v/>
      </c>
      <c r="M708" s="174" t="str">
        <f>IF($A708="","",IF($H708&lt;=0,0,SUMIFS('主表 Stock_Transaction_Log'!$K$2:$K1000,'主表 Stock_Transaction_Log'!$C$2:$C1000,"Prepared",'主表 Stock_Transaction_Log'!$L$2:$L1000,$B708,'主表 Stock_Transaction_Log'!$F$2:$F1000,$C708,'主表 Stock_Transaction_Log'!$G$2:$G1000,$D708,'主表 Stock_Transaction_Log'!$P$2:$P1000,$L708)))</f>
        <v/>
      </c>
    </row>
    <row r="709">
      <c r="A709" s="173" t="str">
        <f>IF('主表 Stock_Transaction_Log'!$T709="","",IF(COUNTIF('主表 Stock_Transaction_Log'!$T$2:$T709,'主表 Stock_Transaction_Log'!$T709)=1,ROW('主表 Stock_Transaction_Log'!$T709),""))</f>
        <v/>
      </c>
      <c r="B709" s="173" t="str">
        <f t="array" ref="B709">IF($A709="","",INDEX('主表 Stock_Transaction_Log'!$Q:$Q,$A709))</f>
        <v/>
      </c>
      <c r="C709" s="173" t="str">
        <f t="array" ref="C709">IF($A709="","",IF(INDEX('主表 Stock_Transaction_Log'!$F:$F,$A709)=0,"",INDEX('主表 Stock_Transaction_Log'!$F:$F,$A709)))</f>
        <v/>
      </c>
      <c r="D709" s="173" t="str">
        <f t="array" ref="D709">IF($A709="","",INDEX('主表 Stock_Transaction_Log'!$G:$G,$A709))</f>
        <v/>
      </c>
      <c r="E709" s="173" t="str">
        <f t="array" ref="E709">IF($A709="","",INDEX('主表 Stock_Transaction_Log'!$H:$H,$A709))</f>
        <v/>
      </c>
      <c r="F709" s="173" t="str">
        <f t="array" ref="F709">IF($A709="","",INDEX('主表 Stock_Transaction_Log'!$I:$I,$A709))</f>
        <v/>
      </c>
      <c r="G709" s="173" t="str">
        <f t="array" ref="G709">IF($A709="","",IF(INDEX('主表 Stock_Transaction_Log'!$R:$R,$A709)=0,"",INDEX('主表 Stock_Transaction_Log'!$R:$R,$A709)))</f>
        <v/>
      </c>
      <c r="H709" s="173" t="str">
        <f t="array" ref="H709">IF($A709="","",SUMIF('主表 Stock_Transaction_Log'!$T:$T,INDEX('主表 Stock_Transaction_Log'!$T:$T,$A709),'主表 Stock_Transaction_Log'!$S:$S)+SUMIF('主表 Stock_Transaction_Log'!$AB:$AB,INDEX('主表 Stock_Transaction_Log'!$T:$T,$A709),'主表 Stock_Transaction_Log'!$AC:$AC))</f>
        <v/>
      </c>
      <c r="I709" s="173" t="str">
        <f t="shared" si="1"/>
        <v/>
      </c>
      <c r="J709" s="173" t="str">
        <f t="shared" si="2"/>
        <v/>
      </c>
      <c r="K709" s="173" t="str">
        <f t="shared" si="3"/>
        <v/>
      </c>
      <c r="L709" s="173" t="str">
        <f t="array" ref="L709">IF($A709="","",INDEX('主表 Stock_Transaction_Log'!$P:$P,$A709))</f>
        <v/>
      </c>
      <c r="M709" s="174" t="str">
        <f>IF($A709="","",IF($H709&lt;=0,0,SUMIFS('主表 Stock_Transaction_Log'!$K$2:$K1000,'主表 Stock_Transaction_Log'!$C$2:$C1000,"Prepared",'主表 Stock_Transaction_Log'!$L$2:$L1000,$B709,'主表 Stock_Transaction_Log'!$F$2:$F1000,$C709,'主表 Stock_Transaction_Log'!$G$2:$G1000,$D709,'主表 Stock_Transaction_Log'!$P$2:$P1000,$L709)))</f>
        <v/>
      </c>
    </row>
    <row r="710">
      <c r="A710" s="173" t="str">
        <f>IF('主表 Stock_Transaction_Log'!$T710="","",IF(COUNTIF('主表 Stock_Transaction_Log'!$T$2:$T710,'主表 Stock_Transaction_Log'!$T710)=1,ROW('主表 Stock_Transaction_Log'!$T710),""))</f>
        <v/>
      </c>
      <c r="B710" s="173" t="str">
        <f t="array" ref="B710">IF($A710="","",INDEX('主表 Stock_Transaction_Log'!$Q:$Q,$A710))</f>
        <v/>
      </c>
      <c r="C710" s="173" t="str">
        <f t="array" ref="C710">IF($A710="","",IF(INDEX('主表 Stock_Transaction_Log'!$F:$F,$A710)=0,"",INDEX('主表 Stock_Transaction_Log'!$F:$F,$A710)))</f>
        <v/>
      </c>
      <c r="D710" s="173" t="str">
        <f t="array" ref="D710">IF($A710="","",INDEX('主表 Stock_Transaction_Log'!$G:$G,$A710))</f>
        <v/>
      </c>
      <c r="E710" s="173" t="str">
        <f t="array" ref="E710">IF($A710="","",INDEX('主表 Stock_Transaction_Log'!$H:$H,$A710))</f>
        <v/>
      </c>
      <c r="F710" s="173" t="str">
        <f t="array" ref="F710">IF($A710="","",INDEX('主表 Stock_Transaction_Log'!$I:$I,$A710))</f>
        <v/>
      </c>
      <c r="G710" s="173" t="str">
        <f t="array" ref="G710">IF($A710="","",IF(INDEX('主表 Stock_Transaction_Log'!$R:$R,$A710)=0,"",INDEX('主表 Stock_Transaction_Log'!$R:$R,$A710)))</f>
        <v/>
      </c>
      <c r="H710" s="173" t="str">
        <f t="array" ref="H710">IF($A710="","",SUMIF('主表 Stock_Transaction_Log'!$T:$T,INDEX('主表 Stock_Transaction_Log'!$T:$T,$A710),'主表 Stock_Transaction_Log'!$S:$S)+SUMIF('主表 Stock_Transaction_Log'!$AB:$AB,INDEX('主表 Stock_Transaction_Log'!$T:$T,$A710),'主表 Stock_Transaction_Log'!$AC:$AC))</f>
        <v/>
      </c>
      <c r="I710" s="173" t="str">
        <f t="shared" si="1"/>
        <v/>
      </c>
      <c r="J710" s="173" t="str">
        <f t="shared" si="2"/>
        <v/>
      </c>
      <c r="K710" s="173" t="str">
        <f t="shared" si="3"/>
        <v/>
      </c>
      <c r="L710" s="173" t="str">
        <f t="array" ref="L710">IF($A710="","",INDEX('主表 Stock_Transaction_Log'!$P:$P,$A710))</f>
        <v/>
      </c>
      <c r="M710" s="174" t="str">
        <f>IF($A710="","",IF($H710&lt;=0,0,SUMIFS('主表 Stock_Transaction_Log'!$K$2:$K1000,'主表 Stock_Transaction_Log'!$C$2:$C1000,"Prepared",'主表 Stock_Transaction_Log'!$L$2:$L1000,$B710,'主表 Stock_Transaction_Log'!$F$2:$F1000,$C710,'主表 Stock_Transaction_Log'!$G$2:$G1000,$D710,'主表 Stock_Transaction_Log'!$P$2:$P1000,$L710)))</f>
        <v/>
      </c>
    </row>
    <row r="711">
      <c r="A711" s="173" t="str">
        <f>IF('主表 Stock_Transaction_Log'!$T711="","",IF(COUNTIF('主表 Stock_Transaction_Log'!$T$2:$T711,'主表 Stock_Transaction_Log'!$T711)=1,ROW('主表 Stock_Transaction_Log'!$T711),""))</f>
        <v/>
      </c>
      <c r="B711" s="173" t="str">
        <f t="array" ref="B711">IF($A711="","",INDEX('主表 Stock_Transaction_Log'!$Q:$Q,$A711))</f>
        <v/>
      </c>
      <c r="C711" s="173" t="str">
        <f t="array" ref="C711">IF($A711="","",IF(INDEX('主表 Stock_Transaction_Log'!$F:$F,$A711)=0,"",INDEX('主表 Stock_Transaction_Log'!$F:$F,$A711)))</f>
        <v/>
      </c>
      <c r="D711" s="173" t="str">
        <f t="array" ref="D711">IF($A711="","",INDEX('主表 Stock_Transaction_Log'!$G:$G,$A711))</f>
        <v/>
      </c>
      <c r="E711" s="173" t="str">
        <f t="array" ref="E711">IF($A711="","",INDEX('主表 Stock_Transaction_Log'!$H:$H,$A711))</f>
        <v/>
      </c>
      <c r="F711" s="173" t="str">
        <f t="array" ref="F711">IF($A711="","",INDEX('主表 Stock_Transaction_Log'!$I:$I,$A711))</f>
        <v/>
      </c>
      <c r="G711" s="173" t="str">
        <f t="array" ref="G711">IF($A711="","",IF(INDEX('主表 Stock_Transaction_Log'!$R:$R,$A711)=0,"",INDEX('主表 Stock_Transaction_Log'!$R:$R,$A711)))</f>
        <v/>
      </c>
      <c r="H711" s="173" t="str">
        <f t="array" ref="H711">IF($A711="","",SUMIF('主表 Stock_Transaction_Log'!$T:$T,INDEX('主表 Stock_Transaction_Log'!$T:$T,$A711),'主表 Stock_Transaction_Log'!$S:$S)+SUMIF('主表 Stock_Transaction_Log'!$AB:$AB,INDEX('主表 Stock_Transaction_Log'!$T:$T,$A711),'主表 Stock_Transaction_Log'!$AC:$AC))</f>
        <v/>
      </c>
      <c r="I711" s="173" t="str">
        <f t="shared" si="1"/>
        <v/>
      </c>
      <c r="J711" s="173" t="str">
        <f t="shared" si="2"/>
        <v/>
      </c>
      <c r="K711" s="173" t="str">
        <f t="shared" si="3"/>
        <v/>
      </c>
      <c r="L711" s="173" t="str">
        <f t="array" ref="L711">IF($A711="","",INDEX('主表 Stock_Transaction_Log'!$P:$P,$A711))</f>
        <v/>
      </c>
      <c r="M711" s="174" t="str">
        <f>IF($A711="","",IF($H711&lt;=0,0,SUMIFS('主表 Stock_Transaction_Log'!$K$2:$K1000,'主表 Stock_Transaction_Log'!$C$2:$C1000,"Prepared",'主表 Stock_Transaction_Log'!$L$2:$L1000,$B711,'主表 Stock_Transaction_Log'!$F$2:$F1000,$C711,'主表 Stock_Transaction_Log'!$G$2:$G1000,$D711,'主表 Stock_Transaction_Log'!$P$2:$P1000,$L711)))</f>
        <v/>
      </c>
    </row>
    <row r="712">
      <c r="A712" s="173" t="str">
        <f>IF('主表 Stock_Transaction_Log'!$T712="","",IF(COUNTIF('主表 Stock_Transaction_Log'!$T$2:$T712,'主表 Stock_Transaction_Log'!$T712)=1,ROW('主表 Stock_Transaction_Log'!$T712),""))</f>
        <v/>
      </c>
      <c r="B712" s="173" t="str">
        <f t="array" ref="B712">IF($A712="","",INDEX('主表 Stock_Transaction_Log'!$Q:$Q,$A712))</f>
        <v/>
      </c>
      <c r="C712" s="173" t="str">
        <f t="array" ref="C712">IF($A712="","",IF(INDEX('主表 Stock_Transaction_Log'!$F:$F,$A712)=0,"",INDEX('主表 Stock_Transaction_Log'!$F:$F,$A712)))</f>
        <v/>
      </c>
      <c r="D712" s="173" t="str">
        <f t="array" ref="D712">IF($A712="","",INDEX('主表 Stock_Transaction_Log'!$G:$G,$A712))</f>
        <v/>
      </c>
      <c r="E712" s="173" t="str">
        <f t="array" ref="E712">IF($A712="","",INDEX('主表 Stock_Transaction_Log'!$H:$H,$A712))</f>
        <v/>
      </c>
      <c r="F712" s="173" t="str">
        <f t="array" ref="F712">IF($A712="","",INDEX('主表 Stock_Transaction_Log'!$I:$I,$A712))</f>
        <v/>
      </c>
      <c r="G712" s="173" t="str">
        <f t="array" ref="G712">IF($A712="","",IF(INDEX('主表 Stock_Transaction_Log'!$R:$R,$A712)=0,"",INDEX('主表 Stock_Transaction_Log'!$R:$R,$A712)))</f>
        <v/>
      </c>
      <c r="H712" s="173" t="str">
        <f t="array" ref="H712">IF($A712="","",SUMIF('主表 Stock_Transaction_Log'!$T:$T,INDEX('主表 Stock_Transaction_Log'!$T:$T,$A712),'主表 Stock_Transaction_Log'!$S:$S)+SUMIF('主表 Stock_Transaction_Log'!$AB:$AB,INDEX('主表 Stock_Transaction_Log'!$T:$T,$A712),'主表 Stock_Transaction_Log'!$AC:$AC))</f>
        <v/>
      </c>
      <c r="I712" s="173" t="str">
        <f t="shared" si="1"/>
        <v/>
      </c>
      <c r="J712" s="173" t="str">
        <f t="shared" si="2"/>
        <v/>
      </c>
      <c r="K712" s="173" t="str">
        <f t="shared" si="3"/>
        <v/>
      </c>
      <c r="L712" s="173" t="str">
        <f t="array" ref="L712">IF($A712="","",INDEX('主表 Stock_Transaction_Log'!$P:$P,$A712))</f>
        <v/>
      </c>
      <c r="M712" s="174" t="str">
        <f>IF($A712="","",IF($H712&lt;=0,0,SUMIFS('主表 Stock_Transaction_Log'!$K$2:$K1000,'主表 Stock_Transaction_Log'!$C$2:$C1000,"Prepared",'主表 Stock_Transaction_Log'!$L$2:$L1000,$B712,'主表 Stock_Transaction_Log'!$F$2:$F1000,$C712,'主表 Stock_Transaction_Log'!$G$2:$G1000,$D712,'主表 Stock_Transaction_Log'!$P$2:$P1000,$L712)))</f>
        <v/>
      </c>
    </row>
    <row r="713">
      <c r="A713" s="173" t="str">
        <f>IF('主表 Stock_Transaction_Log'!$T713="","",IF(COUNTIF('主表 Stock_Transaction_Log'!$T$2:$T713,'主表 Stock_Transaction_Log'!$T713)=1,ROW('主表 Stock_Transaction_Log'!$T713),""))</f>
        <v/>
      </c>
      <c r="B713" s="173" t="str">
        <f t="array" ref="B713">IF($A713="","",INDEX('主表 Stock_Transaction_Log'!$Q:$Q,$A713))</f>
        <v/>
      </c>
      <c r="C713" s="173" t="str">
        <f t="array" ref="C713">IF($A713="","",IF(INDEX('主表 Stock_Transaction_Log'!$F:$F,$A713)=0,"",INDEX('主表 Stock_Transaction_Log'!$F:$F,$A713)))</f>
        <v/>
      </c>
      <c r="D713" s="173" t="str">
        <f t="array" ref="D713">IF($A713="","",INDEX('主表 Stock_Transaction_Log'!$G:$G,$A713))</f>
        <v/>
      </c>
      <c r="E713" s="173" t="str">
        <f t="array" ref="E713">IF($A713="","",INDEX('主表 Stock_Transaction_Log'!$H:$H,$A713))</f>
        <v/>
      </c>
      <c r="F713" s="173" t="str">
        <f t="array" ref="F713">IF($A713="","",INDEX('主表 Stock_Transaction_Log'!$I:$I,$A713))</f>
        <v/>
      </c>
      <c r="G713" s="173" t="str">
        <f t="array" ref="G713">IF($A713="","",IF(INDEX('主表 Stock_Transaction_Log'!$R:$R,$A713)=0,"",INDEX('主表 Stock_Transaction_Log'!$R:$R,$A713)))</f>
        <v/>
      </c>
      <c r="H713" s="173" t="str">
        <f t="array" ref="H713">IF($A713="","",SUMIF('主表 Stock_Transaction_Log'!$T:$T,INDEX('主表 Stock_Transaction_Log'!$T:$T,$A713),'主表 Stock_Transaction_Log'!$S:$S)+SUMIF('主表 Stock_Transaction_Log'!$AB:$AB,INDEX('主表 Stock_Transaction_Log'!$T:$T,$A713),'主表 Stock_Transaction_Log'!$AC:$AC))</f>
        <v/>
      </c>
      <c r="I713" s="173" t="str">
        <f t="shared" si="1"/>
        <v/>
      </c>
      <c r="J713" s="173" t="str">
        <f t="shared" si="2"/>
        <v/>
      </c>
      <c r="K713" s="173" t="str">
        <f t="shared" si="3"/>
        <v/>
      </c>
      <c r="L713" s="173" t="str">
        <f t="array" ref="L713">IF($A713="","",INDEX('主表 Stock_Transaction_Log'!$P:$P,$A713))</f>
        <v/>
      </c>
      <c r="M713" s="174" t="str">
        <f>IF($A713="","",IF($H713&lt;=0,0,SUMIFS('主表 Stock_Transaction_Log'!$K$2:$K1000,'主表 Stock_Transaction_Log'!$C$2:$C1000,"Prepared",'主表 Stock_Transaction_Log'!$L$2:$L1000,$B713,'主表 Stock_Transaction_Log'!$F$2:$F1000,$C713,'主表 Stock_Transaction_Log'!$G$2:$G1000,$D713,'主表 Stock_Transaction_Log'!$P$2:$P1000,$L713)))</f>
        <v/>
      </c>
    </row>
    <row r="714">
      <c r="A714" s="173" t="str">
        <f>IF('主表 Stock_Transaction_Log'!$T714="","",IF(COUNTIF('主表 Stock_Transaction_Log'!$T$2:$T714,'主表 Stock_Transaction_Log'!$T714)=1,ROW('主表 Stock_Transaction_Log'!$T714),""))</f>
        <v/>
      </c>
      <c r="B714" s="173" t="str">
        <f t="array" ref="B714">IF($A714="","",INDEX('主表 Stock_Transaction_Log'!$Q:$Q,$A714))</f>
        <v/>
      </c>
      <c r="C714" s="173" t="str">
        <f t="array" ref="C714">IF($A714="","",IF(INDEX('主表 Stock_Transaction_Log'!$F:$F,$A714)=0,"",INDEX('主表 Stock_Transaction_Log'!$F:$F,$A714)))</f>
        <v/>
      </c>
      <c r="D714" s="173" t="str">
        <f t="array" ref="D714">IF($A714="","",INDEX('主表 Stock_Transaction_Log'!$G:$G,$A714))</f>
        <v/>
      </c>
      <c r="E714" s="173" t="str">
        <f t="array" ref="E714">IF($A714="","",INDEX('主表 Stock_Transaction_Log'!$H:$H,$A714))</f>
        <v/>
      </c>
      <c r="F714" s="173" t="str">
        <f t="array" ref="F714">IF($A714="","",INDEX('主表 Stock_Transaction_Log'!$I:$I,$A714))</f>
        <v/>
      </c>
      <c r="G714" s="173" t="str">
        <f t="array" ref="G714">IF($A714="","",IF(INDEX('主表 Stock_Transaction_Log'!$R:$R,$A714)=0,"",INDEX('主表 Stock_Transaction_Log'!$R:$R,$A714)))</f>
        <v/>
      </c>
      <c r="H714" s="173" t="str">
        <f t="array" ref="H714">IF($A714="","",SUMIF('主表 Stock_Transaction_Log'!$T:$T,INDEX('主表 Stock_Transaction_Log'!$T:$T,$A714),'主表 Stock_Transaction_Log'!$S:$S)+SUMIF('主表 Stock_Transaction_Log'!$AB:$AB,INDEX('主表 Stock_Transaction_Log'!$T:$T,$A714),'主表 Stock_Transaction_Log'!$AC:$AC))</f>
        <v/>
      </c>
      <c r="I714" s="173" t="str">
        <f t="shared" si="1"/>
        <v/>
      </c>
      <c r="J714" s="173" t="str">
        <f t="shared" si="2"/>
        <v/>
      </c>
      <c r="K714" s="173" t="str">
        <f t="shared" si="3"/>
        <v/>
      </c>
      <c r="L714" s="173" t="str">
        <f t="array" ref="L714">IF($A714="","",INDEX('主表 Stock_Transaction_Log'!$P:$P,$A714))</f>
        <v/>
      </c>
      <c r="M714" s="174" t="str">
        <f>IF($A714="","",IF($H714&lt;=0,0,SUMIFS('主表 Stock_Transaction_Log'!$K$2:$K1000,'主表 Stock_Transaction_Log'!$C$2:$C1000,"Prepared",'主表 Stock_Transaction_Log'!$L$2:$L1000,$B714,'主表 Stock_Transaction_Log'!$F$2:$F1000,$C714,'主表 Stock_Transaction_Log'!$G$2:$G1000,$D714,'主表 Stock_Transaction_Log'!$P$2:$P1000,$L714)))</f>
        <v/>
      </c>
    </row>
    <row r="715">
      <c r="A715" s="173" t="str">
        <f>IF('主表 Stock_Transaction_Log'!$T715="","",IF(COUNTIF('主表 Stock_Transaction_Log'!$T$2:$T715,'主表 Stock_Transaction_Log'!$T715)=1,ROW('主表 Stock_Transaction_Log'!$T715),""))</f>
        <v/>
      </c>
      <c r="B715" s="173" t="str">
        <f t="array" ref="B715">IF($A715="","",INDEX('主表 Stock_Transaction_Log'!$Q:$Q,$A715))</f>
        <v/>
      </c>
      <c r="C715" s="173" t="str">
        <f t="array" ref="C715">IF($A715="","",IF(INDEX('主表 Stock_Transaction_Log'!$F:$F,$A715)=0,"",INDEX('主表 Stock_Transaction_Log'!$F:$F,$A715)))</f>
        <v/>
      </c>
      <c r="D715" s="173" t="str">
        <f t="array" ref="D715">IF($A715="","",INDEX('主表 Stock_Transaction_Log'!$G:$G,$A715))</f>
        <v/>
      </c>
      <c r="E715" s="173" t="str">
        <f t="array" ref="E715">IF($A715="","",INDEX('主表 Stock_Transaction_Log'!$H:$H,$A715))</f>
        <v/>
      </c>
      <c r="F715" s="173" t="str">
        <f t="array" ref="F715">IF($A715="","",INDEX('主表 Stock_Transaction_Log'!$I:$I,$A715))</f>
        <v/>
      </c>
      <c r="G715" s="173" t="str">
        <f t="array" ref="G715">IF($A715="","",IF(INDEX('主表 Stock_Transaction_Log'!$R:$R,$A715)=0,"",INDEX('主表 Stock_Transaction_Log'!$R:$R,$A715)))</f>
        <v/>
      </c>
      <c r="H715" s="173" t="str">
        <f t="array" ref="H715">IF($A715="","",SUMIF('主表 Stock_Transaction_Log'!$T:$T,INDEX('主表 Stock_Transaction_Log'!$T:$T,$A715),'主表 Stock_Transaction_Log'!$S:$S)+SUMIF('主表 Stock_Transaction_Log'!$AB:$AB,INDEX('主表 Stock_Transaction_Log'!$T:$T,$A715),'主表 Stock_Transaction_Log'!$AC:$AC))</f>
        <v/>
      </c>
      <c r="I715" s="173" t="str">
        <f t="shared" si="1"/>
        <v/>
      </c>
      <c r="J715" s="173" t="str">
        <f t="shared" si="2"/>
        <v/>
      </c>
      <c r="K715" s="173" t="str">
        <f t="shared" si="3"/>
        <v/>
      </c>
      <c r="L715" s="173" t="str">
        <f t="array" ref="L715">IF($A715="","",INDEX('主表 Stock_Transaction_Log'!$P:$P,$A715))</f>
        <v/>
      </c>
      <c r="M715" s="174" t="str">
        <f>IF($A715="","",IF($H715&lt;=0,0,SUMIFS('主表 Stock_Transaction_Log'!$K$2:$K1000,'主表 Stock_Transaction_Log'!$C$2:$C1000,"Prepared",'主表 Stock_Transaction_Log'!$L$2:$L1000,$B715,'主表 Stock_Transaction_Log'!$F$2:$F1000,$C715,'主表 Stock_Transaction_Log'!$G$2:$G1000,$D715,'主表 Stock_Transaction_Log'!$P$2:$P1000,$L715)))</f>
        <v/>
      </c>
    </row>
    <row r="716">
      <c r="A716" s="173" t="str">
        <f>IF('主表 Stock_Transaction_Log'!$T716="","",IF(COUNTIF('主表 Stock_Transaction_Log'!$T$2:$T716,'主表 Stock_Transaction_Log'!$T716)=1,ROW('主表 Stock_Transaction_Log'!$T716),""))</f>
        <v/>
      </c>
      <c r="B716" s="173" t="str">
        <f t="array" ref="B716">IF($A716="","",INDEX('主表 Stock_Transaction_Log'!$Q:$Q,$A716))</f>
        <v/>
      </c>
      <c r="C716" s="173" t="str">
        <f t="array" ref="C716">IF($A716="","",IF(INDEX('主表 Stock_Transaction_Log'!$F:$F,$A716)=0,"",INDEX('主表 Stock_Transaction_Log'!$F:$F,$A716)))</f>
        <v/>
      </c>
      <c r="D716" s="173" t="str">
        <f t="array" ref="D716">IF($A716="","",INDEX('主表 Stock_Transaction_Log'!$G:$G,$A716))</f>
        <v/>
      </c>
      <c r="E716" s="173" t="str">
        <f t="array" ref="E716">IF($A716="","",INDEX('主表 Stock_Transaction_Log'!$H:$H,$A716))</f>
        <v/>
      </c>
      <c r="F716" s="173" t="str">
        <f t="array" ref="F716">IF($A716="","",INDEX('主表 Stock_Transaction_Log'!$I:$I,$A716))</f>
        <v/>
      </c>
      <c r="G716" s="173" t="str">
        <f t="array" ref="G716">IF($A716="","",IF(INDEX('主表 Stock_Transaction_Log'!$R:$R,$A716)=0,"",INDEX('主表 Stock_Transaction_Log'!$R:$R,$A716)))</f>
        <v/>
      </c>
      <c r="H716" s="173" t="str">
        <f t="array" ref="H716">IF($A716="","",SUMIF('主表 Stock_Transaction_Log'!$T:$T,INDEX('主表 Stock_Transaction_Log'!$T:$T,$A716),'主表 Stock_Transaction_Log'!$S:$S)+SUMIF('主表 Stock_Transaction_Log'!$AB:$AB,INDEX('主表 Stock_Transaction_Log'!$T:$T,$A716),'主表 Stock_Transaction_Log'!$AC:$AC))</f>
        <v/>
      </c>
      <c r="I716" s="173" t="str">
        <f t="shared" si="1"/>
        <v/>
      </c>
      <c r="J716" s="173" t="str">
        <f t="shared" si="2"/>
        <v/>
      </c>
      <c r="K716" s="173" t="str">
        <f t="shared" si="3"/>
        <v/>
      </c>
      <c r="L716" s="173" t="str">
        <f t="array" ref="L716">IF($A716="","",INDEX('主表 Stock_Transaction_Log'!$P:$P,$A716))</f>
        <v/>
      </c>
      <c r="M716" s="174" t="str">
        <f>IF($A716="","",IF($H716&lt;=0,0,SUMIFS('主表 Stock_Transaction_Log'!$K$2:$K1000,'主表 Stock_Transaction_Log'!$C$2:$C1000,"Prepared",'主表 Stock_Transaction_Log'!$L$2:$L1000,$B716,'主表 Stock_Transaction_Log'!$F$2:$F1000,$C716,'主表 Stock_Transaction_Log'!$G$2:$G1000,$D716,'主表 Stock_Transaction_Log'!$P$2:$P1000,$L716)))</f>
        <v/>
      </c>
    </row>
    <row r="717">
      <c r="A717" s="173" t="str">
        <f>IF('主表 Stock_Transaction_Log'!$T717="","",IF(COUNTIF('主表 Stock_Transaction_Log'!$T$2:$T717,'主表 Stock_Transaction_Log'!$T717)=1,ROW('主表 Stock_Transaction_Log'!$T717),""))</f>
        <v/>
      </c>
      <c r="B717" s="173" t="str">
        <f t="array" ref="B717">IF($A717="","",INDEX('主表 Stock_Transaction_Log'!$Q:$Q,$A717))</f>
        <v/>
      </c>
      <c r="C717" s="173" t="str">
        <f t="array" ref="C717">IF($A717="","",IF(INDEX('主表 Stock_Transaction_Log'!$F:$F,$A717)=0,"",INDEX('主表 Stock_Transaction_Log'!$F:$F,$A717)))</f>
        <v/>
      </c>
      <c r="D717" s="173" t="str">
        <f t="array" ref="D717">IF($A717="","",INDEX('主表 Stock_Transaction_Log'!$G:$G,$A717))</f>
        <v/>
      </c>
      <c r="E717" s="173" t="str">
        <f t="array" ref="E717">IF($A717="","",INDEX('主表 Stock_Transaction_Log'!$H:$H,$A717))</f>
        <v/>
      </c>
      <c r="F717" s="173" t="str">
        <f t="array" ref="F717">IF($A717="","",INDEX('主表 Stock_Transaction_Log'!$I:$I,$A717))</f>
        <v/>
      </c>
      <c r="G717" s="173" t="str">
        <f t="array" ref="G717">IF($A717="","",IF(INDEX('主表 Stock_Transaction_Log'!$R:$R,$A717)=0,"",INDEX('主表 Stock_Transaction_Log'!$R:$R,$A717)))</f>
        <v/>
      </c>
      <c r="H717" s="173" t="str">
        <f t="array" ref="H717">IF($A717="","",SUMIF('主表 Stock_Transaction_Log'!$T:$T,INDEX('主表 Stock_Transaction_Log'!$T:$T,$A717),'主表 Stock_Transaction_Log'!$S:$S)+SUMIF('主表 Stock_Transaction_Log'!$AB:$AB,INDEX('主表 Stock_Transaction_Log'!$T:$T,$A717),'主表 Stock_Transaction_Log'!$AC:$AC))</f>
        <v/>
      </c>
      <c r="I717" s="173" t="str">
        <f t="shared" si="1"/>
        <v/>
      </c>
      <c r="J717" s="173" t="str">
        <f t="shared" si="2"/>
        <v/>
      </c>
      <c r="K717" s="173" t="str">
        <f t="shared" si="3"/>
        <v/>
      </c>
      <c r="L717" s="173" t="str">
        <f t="array" ref="L717">IF($A717="","",INDEX('主表 Stock_Transaction_Log'!$P:$P,$A717))</f>
        <v/>
      </c>
      <c r="M717" s="174" t="str">
        <f>IF($A717="","",IF($H717&lt;=0,0,SUMIFS('主表 Stock_Transaction_Log'!$K$2:$K1000,'主表 Stock_Transaction_Log'!$C$2:$C1000,"Prepared",'主表 Stock_Transaction_Log'!$L$2:$L1000,$B717,'主表 Stock_Transaction_Log'!$F$2:$F1000,$C717,'主表 Stock_Transaction_Log'!$G$2:$G1000,$D717,'主表 Stock_Transaction_Log'!$P$2:$P1000,$L717)))</f>
        <v/>
      </c>
    </row>
    <row r="718">
      <c r="A718" s="173" t="str">
        <f>IF('主表 Stock_Transaction_Log'!$T718="","",IF(COUNTIF('主表 Stock_Transaction_Log'!$T$2:$T718,'主表 Stock_Transaction_Log'!$T718)=1,ROW('主表 Stock_Transaction_Log'!$T718),""))</f>
        <v/>
      </c>
      <c r="B718" s="173" t="str">
        <f t="array" ref="B718">IF($A718="","",INDEX('主表 Stock_Transaction_Log'!$Q:$Q,$A718))</f>
        <v/>
      </c>
      <c r="C718" s="173" t="str">
        <f t="array" ref="C718">IF($A718="","",IF(INDEX('主表 Stock_Transaction_Log'!$F:$F,$A718)=0,"",INDEX('主表 Stock_Transaction_Log'!$F:$F,$A718)))</f>
        <v/>
      </c>
      <c r="D718" s="173" t="str">
        <f t="array" ref="D718">IF($A718="","",INDEX('主表 Stock_Transaction_Log'!$G:$G,$A718))</f>
        <v/>
      </c>
      <c r="E718" s="173" t="str">
        <f t="array" ref="E718">IF($A718="","",INDEX('主表 Stock_Transaction_Log'!$H:$H,$A718))</f>
        <v/>
      </c>
      <c r="F718" s="173" t="str">
        <f t="array" ref="F718">IF($A718="","",INDEX('主表 Stock_Transaction_Log'!$I:$I,$A718))</f>
        <v/>
      </c>
      <c r="G718" s="173" t="str">
        <f t="array" ref="G718">IF($A718="","",IF(INDEX('主表 Stock_Transaction_Log'!$R:$R,$A718)=0,"",INDEX('主表 Stock_Transaction_Log'!$R:$R,$A718)))</f>
        <v/>
      </c>
      <c r="H718" s="173" t="str">
        <f t="array" ref="H718">IF($A718="","",SUMIF('主表 Stock_Transaction_Log'!$T:$T,INDEX('主表 Stock_Transaction_Log'!$T:$T,$A718),'主表 Stock_Transaction_Log'!$S:$S)+SUMIF('主表 Stock_Transaction_Log'!$AB:$AB,INDEX('主表 Stock_Transaction_Log'!$T:$T,$A718),'主表 Stock_Transaction_Log'!$AC:$AC))</f>
        <v/>
      </c>
      <c r="I718" s="173" t="str">
        <f t="shared" si="1"/>
        <v/>
      </c>
      <c r="J718" s="173" t="str">
        <f t="shared" si="2"/>
        <v/>
      </c>
      <c r="K718" s="173" t="str">
        <f t="shared" si="3"/>
        <v/>
      </c>
      <c r="L718" s="173" t="str">
        <f t="array" ref="L718">IF($A718="","",INDEX('主表 Stock_Transaction_Log'!$P:$P,$A718))</f>
        <v/>
      </c>
      <c r="M718" s="174" t="str">
        <f>IF($A718="","",IF($H718&lt;=0,0,SUMIFS('主表 Stock_Transaction_Log'!$K$2:$K1000,'主表 Stock_Transaction_Log'!$C$2:$C1000,"Prepared",'主表 Stock_Transaction_Log'!$L$2:$L1000,$B718,'主表 Stock_Transaction_Log'!$F$2:$F1000,$C718,'主表 Stock_Transaction_Log'!$G$2:$G1000,$D718,'主表 Stock_Transaction_Log'!$P$2:$P1000,$L718)))</f>
        <v/>
      </c>
    </row>
    <row r="719">
      <c r="A719" s="173" t="str">
        <f>IF('主表 Stock_Transaction_Log'!$T719="","",IF(COUNTIF('主表 Stock_Transaction_Log'!$T$2:$T719,'主表 Stock_Transaction_Log'!$T719)=1,ROW('主表 Stock_Transaction_Log'!$T719),""))</f>
        <v/>
      </c>
      <c r="B719" s="173" t="str">
        <f t="array" ref="B719">IF($A719="","",INDEX('主表 Stock_Transaction_Log'!$Q:$Q,$A719))</f>
        <v/>
      </c>
      <c r="C719" s="173" t="str">
        <f t="array" ref="C719">IF($A719="","",IF(INDEX('主表 Stock_Transaction_Log'!$F:$F,$A719)=0,"",INDEX('主表 Stock_Transaction_Log'!$F:$F,$A719)))</f>
        <v/>
      </c>
      <c r="D719" s="173" t="str">
        <f t="array" ref="D719">IF($A719="","",INDEX('主表 Stock_Transaction_Log'!$G:$G,$A719))</f>
        <v/>
      </c>
      <c r="E719" s="173" t="str">
        <f t="array" ref="E719">IF($A719="","",INDEX('主表 Stock_Transaction_Log'!$H:$H,$A719))</f>
        <v/>
      </c>
      <c r="F719" s="173" t="str">
        <f t="array" ref="F719">IF($A719="","",INDEX('主表 Stock_Transaction_Log'!$I:$I,$A719))</f>
        <v/>
      </c>
      <c r="G719" s="173" t="str">
        <f t="array" ref="G719">IF($A719="","",IF(INDEX('主表 Stock_Transaction_Log'!$R:$R,$A719)=0,"",INDEX('主表 Stock_Transaction_Log'!$R:$R,$A719)))</f>
        <v/>
      </c>
      <c r="H719" s="173" t="str">
        <f t="array" ref="H719">IF($A719="","",SUMIF('主表 Stock_Transaction_Log'!$T:$T,INDEX('主表 Stock_Transaction_Log'!$T:$T,$A719),'主表 Stock_Transaction_Log'!$S:$S)+SUMIF('主表 Stock_Transaction_Log'!$AB:$AB,INDEX('主表 Stock_Transaction_Log'!$T:$T,$A719),'主表 Stock_Transaction_Log'!$AC:$AC))</f>
        <v/>
      </c>
      <c r="I719" s="173" t="str">
        <f t="shared" si="1"/>
        <v/>
      </c>
      <c r="J719" s="173" t="str">
        <f t="shared" si="2"/>
        <v/>
      </c>
      <c r="K719" s="173" t="str">
        <f t="shared" si="3"/>
        <v/>
      </c>
      <c r="L719" s="173" t="str">
        <f t="array" ref="L719">IF($A719="","",INDEX('主表 Stock_Transaction_Log'!$P:$P,$A719))</f>
        <v/>
      </c>
      <c r="M719" s="174" t="str">
        <f>IF($A719="","",IF($H719&lt;=0,0,SUMIFS('主表 Stock_Transaction_Log'!$K$2:$K1000,'主表 Stock_Transaction_Log'!$C$2:$C1000,"Prepared",'主表 Stock_Transaction_Log'!$L$2:$L1000,$B719,'主表 Stock_Transaction_Log'!$F$2:$F1000,$C719,'主表 Stock_Transaction_Log'!$G$2:$G1000,$D719,'主表 Stock_Transaction_Log'!$P$2:$P1000,$L719)))</f>
        <v/>
      </c>
    </row>
    <row r="720">
      <c r="A720" s="173" t="str">
        <f>IF('主表 Stock_Transaction_Log'!$T720="","",IF(COUNTIF('主表 Stock_Transaction_Log'!$T$2:$T720,'主表 Stock_Transaction_Log'!$T720)=1,ROW('主表 Stock_Transaction_Log'!$T720),""))</f>
        <v/>
      </c>
      <c r="B720" s="173" t="str">
        <f t="array" ref="B720">IF($A720="","",INDEX('主表 Stock_Transaction_Log'!$Q:$Q,$A720))</f>
        <v/>
      </c>
      <c r="C720" s="173" t="str">
        <f t="array" ref="C720">IF($A720="","",IF(INDEX('主表 Stock_Transaction_Log'!$F:$F,$A720)=0,"",INDEX('主表 Stock_Transaction_Log'!$F:$F,$A720)))</f>
        <v/>
      </c>
      <c r="D720" s="173" t="str">
        <f t="array" ref="D720">IF($A720="","",INDEX('主表 Stock_Transaction_Log'!$G:$G,$A720))</f>
        <v/>
      </c>
      <c r="E720" s="173" t="str">
        <f t="array" ref="E720">IF($A720="","",INDEX('主表 Stock_Transaction_Log'!$H:$H,$A720))</f>
        <v/>
      </c>
      <c r="F720" s="173" t="str">
        <f t="array" ref="F720">IF($A720="","",INDEX('主表 Stock_Transaction_Log'!$I:$I,$A720))</f>
        <v/>
      </c>
      <c r="G720" s="173" t="str">
        <f t="array" ref="G720">IF($A720="","",IF(INDEX('主表 Stock_Transaction_Log'!$R:$R,$A720)=0,"",INDEX('主表 Stock_Transaction_Log'!$R:$R,$A720)))</f>
        <v/>
      </c>
      <c r="H720" s="173" t="str">
        <f t="array" ref="H720">IF($A720="","",SUMIF('主表 Stock_Transaction_Log'!$T:$T,INDEX('主表 Stock_Transaction_Log'!$T:$T,$A720),'主表 Stock_Transaction_Log'!$S:$S)+SUMIF('主表 Stock_Transaction_Log'!$AB:$AB,INDEX('主表 Stock_Transaction_Log'!$T:$T,$A720),'主表 Stock_Transaction_Log'!$AC:$AC))</f>
        <v/>
      </c>
      <c r="I720" s="173" t="str">
        <f t="shared" si="1"/>
        <v/>
      </c>
      <c r="J720" s="173" t="str">
        <f t="shared" si="2"/>
        <v/>
      </c>
      <c r="K720" s="173" t="str">
        <f t="shared" si="3"/>
        <v/>
      </c>
      <c r="L720" s="173" t="str">
        <f t="array" ref="L720">IF($A720="","",INDEX('主表 Stock_Transaction_Log'!$P:$P,$A720))</f>
        <v/>
      </c>
      <c r="M720" s="174" t="str">
        <f>IF($A720="","",IF($H720&lt;=0,0,SUMIFS('主表 Stock_Transaction_Log'!$K$2:$K1000,'主表 Stock_Transaction_Log'!$C$2:$C1000,"Prepared",'主表 Stock_Transaction_Log'!$L$2:$L1000,$B720,'主表 Stock_Transaction_Log'!$F$2:$F1000,$C720,'主表 Stock_Transaction_Log'!$G$2:$G1000,$D720,'主表 Stock_Transaction_Log'!$P$2:$P1000,$L720)))</f>
        <v/>
      </c>
    </row>
    <row r="721">
      <c r="A721" s="173" t="str">
        <f>IF('主表 Stock_Transaction_Log'!$T721="","",IF(COUNTIF('主表 Stock_Transaction_Log'!$T$2:$T721,'主表 Stock_Transaction_Log'!$T721)=1,ROW('主表 Stock_Transaction_Log'!$T721),""))</f>
        <v/>
      </c>
      <c r="B721" s="173" t="str">
        <f t="array" ref="B721">IF($A721="","",INDEX('主表 Stock_Transaction_Log'!$Q:$Q,$A721))</f>
        <v/>
      </c>
      <c r="C721" s="173" t="str">
        <f t="array" ref="C721">IF($A721="","",IF(INDEX('主表 Stock_Transaction_Log'!$F:$F,$A721)=0,"",INDEX('主表 Stock_Transaction_Log'!$F:$F,$A721)))</f>
        <v/>
      </c>
      <c r="D721" s="173" t="str">
        <f t="array" ref="D721">IF($A721="","",INDEX('主表 Stock_Transaction_Log'!$G:$G,$A721))</f>
        <v/>
      </c>
      <c r="E721" s="173" t="str">
        <f t="array" ref="E721">IF($A721="","",INDEX('主表 Stock_Transaction_Log'!$H:$H,$A721))</f>
        <v/>
      </c>
      <c r="F721" s="173" t="str">
        <f t="array" ref="F721">IF($A721="","",INDEX('主表 Stock_Transaction_Log'!$I:$I,$A721))</f>
        <v/>
      </c>
      <c r="G721" s="173" t="str">
        <f t="array" ref="G721">IF($A721="","",IF(INDEX('主表 Stock_Transaction_Log'!$R:$R,$A721)=0,"",INDEX('主表 Stock_Transaction_Log'!$R:$R,$A721)))</f>
        <v/>
      </c>
      <c r="H721" s="173" t="str">
        <f t="array" ref="H721">IF($A721="","",SUMIF('主表 Stock_Transaction_Log'!$T:$T,INDEX('主表 Stock_Transaction_Log'!$T:$T,$A721),'主表 Stock_Transaction_Log'!$S:$S)+SUMIF('主表 Stock_Transaction_Log'!$AB:$AB,INDEX('主表 Stock_Transaction_Log'!$T:$T,$A721),'主表 Stock_Transaction_Log'!$AC:$AC))</f>
        <v/>
      </c>
      <c r="I721" s="173" t="str">
        <f t="shared" si="1"/>
        <v/>
      </c>
      <c r="J721" s="173" t="str">
        <f t="shared" si="2"/>
        <v/>
      </c>
      <c r="K721" s="173" t="str">
        <f t="shared" si="3"/>
        <v/>
      </c>
      <c r="L721" s="173" t="str">
        <f t="array" ref="L721">IF($A721="","",INDEX('主表 Stock_Transaction_Log'!$P:$P,$A721))</f>
        <v/>
      </c>
      <c r="M721" s="174" t="str">
        <f>IF($A721="","",IF($H721&lt;=0,0,SUMIFS('主表 Stock_Transaction_Log'!$K$2:$K1000,'主表 Stock_Transaction_Log'!$C$2:$C1000,"Prepared",'主表 Stock_Transaction_Log'!$L$2:$L1000,$B721,'主表 Stock_Transaction_Log'!$F$2:$F1000,$C721,'主表 Stock_Transaction_Log'!$G$2:$G1000,$D721,'主表 Stock_Transaction_Log'!$P$2:$P1000,$L721)))</f>
        <v/>
      </c>
    </row>
    <row r="722">
      <c r="A722" s="173" t="str">
        <f>IF('主表 Stock_Transaction_Log'!$T722="","",IF(COUNTIF('主表 Stock_Transaction_Log'!$T$2:$T722,'主表 Stock_Transaction_Log'!$T722)=1,ROW('主表 Stock_Transaction_Log'!$T722),""))</f>
        <v/>
      </c>
      <c r="B722" s="173" t="str">
        <f t="array" ref="B722">IF($A722="","",INDEX('主表 Stock_Transaction_Log'!$Q:$Q,$A722))</f>
        <v/>
      </c>
      <c r="C722" s="173" t="str">
        <f t="array" ref="C722">IF($A722="","",IF(INDEX('主表 Stock_Transaction_Log'!$F:$F,$A722)=0,"",INDEX('主表 Stock_Transaction_Log'!$F:$F,$A722)))</f>
        <v/>
      </c>
      <c r="D722" s="173" t="str">
        <f t="array" ref="D722">IF($A722="","",INDEX('主表 Stock_Transaction_Log'!$G:$G,$A722))</f>
        <v/>
      </c>
      <c r="E722" s="173" t="str">
        <f t="array" ref="E722">IF($A722="","",INDEX('主表 Stock_Transaction_Log'!$H:$H,$A722))</f>
        <v/>
      </c>
      <c r="F722" s="173" t="str">
        <f t="array" ref="F722">IF($A722="","",INDEX('主表 Stock_Transaction_Log'!$I:$I,$A722))</f>
        <v/>
      </c>
      <c r="G722" s="173" t="str">
        <f t="array" ref="G722">IF($A722="","",IF(INDEX('主表 Stock_Transaction_Log'!$R:$R,$A722)=0,"",INDEX('主表 Stock_Transaction_Log'!$R:$R,$A722)))</f>
        <v/>
      </c>
      <c r="H722" s="173" t="str">
        <f t="array" ref="H722">IF($A722="","",SUMIF('主表 Stock_Transaction_Log'!$T:$T,INDEX('主表 Stock_Transaction_Log'!$T:$T,$A722),'主表 Stock_Transaction_Log'!$S:$S)+SUMIF('主表 Stock_Transaction_Log'!$AB:$AB,INDEX('主表 Stock_Transaction_Log'!$T:$T,$A722),'主表 Stock_Transaction_Log'!$AC:$AC))</f>
        <v/>
      </c>
      <c r="I722" s="173" t="str">
        <f t="shared" si="1"/>
        <v/>
      </c>
      <c r="J722" s="173" t="str">
        <f t="shared" si="2"/>
        <v/>
      </c>
      <c r="K722" s="173" t="str">
        <f t="shared" si="3"/>
        <v/>
      </c>
      <c r="L722" s="173" t="str">
        <f t="array" ref="L722">IF($A722="","",INDEX('主表 Stock_Transaction_Log'!$P:$P,$A722))</f>
        <v/>
      </c>
      <c r="M722" s="174" t="str">
        <f>IF($A722="","",IF($H722&lt;=0,0,SUMIFS('主表 Stock_Transaction_Log'!$K$2:$K1000,'主表 Stock_Transaction_Log'!$C$2:$C1000,"Prepared",'主表 Stock_Transaction_Log'!$L$2:$L1000,$B722,'主表 Stock_Transaction_Log'!$F$2:$F1000,$C722,'主表 Stock_Transaction_Log'!$G$2:$G1000,$D722,'主表 Stock_Transaction_Log'!$P$2:$P1000,$L722)))</f>
        <v/>
      </c>
    </row>
    <row r="723">
      <c r="A723" s="173" t="str">
        <f>IF('主表 Stock_Transaction_Log'!$T723="","",IF(COUNTIF('主表 Stock_Transaction_Log'!$T$2:$T723,'主表 Stock_Transaction_Log'!$T723)=1,ROW('主表 Stock_Transaction_Log'!$T723),""))</f>
        <v/>
      </c>
      <c r="B723" s="173" t="str">
        <f t="array" ref="B723">IF($A723="","",INDEX('主表 Stock_Transaction_Log'!$Q:$Q,$A723))</f>
        <v/>
      </c>
      <c r="C723" s="173" t="str">
        <f t="array" ref="C723">IF($A723="","",IF(INDEX('主表 Stock_Transaction_Log'!$F:$F,$A723)=0,"",INDEX('主表 Stock_Transaction_Log'!$F:$F,$A723)))</f>
        <v/>
      </c>
      <c r="D723" s="173" t="str">
        <f t="array" ref="D723">IF($A723="","",INDEX('主表 Stock_Transaction_Log'!$G:$G,$A723))</f>
        <v/>
      </c>
      <c r="E723" s="173" t="str">
        <f t="array" ref="E723">IF($A723="","",INDEX('主表 Stock_Transaction_Log'!$H:$H,$A723))</f>
        <v/>
      </c>
      <c r="F723" s="173" t="str">
        <f t="array" ref="F723">IF($A723="","",INDEX('主表 Stock_Transaction_Log'!$I:$I,$A723))</f>
        <v/>
      </c>
      <c r="G723" s="173" t="str">
        <f t="array" ref="G723">IF($A723="","",IF(INDEX('主表 Stock_Transaction_Log'!$R:$R,$A723)=0,"",INDEX('主表 Stock_Transaction_Log'!$R:$R,$A723)))</f>
        <v/>
      </c>
      <c r="H723" s="173" t="str">
        <f t="array" ref="H723">IF($A723="","",SUMIF('主表 Stock_Transaction_Log'!$T:$T,INDEX('主表 Stock_Transaction_Log'!$T:$T,$A723),'主表 Stock_Transaction_Log'!$S:$S)+SUMIF('主表 Stock_Transaction_Log'!$AB:$AB,INDEX('主表 Stock_Transaction_Log'!$T:$T,$A723),'主表 Stock_Transaction_Log'!$AC:$AC))</f>
        <v/>
      </c>
      <c r="I723" s="173" t="str">
        <f t="shared" si="1"/>
        <v/>
      </c>
      <c r="J723" s="173" t="str">
        <f t="shared" si="2"/>
        <v/>
      </c>
      <c r="K723" s="173" t="str">
        <f t="shared" si="3"/>
        <v/>
      </c>
      <c r="L723" s="173" t="str">
        <f t="array" ref="L723">IF($A723="","",INDEX('主表 Stock_Transaction_Log'!$P:$P,$A723))</f>
        <v/>
      </c>
      <c r="M723" s="174" t="str">
        <f>IF($A723="","",IF($H723&lt;=0,0,SUMIFS('主表 Stock_Transaction_Log'!$K$2:$K1000,'主表 Stock_Transaction_Log'!$C$2:$C1000,"Prepared",'主表 Stock_Transaction_Log'!$L$2:$L1000,$B723,'主表 Stock_Transaction_Log'!$F$2:$F1000,$C723,'主表 Stock_Transaction_Log'!$G$2:$G1000,$D723,'主表 Stock_Transaction_Log'!$P$2:$P1000,$L723)))</f>
        <v/>
      </c>
    </row>
    <row r="724">
      <c r="A724" s="173" t="str">
        <f>IF('主表 Stock_Transaction_Log'!$T724="","",IF(COUNTIF('主表 Stock_Transaction_Log'!$T$2:$T724,'主表 Stock_Transaction_Log'!$T724)=1,ROW('主表 Stock_Transaction_Log'!$T724),""))</f>
        <v/>
      </c>
      <c r="B724" s="173" t="str">
        <f t="array" ref="B724">IF($A724="","",INDEX('主表 Stock_Transaction_Log'!$Q:$Q,$A724))</f>
        <v/>
      </c>
      <c r="C724" s="173" t="str">
        <f t="array" ref="C724">IF($A724="","",IF(INDEX('主表 Stock_Transaction_Log'!$F:$F,$A724)=0,"",INDEX('主表 Stock_Transaction_Log'!$F:$F,$A724)))</f>
        <v/>
      </c>
      <c r="D724" s="173" t="str">
        <f t="array" ref="D724">IF($A724="","",INDEX('主表 Stock_Transaction_Log'!$G:$G,$A724))</f>
        <v/>
      </c>
      <c r="E724" s="173" t="str">
        <f t="array" ref="E724">IF($A724="","",INDEX('主表 Stock_Transaction_Log'!$H:$H,$A724))</f>
        <v/>
      </c>
      <c r="F724" s="173" t="str">
        <f t="array" ref="F724">IF($A724="","",INDEX('主表 Stock_Transaction_Log'!$I:$I,$A724))</f>
        <v/>
      </c>
      <c r="G724" s="173" t="str">
        <f t="array" ref="G724">IF($A724="","",IF(INDEX('主表 Stock_Transaction_Log'!$R:$R,$A724)=0,"",INDEX('主表 Stock_Transaction_Log'!$R:$R,$A724)))</f>
        <v/>
      </c>
      <c r="H724" s="173" t="str">
        <f t="array" ref="H724">IF($A724="","",SUMIF('主表 Stock_Transaction_Log'!$T:$T,INDEX('主表 Stock_Transaction_Log'!$T:$T,$A724),'主表 Stock_Transaction_Log'!$S:$S)+SUMIF('主表 Stock_Transaction_Log'!$AB:$AB,INDEX('主表 Stock_Transaction_Log'!$T:$T,$A724),'主表 Stock_Transaction_Log'!$AC:$AC))</f>
        <v/>
      </c>
      <c r="I724" s="173" t="str">
        <f t="shared" si="1"/>
        <v/>
      </c>
      <c r="J724" s="173" t="str">
        <f t="shared" si="2"/>
        <v/>
      </c>
      <c r="K724" s="173" t="str">
        <f t="shared" si="3"/>
        <v/>
      </c>
      <c r="L724" s="173" t="str">
        <f t="array" ref="L724">IF($A724="","",INDEX('主表 Stock_Transaction_Log'!$P:$P,$A724))</f>
        <v/>
      </c>
      <c r="M724" s="174" t="str">
        <f>IF($A724="","",IF($H724&lt;=0,0,SUMIFS('主表 Stock_Transaction_Log'!$K$2:$K1000,'主表 Stock_Transaction_Log'!$C$2:$C1000,"Prepared",'主表 Stock_Transaction_Log'!$L$2:$L1000,$B724,'主表 Stock_Transaction_Log'!$F$2:$F1000,$C724,'主表 Stock_Transaction_Log'!$G$2:$G1000,$D724,'主表 Stock_Transaction_Log'!$P$2:$P1000,$L724)))</f>
        <v/>
      </c>
    </row>
    <row r="725">
      <c r="A725" s="173" t="str">
        <f>IF('主表 Stock_Transaction_Log'!$T725="","",IF(COUNTIF('主表 Stock_Transaction_Log'!$T$2:$T725,'主表 Stock_Transaction_Log'!$T725)=1,ROW('主表 Stock_Transaction_Log'!$T725),""))</f>
        <v/>
      </c>
      <c r="B725" s="173" t="str">
        <f t="array" ref="B725">IF($A725="","",INDEX('主表 Stock_Transaction_Log'!$Q:$Q,$A725))</f>
        <v/>
      </c>
      <c r="C725" s="173" t="str">
        <f t="array" ref="C725">IF($A725="","",IF(INDEX('主表 Stock_Transaction_Log'!$F:$F,$A725)=0,"",INDEX('主表 Stock_Transaction_Log'!$F:$F,$A725)))</f>
        <v/>
      </c>
      <c r="D725" s="173" t="str">
        <f t="array" ref="D725">IF($A725="","",INDEX('主表 Stock_Transaction_Log'!$G:$G,$A725))</f>
        <v/>
      </c>
      <c r="E725" s="173" t="str">
        <f t="array" ref="E725">IF($A725="","",INDEX('主表 Stock_Transaction_Log'!$H:$H,$A725))</f>
        <v/>
      </c>
      <c r="F725" s="173" t="str">
        <f t="array" ref="F725">IF($A725="","",INDEX('主表 Stock_Transaction_Log'!$I:$I,$A725))</f>
        <v/>
      </c>
      <c r="G725" s="173" t="str">
        <f t="array" ref="G725">IF($A725="","",IF(INDEX('主表 Stock_Transaction_Log'!$R:$R,$A725)=0,"",INDEX('主表 Stock_Transaction_Log'!$R:$R,$A725)))</f>
        <v/>
      </c>
      <c r="H725" s="173" t="str">
        <f t="array" ref="H725">IF($A725="","",SUMIF('主表 Stock_Transaction_Log'!$T:$T,INDEX('主表 Stock_Transaction_Log'!$T:$T,$A725),'主表 Stock_Transaction_Log'!$S:$S)+SUMIF('主表 Stock_Transaction_Log'!$AB:$AB,INDEX('主表 Stock_Transaction_Log'!$T:$T,$A725),'主表 Stock_Transaction_Log'!$AC:$AC))</f>
        <v/>
      </c>
      <c r="I725" s="173" t="str">
        <f t="shared" si="1"/>
        <v/>
      </c>
      <c r="J725" s="173" t="str">
        <f t="shared" si="2"/>
        <v/>
      </c>
      <c r="K725" s="173" t="str">
        <f t="shared" si="3"/>
        <v/>
      </c>
      <c r="L725" s="173" t="str">
        <f t="array" ref="L725">IF($A725="","",INDEX('主表 Stock_Transaction_Log'!$P:$P,$A725))</f>
        <v/>
      </c>
      <c r="M725" s="174" t="str">
        <f>IF($A725="","",IF($H725&lt;=0,0,SUMIFS('主表 Stock_Transaction_Log'!$K$2:$K1000,'主表 Stock_Transaction_Log'!$C$2:$C1000,"Prepared",'主表 Stock_Transaction_Log'!$L$2:$L1000,$B725,'主表 Stock_Transaction_Log'!$F$2:$F1000,$C725,'主表 Stock_Transaction_Log'!$G$2:$G1000,$D725,'主表 Stock_Transaction_Log'!$P$2:$P1000,$L725)))</f>
        <v/>
      </c>
    </row>
    <row r="726">
      <c r="A726" s="173" t="str">
        <f>IF('主表 Stock_Transaction_Log'!$T726="","",IF(COUNTIF('主表 Stock_Transaction_Log'!$T$2:$T726,'主表 Stock_Transaction_Log'!$T726)=1,ROW('主表 Stock_Transaction_Log'!$T726),""))</f>
        <v/>
      </c>
      <c r="B726" s="173" t="str">
        <f t="array" ref="B726">IF($A726="","",INDEX('主表 Stock_Transaction_Log'!$Q:$Q,$A726))</f>
        <v/>
      </c>
      <c r="C726" s="173" t="str">
        <f t="array" ref="C726">IF($A726="","",IF(INDEX('主表 Stock_Transaction_Log'!$F:$F,$A726)=0,"",INDEX('主表 Stock_Transaction_Log'!$F:$F,$A726)))</f>
        <v/>
      </c>
      <c r="D726" s="173" t="str">
        <f t="array" ref="D726">IF($A726="","",INDEX('主表 Stock_Transaction_Log'!$G:$G,$A726))</f>
        <v/>
      </c>
      <c r="E726" s="173" t="str">
        <f t="array" ref="E726">IF($A726="","",INDEX('主表 Stock_Transaction_Log'!$H:$H,$A726))</f>
        <v/>
      </c>
      <c r="F726" s="173" t="str">
        <f t="array" ref="F726">IF($A726="","",INDEX('主表 Stock_Transaction_Log'!$I:$I,$A726))</f>
        <v/>
      </c>
      <c r="G726" s="173" t="str">
        <f t="array" ref="G726">IF($A726="","",IF(INDEX('主表 Stock_Transaction_Log'!$R:$R,$A726)=0,"",INDEX('主表 Stock_Transaction_Log'!$R:$R,$A726)))</f>
        <v/>
      </c>
      <c r="H726" s="173" t="str">
        <f t="array" ref="H726">IF($A726="","",SUMIF('主表 Stock_Transaction_Log'!$T:$T,INDEX('主表 Stock_Transaction_Log'!$T:$T,$A726),'主表 Stock_Transaction_Log'!$S:$S)+SUMIF('主表 Stock_Transaction_Log'!$AB:$AB,INDEX('主表 Stock_Transaction_Log'!$T:$T,$A726),'主表 Stock_Transaction_Log'!$AC:$AC))</f>
        <v/>
      </c>
      <c r="I726" s="173" t="str">
        <f t="shared" si="1"/>
        <v/>
      </c>
      <c r="J726" s="173" t="str">
        <f t="shared" si="2"/>
        <v/>
      </c>
      <c r="K726" s="173" t="str">
        <f t="shared" si="3"/>
        <v/>
      </c>
      <c r="L726" s="173" t="str">
        <f t="array" ref="L726">IF($A726="","",INDEX('主表 Stock_Transaction_Log'!$P:$P,$A726))</f>
        <v/>
      </c>
      <c r="M726" s="174" t="str">
        <f>IF($A726="","",IF($H726&lt;=0,0,SUMIFS('主表 Stock_Transaction_Log'!$K$2:$K1000,'主表 Stock_Transaction_Log'!$C$2:$C1000,"Prepared",'主表 Stock_Transaction_Log'!$L$2:$L1000,$B726,'主表 Stock_Transaction_Log'!$F$2:$F1000,$C726,'主表 Stock_Transaction_Log'!$G$2:$G1000,$D726,'主表 Stock_Transaction_Log'!$P$2:$P1000,$L726)))</f>
        <v/>
      </c>
    </row>
    <row r="727">
      <c r="A727" s="173" t="str">
        <f>IF('主表 Stock_Transaction_Log'!$T727="","",IF(COUNTIF('主表 Stock_Transaction_Log'!$T$2:$T727,'主表 Stock_Transaction_Log'!$T727)=1,ROW('主表 Stock_Transaction_Log'!$T727),""))</f>
        <v/>
      </c>
      <c r="B727" s="173" t="str">
        <f t="array" ref="B727">IF($A727="","",INDEX('主表 Stock_Transaction_Log'!$Q:$Q,$A727))</f>
        <v/>
      </c>
      <c r="C727" s="173" t="str">
        <f t="array" ref="C727">IF($A727="","",IF(INDEX('主表 Stock_Transaction_Log'!$F:$F,$A727)=0,"",INDEX('主表 Stock_Transaction_Log'!$F:$F,$A727)))</f>
        <v/>
      </c>
      <c r="D727" s="173" t="str">
        <f t="array" ref="D727">IF($A727="","",INDEX('主表 Stock_Transaction_Log'!$G:$G,$A727))</f>
        <v/>
      </c>
      <c r="E727" s="173" t="str">
        <f t="array" ref="E727">IF($A727="","",INDEX('主表 Stock_Transaction_Log'!$H:$H,$A727))</f>
        <v/>
      </c>
      <c r="F727" s="173" t="str">
        <f t="array" ref="F727">IF($A727="","",INDEX('主表 Stock_Transaction_Log'!$I:$I,$A727))</f>
        <v/>
      </c>
      <c r="G727" s="173" t="str">
        <f t="array" ref="G727">IF($A727="","",IF(INDEX('主表 Stock_Transaction_Log'!$R:$R,$A727)=0,"",INDEX('主表 Stock_Transaction_Log'!$R:$R,$A727)))</f>
        <v/>
      </c>
      <c r="H727" s="173" t="str">
        <f t="array" ref="H727">IF($A727="","",SUMIF('主表 Stock_Transaction_Log'!$T:$T,INDEX('主表 Stock_Transaction_Log'!$T:$T,$A727),'主表 Stock_Transaction_Log'!$S:$S)+SUMIF('主表 Stock_Transaction_Log'!$AB:$AB,INDEX('主表 Stock_Transaction_Log'!$T:$T,$A727),'主表 Stock_Transaction_Log'!$AC:$AC))</f>
        <v/>
      </c>
      <c r="I727" s="173" t="str">
        <f t="shared" si="1"/>
        <v/>
      </c>
      <c r="J727" s="173" t="str">
        <f t="shared" si="2"/>
        <v/>
      </c>
      <c r="K727" s="173" t="str">
        <f t="shared" si="3"/>
        <v/>
      </c>
      <c r="L727" s="173" t="str">
        <f t="array" ref="L727">IF($A727="","",INDEX('主表 Stock_Transaction_Log'!$P:$P,$A727))</f>
        <v/>
      </c>
      <c r="M727" s="174" t="str">
        <f>IF($A727="","",IF($H727&lt;=0,0,SUMIFS('主表 Stock_Transaction_Log'!$K$2:$K1000,'主表 Stock_Transaction_Log'!$C$2:$C1000,"Prepared",'主表 Stock_Transaction_Log'!$L$2:$L1000,$B727,'主表 Stock_Transaction_Log'!$F$2:$F1000,$C727,'主表 Stock_Transaction_Log'!$G$2:$G1000,$D727,'主表 Stock_Transaction_Log'!$P$2:$P1000,$L727)))</f>
        <v/>
      </c>
    </row>
    <row r="728">
      <c r="A728" s="173" t="str">
        <f>IF('主表 Stock_Transaction_Log'!$T728="","",IF(COUNTIF('主表 Stock_Transaction_Log'!$T$2:$T728,'主表 Stock_Transaction_Log'!$T728)=1,ROW('主表 Stock_Transaction_Log'!$T728),""))</f>
        <v/>
      </c>
      <c r="B728" s="173" t="str">
        <f t="array" ref="B728">IF($A728="","",INDEX('主表 Stock_Transaction_Log'!$Q:$Q,$A728))</f>
        <v/>
      </c>
      <c r="C728" s="173" t="str">
        <f t="array" ref="C728">IF($A728="","",IF(INDEX('主表 Stock_Transaction_Log'!$F:$F,$A728)=0,"",INDEX('主表 Stock_Transaction_Log'!$F:$F,$A728)))</f>
        <v/>
      </c>
      <c r="D728" s="173" t="str">
        <f t="array" ref="D728">IF($A728="","",INDEX('主表 Stock_Transaction_Log'!$G:$G,$A728))</f>
        <v/>
      </c>
      <c r="E728" s="173" t="str">
        <f t="array" ref="E728">IF($A728="","",INDEX('主表 Stock_Transaction_Log'!$H:$H,$A728))</f>
        <v/>
      </c>
      <c r="F728" s="173" t="str">
        <f t="array" ref="F728">IF($A728="","",INDEX('主表 Stock_Transaction_Log'!$I:$I,$A728))</f>
        <v/>
      </c>
      <c r="G728" s="173" t="str">
        <f t="array" ref="G728">IF($A728="","",IF(INDEX('主表 Stock_Transaction_Log'!$R:$R,$A728)=0,"",INDEX('主表 Stock_Transaction_Log'!$R:$R,$A728)))</f>
        <v/>
      </c>
      <c r="H728" s="173" t="str">
        <f t="array" ref="H728">IF($A728="","",SUMIF('主表 Stock_Transaction_Log'!$T:$T,INDEX('主表 Stock_Transaction_Log'!$T:$T,$A728),'主表 Stock_Transaction_Log'!$S:$S)+SUMIF('主表 Stock_Transaction_Log'!$AB:$AB,INDEX('主表 Stock_Transaction_Log'!$T:$T,$A728),'主表 Stock_Transaction_Log'!$AC:$AC))</f>
        <v/>
      </c>
      <c r="I728" s="173" t="str">
        <f t="shared" si="1"/>
        <v/>
      </c>
      <c r="J728" s="173" t="str">
        <f t="shared" si="2"/>
        <v/>
      </c>
      <c r="K728" s="173" t="str">
        <f t="shared" si="3"/>
        <v/>
      </c>
      <c r="L728" s="173" t="str">
        <f t="array" ref="L728">IF($A728="","",INDEX('主表 Stock_Transaction_Log'!$P:$P,$A728))</f>
        <v/>
      </c>
      <c r="M728" s="174" t="str">
        <f>IF($A728="","",IF($H728&lt;=0,0,SUMIFS('主表 Stock_Transaction_Log'!$K$2:$K1000,'主表 Stock_Transaction_Log'!$C$2:$C1000,"Prepared",'主表 Stock_Transaction_Log'!$L$2:$L1000,$B728,'主表 Stock_Transaction_Log'!$F$2:$F1000,$C728,'主表 Stock_Transaction_Log'!$G$2:$G1000,$D728,'主表 Stock_Transaction_Log'!$P$2:$P1000,$L728)))</f>
        <v/>
      </c>
    </row>
    <row r="729">
      <c r="A729" s="173" t="str">
        <f>IF('主表 Stock_Transaction_Log'!$T729="","",IF(COUNTIF('主表 Stock_Transaction_Log'!$T$2:$T729,'主表 Stock_Transaction_Log'!$T729)=1,ROW('主表 Stock_Transaction_Log'!$T729),""))</f>
        <v/>
      </c>
      <c r="B729" s="173" t="str">
        <f t="array" ref="B729">IF($A729="","",INDEX('主表 Stock_Transaction_Log'!$Q:$Q,$A729))</f>
        <v/>
      </c>
      <c r="C729" s="173" t="str">
        <f t="array" ref="C729">IF($A729="","",IF(INDEX('主表 Stock_Transaction_Log'!$F:$F,$A729)=0,"",INDEX('主表 Stock_Transaction_Log'!$F:$F,$A729)))</f>
        <v/>
      </c>
      <c r="D729" s="173" t="str">
        <f t="array" ref="D729">IF($A729="","",INDEX('主表 Stock_Transaction_Log'!$G:$G,$A729))</f>
        <v/>
      </c>
      <c r="E729" s="173" t="str">
        <f t="array" ref="E729">IF($A729="","",INDEX('主表 Stock_Transaction_Log'!$H:$H,$A729))</f>
        <v/>
      </c>
      <c r="F729" s="173" t="str">
        <f t="array" ref="F729">IF($A729="","",INDEX('主表 Stock_Transaction_Log'!$I:$I,$A729))</f>
        <v/>
      </c>
      <c r="G729" s="173" t="str">
        <f t="array" ref="G729">IF($A729="","",IF(INDEX('主表 Stock_Transaction_Log'!$R:$R,$A729)=0,"",INDEX('主表 Stock_Transaction_Log'!$R:$R,$A729)))</f>
        <v/>
      </c>
      <c r="H729" s="173" t="str">
        <f t="array" ref="H729">IF($A729="","",SUMIF('主表 Stock_Transaction_Log'!$T:$T,INDEX('主表 Stock_Transaction_Log'!$T:$T,$A729),'主表 Stock_Transaction_Log'!$S:$S)+SUMIF('主表 Stock_Transaction_Log'!$AB:$AB,INDEX('主表 Stock_Transaction_Log'!$T:$T,$A729),'主表 Stock_Transaction_Log'!$AC:$AC))</f>
        <v/>
      </c>
      <c r="I729" s="173" t="str">
        <f t="shared" si="1"/>
        <v/>
      </c>
      <c r="J729" s="173" t="str">
        <f t="shared" si="2"/>
        <v/>
      </c>
      <c r="K729" s="173" t="str">
        <f t="shared" si="3"/>
        <v/>
      </c>
      <c r="L729" s="173" t="str">
        <f t="array" ref="L729">IF($A729="","",INDEX('主表 Stock_Transaction_Log'!$P:$P,$A729))</f>
        <v/>
      </c>
      <c r="M729" s="174" t="str">
        <f>IF($A729="","",IF($H729&lt;=0,0,SUMIFS('主表 Stock_Transaction_Log'!$K$2:$K1000,'主表 Stock_Transaction_Log'!$C$2:$C1000,"Prepared",'主表 Stock_Transaction_Log'!$L$2:$L1000,$B729,'主表 Stock_Transaction_Log'!$F$2:$F1000,$C729,'主表 Stock_Transaction_Log'!$G$2:$G1000,$D729,'主表 Stock_Transaction_Log'!$P$2:$P1000,$L729)))</f>
        <v/>
      </c>
    </row>
    <row r="730">
      <c r="A730" s="173" t="str">
        <f>IF('主表 Stock_Transaction_Log'!$T730="","",IF(COUNTIF('主表 Stock_Transaction_Log'!$T$2:$T730,'主表 Stock_Transaction_Log'!$T730)=1,ROW('主表 Stock_Transaction_Log'!$T730),""))</f>
        <v/>
      </c>
      <c r="B730" s="173" t="str">
        <f t="array" ref="B730">IF($A730="","",INDEX('主表 Stock_Transaction_Log'!$Q:$Q,$A730))</f>
        <v/>
      </c>
      <c r="C730" s="173" t="str">
        <f t="array" ref="C730">IF($A730="","",IF(INDEX('主表 Stock_Transaction_Log'!$F:$F,$A730)=0,"",INDEX('主表 Stock_Transaction_Log'!$F:$F,$A730)))</f>
        <v/>
      </c>
      <c r="D730" s="173" t="str">
        <f t="array" ref="D730">IF($A730="","",INDEX('主表 Stock_Transaction_Log'!$G:$G,$A730))</f>
        <v/>
      </c>
      <c r="E730" s="173" t="str">
        <f t="array" ref="E730">IF($A730="","",INDEX('主表 Stock_Transaction_Log'!$H:$H,$A730))</f>
        <v/>
      </c>
      <c r="F730" s="173" t="str">
        <f t="array" ref="F730">IF($A730="","",INDEX('主表 Stock_Transaction_Log'!$I:$I,$A730))</f>
        <v/>
      </c>
      <c r="G730" s="173" t="str">
        <f t="array" ref="G730">IF($A730="","",IF(INDEX('主表 Stock_Transaction_Log'!$R:$R,$A730)=0,"",INDEX('主表 Stock_Transaction_Log'!$R:$R,$A730)))</f>
        <v/>
      </c>
      <c r="H730" s="173" t="str">
        <f t="array" ref="H730">IF($A730="","",SUMIF('主表 Stock_Transaction_Log'!$T:$T,INDEX('主表 Stock_Transaction_Log'!$T:$T,$A730),'主表 Stock_Transaction_Log'!$S:$S)+SUMIF('主表 Stock_Transaction_Log'!$AB:$AB,INDEX('主表 Stock_Transaction_Log'!$T:$T,$A730),'主表 Stock_Transaction_Log'!$AC:$AC))</f>
        <v/>
      </c>
      <c r="I730" s="173" t="str">
        <f t="shared" si="1"/>
        <v/>
      </c>
      <c r="J730" s="173" t="str">
        <f t="shared" si="2"/>
        <v/>
      </c>
      <c r="K730" s="173" t="str">
        <f t="shared" si="3"/>
        <v/>
      </c>
      <c r="L730" s="173" t="str">
        <f t="array" ref="L730">IF($A730="","",INDEX('主表 Stock_Transaction_Log'!$P:$P,$A730))</f>
        <v/>
      </c>
      <c r="M730" s="174" t="str">
        <f>IF($A730="","",IF($H730&lt;=0,0,SUMIFS('主表 Stock_Transaction_Log'!$K$2:$K1000,'主表 Stock_Transaction_Log'!$C$2:$C1000,"Prepared",'主表 Stock_Transaction_Log'!$L$2:$L1000,$B730,'主表 Stock_Transaction_Log'!$F$2:$F1000,$C730,'主表 Stock_Transaction_Log'!$G$2:$G1000,$D730,'主表 Stock_Transaction_Log'!$P$2:$P1000,$L730)))</f>
        <v/>
      </c>
    </row>
    <row r="731">
      <c r="A731" s="173" t="str">
        <f>IF('主表 Stock_Transaction_Log'!$T731="","",IF(COUNTIF('主表 Stock_Transaction_Log'!$T$2:$T731,'主表 Stock_Transaction_Log'!$T731)=1,ROW('主表 Stock_Transaction_Log'!$T731),""))</f>
        <v/>
      </c>
      <c r="B731" s="173" t="str">
        <f t="array" ref="B731">IF($A731="","",INDEX('主表 Stock_Transaction_Log'!$Q:$Q,$A731))</f>
        <v/>
      </c>
      <c r="C731" s="173" t="str">
        <f t="array" ref="C731">IF($A731="","",IF(INDEX('主表 Stock_Transaction_Log'!$F:$F,$A731)=0,"",INDEX('主表 Stock_Transaction_Log'!$F:$F,$A731)))</f>
        <v/>
      </c>
      <c r="D731" s="173" t="str">
        <f t="array" ref="D731">IF($A731="","",INDEX('主表 Stock_Transaction_Log'!$G:$G,$A731))</f>
        <v/>
      </c>
      <c r="E731" s="173" t="str">
        <f t="array" ref="E731">IF($A731="","",INDEX('主表 Stock_Transaction_Log'!$H:$H,$A731))</f>
        <v/>
      </c>
      <c r="F731" s="173" t="str">
        <f t="array" ref="F731">IF($A731="","",INDEX('主表 Stock_Transaction_Log'!$I:$I,$A731))</f>
        <v/>
      </c>
      <c r="G731" s="173" t="str">
        <f t="array" ref="G731">IF($A731="","",IF(INDEX('主表 Stock_Transaction_Log'!$R:$R,$A731)=0,"",INDEX('主表 Stock_Transaction_Log'!$R:$R,$A731)))</f>
        <v/>
      </c>
      <c r="H731" s="173" t="str">
        <f t="array" ref="H731">IF($A731="","",SUMIF('主表 Stock_Transaction_Log'!$T:$T,INDEX('主表 Stock_Transaction_Log'!$T:$T,$A731),'主表 Stock_Transaction_Log'!$S:$S)+SUMIF('主表 Stock_Transaction_Log'!$AB:$AB,INDEX('主表 Stock_Transaction_Log'!$T:$T,$A731),'主表 Stock_Transaction_Log'!$AC:$AC))</f>
        <v/>
      </c>
      <c r="I731" s="173" t="str">
        <f t="shared" si="1"/>
        <v/>
      </c>
      <c r="J731" s="173" t="str">
        <f t="shared" si="2"/>
        <v/>
      </c>
      <c r="K731" s="173" t="str">
        <f t="shared" si="3"/>
        <v/>
      </c>
      <c r="L731" s="173" t="str">
        <f t="array" ref="L731">IF($A731="","",INDEX('主表 Stock_Transaction_Log'!$P:$P,$A731))</f>
        <v/>
      </c>
      <c r="M731" s="174" t="str">
        <f>IF($A731="","",IF($H731&lt;=0,0,SUMIFS('主表 Stock_Transaction_Log'!$K$2:$K1000,'主表 Stock_Transaction_Log'!$C$2:$C1000,"Prepared",'主表 Stock_Transaction_Log'!$L$2:$L1000,$B731,'主表 Stock_Transaction_Log'!$F$2:$F1000,$C731,'主表 Stock_Transaction_Log'!$G$2:$G1000,$D731,'主表 Stock_Transaction_Log'!$P$2:$P1000,$L731)))</f>
        <v/>
      </c>
    </row>
    <row r="732">
      <c r="A732" s="173" t="str">
        <f>IF('主表 Stock_Transaction_Log'!$T732="","",IF(COUNTIF('主表 Stock_Transaction_Log'!$T$2:$T732,'主表 Stock_Transaction_Log'!$T732)=1,ROW('主表 Stock_Transaction_Log'!$T732),""))</f>
        <v/>
      </c>
      <c r="B732" s="173" t="str">
        <f t="array" ref="B732">IF($A732="","",INDEX('主表 Stock_Transaction_Log'!$Q:$Q,$A732))</f>
        <v/>
      </c>
      <c r="C732" s="173" t="str">
        <f t="array" ref="C732">IF($A732="","",IF(INDEX('主表 Stock_Transaction_Log'!$F:$F,$A732)=0,"",INDEX('主表 Stock_Transaction_Log'!$F:$F,$A732)))</f>
        <v/>
      </c>
      <c r="D732" s="173" t="str">
        <f t="array" ref="D732">IF($A732="","",INDEX('主表 Stock_Transaction_Log'!$G:$G,$A732))</f>
        <v/>
      </c>
      <c r="E732" s="173" t="str">
        <f t="array" ref="E732">IF($A732="","",INDEX('主表 Stock_Transaction_Log'!$H:$H,$A732))</f>
        <v/>
      </c>
      <c r="F732" s="173" t="str">
        <f t="array" ref="F732">IF($A732="","",INDEX('主表 Stock_Transaction_Log'!$I:$I,$A732))</f>
        <v/>
      </c>
      <c r="G732" s="173" t="str">
        <f t="array" ref="G732">IF($A732="","",IF(INDEX('主表 Stock_Transaction_Log'!$R:$R,$A732)=0,"",INDEX('主表 Stock_Transaction_Log'!$R:$R,$A732)))</f>
        <v/>
      </c>
      <c r="H732" s="173" t="str">
        <f t="array" ref="H732">IF($A732="","",SUMIF('主表 Stock_Transaction_Log'!$T:$T,INDEX('主表 Stock_Transaction_Log'!$T:$T,$A732),'主表 Stock_Transaction_Log'!$S:$S)+SUMIF('主表 Stock_Transaction_Log'!$AB:$AB,INDEX('主表 Stock_Transaction_Log'!$T:$T,$A732),'主表 Stock_Transaction_Log'!$AC:$AC))</f>
        <v/>
      </c>
      <c r="I732" s="173" t="str">
        <f t="shared" si="1"/>
        <v/>
      </c>
      <c r="J732" s="173" t="str">
        <f t="shared" si="2"/>
        <v/>
      </c>
      <c r="K732" s="173" t="str">
        <f t="shared" si="3"/>
        <v/>
      </c>
      <c r="L732" s="173" t="str">
        <f t="array" ref="L732">IF($A732="","",INDEX('主表 Stock_Transaction_Log'!$P:$P,$A732))</f>
        <v/>
      </c>
      <c r="M732" s="174" t="str">
        <f>IF($A732="","",IF($H732&lt;=0,0,SUMIFS('主表 Stock_Transaction_Log'!$K$2:$K1000,'主表 Stock_Transaction_Log'!$C$2:$C1000,"Prepared",'主表 Stock_Transaction_Log'!$L$2:$L1000,$B732,'主表 Stock_Transaction_Log'!$F$2:$F1000,$C732,'主表 Stock_Transaction_Log'!$G$2:$G1000,$D732,'主表 Stock_Transaction_Log'!$P$2:$P1000,$L732)))</f>
        <v/>
      </c>
    </row>
    <row r="733">
      <c r="A733" s="173" t="str">
        <f>IF('主表 Stock_Transaction_Log'!$T733="","",IF(COUNTIF('主表 Stock_Transaction_Log'!$T$2:$T733,'主表 Stock_Transaction_Log'!$T733)=1,ROW('主表 Stock_Transaction_Log'!$T733),""))</f>
        <v/>
      </c>
      <c r="B733" s="173" t="str">
        <f t="array" ref="B733">IF($A733="","",INDEX('主表 Stock_Transaction_Log'!$Q:$Q,$A733))</f>
        <v/>
      </c>
      <c r="C733" s="173" t="str">
        <f t="array" ref="C733">IF($A733="","",IF(INDEX('主表 Stock_Transaction_Log'!$F:$F,$A733)=0,"",INDEX('主表 Stock_Transaction_Log'!$F:$F,$A733)))</f>
        <v/>
      </c>
      <c r="D733" s="173" t="str">
        <f t="array" ref="D733">IF($A733="","",INDEX('主表 Stock_Transaction_Log'!$G:$G,$A733))</f>
        <v/>
      </c>
      <c r="E733" s="173" t="str">
        <f t="array" ref="E733">IF($A733="","",INDEX('主表 Stock_Transaction_Log'!$H:$H,$A733))</f>
        <v/>
      </c>
      <c r="F733" s="173" t="str">
        <f t="array" ref="F733">IF($A733="","",INDEX('主表 Stock_Transaction_Log'!$I:$I,$A733))</f>
        <v/>
      </c>
      <c r="G733" s="173" t="str">
        <f t="array" ref="G733">IF($A733="","",IF(INDEX('主表 Stock_Transaction_Log'!$R:$R,$A733)=0,"",INDEX('主表 Stock_Transaction_Log'!$R:$R,$A733)))</f>
        <v/>
      </c>
      <c r="H733" s="173" t="str">
        <f t="array" ref="H733">IF($A733="","",SUMIF('主表 Stock_Transaction_Log'!$T:$T,INDEX('主表 Stock_Transaction_Log'!$T:$T,$A733),'主表 Stock_Transaction_Log'!$S:$S)+SUMIF('主表 Stock_Transaction_Log'!$AB:$AB,INDEX('主表 Stock_Transaction_Log'!$T:$T,$A733),'主表 Stock_Transaction_Log'!$AC:$AC))</f>
        <v/>
      </c>
      <c r="I733" s="173" t="str">
        <f t="shared" si="1"/>
        <v/>
      </c>
      <c r="J733" s="173" t="str">
        <f t="shared" si="2"/>
        <v/>
      </c>
      <c r="K733" s="173" t="str">
        <f t="shared" si="3"/>
        <v/>
      </c>
      <c r="L733" s="173" t="str">
        <f t="array" ref="L733">IF($A733="","",INDEX('主表 Stock_Transaction_Log'!$P:$P,$A733))</f>
        <v/>
      </c>
      <c r="M733" s="174" t="str">
        <f>IF($A733="","",IF($H733&lt;=0,0,SUMIFS('主表 Stock_Transaction_Log'!$K$2:$K1000,'主表 Stock_Transaction_Log'!$C$2:$C1000,"Prepared",'主表 Stock_Transaction_Log'!$L$2:$L1000,$B733,'主表 Stock_Transaction_Log'!$F$2:$F1000,$C733,'主表 Stock_Transaction_Log'!$G$2:$G1000,$D733,'主表 Stock_Transaction_Log'!$P$2:$P1000,$L733)))</f>
        <v/>
      </c>
    </row>
    <row r="734">
      <c r="A734" s="173" t="str">
        <f>IF('主表 Stock_Transaction_Log'!$T734="","",IF(COUNTIF('主表 Stock_Transaction_Log'!$T$2:$T734,'主表 Stock_Transaction_Log'!$T734)=1,ROW('主表 Stock_Transaction_Log'!$T734),""))</f>
        <v/>
      </c>
      <c r="B734" s="173" t="str">
        <f t="array" ref="B734">IF($A734="","",INDEX('主表 Stock_Transaction_Log'!$Q:$Q,$A734))</f>
        <v/>
      </c>
      <c r="C734" s="173" t="str">
        <f t="array" ref="C734">IF($A734="","",IF(INDEX('主表 Stock_Transaction_Log'!$F:$F,$A734)=0,"",INDEX('主表 Stock_Transaction_Log'!$F:$F,$A734)))</f>
        <v/>
      </c>
      <c r="D734" s="173" t="str">
        <f t="array" ref="D734">IF($A734="","",INDEX('主表 Stock_Transaction_Log'!$G:$G,$A734))</f>
        <v/>
      </c>
      <c r="E734" s="173" t="str">
        <f t="array" ref="E734">IF($A734="","",INDEX('主表 Stock_Transaction_Log'!$H:$H,$A734))</f>
        <v/>
      </c>
      <c r="F734" s="173" t="str">
        <f t="array" ref="F734">IF($A734="","",INDEX('主表 Stock_Transaction_Log'!$I:$I,$A734))</f>
        <v/>
      </c>
      <c r="G734" s="173" t="str">
        <f t="array" ref="G734">IF($A734="","",IF(INDEX('主表 Stock_Transaction_Log'!$R:$R,$A734)=0,"",INDEX('主表 Stock_Transaction_Log'!$R:$R,$A734)))</f>
        <v/>
      </c>
      <c r="H734" s="173" t="str">
        <f t="array" ref="H734">IF($A734="","",SUMIF('主表 Stock_Transaction_Log'!$T:$T,INDEX('主表 Stock_Transaction_Log'!$T:$T,$A734),'主表 Stock_Transaction_Log'!$S:$S)+SUMIF('主表 Stock_Transaction_Log'!$AB:$AB,INDEX('主表 Stock_Transaction_Log'!$T:$T,$A734),'主表 Stock_Transaction_Log'!$AC:$AC))</f>
        <v/>
      </c>
      <c r="I734" s="173" t="str">
        <f t="shared" si="1"/>
        <v/>
      </c>
      <c r="J734" s="173" t="str">
        <f t="shared" si="2"/>
        <v/>
      </c>
      <c r="K734" s="173" t="str">
        <f t="shared" si="3"/>
        <v/>
      </c>
      <c r="L734" s="173" t="str">
        <f t="array" ref="L734">IF($A734="","",INDEX('主表 Stock_Transaction_Log'!$P:$P,$A734))</f>
        <v/>
      </c>
      <c r="M734" s="174" t="str">
        <f>IF($A734="","",IF($H734&lt;=0,0,SUMIFS('主表 Stock_Transaction_Log'!$K$2:$K1000,'主表 Stock_Transaction_Log'!$C$2:$C1000,"Prepared",'主表 Stock_Transaction_Log'!$L$2:$L1000,$B734,'主表 Stock_Transaction_Log'!$F$2:$F1000,$C734,'主表 Stock_Transaction_Log'!$G$2:$G1000,$D734,'主表 Stock_Transaction_Log'!$P$2:$P1000,$L734)))</f>
        <v/>
      </c>
    </row>
    <row r="735">
      <c r="A735" s="173" t="str">
        <f>IF('主表 Stock_Transaction_Log'!$T735="","",IF(COUNTIF('主表 Stock_Transaction_Log'!$T$2:$T735,'主表 Stock_Transaction_Log'!$T735)=1,ROW('主表 Stock_Transaction_Log'!$T735),""))</f>
        <v/>
      </c>
      <c r="B735" s="173" t="str">
        <f t="array" ref="B735">IF($A735="","",INDEX('主表 Stock_Transaction_Log'!$Q:$Q,$A735))</f>
        <v/>
      </c>
      <c r="C735" s="173" t="str">
        <f t="array" ref="C735">IF($A735="","",IF(INDEX('主表 Stock_Transaction_Log'!$F:$F,$A735)=0,"",INDEX('主表 Stock_Transaction_Log'!$F:$F,$A735)))</f>
        <v/>
      </c>
      <c r="D735" s="173" t="str">
        <f t="array" ref="D735">IF($A735="","",INDEX('主表 Stock_Transaction_Log'!$G:$G,$A735))</f>
        <v/>
      </c>
      <c r="E735" s="173" t="str">
        <f t="array" ref="E735">IF($A735="","",INDEX('主表 Stock_Transaction_Log'!$H:$H,$A735))</f>
        <v/>
      </c>
      <c r="F735" s="173" t="str">
        <f t="array" ref="F735">IF($A735="","",INDEX('主表 Stock_Transaction_Log'!$I:$I,$A735))</f>
        <v/>
      </c>
      <c r="G735" s="173" t="str">
        <f t="array" ref="G735">IF($A735="","",IF(INDEX('主表 Stock_Transaction_Log'!$R:$R,$A735)=0,"",INDEX('主表 Stock_Transaction_Log'!$R:$R,$A735)))</f>
        <v/>
      </c>
      <c r="H735" s="173" t="str">
        <f t="array" ref="H735">IF($A735="","",SUMIF('主表 Stock_Transaction_Log'!$T:$T,INDEX('主表 Stock_Transaction_Log'!$T:$T,$A735),'主表 Stock_Transaction_Log'!$S:$S)+SUMIF('主表 Stock_Transaction_Log'!$AB:$AB,INDEX('主表 Stock_Transaction_Log'!$T:$T,$A735),'主表 Stock_Transaction_Log'!$AC:$AC))</f>
        <v/>
      </c>
      <c r="I735" s="173" t="str">
        <f t="shared" si="1"/>
        <v/>
      </c>
      <c r="J735" s="173" t="str">
        <f t="shared" si="2"/>
        <v/>
      </c>
      <c r="K735" s="173" t="str">
        <f t="shared" si="3"/>
        <v/>
      </c>
      <c r="L735" s="173" t="str">
        <f t="array" ref="L735">IF($A735="","",INDEX('主表 Stock_Transaction_Log'!$P:$P,$A735))</f>
        <v/>
      </c>
      <c r="M735" s="174" t="str">
        <f>IF($A735="","",IF($H735&lt;=0,0,SUMIFS('主表 Stock_Transaction_Log'!$K$2:$K1000,'主表 Stock_Transaction_Log'!$C$2:$C1000,"Prepared",'主表 Stock_Transaction_Log'!$L$2:$L1000,$B735,'主表 Stock_Transaction_Log'!$F$2:$F1000,$C735,'主表 Stock_Transaction_Log'!$G$2:$G1000,$D735,'主表 Stock_Transaction_Log'!$P$2:$P1000,$L735)))</f>
        <v/>
      </c>
    </row>
    <row r="736">
      <c r="A736" s="173" t="str">
        <f>IF('主表 Stock_Transaction_Log'!$T736="","",IF(COUNTIF('主表 Stock_Transaction_Log'!$T$2:$T736,'主表 Stock_Transaction_Log'!$T736)=1,ROW('主表 Stock_Transaction_Log'!$T736),""))</f>
        <v/>
      </c>
      <c r="B736" s="173" t="str">
        <f t="array" ref="B736">IF($A736="","",INDEX('主表 Stock_Transaction_Log'!$Q:$Q,$A736))</f>
        <v/>
      </c>
      <c r="C736" s="173" t="str">
        <f t="array" ref="C736">IF($A736="","",IF(INDEX('主表 Stock_Transaction_Log'!$F:$F,$A736)=0,"",INDEX('主表 Stock_Transaction_Log'!$F:$F,$A736)))</f>
        <v/>
      </c>
      <c r="D736" s="173" t="str">
        <f t="array" ref="D736">IF($A736="","",INDEX('主表 Stock_Transaction_Log'!$G:$G,$A736))</f>
        <v/>
      </c>
      <c r="E736" s="173" t="str">
        <f t="array" ref="E736">IF($A736="","",INDEX('主表 Stock_Transaction_Log'!$H:$H,$A736))</f>
        <v/>
      </c>
      <c r="F736" s="173" t="str">
        <f t="array" ref="F736">IF($A736="","",INDEX('主表 Stock_Transaction_Log'!$I:$I,$A736))</f>
        <v/>
      </c>
      <c r="G736" s="173" t="str">
        <f t="array" ref="G736">IF($A736="","",IF(INDEX('主表 Stock_Transaction_Log'!$R:$R,$A736)=0,"",INDEX('主表 Stock_Transaction_Log'!$R:$R,$A736)))</f>
        <v/>
      </c>
      <c r="H736" s="173" t="str">
        <f t="array" ref="H736">IF($A736="","",SUMIF('主表 Stock_Transaction_Log'!$T:$T,INDEX('主表 Stock_Transaction_Log'!$T:$T,$A736),'主表 Stock_Transaction_Log'!$S:$S)+SUMIF('主表 Stock_Transaction_Log'!$AB:$AB,INDEX('主表 Stock_Transaction_Log'!$T:$T,$A736),'主表 Stock_Transaction_Log'!$AC:$AC))</f>
        <v/>
      </c>
      <c r="I736" s="173" t="str">
        <f t="shared" si="1"/>
        <v/>
      </c>
      <c r="J736" s="173" t="str">
        <f t="shared" si="2"/>
        <v/>
      </c>
      <c r="K736" s="173" t="str">
        <f t="shared" si="3"/>
        <v/>
      </c>
      <c r="L736" s="173" t="str">
        <f t="array" ref="L736">IF($A736="","",INDEX('主表 Stock_Transaction_Log'!$P:$P,$A736))</f>
        <v/>
      </c>
      <c r="M736" s="174" t="str">
        <f>IF($A736="","",IF($H736&lt;=0,0,SUMIFS('主表 Stock_Transaction_Log'!$K$2:$K1000,'主表 Stock_Transaction_Log'!$C$2:$C1000,"Prepared",'主表 Stock_Transaction_Log'!$L$2:$L1000,$B736,'主表 Stock_Transaction_Log'!$F$2:$F1000,$C736,'主表 Stock_Transaction_Log'!$G$2:$G1000,$D736,'主表 Stock_Transaction_Log'!$P$2:$P1000,$L736)))</f>
        <v/>
      </c>
    </row>
    <row r="737">
      <c r="A737" s="173" t="str">
        <f>IF('主表 Stock_Transaction_Log'!$T737="","",IF(COUNTIF('主表 Stock_Transaction_Log'!$T$2:$T737,'主表 Stock_Transaction_Log'!$T737)=1,ROW('主表 Stock_Transaction_Log'!$T737),""))</f>
        <v/>
      </c>
      <c r="B737" s="173" t="str">
        <f t="array" ref="B737">IF($A737="","",INDEX('主表 Stock_Transaction_Log'!$Q:$Q,$A737))</f>
        <v/>
      </c>
      <c r="C737" s="173" t="str">
        <f t="array" ref="C737">IF($A737="","",IF(INDEX('主表 Stock_Transaction_Log'!$F:$F,$A737)=0,"",INDEX('主表 Stock_Transaction_Log'!$F:$F,$A737)))</f>
        <v/>
      </c>
      <c r="D737" s="173" t="str">
        <f t="array" ref="D737">IF($A737="","",INDEX('主表 Stock_Transaction_Log'!$G:$G,$A737))</f>
        <v/>
      </c>
      <c r="E737" s="173" t="str">
        <f t="array" ref="E737">IF($A737="","",INDEX('主表 Stock_Transaction_Log'!$H:$H,$A737))</f>
        <v/>
      </c>
      <c r="F737" s="173" t="str">
        <f t="array" ref="F737">IF($A737="","",INDEX('主表 Stock_Transaction_Log'!$I:$I,$A737))</f>
        <v/>
      </c>
      <c r="G737" s="173" t="str">
        <f t="array" ref="G737">IF($A737="","",IF(INDEX('主表 Stock_Transaction_Log'!$R:$R,$A737)=0,"",INDEX('主表 Stock_Transaction_Log'!$R:$R,$A737)))</f>
        <v/>
      </c>
      <c r="H737" s="173" t="str">
        <f t="array" ref="H737">IF($A737="","",SUMIF('主表 Stock_Transaction_Log'!$T:$T,INDEX('主表 Stock_Transaction_Log'!$T:$T,$A737),'主表 Stock_Transaction_Log'!$S:$S)+SUMIF('主表 Stock_Transaction_Log'!$AB:$AB,INDEX('主表 Stock_Transaction_Log'!$T:$T,$A737),'主表 Stock_Transaction_Log'!$AC:$AC))</f>
        <v/>
      </c>
      <c r="I737" s="173" t="str">
        <f t="shared" si="1"/>
        <v/>
      </c>
      <c r="J737" s="173" t="str">
        <f t="shared" si="2"/>
        <v/>
      </c>
      <c r="K737" s="173" t="str">
        <f t="shared" si="3"/>
        <v/>
      </c>
      <c r="L737" s="173" t="str">
        <f t="array" ref="L737">IF($A737="","",INDEX('主表 Stock_Transaction_Log'!$P:$P,$A737))</f>
        <v/>
      </c>
      <c r="M737" s="174" t="str">
        <f>IF($A737="","",IF($H737&lt;=0,0,SUMIFS('主表 Stock_Transaction_Log'!$K$2:$K1000,'主表 Stock_Transaction_Log'!$C$2:$C1000,"Prepared",'主表 Stock_Transaction_Log'!$L$2:$L1000,$B737,'主表 Stock_Transaction_Log'!$F$2:$F1000,$C737,'主表 Stock_Transaction_Log'!$G$2:$G1000,$D737,'主表 Stock_Transaction_Log'!$P$2:$P1000,$L737)))</f>
        <v/>
      </c>
    </row>
    <row r="738">
      <c r="A738" s="173" t="str">
        <f>IF('主表 Stock_Transaction_Log'!$T738="","",IF(COUNTIF('主表 Stock_Transaction_Log'!$T$2:$T738,'主表 Stock_Transaction_Log'!$T738)=1,ROW('主表 Stock_Transaction_Log'!$T738),""))</f>
        <v/>
      </c>
      <c r="B738" s="173" t="str">
        <f t="array" ref="B738">IF($A738="","",INDEX('主表 Stock_Transaction_Log'!$Q:$Q,$A738))</f>
        <v/>
      </c>
      <c r="C738" s="173" t="str">
        <f t="array" ref="C738">IF($A738="","",IF(INDEX('主表 Stock_Transaction_Log'!$F:$F,$A738)=0,"",INDEX('主表 Stock_Transaction_Log'!$F:$F,$A738)))</f>
        <v/>
      </c>
      <c r="D738" s="173" t="str">
        <f t="array" ref="D738">IF($A738="","",INDEX('主表 Stock_Transaction_Log'!$G:$G,$A738))</f>
        <v/>
      </c>
      <c r="E738" s="173" t="str">
        <f t="array" ref="E738">IF($A738="","",INDEX('主表 Stock_Transaction_Log'!$H:$H,$A738))</f>
        <v/>
      </c>
      <c r="F738" s="173" t="str">
        <f t="array" ref="F738">IF($A738="","",INDEX('主表 Stock_Transaction_Log'!$I:$I,$A738))</f>
        <v/>
      </c>
      <c r="G738" s="173" t="str">
        <f t="array" ref="G738">IF($A738="","",IF(INDEX('主表 Stock_Transaction_Log'!$R:$R,$A738)=0,"",INDEX('主表 Stock_Transaction_Log'!$R:$R,$A738)))</f>
        <v/>
      </c>
      <c r="H738" s="173" t="str">
        <f t="array" ref="H738">IF($A738="","",SUMIF('主表 Stock_Transaction_Log'!$T:$T,INDEX('主表 Stock_Transaction_Log'!$T:$T,$A738),'主表 Stock_Transaction_Log'!$S:$S)+SUMIF('主表 Stock_Transaction_Log'!$AB:$AB,INDEX('主表 Stock_Transaction_Log'!$T:$T,$A738),'主表 Stock_Transaction_Log'!$AC:$AC))</f>
        <v/>
      </c>
      <c r="I738" s="173" t="str">
        <f t="shared" si="1"/>
        <v/>
      </c>
      <c r="J738" s="173" t="str">
        <f t="shared" si="2"/>
        <v/>
      </c>
      <c r="K738" s="173" t="str">
        <f t="shared" si="3"/>
        <v/>
      </c>
      <c r="L738" s="173" t="str">
        <f t="array" ref="L738">IF($A738="","",INDEX('主表 Stock_Transaction_Log'!$P:$P,$A738))</f>
        <v/>
      </c>
      <c r="M738" s="174" t="str">
        <f>IF($A738="","",IF($H738&lt;=0,0,SUMIFS('主表 Stock_Transaction_Log'!$K$2:$K1000,'主表 Stock_Transaction_Log'!$C$2:$C1000,"Prepared",'主表 Stock_Transaction_Log'!$L$2:$L1000,$B738,'主表 Stock_Transaction_Log'!$F$2:$F1000,$C738,'主表 Stock_Transaction_Log'!$G$2:$G1000,$D738,'主表 Stock_Transaction_Log'!$P$2:$P1000,$L738)))</f>
        <v/>
      </c>
    </row>
    <row r="739">
      <c r="A739" s="173" t="str">
        <f>IF('主表 Stock_Transaction_Log'!$T739="","",IF(COUNTIF('主表 Stock_Transaction_Log'!$T$2:$T739,'主表 Stock_Transaction_Log'!$T739)=1,ROW('主表 Stock_Transaction_Log'!$T739),""))</f>
        <v/>
      </c>
      <c r="B739" s="173" t="str">
        <f t="array" ref="B739">IF($A739="","",INDEX('主表 Stock_Transaction_Log'!$Q:$Q,$A739))</f>
        <v/>
      </c>
      <c r="C739" s="173" t="str">
        <f t="array" ref="C739">IF($A739="","",IF(INDEX('主表 Stock_Transaction_Log'!$F:$F,$A739)=0,"",INDEX('主表 Stock_Transaction_Log'!$F:$F,$A739)))</f>
        <v/>
      </c>
      <c r="D739" s="173" t="str">
        <f t="array" ref="D739">IF($A739="","",INDEX('主表 Stock_Transaction_Log'!$G:$G,$A739))</f>
        <v/>
      </c>
      <c r="E739" s="173" t="str">
        <f t="array" ref="E739">IF($A739="","",INDEX('主表 Stock_Transaction_Log'!$H:$H,$A739))</f>
        <v/>
      </c>
      <c r="F739" s="173" t="str">
        <f t="array" ref="F739">IF($A739="","",INDEX('主表 Stock_Transaction_Log'!$I:$I,$A739))</f>
        <v/>
      </c>
      <c r="G739" s="173" t="str">
        <f t="array" ref="G739">IF($A739="","",IF(INDEX('主表 Stock_Transaction_Log'!$R:$R,$A739)=0,"",INDEX('主表 Stock_Transaction_Log'!$R:$R,$A739)))</f>
        <v/>
      </c>
      <c r="H739" s="173" t="str">
        <f t="array" ref="H739">IF($A739="","",SUMIF('主表 Stock_Transaction_Log'!$T:$T,INDEX('主表 Stock_Transaction_Log'!$T:$T,$A739),'主表 Stock_Transaction_Log'!$S:$S)+SUMIF('主表 Stock_Transaction_Log'!$AB:$AB,INDEX('主表 Stock_Transaction_Log'!$T:$T,$A739),'主表 Stock_Transaction_Log'!$AC:$AC))</f>
        <v/>
      </c>
      <c r="I739" s="173" t="str">
        <f t="shared" si="1"/>
        <v/>
      </c>
      <c r="J739" s="173" t="str">
        <f t="shared" si="2"/>
        <v/>
      </c>
      <c r="K739" s="173" t="str">
        <f t="shared" si="3"/>
        <v/>
      </c>
      <c r="L739" s="173" t="str">
        <f t="array" ref="L739">IF($A739="","",INDEX('主表 Stock_Transaction_Log'!$P:$P,$A739))</f>
        <v/>
      </c>
      <c r="M739" s="174" t="str">
        <f>IF($A739="","",IF($H739&lt;=0,0,SUMIFS('主表 Stock_Transaction_Log'!$K$2:$K1000,'主表 Stock_Transaction_Log'!$C$2:$C1000,"Prepared",'主表 Stock_Transaction_Log'!$L$2:$L1000,$B739,'主表 Stock_Transaction_Log'!$F$2:$F1000,$C739,'主表 Stock_Transaction_Log'!$G$2:$G1000,$D739,'主表 Stock_Transaction_Log'!$P$2:$P1000,$L739)))</f>
        <v/>
      </c>
    </row>
    <row r="740">
      <c r="A740" s="173" t="str">
        <f>IF('主表 Stock_Transaction_Log'!$T740="","",IF(COUNTIF('主表 Stock_Transaction_Log'!$T$2:$T740,'主表 Stock_Transaction_Log'!$T740)=1,ROW('主表 Stock_Transaction_Log'!$T740),""))</f>
        <v/>
      </c>
      <c r="B740" s="173" t="str">
        <f t="array" ref="B740">IF($A740="","",INDEX('主表 Stock_Transaction_Log'!$Q:$Q,$A740))</f>
        <v/>
      </c>
      <c r="C740" s="173" t="str">
        <f t="array" ref="C740">IF($A740="","",IF(INDEX('主表 Stock_Transaction_Log'!$F:$F,$A740)=0,"",INDEX('主表 Stock_Transaction_Log'!$F:$F,$A740)))</f>
        <v/>
      </c>
      <c r="D740" s="173" t="str">
        <f t="array" ref="D740">IF($A740="","",INDEX('主表 Stock_Transaction_Log'!$G:$G,$A740))</f>
        <v/>
      </c>
      <c r="E740" s="173" t="str">
        <f t="array" ref="E740">IF($A740="","",INDEX('主表 Stock_Transaction_Log'!$H:$H,$A740))</f>
        <v/>
      </c>
      <c r="F740" s="173" t="str">
        <f t="array" ref="F740">IF($A740="","",INDEX('主表 Stock_Transaction_Log'!$I:$I,$A740))</f>
        <v/>
      </c>
      <c r="G740" s="173" t="str">
        <f t="array" ref="G740">IF($A740="","",IF(INDEX('主表 Stock_Transaction_Log'!$R:$R,$A740)=0,"",INDEX('主表 Stock_Transaction_Log'!$R:$R,$A740)))</f>
        <v/>
      </c>
      <c r="H740" s="173" t="str">
        <f t="array" ref="H740">IF($A740="","",SUMIF('主表 Stock_Transaction_Log'!$T:$T,INDEX('主表 Stock_Transaction_Log'!$T:$T,$A740),'主表 Stock_Transaction_Log'!$S:$S)+SUMIF('主表 Stock_Transaction_Log'!$AB:$AB,INDEX('主表 Stock_Transaction_Log'!$T:$T,$A740),'主表 Stock_Transaction_Log'!$AC:$AC))</f>
        <v/>
      </c>
      <c r="I740" s="173" t="str">
        <f t="shared" si="1"/>
        <v/>
      </c>
      <c r="J740" s="173" t="str">
        <f t="shared" si="2"/>
        <v/>
      </c>
      <c r="K740" s="173" t="str">
        <f t="shared" si="3"/>
        <v/>
      </c>
      <c r="L740" s="173" t="str">
        <f t="array" ref="L740">IF($A740="","",INDEX('主表 Stock_Transaction_Log'!$P:$P,$A740))</f>
        <v/>
      </c>
      <c r="M740" s="174" t="str">
        <f>IF($A740="","",IF($H740&lt;=0,0,SUMIFS('主表 Stock_Transaction_Log'!$K$2:$K1000,'主表 Stock_Transaction_Log'!$C$2:$C1000,"Prepared",'主表 Stock_Transaction_Log'!$L$2:$L1000,$B740,'主表 Stock_Transaction_Log'!$F$2:$F1000,$C740,'主表 Stock_Transaction_Log'!$G$2:$G1000,$D740,'主表 Stock_Transaction_Log'!$P$2:$P1000,$L740)))</f>
        <v/>
      </c>
    </row>
    <row r="741">
      <c r="A741" s="173" t="str">
        <f>IF('主表 Stock_Transaction_Log'!$T741="","",IF(COUNTIF('主表 Stock_Transaction_Log'!$T$2:$T741,'主表 Stock_Transaction_Log'!$T741)=1,ROW('主表 Stock_Transaction_Log'!$T741),""))</f>
        <v/>
      </c>
      <c r="B741" s="173" t="str">
        <f t="array" ref="B741">IF($A741="","",INDEX('主表 Stock_Transaction_Log'!$Q:$Q,$A741))</f>
        <v/>
      </c>
      <c r="C741" s="173" t="str">
        <f t="array" ref="C741">IF($A741="","",IF(INDEX('主表 Stock_Transaction_Log'!$F:$F,$A741)=0,"",INDEX('主表 Stock_Transaction_Log'!$F:$F,$A741)))</f>
        <v/>
      </c>
      <c r="D741" s="173" t="str">
        <f t="array" ref="D741">IF($A741="","",INDEX('主表 Stock_Transaction_Log'!$G:$G,$A741))</f>
        <v/>
      </c>
      <c r="E741" s="173" t="str">
        <f t="array" ref="E741">IF($A741="","",INDEX('主表 Stock_Transaction_Log'!$H:$H,$A741))</f>
        <v/>
      </c>
      <c r="F741" s="173" t="str">
        <f t="array" ref="F741">IF($A741="","",INDEX('主表 Stock_Transaction_Log'!$I:$I,$A741))</f>
        <v/>
      </c>
      <c r="G741" s="173" t="str">
        <f t="array" ref="G741">IF($A741="","",IF(INDEX('主表 Stock_Transaction_Log'!$R:$R,$A741)=0,"",INDEX('主表 Stock_Transaction_Log'!$R:$R,$A741)))</f>
        <v/>
      </c>
      <c r="H741" s="173" t="str">
        <f t="array" ref="H741">IF($A741="","",SUMIF('主表 Stock_Transaction_Log'!$T:$T,INDEX('主表 Stock_Transaction_Log'!$T:$T,$A741),'主表 Stock_Transaction_Log'!$S:$S)+SUMIF('主表 Stock_Transaction_Log'!$AB:$AB,INDEX('主表 Stock_Transaction_Log'!$T:$T,$A741),'主表 Stock_Transaction_Log'!$AC:$AC))</f>
        <v/>
      </c>
      <c r="I741" s="173" t="str">
        <f t="shared" si="1"/>
        <v/>
      </c>
      <c r="J741" s="173" t="str">
        <f t="shared" si="2"/>
        <v/>
      </c>
      <c r="K741" s="173" t="str">
        <f t="shared" si="3"/>
        <v/>
      </c>
      <c r="L741" s="173" t="str">
        <f t="array" ref="L741">IF($A741="","",INDEX('主表 Stock_Transaction_Log'!$P:$P,$A741))</f>
        <v/>
      </c>
      <c r="M741" s="174" t="str">
        <f>IF($A741="","",IF($H741&lt;=0,0,SUMIFS('主表 Stock_Transaction_Log'!$K$2:$K1000,'主表 Stock_Transaction_Log'!$C$2:$C1000,"Prepared",'主表 Stock_Transaction_Log'!$L$2:$L1000,$B741,'主表 Stock_Transaction_Log'!$F$2:$F1000,$C741,'主表 Stock_Transaction_Log'!$G$2:$G1000,$D741,'主表 Stock_Transaction_Log'!$P$2:$P1000,$L741)))</f>
        <v/>
      </c>
    </row>
    <row r="742">
      <c r="A742" s="173" t="str">
        <f>IF('主表 Stock_Transaction_Log'!$T742="","",IF(COUNTIF('主表 Stock_Transaction_Log'!$T$2:$T742,'主表 Stock_Transaction_Log'!$T742)=1,ROW('主表 Stock_Transaction_Log'!$T742),""))</f>
        <v/>
      </c>
      <c r="B742" s="173" t="str">
        <f t="array" ref="B742">IF($A742="","",INDEX('主表 Stock_Transaction_Log'!$Q:$Q,$A742))</f>
        <v/>
      </c>
      <c r="C742" s="173" t="str">
        <f t="array" ref="C742">IF($A742="","",IF(INDEX('主表 Stock_Transaction_Log'!$F:$F,$A742)=0,"",INDEX('主表 Stock_Transaction_Log'!$F:$F,$A742)))</f>
        <v/>
      </c>
      <c r="D742" s="173" t="str">
        <f t="array" ref="D742">IF($A742="","",INDEX('主表 Stock_Transaction_Log'!$G:$G,$A742))</f>
        <v/>
      </c>
      <c r="E742" s="173" t="str">
        <f t="array" ref="E742">IF($A742="","",INDEX('主表 Stock_Transaction_Log'!$H:$H,$A742))</f>
        <v/>
      </c>
      <c r="F742" s="173" t="str">
        <f t="array" ref="F742">IF($A742="","",INDEX('主表 Stock_Transaction_Log'!$I:$I,$A742))</f>
        <v/>
      </c>
      <c r="G742" s="173" t="str">
        <f t="array" ref="G742">IF($A742="","",IF(INDEX('主表 Stock_Transaction_Log'!$R:$R,$A742)=0,"",INDEX('主表 Stock_Transaction_Log'!$R:$R,$A742)))</f>
        <v/>
      </c>
      <c r="H742" s="173" t="str">
        <f t="array" ref="H742">IF($A742="","",SUMIF('主表 Stock_Transaction_Log'!$T:$T,INDEX('主表 Stock_Transaction_Log'!$T:$T,$A742),'主表 Stock_Transaction_Log'!$S:$S)+SUMIF('主表 Stock_Transaction_Log'!$AB:$AB,INDEX('主表 Stock_Transaction_Log'!$T:$T,$A742),'主表 Stock_Transaction_Log'!$AC:$AC))</f>
        <v/>
      </c>
      <c r="I742" s="173" t="str">
        <f t="shared" si="1"/>
        <v/>
      </c>
      <c r="J742" s="173" t="str">
        <f t="shared" si="2"/>
        <v/>
      </c>
      <c r="K742" s="173" t="str">
        <f t="shared" si="3"/>
        <v/>
      </c>
      <c r="L742" s="173" t="str">
        <f t="array" ref="L742">IF($A742="","",INDEX('主表 Stock_Transaction_Log'!$P:$P,$A742))</f>
        <v/>
      </c>
      <c r="M742" s="174" t="str">
        <f>IF($A742="","",IF($H742&lt;=0,0,SUMIFS('主表 Stock_Transaction_Log'!$K$2:$K1000,'主表 Stock_Transaction_Log'!$C$2:$C1000,"Prepared",'主表 Stock_Transaction_Log'!$L$2:$L1000,$B742,'主表 Stock_Transaction_Log'!$F$2:$F1000,$C742,'主表 Stock_Transaction_Log'!$G$2:$G1000,$D742,'主表 Stock_Transaction_Log'!$P$2:$P1000,$L742)))</f>
        <v/>
      </c>
    </row>
    <row r="743">
      <c r="A743" s="173" t="str">
        <f>IF('主表 Stock_Transaction_Log'!$T743="","",IF(COUNTIF('主表 Stock_Transaction_Log'!$T$2:$T743,'主表 Stock_Transaction_Log'!$T743)=1,ROW('主表 Stock_Transaction_Log'!$T743),""))</f>
        <v/>
      </c>
      <c r="B743" s="173" t="str">
        <f t="array" ref="B743">IF($A743="","",INDEX('主表 Stock_Transaction_Log'!$Q:$Q,$A743))</f>
        <v/>
      </c>
      <c r="C743" s="173" t="str">
        <f t="array" ref="C743">IF($A743="","",IF(INDEX('主表 Stock_Transaction_Log'!$F:$F,$A743)=0,"",INDEX('主表 Stock_Transaction_Log'!$F:$F,$A743)))</f>
        <v/>
      </c>
      <c r="D743" s="173" t="str">
        <f t="array" ref="D743">IF($A743="","",INDEX('主表 Stock_Transaction_Log'!$G:$G,$A743))</f>
        <v/>
      </c>
      <c r="E743" s="173" t="str">
        <f t="array" ref="E743">IF($A743="","",INDEX('主表 Stock_Transaction_Log'!$H:$H,$A743))</f>
        <v/>
      </c>
      <c r="F743" s="173" t="str">
        <f t="array" ref="F743">IF($A743="","",INDEX('主表 Stock_Transaction_Log'!$I:$I,$A743))</f>
        <v/>
      </c>
      <c r="G743" s="173" t="str">
        <f t="array" ref="G743">IF($A743="","",IF(INDEX('主表 Stock_Transaction_Log'!$R:$R,$A743)=0,"",INDEX('主表 Stock_Transaction_Log'!$R:$R,$A743)))</f>
        <v/>
      </c>
      <c r="H743" s="173" t="str">
        <f t="array" ref="H743">IF($A743="","",SUMIF('主表 Stock_Transaction_Log'!$T:$T,INDEX('主表 Stock_Transaction_Log'!$T:$T,$A743),'主表 Stock_Transaction_Log'!$S:$S)+SUMIF('主表 Stock_Transaction_Log'!$AB:$AB,INDEX('主表 Stock_Transaction_Log'!$T:$T,$A743),'主表 Stock_Transaction_Log'!$AC:$AC))</f>
        <v/>
      </c>
      <c r="I743" s="173" t="str">
        <f t="shared" si="1"/>
        <v/>
      </c>
      <c r="J743" s="173" t="str">
        <f t="shared" si="2"/>
        <v/>
      </c>
      <c r="K743" s="173" t="str">
        <f t="shared" si="3"/>
        <v/>
      </c>
      <c r="L743" s="173" t="str">
        <f t="array" ref="L743">IF($A743="","",INDEX('主表 Stock_Transaction_Log'!$P:$P,$A743))</f>
        <v/>
      </c>
      <c r="M743" s="174" t="str">
        <f>IF($A743="","",IF($H743&lt;=0,0,SUMIFS('主表 Stock_Transaction_Log'!$K$2:$K1000,'主表 Stock_Transaction_Log'!$C$2:$C1000,"Prepared",'主表 Stock_Transaction_Log'!$L$2:$L1000,$B743,'主表 Stock_Transaction_Log'!$F$2:$F1000,$C743,'主表 Stock_Transaction_Log'!$G$2:$G1000,$D743,'主表 Stock_Transaction_Log'!$P$2:$P1000,$L743)))</f>
        <v/>
      </c>
    </row>
    <row r="744">
      <c r="A744" s="173" t="str">
        <f>IF('主表 Stock_Transaction_Log'!$T744="","",IF(COUNTIF('主表 Stock_Transaction_Log'!$T$2:$T744,'主表 Stock_Transaction_Log'!$T744)=1,ROW('主表 Stock_Transaction_Log'!$T744),""))</f>
        <v/>
      </c>
      <c r="B744" s="173" t="str">
        <f t="array" ref="B744">IF($A744="","",INDEX('主表 Stock_Transaction_Log'!$Q:$Q,$A744))</f>
        <v/>
      </c>
      <c r="C744" s="173" t="str">
        <f t="array" ref="C744">IF($A744="","",IF(INDEX('主表 Stock_Transaction_Log'!$F:$F,$A744)=0,"",INDEX('主表 Stock_Transaction_Log'!$F:$F,$A744)))</f>
        <v/>
      </c>
      <c r="D744" s="173" t="str">
        <f t="array" ref="D744">IF($A744="","",INDEX('主表 Stock_Transaction_Log'!$G:$G,$A744))</f>
        <v/>
      </c>
      <c r="E744" s="173" t="str">
        <f t="array" ref="E744">IF($A744="","",INDEX('主表 Stock_Transaction_Log'!$H:$H,$A744))</f>
        <v/>
      </c>
      <c r="F744" s="173" t="str">
        <f t="array" ref="F744">IF($A744="","",INDEX('主表 Stock_Transaction_Log'!$I:$I,$A744))</f>
        <v/>
      </c>
      <c r="G744" s="173" t="str">
        <f t="array" ref="G744">IF($A744="","",IF(INDEX('主表 Stock_Transaction_Log'!$R:$R,$A744)=0,"",INDEX('主表 Stock_Transaction_Log'!$R:$R,$A744)))</f>
        <v/>
      </c>
      <c r="H744" s="173" t="str">
        <f t="array" ref="H744">IF($A744="","",SUMIF('主表 Stock_Transaction_Log'!$T:$T,INDEX('主表 Stock_Transaction_Log'!$T:$T,$A744),'主表 Stock_Transaction_Log'!$S:$S)+SUMIF('主表 Stock_Transaction_Log'!$AB:$AB,INDEX('主表 Stock_Transaction_Log'!$T:$T,$A744),'主表 Stock_Transaction_Log'!$AC:$AC))</f>
        <v/>
      </c>
      <c r="I744" s="173" t="str">
        <f t="shared" si="1"/>
        <v/>
      </c>
      <c r="J744" s="173" t="str">
        <f t="shared" si="2"/>
        <v/>
      </c>
      <c r="K744" s="173" t="str">
        <f t="shared" si="3"/>
        <v/>
      </c>
      <c r="L744" s="173" t="str">
        <f t="array" ref="L744">IF($A744="","",INDEX('主表 Stock_Transaction_Log'!$P:$P,$A744))</f>
        <v/>
      </c>
      <c r="M744" s="174" t="str">
        <f>IF($A744="","",IF($H744&lt;=0,0,SUMIFS('主表 Stock_Transaction_Log'!$K$2:$K1000,'主表 Stock_Transaction_Log'!$C$2:$C1000,"Prepared",'主表 Stock_Transaction_Log'!$L$2:$L1000,$B744,'主表 Stock_Transaction_Log'!$F$2:$F1000,$C744,'主表 Stock_Transaction_Log'!$G$2:$G1000,$D744,'主表 Stock_Transaction_Log'!$P$2:$P1000,$L744)))</f>
        <v/>
      </c>
    </row>
    <row r="745">
      <c r="A745" s="173" t="str">
        <f>IF('主表 Stock_Transaction_Log'!$T745="","",IF(COUNTIF('主表 Stock_Transaction_Log'!$T$2:$T745,'主表 Stock_Transaction_Log'!$T745)=1,ROW('主表 Stock_Transaction_Log'!$T745),""))</f>
        <v/>
      </c>
      <c r="B745" s="173" t="str">
        <f t="array" ref="B745">IF($A745="","",INDEX('主表 Stock_Transaction_Log'!$Q:$Q,$A745))</f>
        <v/>
      </c>
      <c r="C745" s="173" t="str">
        <f t="array" ref="C745">IF($A745="","",IF(INDEX('主表 Stock_Transaction_Log'!$F:$F,$A745)=0,"",INDEX('主表 Stock_Transaction_Log'!$F:$F,$A745)))</f>
        <v/>
      </c>
      <c r="D745" s="173" t="str">
        <f t="array" ref="D745">IF($A745="","",INDEX('主表 Stock_Transaction_Log'!$G:$G,$A745))</f>
        <v/>
      </c>
      <c r="E745" s="173" t="str">
        <f t="array" ref="E745">IF($A745="","",INDEX('主表 Stock_Transaction_Log'!$H:$H,$A745))</f>
        <v/>
      </c>
      <c r="F745" s="173" t="str">
        <f t="array" ref="F745">IF($A745="","",INDEX('主表 Stock_Transaction_Log'!$I:$I,$A745))</f>
        <v/>
      </c>
      <c r="G745" s="173" t="str">
        <f t="array" ref="G745">IF($A745="","",IF(INDEX('主表 Stock_Transaction_Log'!$R:$R,$A745)=0,"",INDEX('主表 Stock_Transaction_Log'!$R:$R,$A745)))</f>
        <v/>
      </c>
      <c r="H745" s="173" t="str">
        <f t="array" ref="H745">IF($A745="","",SUMIF('主表 Stock_Transaction_Log'!$T:$T,INDEX('主表 Stock_Transaction_Log'!$T:$T,$A745),'主表 Stock_Transaction_Log'!$S:$S)+SUMIF('主表 Stock_Transaction_Log'!$AB:$AB,INDEX('主表 Stock_Transaction_Log'!$T:$T,$A745),'主表 Stock_Transaction_Log'!$AC:$AC))</f>
        <v/>
      </c>
      <c r="I745" s="173" t="str">
        <f t="shared" si="1"/>
        <v/>
      </c>
      <c r="J745" s="173" t="str">
        <f t="shared" si="2"/>
        <v/>
      </c>
      <c r="K745" s="173" t="str">
        <f t="shared" si="3"/>
        <v/>
      </c>
      <c r="L745" s="173" t="str">
        <f t="array" ref="L745">IF($A745="","",INDEX('主表 Stock_Transaction_Log'!$P:$P,$A745))</f>
        <v/>
      </c>
      <c r="M745" s="174" t="str">
        <f>IF($A745="","",IF($H745&lt;=0,0,SUMIFS('主表 Stock_Transaction_Log'!$K$2:$K1000,'主表 Stock_Transaction_Log'!$C$2:$C1000,"Prepared",'主表 Stock_Transaction_Log'!$L$2:$L1000,$B745,'主表 Stock_Transaction_Log'!$F$2:$F1000,$C745,'主表 Stock_Transaction_Log'!$G$2:$G1000,$D745,'主表 Stock_Transaction_Log'!$P$2:$P1000,$L745)))</f>
        <v/>
      </c>
    </row>
    <row r="746">
      <c r="A746" s="173" t="str">
        <f>IF('主表 Stock_Transaction_Log'!$T746="","",IF(COUNTIF('主表 Stock_Transaction_Log'!$T$2:$T746,'主表 Stock_Transaction_Log'!$T746)=1,ROW('主表 Stock_Transaction_Log'!$T746),""))</f>
        <v/>
      </c>
      <c r="B746" s="173" t="str">
        <f t="array" ref="B746">IF($A746="","",INDEX('主表 Stock_Transaction_Log'!$Q:$Q,$A746))</f>
        <v/>
      </c>
      <c r="C746" s="173" t="str">
        <f t="array" ref="C746">IF($A746="","",IF(INDEX('主表 Stock_Transaction_Log'!$F:$F,$A746)=0,"",INDEX('主表 Stock_Transaction_Log'!$F:$F,$A746)))</f>
        <v/>
      </c>
      <c r="D746" s="173" t="str">
        <f t="array" ref="D746">IF($A746="","",INDEX('主表 Stock_Transaction_Log'!$G:$G,$A746))</f>
        <v/>
      </c>
      <c r="E746" s="173" t="str">
        <f t="array" ref="E746">IF($A746="","",INDEX('主表 Stock_Transaction_Log'!$H:$H,$A746))</f>
        <v/>
      </c>
      <c r="F746" s="173" t="str">
        <f t="array" ref="F746">IF($A746="","",INDEX('主表 Stock_Transaction_Log'!$I:$I,$A746))</f>
        <v/>
      </c>
      <c r="G746" s="173" t="str">
        <f t="array" ref="G746">IF($A746="","",IF(INDEX('主表 Stock_Transaction_Log'!$R:$R,$A746)=0,"",INDEX('主表 Stock_Transaction_Log'!$R:$R,$A746)))</f>
        <v/>
      </c>
      <c r="H746" s="173" t="str">
        <f t="array" ref="H746">IF($A746="","",SUMIF('主表 Stock_Transaction_Log'!$T:$T,INDEX('主表 Stock_Transaction_Log'!$T:$T,$A746),'主表 Stock_Transaction_Log'!$S:$S)+SUMIF('主表 Stock_Transaction_Log'!$AB:$AB,INDEX('主表 Stock_Transaction_Log'!$T:$T,$A746),'主表 Stock_Transaction_Log'!$AC:$AC))</f>
        <v/>
      </c>
      <c r="I746" s="173" t="str">
        <f t="shared" si="1"/>
        <v/>
      </c>
      <c r="J746" s="173" t="str">
        <f t="shared" si="2"/>
        <v/>
      </c>
      <c r="K746" s="173" t="str">
        <f t="shared" si="3"/>
        <v/>
      </c>
      <c r="L746" s="173" t="str">
        <f t="array" ref="L746">IF($A746="","",INDEX('主表 Stock_Transaction_Log'!$P:$P,$A746))</f>
        <v/>
      </c>
      <c r="M746" s="174" t="str">
        <f>IF($A746="","",IF($H746&lt;=0,0,SUMIFS('主表 Stock_Transaction_Log'!$K$2:$K1000,'主表 Stock_Transaction_Log'!$C$2:$C1000,"Prepared",'主表 Stock_Transaction_Log'!$L$2:$L1000,$B746,'主表 Stock_Transaction_Log'!$F$2:$F1000,$C746,'主表 Stock_Transaction_Log'!$G$2:$G1000,$D746,'主表 Stock_Transaction_Log'!$P$2:$P1000,$L746)))</f>
        <v/>
      </c>
    </row>
    <row r="747">
      <c r="A747" s="173" t="str">
        <f>IF('主表 Stock_Transaction_Log'!$T747="","",IF(COUNTIF('主表 Stock_Transaction_Log'!$T$2:$T747,'主表 Stock_Transaction_Log'!$T747)=1,ROW('主表 Stock_Transaction_Log'!$T747),""))</f>
        <v/>
      </c>
      <c r="B747" s="173" t="str">
        <f t="array" ref="B747">IF($A747="","",INDEX('主表 Stock_Transaction_Log'!$Q:$Q,$A747))</f>
        <v/>
      </c>
      <c r="C747" s="173" t="str">
        <f t="array" ref="C747">IF($A747="","",IF(INDEX('主表 Stock_Transaction_Log'!$F:$F,$A747)=0,"",INDEX('主表 Stock_Transaction_Log'!$F:$F,$A747)))</f>
        <v/>
      </c>
      <c r="D747" s="173" t="str">
        <f t="array" ref="D747">IF($A747="","",INDEX('主表 Stock_Transaction_Log'!$G:$G,$A747))</f>
        <v/>
      </c>
      <c r="E747" s="173" t="str">
        <f t="array" ref="E747">IF($A747="","",INDEX('主表 Stock_Transaction_Log'!$H:$H,$A747))</f>
        <v/>
      </c>
      <c r="F747" s="173" t="str">
        <f t="array" ref="F747">IF($A747="","",INDEX('主表 Stock_Transaction_Log'!$I:$I,$A747))</f>
        <v/>
      </c>
      <c r="G747" s="173" t="str">
        <f t="array" ref="G747">IF($A747="","",IF(INDEX('主表 Stock_Transaction_Log'!$R:$R,$A747)=0,"",INDEX('主表 Stock_Transaction_Log'!$R:$R,$A747)))</f>
        <v/>
      </c>
      <c r="H747" s="173" t="str">
        <f t="array" ref="H747">IF($A747="","",SUMIF('主表 Stock_Transaction_Log'!$T:$T,INDEX('主表 Stock_Transaction_Log'!$T:$T,$A747),'主表 Stock_Transaction_Log'!$S:$S)+SUMIF('主表 Stock_Transaction_Log'!$AB:$AB,INDEX('主表 Stock_Transaction_Log'!$T:$T,$A747),'主表 Stock_Transaction_Log'!$AC:$AC))</f>
        <v/>
      </c>
      <c r="I747" s="173" t="str">
        <f t="shared" si="1"/>
        <v/>
      </c>
      <c r="J747" s="173" t="str">
        <f t="shared" si="2"/>
        <v/>
      </c>
      <c r="K747" s="173" t="str">
        <f t="shared" si="3"/>
        <v/>
      </c>
      <c r="L747" s="173" t="str">
        <f t="array" ref="L747">IF($A747="","",INDEX('主表 Stock_Transaction_Log'!$P:$P,$A747))</f>
        <v/>
      </c>
      <c r="M747" s="174" t="str">
        <f>IF($A747="","",IF($H747&lt;=0,0,SUMIFS('主表 Stock_Transaction_Log'!$K$2:$K1000,'主表 Stock_Transaction_Log'!$C$2:$C1000,"Prepared",'主表 Stock_Transaction_Log'!$L$2:$L1000,$B747,'主表 Stock_Transaction_Log'!$F$2:$F1000,$C747,'主表 Stock_Transaction_Log'!$G$2:$G1000,$D747,'主表 Stock_Transaction_Log'!$P$2:$P1000,$L747)))</f>
        <v/>
      </c>
    </row>
    <row r="748">
      <c r="A748" s="173" t="str">
        <f>IF('主表 Stock_Transaction_Log'!$T748="","",IF(COUNTIF('主表 Stock_Transaction_Log'!$T$2:$T748,'主表 Stock_Transaction_Log'!$T748)=1,ROW('主表 Stock_Transaction_Log'!$T748),""))</f>
        <v/>
      </c>
      <c r="B748" s="173" t="str">
        <f t="array" ref="B748">IF($A748="","",INDEX('主表 Stock_Transaction_Log'!$Q:$Q,$A748))</f>
        <v/>
      </c>
      <c r="C748" s="173" t="str">
        <f t="array" ref="C748">IF($A748="","",IF(INDEX('主表 Stock_Transaction_Log'!$F:$F,$A748)=0,"",INDEX('主表 Stock_Transaction_Log'!$F:$F,$A748)))</f>
        <v/>
      </c>
      <c r="D748" s="173" t="str">
        <f t="array" ref="D748">IF($A748="","",INDEX('主表 Stock_Transaction_Log'!$G:$G,$A748))</f>
        <v/>
      </c>
      <c r="E748" s="173" t="str">
        <f t="array" ref="E748">IF($A748="","",INDEX('主表 Stock_Transaction_Log'!$H:$H,$A748))</f>
        <v/>
      </c>
      <c r="F748" s="173" t="str">
        <f t="array" ref="F748">IF($A748="","",INDEX('主表 Stock_Transaction_Log'!$I:$I,$A748))</f>
        <v/>
      </c>
      <c r="G748" s="173" t="str">
        <f t="array" ref="G748">IF($A748="","",IF(INDEX('主表 Stock_Transaction_Log'!$R:$R,$A748)=0,"",INDEX('主表 Stock_Transaction_Log'!$R:$R,$A748)))</f>
        <v/>
      </c>
      <c r="H748" s="173" t="str">
        <f t="array" ref="H748">IF($A748="","",SUMIF('主表 Stock_Transaction_Log'!$T:$T,INDEX('主表 Stock_Transaction_Log'!$T:$T,$A748),'主表 Stock_Transaction_Log'!$S:$S)+SUMIF('主表 Stock_Transaction_Log'!$AB:$AB,INDEX('主表 Stock_Transaction_Log'!$T:$T,$A748),'主表 Stock_Transaction_Log'!$AC:$AC))</f>
        <v/>
      </c>
      <c r="I748" s="173" t="str">
        <f t="shared" si="1"/>
        <v/>
      </c>
      <c r="J748" s="173" t="str">
        <f t="shared" si="2"/>
        <v/>
      </c>
      <c r="K748" s="173" t="str">
        <f t="shared" si="3"/>
        <v/>
      </c>
      <c r="L748" s="173" t="str">
        <f t="array" ref="L748">IF($A748="","",INDEX('主表 Stock_Transaction_Log'!$P:$P,$A748))</f>
        <v/>
      </c>
      <c r="M748" s="174" t="str">
        <f>IF($A748="","",IF($H748&lt;=0,0,SUMIFS('主表 Stock_Transaction_Log'!$K$2:$K1000,'主表 Stock_Transaction_Log'!$C$2:$C1000,"Prepared",'主表 Stock_Transaction_Log'!$L$2:$L1000,$B748,'主表 Stock_Transaction_Log'!$F$2:$F1000,$C748,'主表 Stock_Transaction_Log'!$G$2:$G1000,$D748,'主表 Stock_Transaction_Log'!$P$2:$P1000,$L748)))</f>
        <v/>
      </c>
    </row>
    <row r="749">
      <c r="A749" s="173" t="str">
        <f>IF('主表 Stock_Transaction_Log'!$T749="","",IF(COUNTIF('主表 Stock_Transaction_Log'!$T$2:$T749,'主表 Stock_Transaction_Log'!$T749)=1,ROW('主表 Stock_Transaction_Log'!$T749),""))</f>
        <v/>
      </c>
      <c r="B749" s="173" t="str">
        <f t="array" ref="B749">IF($A749="","",INDEX('主表 Stock_Transaction_Log'!$Q:$Q,$A749))</f>
        <v/>
      </c>
      <c r="C749" s="173" t="str">
        <f t="array" ref="C749">IF($A749="","",IF(INDEX('主表 Stock_Transaction_Log'!$F:$F,$A749)=0,"",INDEX('主表 Stock_Transaction_Log'!$F:$F,$A749)))</f>
        <v/>
      </c>
      <c r="D749" s="173" t="str">
        <f t="array" ref="D749">IF($A749="","",INDEX('主表 Stock_Transaction_Log'!$G:$G,$A749))</f>
        <v/>
      </c>
      <c r="E749" s="173" t="str">
        <f t="array" ref="E749">IF($A749="","",INDEX('主表 Stock_Transaction_Log'!$H:$H,$A749))</f>
        <v/>
      </c>
      <c r="F749" s="173" t="str">
        <f t="array" ref="F749">IF($A749="","",INDEX('主表 Stock_Transaction_Log'!$I:$I,$A749))</f>
        <v/>
      </c>
      <c r="G749" s="173" t="str">
        <f t="array" ref="G749">IF($A749="","",IF(INDEX('主表 Stock_Transaction_Log'!$R:$R,$A749)=0,"",INDEX('主表 Stock_Transaction_Log'!$R:$R,$A749)))</f>
        <v/>
      </c>
      <c r="H749" s="173" t="str">
        <f t="array" ref="H749">IF($A749="","",SUMIF('主表 Stock_Transaction_Log'!$T:$T,INDEX('主表 Stock_Transaction_Log'!$T:$T,$A749),'主表 Stock_Transaction_Log'!$S:$S)+SUMIF('主表 Stock_Transaction_Log'!$AB:$AB,INDEX('主表 Stock_Transaction_Log'!$T:$T,$A749),'主表 Stock_Transaction_Log'!$AC:$AC))</f>
        <v/>
      </c>
      <c r="I749" s="173" t="str">
        <f t="shared" si="1"/>
        <v/>
      </c>
      <c r="J749" s="173" t="str">
        <f t="shared" si="2"/>
        <v/>
      </c>
      <c r="K749" s="173" t="str">
        <f t="shared" si="3"/>
        <v/>
      </c>
      <c r="L749" s="173" t="str">
        <f t="array" ref="L749">IF($A749="","",INDEX('主表 Stock_Transaction_Log'!$P:$P,$A749))</f>
        <v/>
      </c>
      <c r="M749" s="174" t="str">
        <f>IF($A749="","",IF($H749&lt;=0,0,SUMIFS('主表 Stock_Transaction_Log'!$K$2:$K1000,'主表 Stock_Transaction_Log'!$C$2:$C1000,"Prepared",'主表 Stock_Transaction_Log'!$L$2:$L1000,$B749,'主表 Stock_Transaction_Log'!$F$2:$F1000,$C749,'主表 Stock_Transaction_Log'!$G$2:$G1000,$D749,'主表 Stock_Transaction_Log'!$P$2:$P1000,$L749)))</f>
        <v/>
      </c>
    </row>
    <row r="750">
      <c r="A750" s="173" t="str">
        <f>IF('主表 Stock_Transaction_Log'!$T750="","",IF(COUNTIF('主表 Stock_Transaction_Log'!$T$2:$T750,'主表 Stock_Transaction_Log'!$T750)=1,ROW('主表 Stock_Transaction_Log'!$T750),""))</f>
        <v/>
      </c>
      <c r="B750" s="173" t="str">
        <f t="array" ref="B750">IF($A750="","",INDEX('主表 Stock_Transaction_Log'!$Q:$Q,$A750))</f>
        <v/>
      </c>
      <c r="C750" s="173" t="str">
        <f t="array" ref="C750">IF($A750="","",IF(INDEX('主表 Stock_Transaction_Log'!$F:$F,$A750)=0,"",INDEX('主表 Stock_Transaction_Log'!$F:$F,$A750)))</f>
        <v/>
      </c>
      <c r="D750" s="173" t="str">
        <f t="array" ref="D750">IF($A750="","",INDEX('主表 Stock_Transaction_Log'!$G:$G,$A750))</f>
        <v/>
      </c>
      <c r="E750" s="173" t="str">
        <f t="array" ref="E750">IF($A750="","",INDEX('主表 Stock_Transaction_Log'!$H:$H,$A750))</f>
        <v/>
      </c>
      <c r="F750" s="173" t="str">
        <f t="array" ref="F750">IF($A750="","",INDEX('主表 Stock_Transaction_Log'!$I:$I,$A750))</f>
        <v/>
      </c>
      <c r="G750" s="173" t="str">
        <f t="array" ref="G750">IF($A750="","",IF(INDEX('主表 Stock_Transaction_Log'!$R:$R,$A750)=0,"",INDEX('主表 Stock_Transaction_Log'!$R:$R,$A750)))</f>
        <v/>
      </c>
      <c r="H750" s="173" t="str">
        <f t="array" ref="H750">IF($A750="","",SUMIF('主表 Stock_Transaction_Log'!$T:$T,INDEX('主表 Stock_Transaction_Log'!$T:$T,$A750),'主表 Stock_Transaction_Log'!$S:$S)+SUMIF('主表 Stock_Transaction_Log'!$AB:$AB,INDEX('主表 Stock_Transaction_Log'!$T:$T,$A750),'主表 Stock_Transaction_Log'!$AC:$AC))</f>
        <v/>
      </c>
      <c r="I750" s="173" t="str">
        <f t="shared" si="1"/>
        <v/>
      </c>
      <c r="J750" s="173" t="str">
        <f t="shared" si="2"/>
        <v/>
      </c>
      <c r="K750" s="173" t="str">
        <f t="shared" si="3"/>
        <v/>
      </c>
      <c r="L750" s="173" t="str">
        <f t="array" ref="L750">IF($A750="","",INDEX('主表 Stock_Transaction_Log'!$P:$P,$A750))</f>
        <v/>
      </c>
      <c r="M750" s="174" t="str">
        <f>IF($A750="","",IF($H750&lt;=0,0,SUMIFS('主表 Stock_Transaction_Log'!$K$2:$K1000,'主表 Stock_Transaction_Log'!$C$2:$C1000,"Prepared",'主表 Stock_Transaction_Log'!$L$2:$L1000,$B750,'主表 Stock_Transaction_Log'!$F$2:$F1000,$C750,'主表 Stock_Transaction_Log'!$G$2:$G1000,$D750,'主表 Stock_Transaction_Log'!$P$2:$P1000,$L750)))</f>
        <v/>
      </c>
    </row>
    <row r="751">
      <c r="A751" s="173" t="str">
        <f>IF('主表 Stock_Transaction_Log'!$T751="","",IF(COUNTIF('主表 Stock_Transaction_Log'!$T$2:$T751,'主表 Stock_Transaction_Log'!$T751)=1,ROW('主表 Stock_Transaction_Log'!$T751),""))</f>
        <v/>
      </c>
      <c r="B751" s="173" t="str">
        <f t="array" ref="B751">IF($A751="","",INDEX('主表 Stock_Transaction_Log'!$Q:$Q,$A751))</f>
        <v/>
      </c>
      <c r="C751" s="173" t="str">
        <f t="array" ref="C751">IF($A751="","",IF(INDEX('主表 Stock_Transaction_Log'!$F:$F,$A751)=0,"",INDEX('主表 Stock_Transaction_Log'!$F:$F,$A751)))</f>
        <v/>
      </c>
      <c r="D751" s="173" t="str">
        <f t="array" ref="D751">IF($A751="","",INDEX('主表 Stock_Transaction_Log'!$G:$G,$A751))</f>
        <v/>
      </c>
      <c r="E751" s="173" t="str">
        <f t="array" ref="E751">IF($A751="","",INDEX('主表 Stock_Transaction_Log'!$H:$H,$A751))</f>
        <v/>
      </c>
      <c r="F751" s="173" t="str">
        <f t="array" ref="F751">IF($A751="","",INDEX('主表 Stock_Transaction_Log'!$I:$I,$A751))</f>
        <v/>
      </c>
      <c r="G751" s="173" t="str">
        <f t="array" ref="G751">IF($A751="","",IF(INDEX('主表 Stock_Transaction_Log'!$R:$R,$A751)=0,"",INDEX('主表 Stock_Transaction_Log'!$R:$R,$A751)))</f>
        <v/>
      </c>
      <c r="H751" s="173" t="str">
        <f t="array" ref="H751">IF($A751="","",SUMIF('主表 Stock_Transaction_Log'!$T:$T,INDEX('主表 Stock_Transaction_Log'!$T:$T,$A751),'主表 Stock_Transaction_Log'!$S:$S)+SUMIF('主表 Stock_Transaction_Log'!$AB:$AB,INDEX('主表 Stock_Transaction_Log'!$T:$T,$A751),'主表 Stock_Transaction_Log'!$AC:$AC))</f>
        <v/>
      </c>
      <c r="I751" s="173" t="str">
        <f t="shared" si="1"/>
        <v/>
      </c>
      <c r="J751" s="173" t="str">
        <f t="shared" si="2"/>
        <v/>
      </c>
      <c r="K751" s="173" t="str">
        <f t="shared" si="3"/>
        <v/>
      </c>
      <c r="L751" s="173" t="str">
        <f t="array" ref="L751">IF($A751="","",INDEX('主表 Stock_Transaction_Log'!$P:$P,$A751))</f>
        <v/>
      </c>
      <c r="M751" s="174" t="str">
        <f>IF($A751="","",IF($H751&lt;=0,0,SUMIFS('主表 Stock_Transaction_Log'!$K$2:$K1000,'主表 Stock_Transaction_Log'!$C$2:$C1000,"Prepared",'主表 Stock_Transaction_Log'!$L$2:$L1000,$B751,'主表 Stock_Transaction_Log'!$F$2:$F1000,$C751,'主表 Stock_Transaction_Log'!$G$2:$G1000,$D751,'主表 Stock_Transaction_Log'!$P$2:$P1000,$L751)))</f>
        <v/>
      </c>
    </row>
    <row r="752">
      <c r="A752" s="173" t="str">
        <f>IF('主表 Stock_Transaction_Log'!$T752="","",IF(COUNTIF('主表 Stock_Transaction_Log'!$T$2:$T752,'主表 Stock_Transaction_Log'!$T752)=1,ROW('主表 Stock_Transaction_Log'!$T752),""))</f>
        <v/>
      </c>
      <c r="B752" s="173" t="str">
        <f t="array" ref="B752">IF($A752="","",INDEX('主表 Stock_Transaction_Log'!$Q:$Q,$A752))</f>
        <v/>
      </c>
      <c r="C752" s="173" t="str">
        <f t="array" ref="C752">IF($A752="","",IF(INDEX('主表 Stock_Transaction_Log'!$F:$F,$A752)=0,"",INDEX('主表 Stock_Transaction_Log'!$F:$F,$A752)))</f>
        <v/>
      </c>
      <c r="D752" s="173" t="str">
        <f t="array" ref="D752">IF($A752="","",INDEX('主表 Stock_Transaction_Log'!$G:$G,$A752))</f>
        <v/>
      </c>
      <c r="E752" s="173" t="str">
        <f t="array" ref="E752">IF($A752="","",INDEX('主表 Stock_Transaction_Log'!$H:$H,$A752))</f>
        <v/>
      </c>
      <c r="F752" s="173" t="str">
        <f t="array" ref="F752">IF($A752="","",INDEX('主表 Stock_Transaction_Log'!$I:$I,$A752))</f>
        <v/>
      </c>
      <c r="G752" s="173" t="str">
        <f t="array" ref="G752">IF($A752="","",IF(INDEX('主表 Stock_Transaction_Log'!$R:$R,$A752)=0,"",INDEX('主表 Stock_Transaction_Log'!$R:$R,$A752)))</f>
        <v/>
      </c>
      <c r="H752" s="173" t="str">
        <f t="array" ref="H752">IF($A752="","",SUMIF('主表 Stock_Transaction_Log'!$T:$T,INDEX('主表 Stock_Transaction_Log'!$T:$T,$A752),'主表 Stock_Transaction_Log'!$S:$S)+SUMIF('主表 Stock_Transaction_Log'!$AB:$AB,INDEX('主表 Stock_Transaction_Log'!$T:$T,$A752),'主表 Stock_Transaction_Log'!$AC:$AC))</f>
        <v/>
      </c>
      <c r="I752" s="173" t="str">
        <f t="shared" si="1"/>
        <v/>
      </c>
      <c r="J752" s="173" t="str">
        <f t="shared" si="2"/>
        <v/>
      </c>
      <c r="K752" s="173" t="str">
        <f t="shared" si="3"/>
        <v/>
      </c>
      <c r="L752" s="173" t="str">
        <f t="array" ref="L752">IF($A752="","",INDEX('主表 Stock_Transaction_Log'!$P:$P,$A752))</f>
        <v/>
      </c>
      <c r="M752" s="174" t="str">
        <f>IF($A752="","",IF($H752&lt;=0,0,SUMIFS('主表 Stock_Transaction_Log'!$K$2:$K1000,'主表 Stock_Transaction_Log'!$C$2:$C1000,"Prepared",'主表 Stock_Transaction_Log'!$L$2:$L1000,$B752,'主表 Stock_Transaction_Log'!$F$2:$F1000,$C752,'主表 Stock_Transaction_Log'!$G$2:$G1000,$D752,'主表 Stock_Transaction_Log'!$P$2:$P1000,$L752)))</f>
        <v/>
      </c>
    </row>
    <row r="753">
      <c r="A753" s="173" t="str">
        <f>IF('主表 Stock_Transaction_Log'!$T753="","",IF(COUNTIF('主表 Stock_Transaction_Log'!$T$2:$T753,'主表 Stock_Transaction_Log'!$T753)=1,ROW('主表 Stock_Transaction_Log'!$T753),""))</f>
        <v/>
      </c>
      <c r="B753" s="173" t="str">
        <f t="array" ref="B753">IF($A753="","",INDEX('主表 Stock_Transaction_Log'!$Q:$Q,$A753))</f>
        <v/>
      </c>
      <c r="C753" s="173" t="str">
        <f t="array" ref="C753">IF($A753="","",IF(INDEX('主表 Stock_Transaction_Log'!$F:$F,$A753)=0,"",INDEX('主表 Stock_Transaction_Log'!$F:$F,$A753)))</f>
        <v/>
      </c>
      <c r="D753" s="173" t="str">
        <f t="array" ref="D753">IF($A753="","",INDEX('主表 Stock_Transaction_Log'!$G:$G,$A753))</f>
        <v/>
      </c>
      <c r="E753" s="173" t="str">
        <f t="array" ref="E753">IF($A753="","",INDEX('主表 Stock_Transaction_Log'!$H:$H,$A753))</f>
        <v/>
      </c>
      <c r="F753" s="173" t="str">
        <f t="array" ref="F753">IF($A753="","",INDEX('主表 Stock_Transaction_Log'!$I:$I,$A753))</f>
        <v/>
      </c>
      <c r="G753" s="173" t="str">
        <f t="array" ref="G753">IF($A753="","",IF(INDEX('主表 Stock_Transaction_Log'!$R:$R,$A753)=0,"",INDEX('主表 Stock_Transaction_Log'!$R:$R,$A753)))</f>
        <v/>
      </c>
      <c r="H753" s="173" t="str">
        <f t="array" ref="H753">IF($A753="","",SUMIF('主表 Stock_Transaction_Log'!$T:$T,INDEX('主表 Stock_Transaction_Log'!$T:$T,$A753),'主表 Stock_Transaction_Log'!$S:$S)+SUMIF('主表 Stock_Transaction_Log'!$AB:$AB,INDEX('主表 Stock_Transaction_Log'!$T:$T,$A753),'主表 Stock_Transaction_Log'!$AC:$AC))</f>
        <v/>
      </c>
      <c r="I753" s="173" t="str">
        <f t="shared" si="1"/>
        <v/>
      </c>
      <c r="J753" s="173" t="str">
        <f t="shared" si="2"/>
        <v/>
      </c>
      <c r="K753" s="173" t="str">
        <f t="shared" si="3"/>
        <v/>
      </c>
      <c r="L753" s="173" t="str">
        <f t="array" ref="L753">IF($A753="","",INDEX('主表 Stock_Transaction_Log'!$P:$P,$A753))</f>
        <v/>
      </c>
      <c r="M753" s="174" t="str">
        <f>IF($A753="","",IF($H753&lt;=0,0,SUMIFS('主表 Stock_Transaction_Log'!$K$2:$K1000,'主表 Stock_Transaction_Log'!$C$2:$C1000,"Prepared",'主表 Stock_Transaction_Log'!$L$2:$L1000,$B753,'主表 Stock_Transaction_Log'!$F$2:$F1000,$C753,'主表 Stock_Transaction_Log'!$G$2:$G1000,$D753,'主表 Stock_Transaction_Log'!$P$2:$P1000,$L753)))</f>
        <v/>
      </c>
    </row>
    <row r="754">
      <c r="A754" s="173" t="str">
        <f>IF('主表 Stock_Transaction_Log'!$T754="","",IF(COUNTIF('主表 Stock_Transaction_Log'!$T$2:$T754,'主表 Stock_Transaction_Log'!$T754)=1,ROW('主表 Stock_Transaction_Log'!$T754),""))</f>
        <v/>
      </c>
      <c r="B754" s="173" t="str">
        <f t="array" ref="B754">IF($A754="","",INDEX('主表 Stock_Transaction_Log'!$Q:$Q,$A754))</f>
        <v/>
      </c>
      <c r="C754" s="173" t="str">
        <f t="array" ref="C754">IF($A754="","",IF(INDEX('主表 Stock_Transaction_Log'!$F:$F,$A754)=0,"",INDEX('主表 Stock_Transaction_Log'!$F:$F,$A754)))</f>
        <v/>
      </c>
      <c r="D754" s="173" t="str">
        <f t="array" ref="D754">IF($A754="","",INDEX('主表 Stock_Transaction_Log'!$G:$G,$A754))</f>
        <v/>
      </c>
      <c r="E754" s="173" t="str">
        <f t="array" ref="E754">IF($A754="","",INDEX('主表 Stock_Transaction_Log'!$H:$H,$A754))</f>
        <v/>
      </c>
      <c r="F754" s="173" t="str">
        <f t="array" ref="F754">IF($A754="","",INDEX('主表 Stock_Transaction_Log'!$I:$I,$A754))</f>
        <v/>
      </c>
      <c r="G754" s="173" t="str">
        <f t="array" ref="G754">IF($A754="","",IF(INDEX('主表 Stock_Transaction_Log'!$R:$R,$A754)=0,"",INDEX('主表 Stock_Transaction_Log'!$R:$R,$A754)))</f>
        <v/>
      </c>
      <c r="H754" s="173" t="str">
        <f t="array" ref="H754">IF($A754="","",SUMIF('主表 Stock_Transaction_Log'!$T:$T,INDEX('主表 Stock_Transaction_Log'!$T:$T,$A754),'主表 Stock_Transaction_Log'!$S:$S)+SUMIF('主表 Stock_Transaction_Log'!$AB:$AB,INDEX('主表 Stock_Transaction_Log'!$T:$T,$A754),'主表 Stock_Transaction_Log'!$AC:$AC))</f>
        <v/>
      </c>
      <c r="I754" s="173" t="str">
        <f t="shared" si="1"/>
        <v/>
      </c>
      <c r="J754" s="173" t="str">
        <f t="shared" si="2"/>
        <v/>
      </c>
      <c r="K754" s="173" t="str">
        <f t="shared" si="3"/>
        <v/>
      </c>
      <c r="L754" s="173" t="str">
        <f t="array" ref="L754">IF($A754="","",INDEX('主表 Stock_Transaction_Log'!$P:$P,$A754))</f>
        <v/>
      </c>
      <c r="M754" s="174" t="str">
        <f>IF($A754="","",IF($H754&lt;=0,0,SUMIFS('主表 Stock_Transaction_Log'!$K$2:$K1000,'主表 Stock_Transaction_Log'!$C$2:$C1000,"Prepared",'主表 Stock_Transaction_Log'!$L$2:$L1000,$B754,'主表 Stock_Transaction_Log'!$F$2:$F1000,$C754,'主表 Stock_Transaction_Log'!$G$2:$G1000,$D754,'主表 Stock_Transaction_Log'!$P$2:$P1000,$L754)))</f>
        <v/>
      </c>
    </row>
    <row r="755">
      <c r="A755" s="173" t="str">
        <f>IF('主表 Stock_Transaction_Log'!$T755="","",IF(COUNTIF('主表 Stock_Transaction_Log'!$T$2:$T755,'主表 Stock_Transaction_Log'!$T755)=1,ROW('主表 Stock_Transaction_Log'!$T755),""))</f>
        <v/>
      </c>
      <c r="B755" s="173" t="str">
        <f t="array" ref="B755">IF($A755="","",INDEX('主表 Stock_Transaction_Log'!$Q:$Q,$A755))</f>
        <v/>
      </c>
      <c r="C755" s="173" t="str">
        <f t="array" ref="C755">IF($A755="","",IF(INDEX('主表 Stock_Transaction_Log'!$F:$F,$A755)=0,"",INDEX('主表 Stock_Transaction_Log'!$F:$F,$A755)))</f>
        <v/>
      </c>
      <c r="D755" s="173" t="str">
        <f t="array" ref="D755">IF($A755="","",INDEX('主表 Stock_Transaction_Log'!$G:$G,$A755))</f>
        <v/>
      </c>
      <c r="E755" s="173" t="str">
        <f t="array" ref="E755">IF($A755="","",INDEX('主表 Stock_Transaction_Log'!$H:$H,$A755))</f>
        <v/>
      </c>
      <c r="F755" s="173" t="str">
        <f t="array" ref="F755">IF($A755="","",INDEX('主表 Stock_Transaction_Log'!$I:$I,$A755))</f>
        <v/>
      </c>
      <c r="G755" s="173" t="str">
        <f t="array" ref="G755">IF($A755="","",IF(INDEX('主表 Stock_Transaction_Log'!$R:$R,$A755)=0,"",INDEX('主表 Stock_Transaction_Log'!$R:$R,$A755)))</f>
        <v/>
      </c>
      <c r="H755" s="173" t="str">
        <f t="array" ref="H755">IF($A755="","",SUMIF('主表 Stock_Transaction_Log'!$T:$T,INDEX('主表 Stock_Transaction_Log'!$T:$T,$A755),'主表 Stock_Transaction_Log'!$S:$S)+SUMIF('主表 Stock_Transaction_Log'!$AB:$AB,INDEX('主表 Stock_Transaction_Log'!$T:$T,$A755),'主表 Stock_Transaction_Log'!$AC:$AC))</f>
        <v/>
      </c>
      <c r="I755" s="173" t="str">
        <f t="shared" si="1"/>
        <v/>
      </c>
      <c r="J755" s="173" t="str">
        <f t="shared" si="2"/>
        <v/>
      </c>
      <c r="K755" s="173" t="str">
        <f t="shared" si="3"/>
        <v/>
      </c>
      <c r="L755" s="173" t="str">
        <f t="array" ref="L755">IF($A755="","",INDEX('主表 Stock_Transaction_Log'!$P:$P,$A755))</f>
        <v/>
      </c>
      <c r="M755" s="174" t="str">
        <f>IF($A755="","",IF($H755&lt;=0,0,SUMIFS('主表 Stock_Transaction_Log'!$K$2:$K1000,'主表 Stock_Transaction_Log'!$C$2:$C1000,"Prepared",'主表 Stock_Transaction_Log'!$L$2:$L1000,$B755,'主表 Stock_Transaction_Log'!$F$2:$F1000,$C755,'主表 Stock_Transaction_Log'!$G$2:$G1000,$D755,'主表 Stock_Transaction_Log'!$P$2:$P1000,$L755)))</f>
        <v/>
      </c>
    </row>
    <row r="756">
      <c r="A756" s="173" t="str">
        <f>IF('主表 Stock_Transaction_Log'!$T756="","",IF(COUNTIF('主表 Stock_Transaction_Log'!$T$2:$T756,'主表 Stock_Transaction_Log'!$T756)=1,ROW('主表 Stock_Transaction_Log'!$T756),""))</f>
        <v/>
      </c>
      <c r="B756" s="173" t="str">
        <f t="array" ref="B756">IF($A756="","",INDEX('主表 Stock_Transaction_Log'!$Q:$Q,$A756))</f>
        <v/>
      </c>
      <c r="C756" s="173" t="str">
        <f t="array" ref="C756">IF($A756="","",IF(INDEX('主表 Stock_Transaction_Log'!$F:$F,$A756)=0,"",INDEX('主表 Stock_Transaction_Log'!$F:$F,$A756)))</f>
        <v/>
      </c>
      <c r="D756" s="173" t="str">
        <f t="array" ref="D756">IF($A756="","",INDEX('主表 Stock_Transaction_Log'!$G:$G,$A756))</f>
        <v/>
      </c>
      <c r="E756" s="173" t="str">
        <f t="array" ref="E756">IF($A756="","",INDEX('主表 Stock_Transaction_Log'!$H:$H,$A756))</f>
        <v/>
      </c>
      <c r="F756" s="173" t="str">
        <f t="array" ref="F756">IF($A756="","",INDEX('主表 Stock_Transaction_Log'!$I:$I,$A756))</f>
        <v/>
      </c>
      <c r="G756" s="173" t="str">
        <f t="array" ref="G756">IF($A756="","",IF(INDEX('主表 Stock_Transaction_Log'!$R:$R,$A756)=0,"",INDEX('主表 Stock_Transaction_Log'!$R:$R,$A756)))</f>
        <v/>
      </c>
      <c r="H756" s="173" t="str">
        <f t="array" ref="H756">IF($A756="","",SUMIF('主表 Stock_Transaction_Log'!$T:$T,INDEX('主表 Stock_Transaction_Log'!$T:$T,$A756),'主表 Stock_Transaction_Log'!$S:$S)+SUMIF('主表 Stock_Transaction_Log'!$AB:$AB,INDEX('主表 Stock_Transaction_Log'!$T:$T,$A756),'主表 Stock_Transaction_Log'!$AC:$AC))</f>
        <v/>
      </c>
      <c r="I756" s="173" t="str">
        <f t="shared" si="1"/>
        <v/>
      </c>
      <c r="J756" s="173" t="str">
        <f t="shared" si="2"/>
        <v/>
      </c>
      <c r="K756" s="173" t="str">
        <f t="shared" si="3"/>
        <v/>
      </c>
      <c r="L756" s="173" t="str">
        <f t="array" ref="L756">IF($A756="","",INDEX('主表 Stock_Transaction_Log'!$P:$P,$A756))</f>
        <v/>
      </c>
      <c r="M756" s="174" t="str">
        <f>IF($A756="","",IF($H756&lt;=0,0,SUMIFS('主表 Stock_Transaction_Log'!$K$2:$K1000,'主表 Stock_Transaction_Log'!$C$2:$C1000,"Prepared",'主表 Stock_Transaction_Log'!$L$2:$L1000,$B756,'主表 Stock_Transaction_Log'!$F$2:$F1000,$C756,'主表 Stock_Transaction_Log'!$G$2:$G1000,$D756,'主表 Stock_Transaction_Log'!$P$2:$P1000,$L756)))</f>
        <v/>
      </c>
    </row>
    <row r="757">
      <c r="A757" s="173" t="str">
        <f>IF('主表 Stock_Transaction_Log'!$T757="","",IF(COUNTIF('主表 Stock_Transaction_Log'!$T$2:$T757,'主表 Stock_Transaction_Log'!$T757)=1,ROW('主表 Stock_Transaction_Log'!$T757),""))</f>
        <v/>
      </c>
      <c r="B757" s="173" t="str">
        <f t="array" ref="B757">IF($A757="","",INDEX('主表 Stock_Transaction_Log'!$Q:$Q,$A757))</f>
        <v/>
      </c>
      <c r="C757" s="173" t="str">
        <f t="array" ref="C757">IF($A757="","",IF(INDEX('主表 Stock_Transaction_Log'!$F:$F,$A757)=0,"",INDEX('主表 Stock_Transaction_Log'!$F:$F,$A757)))</f>
        <v/>
      </c>
      <c r="D757" s="173" t="str">
        <f t="array" ref="D757">IF($A757="","",INDEX('主表 Stock_Transaction_Log'!$G:$G,$A757))</f>
        <v/>
      </c>
      <c r="E757" s="173" t="str">
        <f t="array" ref="E757">IF($A757="","",INDEX('主表 Stock_Transaction_Log'!$H:$H,$A757))</f>
        <v/>
      </c>
      <c r="F757" s="173" t="str">
        <f t="array" ref="F757">IF($A757="","",INDEX('主表 Stock_Transaction_Log'!$I:$I,$A757))</f>
        <v/>
      </c>
      <c r="G757" s="173" t="str">
        <f t="array" ref="G757">IF($A757="","",IF(INDEX('主表 Stock_Transaction_Log'!$R:$R,$A757)=0,"",INDEX('主表 Stock_Transaction_Log'!$R:$R,$A757)))</f>
        <v/>
      </c>
      <c r="H757" s="173" t="str">
        <f t="array" ref="H757">IF($A757="","",SUMIF('主表 Stock_Transaction_Log'!$T:$T,INDEX('主表 Stock_Transaction_Log'!$T:$T,$A757),'主表 Stock_Transaction_Log'!$S:$S)+SUMIF('主表 Stock_Transaction_Log'!$AB:$AB,INDEX('主表 Stock_Transaction_Log'!$T:$T,$A757),'主表 Stock_Transaction_Log'!$AC:$AC))</f>
        <v/>
      </c>
      <c r="I757" s="173" t="str">
        <f t="shared" si="1"/>
        <v/>
      </c>
      <c r="J757" s="173" t="str">
        <f t="shared" si="2"/>
        <v/>
      </c>
      <c r="K757" s="173" t="str">
        <f t="shared" si="3"/>
        <v/>
      </c>
      <c r="L757" s="173" t="str">
        <f t="array" ref="L757">IF($A757="","",INDEX('主表 Stock_Transaction_Log'!$P:$P,$A757))</f>
        <v/>
      </c>
      <c r="M757" s="174" t="str">
        <f>IF($A757="","",IF($H757&lt;=0,0,SUMIFS('主表 Stock_Transaction_Log'!$K$2:$K1000,'主表 Stock_Transaction_Log'!$C$2:$C1000,"Prepared",'主表 Stock_Transaction_Log'!$L$2:$L1000,$B757,'主表 Stock_Transaction_Log'!$F$2:$F1000,$C757,'主表 Stock_Transaction_Log'!$G$2:$G1000,$D757,'主表 Stock_Transaction_Log'!$P$2:$P1000,$L757)))</f>
        <v/>
      </c>
    </row>
    <row r="758">
      <c r="A758" s="173" t="str">
        <f>IF('主表 Stock_Transaction_Log'!$T758="","",IF(COUNTIF('主表 Stock_Transaction_Log'!$T$2:$T758,'主表 Stock_Transaction_Log'!$T758)=1,ROW('主表 Stock_Transaction_Log'!$T758),""))</f>
        <v/>
      </c>
      <c r="B758" s="173" t="str">
        <f t="array" ref="B758">IF($A758="","",INDEX('主表 Stock_Transaction_Log'!$Q:$Q,$A758))</f>
        <v/>
      </c>
      <c r="C758" s="173" t="str">
        <f t="array" ref="C758">IF($A758="","",IF(INDEX('主表 Stock_Transaction_Log'!$F:$F,$A758)=0,"",INDEX('主表 Stock_Transaction_Log'!$F:$F,$A758)))</f>
        <v/>
      </c>
      <c r="D758" s="173" t="str">
        <f t="array" ref="D758">IF($A758="","",INDEX('主表 Stock_Transaction_Log'!$G:$G,$A758))</f>
        <v/>
      </c>
      <c r="E758" s="173" t="str">
        <f t="array" ref="E758">IF($A758="","",INDEX('主表 Stock_Transaction_Log'!$H:$H,$A758))</f>
        <v/>
      </c>
      <c r="F758" s="173" t="str">
        <f t="array" ref="F758">IF($A758="","",INDEX('主表 Stock_Transaction_Log'!$I:$I,$A758))</f>
        <v/>
      </c>
      <c r="G758" s="173" t="str">
        <f t="array" ref="G758">IF($A758="","",IF(INDEX('主表 Stock_Transaction_Log'!$R:$R,$A758)=0,"",INDEX('主表 Stock_Transaction_Log'!$R:$R,$A758)))</f>
        <v/>
      </c>
      <c r="H758" s="173" t="str">
        <f t="array" ref="H758">IF($A758="","",SUMIF('主表 Stock_Transaction_Log'!$T:$T,INDEX('主表 Stock_Transaction_Log'!$T:$T,$A758),'主表 Stock_Transaction_Log'!$S:$S)+SUMIF('主表 Stock_Transaction_Log'!$AB:$AB,INDEX('主表 Stock_Transaction_Log'!$T:$T,$A758),'主表 Stock_Transaction_Log'!$AC:$AC))</f>
        <v/>
      </c>
      <c r="I758" s="173" t="str">
        <f t="shared" si="1"/>
        <v/>
      </c>
      <c r="J758" s="173" t="str">
        <f t="shared" si="2"/>
        <v/>
      </c>
      <c r="K758" s="173" t="str">
        <f t="shared" si="3"/>
        <v/>
      </c>
      <c r="L758" s="173" t="str">
        <f t="array" ref="L758">IF($A758="","",INDEX('主表 Stock_Transaction_Log'!$P:$P,$A758))</f>
        <v/>
      </c>
      <c r="M758" s="174" t="str">
        <f>IF($A758="","",IF($H758&lt;=0,0,SUMIFS('主表 Stock_Transaction_Log'!$K$2:$K1000,'主表 Stock_Transaction_Log'!$C$2:$C1000,"Prepared",'主表 Stock_Transaction_Log'!$L$2:$L1000,$B758,'主表 Stock_Transaction_Log'!$F$2:$F1000,$C758,'主表 Stock_Transaction_Log'!$G$2:$G1000,$D758,'主表 Stock_Transaction_Log'!$P$2:$P1000,$L758)))</f>
        <v/>
      </c>
    </row>
    <row r="759">
      <c r="A759" s="173" t="str">
        <f>IF('主表 Stock_Transaction_Log'!$T759="","",IF(COUNTIF('主表 Stock_Transaction_Log'!$T$2:$T759,'主表 Stock_Transaction_Log'!$T759)=1,ROW('主表 Stock_Transaction_Log'!$T759),""))</f>
        <v/>
      </c>
      <c r="B759" s="173" t="str">
        <f t="array" ref="B759">IF($A759="","",INDEX('主表 Stock_Transaction_Log'!$Q:$Q,$A759))</f>
        <v/>
      </c>
      <c r="C759" s="173" t="str">
        <f t="array" ref="C759">IF($A759="","",IF(INDEX('主表 Stock_Transaction_Log'!$F:$F,$A759)=0,"",INDEX('主表 Stock_Transaction_Log'!$F:$F,$A759)))</f>
        <v/>
      </c>
      <c r="D759" s="173" t="str">
        <f t="array" ref="D759">IF($A759="","",INDEX('主表 Stock_Transaction_Log'!$G:$G,$A759))</f>
        <v/>
      </c>
      <c r="E759" s="173" t="str">
        <f t="array" ref="E759">IF($A759="","",INDEX('主表 Stock_Transaction_Log'!$H:$H,$A759))</f>
        <v/>
      </c>
      <c r="F759" s="173" t="str">
        <f t="array" ref="F759">IF($A759="","",INDEX('主表 Stock_Transaction_Log'!$I:$I,$A759))</f>
        <v/>
      </c>
      <c r="G759" s="173" t="str">
        <f t="array" ref="G759">IF($A759="","",IF(INDEX('主表 Stock_Transaction_Log'!$R:$R,$A759)=0,"",INDEX('主表 Stock_Transaction_Log'!$R:$R,$A759)))</f>
        <v/>
      </c>
      <c r="H759" s="173" t="str">
        <f t="array" ref="H759">IF($A759="","",SUMIF('主表 Stock_Transaction_Log'!$T:$T,INDEX('主表 Stock_Transaction_Log'!$T:$T,$A759),'主表 Stock_Transaction_Log'!$S:$S)+SUMIF('主表 Stock_Transaction_Log'!$AB:$AB,INDEX('主表 Stock_Transaction_Log'!$T:$T,$A759),'主表 Stock_Transaction_Log'!$AC:$AC))</f>
        <v/>
      </c>
      <c r="I759" s="173" t="str">
        <f t="shared" si="1"/>
        <v/>
      </c>
      <c r="J759" s="173" t="str">
        <f t="shared" si="2"/>
        <v/>
      </c>
      <c r="K759" s="173" t="str">
        <f t="shared" si="3"/>
        <v/>
      </c>
      <c r="L759" s="173" t="str">
        <f t="array" ref="L759">IF($A759="","",INDEX('主表 Stock_Transaction_Log'!$P:$P,$A759))</f>
        <v/>
      </c>
      <c r="M759" s="174" t="str">
        <f>IF($A759="","",IF($H759&lt;=0,0,SUMIFS('主表 Stock_Transaction_Log'!$K$2:$K1000,'主表 Stock_Transaction_Log'!$C$2:$C1000,"Prepared",'主表 Stock_Transaction_Log'!$L$2:$L1000,$B759,'主表 Stock_Transaction_Log'!$F$2:$F1000,$C759,'主表 Stock_Transaction_Log'!$G$2:$G1000,$D759,'主表 Stock_Transaction_Log'!$P$2:$P1000,$L759)))</f>
        <v/>
      </c>
    </row>
    <row r="760">
      <c r="A760" s="173" t="str">
        <f>IF('主表 Stock_Transaction_Log'!$T760="","",IF(COUNTIF('主表 Stock_Transaction_Log'!$T$2:$T760,'主表 Stock_Transaction_Log'!$T760)=1,ROW('主表 Stock_Transaction_Log'!$T760),""))</f>
        <v/>
      </c>
      <c r="B760" s="173" t="str">
        <f t="array" ref="B760">IF($A760="","",INDEX('主表 Stock_Transaction_Log'!$Q:$Q,$A760))</f>
        <v/>
      </c>
      <c r="C760" s="173" t="str">
        <f t="array" ref="C760">IF($A760="","",IF(INDEX('主表 Stock_Transaction_Log'!$F:$F,$A760)=0,"",INDEX('主表 Stock_Transaction_Log'!$F:$F,$A760)))</f>
        <v/>
      </c>
      <c r="D760" s="173" t="str">
        <f t="array" ref="D760">IF($A760="","",INDEX('主表 Stock_Transaction_Log'!$G:$G,$A760))</f>
        <v/>
      </c>
      <c r="E760" s="173" t="str">
        <f t="array" ref="E760">IF($A760="","",INDEX('主表 Stock_Transaction_Log'!$H:$H,$A760))</f>
        <v/>
      </c>
      <c r="F760" s="173" t="str">
        <f t="array" ref="F760">IF($A760="","",INDEX('主表 Stock_Transaction_Log'!$I:$I,$A760))</f>
        <v/>
      </c>
      <c r="G760" s="173" t="str">
        <f t="array" ref="G760">IF($A760="","",IF(INDEX('主表 Stock_Transaction_Log'!$R:$R,$A760)=0,"",INDEX('主表 Stock_Transaction_Log'!$R:$R,$A760)))</f>
        <v/>
      </c>
      <c r="H760" s="173" t="str">
        <f t="array" ref="H760">IF($A760="","",SUMIF('主表 Stock_Transaction_Log'!$T:$T,INDEX('主表 Stock_Transaction_Log'!$T:$T,$A760),'主表 Stock_Transaction_Log'!$S:$S)+SUMIF('主表 Stock_Transaction_Log'!$AB:$AB,INDEX('主表 Stock_Transaction_Log'!$T:$T,$A760),'主表 Stock_Transaction_Log'!$AC:$AC))</f>
        <v/>
      </c>
      <c r="I760" s="173" t="str">
        <f t="shared" si="1"/>
        <v/>
      </c>
      <c r="J760" s="173" t="str">
        <f t="shared" si="2"/>
        <v/>
      </c>
      <c r="K760" s="173" t="str">
        <f t="shared" si="3"/>
        <v/>
      </c>
      <c r="L760" s="173" t="str">
        <f t="array" ref="L760">IF($A760="","",INDEX('主表 Stock_Transaction_Log'!$P:$P,$A760))</f>
        <v/>
      </c>
      <c r="M760" s="174" t="str">
        <f>IF($A760="","",IF($H760&lt;=0,0,SUMIFS('主表 Stock_Transaction_Log'!$K$2:$K1000,'主表 Stock_Transaction_Log'!$C$2:$C1000,"Prepared",'主表 Stock_Transaction_Log'!$L$2:$L1000,$B760,'主表 Stock_Transaction_Log'!$F$2:$F1000,$C760,'主表 Stock_Transaction_Log'!$G$2:$G1000,$D760,'主表 Stock_Transaction_Log'!$P$2:$P1000,$L760)))</f>
        <v/>
      </c>
    </row>
    <row r="761">
      <c r="A761" s="173" t="str">
        <f>IF('主表 Stock_Transaction_Log'!$T761="","",IF(COUNTIF('主表 Stock_Transaction_Log'!$T$2:$T761,'主表 Stock_Transaction_Log'!$T761)=1,ROW('主表 Stock_Transaction_Log'!$T761),""))</f>
        <v/>
      </c>
      <c r="B761" s="173" t="str">
        <f t="array" ref="B761">IF($A761="","",INDEX('主表 Stock_Transaction_Log'!$Q:$Q,$A761))</f>
        <v/>
      </c>
      <c r="C761" s="173" t="str">
        <f t="array" ref="C761">IF($A761="","",IF(INDEX('主表 Stock_Transaction_Log'!$F:$F,$A761)=0,"",INDEX('主表 Stock_Transaction_Log'!$F:$F,$A761)))</f>
        <v/>
      </c>
      <c r="D761" s="173" t="str">
        <f t="array" ref="D761">IF($A761="","",INDEX('主表 Stock_Transaction_Log'!$G:$G,$A761))</f>
        <v/>
      </c>
      <c r="E761" s="173" t="str">
        <f t="array" ref="E761">IF($A761="","",INDEX('主表 Stock_Transaction_Log'!$H:$H,$A761))</f>
        <v/>
      </c>
      <c r="F761" s="173" t="str">
        <f t="array" ref="F761">IF($A761="","",INDEX('主表 Stock_Transaction_Log'!$I:$I,$A761))</f>
        <v/>
      </c>
      <c r="G761" s="173" t="str">
        <f t="array" ref="G761">IF($A761="","",IF(INDEX('主表 Stock_Transaction_Log'!$R:$R,$A761)=0,"",INDEX('主表 Stock_Transaction_Log'!$R:$R,$A761)))</f>
        <v/>
      </c>
      <c r="H761" s="173" t="str">
        <f t="array" ref="H761">IF($A761="","",SUMIF('主表 Stock_Transaction_Log'!$T:$T,INDEX('主表 Stock_Transaction_Log'!$T:$T,$A761),'主表 Stock_Transaction_Log'!$S:$S)+SUMIF('主表 Stock_Transaction_Log'!$AB:$AB,INDEX('主表 Stock_Transaction_Log'!$T:$T,$A761),'主表 Stock_Transaction_Log'!$AC:$AC))</f>
        <v/>
      </c>
      <c r="I761" s="173" t="str">
        <f t="shared" si="1"/>
        <v/>
      </c>
      <c r="J761" s="173" t="str">
        <f t="shared" si="2"/>
        <v/>
      </c>
      <c r="K761" s="173" t="str">
        <f t="shared" si="3"/>
        <v/>
      </c>
      <c r="L761" s="173" t="str">
        <f t="array" ref="L761">IF($A761="","",INDEX('主表 Stock_Transaction_Log'!$P:$P,$A761))</f>
        <v/>
      </c>
      <c r="M761" s="174" t="str">
        <f>IF($A761="","",IF($H761&lt;=0,0,SUMIFS('主表 Stock_Transaction_Log'!$K$2:$K1000,'主表 Stock_Transaction_Log'!$C$2:$C1000,"Prepared",'主表 Stock_Transaction_Log'!$L$2:$L1000,$B761,'主表 Stock_Transaction_Log'!$F$2:$F1000,$C761,'主表 Stock_Transaction_Log'!$G$2:$G1000,$D761,'主表 Stock_Transaction_Log'!$P$2:$P1000,$L761)))</f>
        <v/>
      </c>
    </row>
    <row r="762">
      <c r="A762" s="173" t="str">
        <f>IF('主表 Stock_Transaction_Log'!$T762="","",IF(COUNTIF('主表 Stock_Transaction_Log'!$T$2:$T762,'主表 Stock_Transaction_Log'!$T762)=1,ROW('主表 Stock_Transaction_Log'!$T762),""))</f>
        <v/>
      </c>
      <c r="B762" s="173" t="str">
        <f t="array" ref="B762">IF($A762="","",INDEX('主表 Stock_Transaction_Log'!$Q:$Q,$A762))</f>
        <v/>
      </c>
      <c r="C762" s="173" t="str">
        <f t="array" ref="C762">IF($A762="","",IF(INDEX('主表 Stock_Transaction_Log'!$F:$F,$A762)=0,"",INDEX('主表 Stock_Transaction_Log'!$F:$F,$A762)))</f>
        <v/>
      </c>
      <c r="D762" s="173" t="str">
        <f t="array" ref="D762">IF($A762="","",INDEX('主表 Stock_Transaction_Log'!$G:$G,$A762))</f>
        <v/>
      </c>
      <c r="E762" s="173" t="str">
        <f t="array" ref="E762">IF($A762="","",INDEX('主表 Stock_Transaction_Log'!$H:$H,$A762))</f>
        <v/>
      </c>
      <c r="F762" s="173" t="str">
        <f t="array" ref="F762">IF($A762="","",INDEX('主表 Stock_Transaction_Log'!$I:$I,$A762))</f>
        <v/>
      </c>
      <c r="G762" s="173" t="str">
        <f t="array" ref="G762">IF($A762="","",IF(INDEX('主表 Stock_Transaction_Log'!$R:$R,$A762)=0,"",INDEX('主表 Stock_Transaction_Log'!$R:$R,$A762)))</f>
        <v/>
      </c>
      <c r="H762" s="173" t="str">
        <f t="array" ref="H762">IF($A762="","",SUMIF('主表 Stock_Transaction_Log'!$T:$T,INDEX('主表 Stock_Transaction_Log'!$T:$T,$A762),'主表 Stock_Transaction_Log'!$S:$S)+SUMIF('主表 Stock_Transaction_Log'!$AB:$AB,INDEX('主表 Stock_Transaction_Log'!$T:$T,$A762),'主表 Stock_Transaction_Log'!$AC:$AC))</f>
        <v/>
      </c>
      <c r="I762" s="173" t="str">
        <f t="shared" si="1"/>
        <v/>
      </c>
      <c r="J762" s="173" t="str">
        <f t="shared" si="2"/>
        <v/>
      </c>
      <c r="K762" s="173" t="str">
        <f t="shared" si="3"/>
        <v/>
      </c>
      <c r="L762" s="173" t="str">
        <f t="array" ref="L762">IF($A762="","",INDEX('主表 Stock_Transaction_Log'!$P:$P,$A762))</f>
        <v/>
      </c>
      <c r="M762" s="174" t="str">
        <f>IF($A762="","",IF($H762&lt;=0,0,SUMIFS('主表 Stock_Transaction_Log'!$K$2:$K1000,'主表 Stock_Transaction_Log'!$C$2:$C1000,"Prepared",'主表 Stock_Transaction_Log'!$L$2:$L1000,$B762,'主表 Stock_Transaction_Log'!$F$2:$F1000,$C762,'主表 Stock_Transaction_Log'!$G$2:$G1000,$D762,'主表 Stock_Transaction_Log'!$P$2:$P1000,$L762)))</f>
        <v/>
      </c>
    </row>
    <row r="763">
      <c r="A763" s="173" t="str">
        <f>IF('主表 Stock_Transaction_Log'!$T763="","",IF(COUNTIF('主表 Stock_Transaction_Log'!$T$2:$T763,'主表 Stock_Transaction_Log'!$T763)=1,ROW('主表 Stock_Transaction_Log'!$T763),""))</f>
        <v/>
      </c>
      <c r="B763" s="173" t="str">
        <f t="array" ref="B763">IF($A763="","",INDEX('主表 Stock_Transaction_Log'!$Q:$Q,$A763))</f>
        <v/>
      </c>
      <c r="C763" s="173" t="str">
        <f t="array" ref="C763">IF($A763="","",IF(INDEX('主表 Stock_Transaction_Log'!$F:$F,$A763)=0,"",INDEX('主表 Stock_Transaction_Log'!$F:$F,$A763)))</f>
        <v/>
      </c>
      <c r="D763" s="173" t="str">
        <f t="array" ref="D763">IF($A763="","",INDEX('主表 Stock_Transaction_Log'!$G:$G,$A763))</f>
        <v/>
      </c>
      <c r="E763" s="173" t="str">
        <f t="array" ref="E763">IF($A763="","",INDEX('主表 Stock_Transaction_Log'!$H:$H,$A763))</f>
        <v/>
      </c>
      <c r="F763" s="173" t="str">
        <f t="array" ref="F763">IF($A763="","",INDEX('主表 Stock_Transaction_Log'!$I:$I,$A763))</f>
        <v/>
      </c>
      <c r="G763" s="173" t="str">
        <f t="array" ref="G763">IF($A763="","",IF(INDEX('主表 Stock_Transaction_Log'!$R:$R,$A763)=0,"",INDEX('主表 Stock_Transaction_Log'!$R:$R,$A763)))</f>
        <v/>
      </c>
      <c r="H763" s="173" t="str">
        <f t="array" ref="H763">IF($A763="","",SUMIF('主表 Stock_Transaction_Log'!$T:$T,INDEX('主表 Stock_Transaction_Log'!$T:$T,$A763),'主表 Stock_Transaction_Log'!$S:$S)+SUMIF('主表 Stock_Transaction_Log'!$AB:$AB,INDEX('主表 Stock_Transaction_Log'!$T:$T,$A763),'主表 Stock_Transaction_Log'!$AC:$AC))</f>
        <v/>
      </c>
      <c r="I763" s="173" t="str">
        <f t="shared" si="1"/>
        <v/>
      </c>
      <c r="J763" s="173" t="str">
        <f t="shared" si="2"/>
        <v/>
      </c>
      <c r="K763" s="173" t="str">
        <f t="shared" si="3"/>
        <v/>
      </c>
      <c r="L763" s="173" t="str">
        <f t="array" ref="L763">IF($A763="","",INDEX('主表 Stock_Transaction_Log'!$P:$P,$A763))</f>
        <v/>
      </c>
      <c r="M763" s="174" t="str">
        <f>IF($A763="","",IF($H763&lt;=0,0,SUMIFS('主表 Stock_Transaction_Log'!$K$2:$K1000,'主表 Stock_Transaction_Log'!$C$2:$C1000,"Prepared",'主表 Stock_Transaction_Log'!$L$2:$L1000,$B763,'主表 Stock_Transaction_Log'!$F$2:$F1000,$C763,'主表 Stock_Transaction_Log'!$G$2:$G1000,$D763,'主表 Stock_Transaction_Log'!$P$2:$P1000,$L763)))</f>
        <v/>
      </c>
    </row>
    <row r="764">
      <c r="A764" s="173" t="str">
        <f>IF('主表 Stock_Transaction_Log'!$T764="","",IF(COUNTIF('主表 Stock_Transaction_Log'!$T$2:$T764,'主表 Stock_Transaction_Log'!$T764)=1,ROW('主表 Stock_Transaction_Log'!$T764),""))</f>
        <v/>
      </c>
      <c r="B764" s="173" t="str">
        <f t="array" ref="B764">IF($A764="","",INDEX('主表 Stock_Transaction_Log'!$Q:$Q,$A764))</f>
        <v/>
      </c>
      <c r="C764" s="173" t="str">
        <f t="array" ref="C764">IF($A764="","",IF(INDEX('主表 Stock_Transaction_Log'!$F:$F,$A764)=0,"",INDEX('主表 Stock_Transaction_Log'!$F:$F,$A764)))</f>
        <v/>
      </c>
      <c r="D764" s="173" t="str">
        <f t="array" ref="D764">IF($A764="","",INDEX('主表 Stock_Transaction_Log'!$G:$G,$A764))</f>
        <v/>
      </c>
      <c r="E764" s="173" t="str">
        <f t="array" ref="E764">IF($A764="","",INDEX('主表 Stock_Transaction_Log'!$H:$H,$A764))</f>
        <v/>
      </c>
      <c r="F764" s="173" t="str">
        <f t="array" ref="F764">IF($A764="","",INDEX('主表 Stock_Transaction_Log'!$I:$I,$A764))</f>
        <v/>
      </c>
      <c r="G764" s="173" t="str">
        <f t="array" ref="G764">IF($A764="","",IF(INDEX('主表 Stock_Transaction_Log'!$R:$R,$A764)=0,"",INDEX('主表 Stock_Transaction_Log'!$R:$R,$A764)))</f>
        <v/>
      </c>
      <c r="H764" s="173" t="str">
        <f t="array" ref="H764">IF($A764="","",SUMIF('主表 Stock_Transaction_Log'!$T:$T,INDEX('主表 Stock_Transaction_Log'!$T:$T,$A764),'主表 Stock_Transaction_Log'!$S:$S)+SUMIF('主表 Stock_Transaction_Log'!$AB:$AB,INDEX('主表 Stock_Transaction_Log'!$T:$T,$A764),'主表 Stock_Transaction_Log'!$AC:$AC))</f>
        <v/>
      </c>
      <c r="I764" s="173" t="str">
        <f t="shared" si="1"/>
        <v/>
      </c>
      <c r="J764" s="173" t="str">
        <f t="shared" si="2"/>
        <v/>
      </c>
      <c r="K764" s="173" t="str">
        <f t="shared" si="3"/>
        <v/>
      </c>
      <c r="L764" s="173" t="str">
        <f t="array" ref="L764">IF($A764="","",INDEX('主表 Stock_Transaction_Log'!$P:$P,$A764))</f>
        <v/>
      </c>
      <c r="M764" s="174" t="str">
        <f>IF($A764="","",IF($H764&lt;=0,0,SUMIFS('主表 Stock_Transaction_Log'!$K$2:$K1000,'主表 Stock_Transaction_Log'!$C$2:$C1000,"Prepared",'主表 Stock_Transaction_Log'!$L$2:$L1000,$B764,'主表 Stock_Transaction_Log'!$F$2:$F1000,$C764,'主表 Stock_Transaction_Log'!$G$2:$G1000,$D764,'主表 Stock_Transaction_Log'!$P$2:$P1000,$L764)))</f>
        <v/>
      </c>
    </row>
    <row r="765">
      <c r="A765" s="173" t="str">
        <f>IF('主表 Stock_Transaction_Log'!$T765="","",IF(COUNTIF('主表 Stock_Transaction_Log'!$T$2:$T765,'主表 Stock_Transaction_Log'!$T765)=1,ROW('主表 Stock_Transaction_Log'!$T765),""))</f>
        <v/>
      </c>
      <c r="B765" s="173" t="str">
        <f t="array" ref="B765">IF($A765="","",INDEX('主表 Stock_Transaction_Log'!$Q:$Q,$A765))</f>
        <v/>
      </c>
      <c r="C765" s="173" t="str">
        <f t="array" ref="C765">IF($A765="","",IF(INDEX('主表 Stock_Transaction_Log'!$F:$F,$A765)=0,"",INDEX('主表 Stock_Transaction_Log'!$F:$F,$A765)))</f>
        <v/>
      </c>
      <c r="D765" s="173" t="str">
        <f t="array" ref="D765">IF($A765="","",INDEX('主表 Stock_Transaction_Log'!$G:$G,$A765))</f>
        <v/>
      </c>
      <c r="E765" s="173" t="str">
        <f t="array" ref="E765">IF($A765="","",INDEX('主表 Stock_Transaction_Log'!$H:$H,$A765))</f>
        <v/>
      </c>
      <c r="F765" s="173" t="str">
        <f t="array" ref="F765">IF($A765="","",INDEX('主表 Stock_Transaction_Log'!$I:$I,$A765))</f>
        <v/>
      </c>
      <c r="G765" s="173" t="str">
        <f t="array" ref="G765">IF($A765="","",IF(INDEX('主表 Stock_Transaction_Log'!$R:$R,$A765)=0,"",INDEX('主表 Stock_Transaction_Log'!$R:$R,$A765)))</f>
        <v/>
      </c>
      <c r="H765" s="173" t="str">
        <f t="array" ref="H765">IF($A765="","",SUMIF('主表 Stock_Transaction_Log'!$T:$T,INDEX('主表 Stock_Transaction_Log'!$T:$T,$A765),'主表 Stock_Transaction_Log'!$S:$S)+SUMIF('主表 Stock_Transaction_Log'!$AB:$AB,INDEX('主表 Stock_Transaction_Log'!$T:$T,$A765),'主表 Stock_Transaction_Log'!$AC:$AC))</f>
        <v/>
      </c>
      <c r="I765" s="173" t="str">
        <f t="shared" si="1"/>
        <v/>
      </c>
      <c r="J765" s="173" t="str">
        <f t="shared" si="2"/>
        <v/>
      </c>
      <c r="K765" s="173" t="str">
        <f t="shared" si="3"/>
        <v/>
      </c>
      <c r="L765" s="173" t="str">
        <f t="array" ref="L765">IF($A765="","",INDEX('主表 Stock_Transaction_Log'!$P:$P,$A765))</f>
        <v/>
      </c>
      <c r="M765" s="174" t="str">
        <f>IF($A765="","",IF($H765&lt;=0,0,SUMIFS('主表 Stock_Transaction_Log'!$K$2:$K1000,'主表 Stock_Transaction_Log'!$C$2:$C1000,"Prepared",'主表 Stock_Transaction_Log'!$L$2:$L1000,$B765,'主表 Stock_Transaction_Log'!$F$2:$F1000,$C765,'主表 Stock_Transaction_Log'!$G$2:$G1000,$D765,'主表 Stock_Transaction_Log'!$P$2:$P1000,$L765)))</f>
        <v/>
      </c>
    </row>
    <row r="766">
      <c r="A766" s="173" t="str">
        <f>IF('主表 Stock_Transaction_Log'!$T766="","",IF(COUNTIF('主表 Stock_Transaction_Log'!$T$2:$T766,'主表 Stock_Transaction_Log'!$T766)=1,ROW('主表 Stock_Transaction_Log'!$T766),""))</f>
        <v/>
      </c>
      <c r="B766" s="173" t="str">
        <f t="array" ref="B766">IF($A766="","",INDEX('主表 Stock_Transaction_Log'!$Q:$Q,$A766))</f>
        <v/>
      </c>
      <c r="C766" s="173" t="str">
        <f t="array" ref="C766">IF($A766="","",IF(INDEX('主表 Stock_Transaction_Log'!$F:$F,$A766)=0,"",INDEX('主表 Stock_Transaction_Log'!$F:$F,$A766)))</f>
        <v/>
      </c>
      <c r="D766" s="173" t="str">
        <f t="array" ref="D766">IF($A766="","",INDEX('主表 Stock_Transaction_Log'!$G:$G,$A766))</f>
        <v/>
      </c>
      <c r="E766" s="173" t="str">
        <f t="array" ref="E766">IF($A766="","",INDEX('主表 Stock_Transaction_Log'!$H:$H,$A766))</f>
        <v/>
      </c>
      <c r="F766" s="173" t="str">
        <f t="array" ref="F766">IF($A766="","",INDEX('主表 Stock_Transaction_Log'!$I:$I,$A766))</f>
        <v/>
      </c>
      <c r="G766" s="173" t="str">
        <f t="array" ref="G766">IF($A766="","",IF(INDEX('主表 Stock_Transaction_Log'!$R:$R,$A766)=0,"",INDEX('主表 Stock_Transaction_Log'!$R:$R,$A766)))</f>
        <v/>
      </c>
      <c r="H766" s="173" t="str">
        <f t="array" ref="H766">IF($A766="","",SUMIF('主表 Stock_Transaction_Log'!$T:$T,INDEX('主表 Stock_Transaction_Log'!$T:$T,$A766),'主表 Stock_Transaction_Log'!$S:$S)+SUMIF('主表 Stock_Transaction_Log'!$AB:$AB,INDEX('主表 Stock_Transaction_Log'!$T:$T,$A766),'主表 Stock_Transaction_Log'!$AC:$AC))</f>
        <v/>
      </c>
      <c r="I766" s="173" t="str">
        <f t="shared" si="1"/>
        <v/>
      </c>
      <c r="J766" s="173" t="str">
        <f t="shared" si="2"/>
        <v/>
      </c>
      <c r="K766" s="173" t="str">
        <f t="shared" si="3"/>
        <v/>
      </c>
      <c r="L766" s="173" t="str">
        <f t="array" ref="L766">IF($A766="","",INDEX('主表 Stock_Transaction_Log'!$P:$P,$A766))</f>
        <v/>
      </c>
      <c r="M766" s="174" t="str">
        <f>IF($A766="","",IF($H766&lt;=0,0,SUMIFS('主表 Stock_Transaction_Log'!$K$2:$K1000,'主表 Stock_Transaction_Log'!$C$2:$C1000,"Prepared",'主表 Stock_Transaction_Log'!$L$2:$L1000,$B766,'主表 Stock_Transaction_Log'!$F$2:$F1000,$C766,'主表 Stock_Transaction_Log'!$G$2:$G1000,$D766,'主表 Stock_Transaction_Log'!$P$2:$P1000,$L766)))</f>
        <v/>
      </c>
    </row>
    <row r="767">
      <c r="A767" s="173" t="str">
        <f>IF('主表 Stock_Transaction_Log'!$T767="","",IF(COUNTIF('主表 Stock_Transaction_Log'!$T$2:$T767,'主表 Stock_Transaction_Log'!$T767)=1,ROW('主表 Stock_Transaction_Log'!$T767),""))</f>
        <v/>
      </c>
      <c r="B767" s="173" t="str">
        <f t="array" ref="B767">IF($A767="","",INDEX('主表 Stock_Transaction_Log'!$Q:$Q,$A767))</f>
        <v/>
      </c>
      <c r="C767" s="173" t="str">
        <f t="array" ref="C767">IF($A767="","",IF(INDEX('主表 Stock_Transaction_Log'!$F:$F,$A767)=0,"",INDEX('主表 Stock_Transaction_Log'!$F:$F,$A767)))</f>
        <v/>
      </c>
      <c r="D767" s="173" t="str">
        <f t="array" ref="D767">IF($A767="","",INDEX('主表 Stock_Transaction_Log'!$G:$G,$A767))</f>
        <v/>
      </c>
      <c r="E767" s="173" t="str">
        <f t="array" ref="E767">IF($A767="","",INDEX('主表 Stock_Transaction_Log'!$H:$H,$A767))</f>
        <v/>
      </c>
      <c r="F767" s="173" t="str">
        <f t="array" ref="F767">IF($A767="","",INDEX('主表 Stock_Transaction_Log'!$I:$I,$A767))</f>
        <v/>
      </c>
      <c r="G767" s="173" t="str">
        <f t="array" ref="G767">IF($A767="","",IF(INDEX('主表 Stock_Transaction_Log'!$R:$R,$A767)=0,"",INDEX('主表 Stock_Transaction_Log'!$R:$R,$A767)))</f>
        <v/>
      </c>
      <c r="H767" s="173" t="str">
        <f t="array" ref="H767">IF($A767="","",SUMIF('主表 Stock_Transaction_Log'!$T:$T,INDEX('主表 Stock_Transaction_Log'!$T:$T,$A767),'主表 Stock_Transaction_Log'!$S:$S)+SUMIF('主表 Stock_Transaction_Log'!$AB:$AB,INDEX('主表 Stock_Transaction_Log'!$T:$T,$A767),'主表 Stock_Transaction_Log'!$AC:$AC))</f>
        <v/>
      </c>
      <c r="I767" s="173" t="str">
        <f t="shared" si="1"/>
        <v/>
      </c>
      <c r="J767" s="173" t="str">
        <f t="shared" si="2"/>
        <v/>
      </c>
      <c r="K767" s="173" t="str">
        <f t="shared" si="3"/>
        <v/>
      </c>
      <c r="L767" s="173" t="str">
        <f t="array" ref="L767">IF($A767="","",INDEX('主表 Stock_Transaction_Log'!$P:$P,$A767))</f>
        <v/>
      </c>
      <c r="M767" s="174" t="str">
        <f>IF($A767="","",IF($H767&lt;=0,0,SUMIFS('主表 Stock_Transaction_Log'!$K$2:$K1000,'主表 Stock_Transaction_Log'!$C$2:$C1000,"Prepared",'主表 Stock_Transaction_Log'!$L$2:$L1000,$B767,'主表 Stock_Transaction_Log'!$F$2:$F1000,$C767,'主表 Stock_Transaction_Log'!$G$2:$G1000,$D767,'主表 Stock_Transaction_Log'!$P$2:$P1000,$L767)))</f>
        <v/>
      </c>
    </row>
    <row r="768">
      <c r="A768" s="173" t="str">
        <f>IF('主表 Stock_Transaction_Log'!$T768="","",IF(COUNTIF('主表 Stock_Transaction_Log'!$T$2:$T768,'主表 Stock_Transaction_Log'!$T768)=1,ROW('主表 Stock_Transaction_Log'!$T768),""))</f>
        <v/>
      </c>
      <c r="B768" s="173" t="str">
        <f t="array" ref="B768">IF($A768="","",INDEX('主表 Stock_Transaction_Log'!$Q:$Q,$A768))</f>
        <v/>
      </c>
      <c r="C768" s="173" t="str">
        <f t="array" ref="C768">IF($A768="","",IF(INDEX('主表 Stock_Transaction_Log'!$F:$F,$A768)=0,"",INDEX('主表 Stock_Transaction_Log'!$F:$F,$A768)))</f>
        <v/>
      </c>
      <c r="D768" s="173" t="str">
        <f t="array" ref="D768">IF($A768="","",INDEX('主表 Stock_Transaction_Log'!$G:$G,$A768))</f>
        <v/>
      </c>
      <c r="E768" s="173" t="str">
        <f t="array" ref="E768">IF($A768="","",INDEX('主表 Stock_Transaction_Log'!$H:$H,$A768))</f>
        <v/>
      </c>
      <c r="F768" s="173" t="str">
        <f t="array" ref="F768">IF($A768="","",INDEX('主表 Stock_Transaction_Log'!$I:$I,$A768))</f>
        <v/>
      </c>
      <c r="G768" s="173" t="str">
        <f t="array" ref="G768">IF($A768="","",IF(INDEX('主表 Stock_Transaction_Log'!$R:$R,$A768)=0,"",INDEX('主表 Stock_Transaction_Log'!$R:$R,$A768)))</f>
        <v/>
      </c>
      <c r="H768" s="173" t="str">
        <f t="array" ref="H768">IF($A768="","",SUMIF('主表 Stock_Transaction_Log'!$T:$T,INDEX('主表 Stock_Transaction_Log'!$T:$T,$A768),'主表 Stock_Transaction_Log'!$S:$S)+SUMIF('主表 Stock_Transaction_Log'!$AB:$AB,INDEX('主表 Stock_Transaction_Log'!$T:$T,$A768),'主表 Stock_Transaction_Log'!$AC:$AC))</f>
        <v/>
      </c>
      <c r="I768" s="173" t="str">
        <f t="shared" si="1"/>
        <v/>
      </c>
      <c r="J768" s="173" t="str">
        <f t="shared" si="2"/>
        <v/>
      </c>
      <c r="K768" s="173" t="str">
        <f t="shared" si="3"/>
        <v/>
      </c>
      <c r="L768" s="173" t="str">
        <f t="array" ref="L768">IF($A768="","",INDEX('主表 Stock_Transaction_Log'!$P:$P,$A768))</f>
        <v/>
      </c>
      <c r="M768" s="174" t="str">
        <f>IF($A768="","",IF($H768&lt;=0,0,SUMIFS('主表 Stock_Transaction_Log'!$K$2:$K1000,'主表 Stock_Transaction_Log'!$C$2:$C1000,"Prepared",'主表 Stock_Transaction_Log'!$L$2:$L1000,$B768,'主表 Stock_Transaction_Log'!$F$2:$F1000,$C768,'主表 Stock_Transaction_Log'!$G$2:$G1000,$D768,'主表 Stock_Transaction_Log'!$P$2:$P1000,$L768)))</f>
        <v/>
      </c>
    </row>
    <row r="769">
      <c r="A769" s="173" t="str">
        <f>IF('主表 Stock_Transaction_Log'!$T769="","",IF(COUNTIF('主表 Stock_Transaction_Log'!$T$2:$T769,'主表 Stock_Transaction_Log'!$T769)=1,ROW('主表 Stock_Transaction_Log'!$T769),""))</f>
        <v/>
      </c>
      <c r="B769" s="173" t="str">
        <f t="array" ref="B769">IF($A769="","",INDEX('主表 Stock_Transaction_Log'!$Q:$Q,$A769))</f>
        <v/>
      </c>
      <c r="C769" s="173" t="str">
        <f t="array" ref="C769">IF($A769="","",IF(INDEX('主表 Stock_Transaction_Log'!$F:$F,$A769)=0,"",INDEX('主表 Stock_Transaction_Log'!$F:$F,$A769)))</f>
        <v/>
      </c>
      <c r="D769" s="173" t="str">
        <f t="array" ref="D769">IF($A769="","",INDEX('主表 Stock_Transaction_Log'!$G:$G,$A769))</f>
        <v/>
      </c>
      <c r="E769" s="173" t="str">
        <f t="array" ref="E769">IF($A769="","",INDEX('主表 Stock_Transaction_Log'!$H:$H,$A769))</f>
        <v/>
      </c>
      <c r="F769" s="173" t="str">
        <f t="array" ref="F769">IF($A769="","",INDEX('主表 Stock_Transaction_Log'!$I:$I,$A769))</f>
        <v/>
      </c>
      <c r="G769" s="173" t="str">
        <f t="array" ref="G769">IF($A769="","",IF(INDEX('主表 Stock_Transaction_Log'!$R:$R,$A769)=0,"",INDEX('主表 Stock_Transaction_Log'!$R:$R,$A769)))</f>
        <v/>
      </c>
      <c r="H769" s="173" t="str">
        <f t="array" ref="H769">IF($A769="","",SUMIF('主表 Stock_Transaction_Log'!$T:$T,INDEX('主表 Stock_Transaction_Log'!$T:$T,$A769),'主表 Stock_Transaction_Log'!$S:$S)+SUMIF('主表 Stock_Transaction_Log'!$AB:$AB,INDEX('主表 Stock_Transaction_Log'!$T:$T,$A769),'主表 Stock_Transaction_Log'!$AC:$AC))</f>
        <v/>
      </c>
      <c r="I769" s="173" t="str">
        <f t="shared" si="1"/>
        <v/>
      </c>
      <c r="J769" s="173" t="str">
        <f t="shared" si="2"/>
        <v/>
      </c>
      <c r="K769" s="173" t="str">
        <f t="shared" si="3"/>
        <v/>
      </c>
      <c r="L769" s="173" t="str">
        <f t="array" ref="L769">IF($A769="","",INDEX('主表 Stock_Transaction_Log'!$P:$P,$A769))</f>
        <v/>
      </c>
      <c r="M769" s="174" t="str">
        <f>IF($A769="","",IF($H769&lt;=0,0,SUMIFS('主表 Stock_Transaction_Log'!$K$2:$K1000,'主表 Stock_Transaction_Log'!$C$2:$C1000,"Prepared",'主表 Stock_Transaction_Log'!$L$2:$L1000,$B769,'主表 Stock_Transaction_Log'!$F$2:$F1000,$C769,'主表 Stock_Transaction_Log'!$G$2:$G1000,$D769,'主表 Stock_Transaction_Log'!$P$2:$P1000,$L769)))</f>
        <v/>
      </c>
    </row>
    <row r="770">
      <c r="A770" s="173" t="str">
        <f>IF('主表 Stock_Transaction_Log'!$T770="","",IF(COUNTIF('主表 Stock_Transaction_Log'!$T$2:$T770,'主表 Stock_Transaction_Log'!$T770)=1,ROW('主表 Stock_Transaction_Log'!$T770),""))</f>
        <v/>
      </c>
      <c r="B770" s="173" t="str">
        <f t="array" ref="B770">IF($A770="","",INDEX('主表 Stock_Transaction_Log'!$Q:$Q,$A770))</f>
        <v/>
      </c>
      <c r="C770" s="173" t="str">
        <f t="array" ref="C770">IF($A770="","",IF(INDEX('主表 Stock_Transaction_Log'!$F:$F,$A770)=0,"",INDEX('主表 Stock_Transaction_Log'!$F:$F,$A770)))</f>
        <v/>
      </c>
      <c r="D770" s="173" t="str">
        <f t="array" ref="D770">IF($A770="","",INDEX('主表 Stock_Transaction_Log'!$G:$G,$A770))</f>
        <v/>
      </c>
      <c r="E770" s="173" t="str">
        <f t="array" ref="E770">IF($A770="","",INDEX('主表 Stock_Transaction_Log'!$H:$H,$A770))</f>
        <v/>
      </c>
      <c r="F770" s="173" t="str">
        <f t="array" ref="F770">IF($A770="","",INDEX('主表 Stock_Transaction_Log'!$I:$I,$A770))</f>
        <v/>
      </c>
      <c r="G770" s="173" t="str">
        <f t="array" ref="G770">IF($A770="","",IF(INDEX('主表 Stock_Transaction_Log'!$R:$R,$A770)=0,"",INDEX('主表 Stock_Transaction_Log'!$R:$R,$A770)))</f>
        <v/>
      </c>
      <c r="H770" s="173" t="str">
        <f t="array" ref="H770">IF($A770="","",SUMIF('主表 Stock_Transaction_Log'!$T:$T,INDEX('主表 Stock_Transaction_Log'!$T:$T,$A770),'主表 Stock_Transaction_Log'!$S:$S)+SUMIF('主表 Stock_Transaction_Log'!$AB:$AB,INDEX('主表 Stock_Transaction_Log'!$T:$T,$A770),'主表 Stock_Transaction_Log'!$AC:$AC))</f>
        <v/>
      </c>
      <c r="I770" s="173" t="str">
        <f t="shared" si="1"/>
        <v/>
      </c>
      <c r="J770" s="173" t="str">
        <f t="shared" si="2"/>
        <v/>
      </c>
      <c r="K770" s="173" t="str">
        <f t="shared" si="3"/>
        <v/>
      </c>
      <c r="L770" s="173" t="str">
        <f t="array" ref="L770">IF($A770="","",INDEX('主表 Stock_Transaction_Log'!$P:$P,$A770))</f>
        <v/>
      </c>
      <c r="M770" s="174" t="str">
        <f>IF($A770="","",IF($H770&lt;=0,0,SUMIFS('主表 Stock_Transaction_Log'!$K$2:$K1000,'主表 Stock_Transaction_Log'!$C$2:$C1000,"Prepared",'主表 Stock_Transaction_Log'!$L$2:$L1000,$B770,'主表 Stock_Transaction_Log'!$F$2:$F1000,$C770,'主表 Stock_Transaction_Log'!$G$2:$G1000,$D770,'主表 Stock_Transaction_Log'!$P$2:$P1000,$L770)))</f>
        <v/>
      </c>
    </row>
    <row r="771">
      <c r="A771" s="173" t="str">
        <f>IF('主表 Stock_Transaction_Log'!$T771="","",IF(COUNTIF('主表 Stock_Transaction_Log'!$T$2:$T771,'主表 Stock_Transaction_Log'!$T771)=1,ROW('主表 Stock_Transaction_Log'!$T771),""))</f>
        <v/>
      </c>
      <c r="B771" s="173" t="str">
        <f t="array" ref="B771">IF($A771="","",INDEX('主表 Stock_Transaction_Log'!$Q:$Q,$A771))</f>
        <v/>
      </c>
      <c r="C771" s="173" t="str">
        <f t="array" ref="C771">IF($A771="","",IF(INDEX('主表 Stock_Transaction_Log'!$F:$F,$A771)=0,"",INDEX('主表 Stock_Transaction_Log'!$F:$F,$A771)))</f>
        <v/>
      </c>
      <c r="D771" s="173" t="str">
        <f t="array" ref="D771">IF($A771="","",INDEX('主表 Stock_Transaction_Log'!$G:$G,$A771))</f>
        <v/>
      </c>
      <c r="E771" s="173" t="str">
        <f t="array" ref="E771">IF($A771="","",INDEX('主表 Stock_Transaction_Log'!$H:$H,$A771))</f>
        <v/>
      </c>
      <c r="F771" s="173" t="str">
        <f t="array" ref="F771">IF($A771="","",INDEX('主表 Stock_Transaction_Log'!$I:$I,$A771))</f>
        <v/>
      </c>
      <c r="G771" s="173" t="str">
        <f t="array" ref="G771">IF($A771="","",IF(INDEX('主表 Stock_Transaction_Log'!$R:$R,$A771)=0,"",INDEX('主表 Stock_Transaction_Log'!$R:$R,$A771)))</f>
        <v/>
      </c>
      <c r="H771" s="173" t="str">
        <f t="array" ref="H771">IF($A771="","",SUMIF('主表 Stock_Transaction_Log'!$T:$T,INDEX('主表 Stock_Transaction_Log'!$T:$T,$A771),'主表 Stock_Transaction_Log'!$S:$S)+SUMIF('主表 Stock_Transaction_Log'!$AB:$AB,INDEX('主表 Stock_Transaction_Log'!$T:$T,$A771),'主表 Stock_Transaction_Log'!$AC:$AC))</f>
        <v/>
      </c>
      <c r="I771" s="173" t="str">
        <f t="shared" si="1"/>
        <v/>
      </c>
      <c r="J771" s="173" t="str">
        <f t="shared" si="2"/>
        <v/>
      </c>
      <c r="K771" s="173" t="str">
        <f t="shared" si="3"/>
        <v/>
      </c>
      <c r="L771" s="173" t="str">
        <f t="array" ref="L771">IF($A771="","",INDEX('主表 Stock_Transaction_Log'!$P:$P,$A771))</f>
        <v/>
      </c>
      <c r="M771" s="174" t="str">
        <f>IF($A771="","",IF($H771&lt;=0,0,SUMIFS('主表 Stock_Transaction_Log'!$K$2:$K1000,'主表 Stock_Transaction_Log'!$C$2:$C1000,"Prepared",'主表 Stock_Transaction_Log'!$L$2:$L1000,$B771,'主表 Stock_Transaction_Log'!$F$2:$F1000,$C771,'主表 Stock_Transaction_Log'!$G$2:$G1000,$D771,'主表 Stock_Transaction_Log'!$P$2:$P1000,$L771)))</f>
        <v/>
      </c>
    </row>
    <row r="772">
      <c r="A772" s="173" t="str">
        <f>IF('主表 Stock_Transaction_Log'!$T772="","",IF(COUNTIF('主表 Stock_Transaction_Log'!$T$2:$T772,'主表 Stock_Transaction_Log'!$T772)=1,ROW('主表 Stock_Transaction_Log'!$T772),""))</f>
        <v/>
      </c>
      <c r="B772" s="173" t="str">
        <f t="array" ref="B772">IF($A772="","",INDEX('主表 Stock_Transaction_Log'!$Q:$Q,$A772))</f>
        <v/>
      </c>
      <c r="C772" s="173" t="str">
        <f t="array" ref="C772">IF($A772="","",IF(INDEX('主表 Stock_Transaction_Log'!$F:$F,$A772)=0,"",INDEX('主表 Stock_Transaction_Log'!$F:$F,$A772)))</f>
        <v/>
      </c>
      <c r="D772" s="173" t="str">
        <f t="array" ref="D772">IF($A772="","",INDEX('主表 Stock_Transaction_Log'!$G:$G,$A772))</f>
        <v/>
      </c>
      <c r="E772" s="173" t="str">
        <f t="array" ref="E772">IF($A772="","",INDEX('主表 Stock_Transaction_Log'!$H:$H,$A772))</f>
        <v/>
      </c>
      <c r="F772" s="173" t="str">
        <f t="array" ref="F772">IF($A772="","",INDEX('主表 Stock_Transaction_Log'!$I:$I,$A772))</f>
        <v/>
      </c>
      <c r="G772" s="173" t="str">
        <f t="array" ref="G772">IF($A772="","",IF(INDEX('主表 Stock_Transaction_Log'!$R:$R,$A772)=0,"",INDEX('主表 Stock_Transaction_Log'!$R:$R,$A772)))</f>
        <v/>
      </c>
      <c r="H772" s="173" t="str">
        <f t="array" ref="H772">IF($A772="","",SUMIF('主表 Stock_Transaction_Log'!$T:$T,INDEX('主表 Stock_Transaction_Log'!$T:$T,$A772),'主表 Stock_Transaction_Log'!$S:$S)+SUMIF('主表 Stock_Transaction_Log'!$AB:$AB,INDEX('主表 Stock_Transaction_Log'!$T:$T,$A772),'主表 Stock_Transaction_Log'!$AC:$AC))</f>
        <v/>
      </c>
      <c r="I772" s="173" t="str">
        <f t="shared" si="1"/>
        <v/>
      </c>
      <c r="J772" s="173" t="str">
        <f t="shared" si="2"/>
        <v/>
      </c>
      <c r="K772" s="173" t="str">
        <f t="shared" si="3"/>
        <v/>
      </c>
      <c r="L772" s="173" t="str">
        <f t="array" ref="L772">IF($A772="","",INDEX('主表 Stock_Transaction_Log'!$P:$P,$A772))</f>
        <v/>
      </c>
      <c r="M772" s="174" t="str">
        <f>IF($A772="","",IF($H772&lt;=0,0,SUMIFS('主表 Stock_Transaction_Log'!$K$2:$K1000,'主表 Stock_Transaction_Log'!$C$2:$C1000,"Prepared",'主表 Stock_Transaction_Log'!$L$2:$L1000,$B772,'主表 Stock_Transaction_Log'!$F$2:$F1000,$C772,'主表 Stock_Transaction_Log'!$G$2:$G1000,$D772,'主表 Stock_Transaction_Log'!$P$2:$P1000,$L772)))</f>
        <v/>
      </c>
    </row>
    <row r="773">
      <c r="A773" s="173" t="str">
        <f>IF('主表 Stock_Transaction_Log'!$T773="","",IF(COUNTIF('主表 Stock_Transaction_Log'!$T$2:$T773,'主表 Stock_Transaction_Log'!$T773)=1,ROW('主表 Stock_Transaction_Log'!$T773),""))</f>
        <v/>
      </c>
      <c r="B773" s="173" t="str">
        <f t="array" ref="B773">IF($A773="","",INDEX('主表 Stock_Transaction_Log'!$Q:$Q,$A773))</f>
        <v/>
      </c>
      <c r="C773" s="173" t="str">
        <f t="array" ref="C773">IF($A773="","",IF(INDEX('主表 Stock_Transaction_Log'!$F:$F,$A773)=0,"",INDEX('主表 Stock_Transaction_Log'!$F:$F,$A773)))</f>
        <v/>
      </c>
      <c r="D773" s="173" t="str">
        <f t="array" ref="D773">IF($A773="","",INDEX('主表 Stock_Transaction_Log'!$G:$G,$A773))</f>
        <v/>
      </c>
      <c r="E773" s="173" t="str">
        <f t="array" ref="E773">IF($A773="","",INDEX('主表 Stock_Transaction_Log'!$H:$H,$A773))</f>
        <v/>
      </c>
      <c r="F773" s="173" t="str">
        <f t="array" ref="F773">IF($A773="","",INDEX('主表 Stock_Transaction_Log'!$I:$I,$A773))</f>
        <v/>
      </c>
      <c r="G773" s="173" t="str">
        <f t="array" ref="G773">IF($A773="","",IF(INDEX('主表 Stock_Transaction_Log'!$R:$R,$A773)=0,"",INDEX('主表 Stock_Transaction_Log'!$R:$R,$A773)))</f>
        <v/>
      </c>
      <c r="H773" s="173" t="str">
        <f t="array" ref="H773">IF($A773="","",SUMIF('主表 Stock_Transaction_Log'!$T:$T,INDEX('主表 Stock_Transaction_Log'!$T:$T,$A773),'主表 Stock_Transaction_Log'!$S:$S)+SUMIF('主表 Stock_Transaction_Log'!$AB:$AB,INDEX('主表 Stock_Transaction_Log'!$T:$T,$A773),'主表 Stock_Transaction_Log'!$AC:$AC))</f>
        <v/>
      </c>
      <c r="I773" s="173" t="str">
        <f t="shared" si="1"/>
        <v/>
      </c>
      <c r="J773" s="173" t="str">
        <f t="shared" si="2"/>
        <v/>
      </c>
      <c r="K773" s="173" t="str">
        <f t="shared" si="3"/>
        <v/>
      </c>
      <c r="L773" s="173" t="str">
        <f t="array" ref="L773">IF($A773="","",INDEX('主表 Stock_Transaction_Log'!$P:$P,$A773))</f>
        <v/>
      </c>
      <c r="M773" s="174" t="str">
        <f>IF($A773="","",IF($H773&lt;=0,0,SUMIFS('主表 Stock_Transaction_Log'!$K$2:$K1000,'主表 Stock_Transaction_Log'!$C$2:$C1000,"Prepared",'主表 Stock_Transaction_Log'!$L$2:$L1000,$B773,'主表 Stock_Transaction_Log'!$F$2:$F1000,$C773,'主表 Stock_Transaction_Log'!$G$2:$G1000,$D773,'主表 Stock_Transaction_Log'!$P$2:$P1000,$L773)))</f>
        <v/>
      </c>
    </row>
    <row r="774">
      <c r="A774" s="173" t="str">
        <f>IF('主表 Stock_Transaction_Log'!$T774="","",IF(COUNTIF('主表 Stock_Transaction_Log'!$T$2:$T774,'主表 Stock_Transaction_Log'!$T774)=1,ROW('主表 Stock_Transaction_Log'!$T774),""))</f>
        <v/>
      </c>
      <c r="B774" s="173" t="str">
        <f t="array" ref="B774">IF($A774="","",INDEX('主表 Stock_Transaction_Log'!$Q:$Q,$A774))</f>
        <v/>
      </c>
      <c r="C774" s="173" t="str">
        <f t="array" ref="C774">IF($A774="","",IF(INDEX('主表 Stock_Transaction_Log'!$F:$F,$A774)=0,"",INDEX('主表 Stock_Transaction_Log'!$F:$F,$A774)))</f>
        <v/>
      </c>
      <c r="D774" s="173" t="str">
        <f t="array" ref="D774">IF($A774="","",INDEX('主表 Stock_Transaction_Log'!$G:$G,$A774))</f>
        <v/>
      </c>
      <c r="E774" s="173" t="str">
        <f t="array" ref="E774">IF($A774="","",INDEX('主表 Stock_Transaction_Log'!$H:$H,$A774))</f>
        <v/>
      </c>
      <c r="F774" s="173" t="str">
        <f t="array" ref="F774">IF($A774="","",INDEX('主表 Stock_Transaction_Log'!$I:$I,$A774))</f>
        <v/>
      </c>
      <c r="G774" s="173" t="str">
        <f t="array" ref="G774">IF($A774="","",IF(INDEX('主表 Stock_Transaction_Log'!$R:$R,$A774)=0,"",INDEX('主表 Stock_Transaction_Log'!$R:$R,$A774)))</f>
        <v/>
      </c>
      <c r="H774" s="173" t="str">
        <f t="array" ref="H774">IF($A774="","",SUMIF('主表 Stock_Transaction_Log'!$T:$T,INDEX('主表 Stock_Transaction_Log'!$T:$T,$A774),'主表 Stock_Transaction_Log'!$S:$S)+SUMIF('主表 Stock_Transaction_Log'!$AB:$AB,INDEX('主表 Stock_Transaction_Log'!$T:$T,$A774),'主表 Stock_Transaction_Log'!$AC:$AC))</f>
        <v/>
      </c>
      <c r="I774" s="173" t="str">
        <f t="shared" si="1"/>
        <v/>
      </c>
      <c r="J774" s="173" t="str">
        <f t="shared" si="2"/>
        <v/>
      </c>
      <c r="K774" s="173" t="str">
        <f t="shared" si="3"/>
        <v/>
      </c>
      <c r="L774" s="173" t="str">
        <f t="array" ref="L774">IF($A774="","",INDEX('主表 Stock_Transaction_Log'!$P:$P,$A774))</f>
        <v/>
      </c>
      <c r="M774" s="174" t="str">
        <f>IF($A774="","",IF($H774&lt;=0,0,SUMIFS('主表 Stock_Transaction_Log'!$K$2:$K1000,'主表 Stock_Transaction_Log'!$C$2:$C1000,"Prepared",'主表 Stock_Transaction_Log'!$L$2:$L1000,$B774,'主表 Stock_Transaction_Log'!$F$2:$F1000,$C774,'主表 Stock_Transaction_Log'!$G$2:$G1000,$D774,'主表 Stock_Transaction_Log'!$P$2:$P1000,$L774)))</f>
        <v/>
      </c>
    </row>
    <row r="775">
      <c r="A775" s="173" t="str">
        <f>IF('主表 Stock_Transaction_Log'!$T775="","",IF(COUNTIF('主表 Stock_Transaction_Log'!$T$2:$T775,'主表 Stock_Transaction_Log'!$T775)=1,ROW('主表 Stock_Transaction_Log'!$T775),""))</f>
        <v/>
      </c>
      <c r="B775" s="173" t="str">
        <f t="array" ref="B775">IF($A775="","",INDEX('主表 Stock_Transaction_Log'!$Q:$Q,$A775))</f>
        <v/>
      </c>
      <c r="C775" s="173" t="str">
        <f t="array" ref="C775">IF($A775="","",IF(INDEX('主表 Stock_Transaction_Log'!$F:$F,$A775)=0,"",INDEX('主表 Stock_Transaction_Log'!$F:$F,$A775)))</f>
        <v/>
      </c>
      <c r="D775" s="173" t="str">
        <f t="array" ref="D775">IF($A775="","",INDEX('主表 Stock_Transaction_Log'!$G:$G,$A775))</f>
        <v/>
      </c>
      <c r="E775" s="173" t="str">
        <f t="array" ref="E775">IF($A775="","",INDEX('主表 Stock_Transaction_Log'!$H:$H,$A775))</f>
        <v/>
      </c>
      <c r="F775" s="173" t="str">
        <f t="array" ref="F775">IF($A775="","",INDEX('主表 Stock_Transaction_Log'!$I:$I,$A775))</f>
        <v/>
      </c>
      <c r="G775" s="173" t="str">
        <f t="array" ref="G775">IF($A775="","",IF(INDEX('主表 Stock_Transaction_Log'!$R:$R,$A775)=0,"",INDEX('主表 Stock_Transaction_Log'!$R:$R,$A775)))</f>
        <v/>
      </c>
      <c r="H775" s="173" t="str">
        <f t="array" ref="H775">IF($A775="","",SUMIF('主表 Stock_Transaction_Log'!$T:$T,INDEX('主表 Stock_Transaction_Log'!$T:$T,$A775),'主表 Stock_Transaction_Log'!$S:$S)+SUMIF('主表 Stock_Transaction_Log'!$AB:$AB,INDEX('主表 Stock_Transaction_Log'!$T:$T,$A775),'主表 Stock_Transaction_Log'!$AC:$AC))</f>
        <v/>
      </c>
      <c r="I775" s="173" t="str">
        <f t="shared" si="1"/>
        <v/>
      </c>
      <c r="J775" s="173" t="str">
        <f t="shared" si="2"/>
        <v/>
      </c>
      <c r="K775" s="173" t="str">
        <f t="shared" si="3"/>
        <v/>
      </c>
      <c r="L775" s="173" t="str">
        <f t="array" ref="L775">IF($A775="","",INDEX('主表 Stock_Transaction_Log'!$P:$P,$A775))</f>
        <v/>
      </c>
      <c r="M775" s="174" t="str">
        <f>IF($A775="","",IF($H775&lt;=0,0,SUMIFS('主表 Stock_Transaction_Log'!$K$2:$K1000,'主表 Stock_Transaction_Log'!$C$2:$C1000,"Prepared",'主表 Stock_Transaction_Log'!$L$2:$L1000,$B775,'主表 Stock_Transaction_Log'!$F$2:$F1000,$C775,'主表 Stock_Transaction_Log'!$G$2:$G1000,$D775,'主表 Stock_Transaction_Log'!$P$2:$P1000,$L775)))</f>
        <v/>
      </c>
    </row>
    <row r="776">
      <c r="A776" s="173" t="str">
        <f>IF('主表 Stock_Transaction_Log'!$T776="","",IF(COUNTIF('主表 Stock_Transaction_Log'!$T$2:$T776,'主表 Stock_Transaction_Log'!$T776)=1,ROW('主表 Stock_Transaction_Log'!$T776),""))</f>
        <v/>
      </c>
      <c r="B776" s="173" t="str">
        <f t="array" ref="B776">IF($A776="","",INDEX('主表 Stock_Transaction_Log'!$Q:$Q,$A776))</f>
        <v/>
      </c>
      <c r="C776" s="173" t="str">
        <f t="array" ref="C776">IF($A776="","",IF(INDEX('主表 Stock_Transaction_Log'!$F:$F,$A776)=0,"",INDEX('主表 Stock_Transaction_Log'!$F:$F,$A776)))</f>
        <v/>
      </c>
      <c r="D776" s="173" t="str">
        <f t="array" ref="D776">IF($A776="","",INDEX('主表 Stock_Transaction_Log'!$G:$G,$A776))</f>
        <v/>
      </c>
      <c r="E776" s="173" t="str">
        <f t="array" ref="E776">IF($A776="","",INDEX('主表 Stock_Transaction_Log'!$H:$H,$A776))</f>
        <v/>
      </c>
      <c r="F776" s="173" t="str">
        <f t="array" ref="F776">IF($A776="","",INDEX('主表 Stock_Transaction_Log'!$I:$I,$A776))</f>
        <v/>
      </c>
      <c r="G776" s="173" t="str">
        <f t="array" ref="G776">IF($A776="","",IF(INDEX('主表 Stock_Transaction_Log'!$R:$R,$A776)=0,"",INDEX('主表 Stock_Transaction_Log'!$R:$R,$A776)))</f>
        <v/>
      </c>
      <c r="H776" s="173" t="str">
        <f t="array" ref="H776">IF($A776="","",SUMIF('主表 Stock_Transaction_Log'!$T:$T,INDEX('主表 Stock_Transaction_Log'!$T:$T,$A776),'主表 Stock_Transaction_Log'!$S:$S)+SUMIF('主表 Stock_Transaction_Log'!$AB:$AB,INDEX('主表 Stock_Transaction_Log'!$T:$T,$A776),'主表 Stock_Transaction_Log'!$AC:$AC))</f>
        <v/>
      </c>
      <c r="I776" s="173" t="str">
        <f t="shared" si="1"/>
        <v/>
      </c>
      <c r="J776" s="173" t="str">
        <f t="shared" si="2"/>
        <v/>
      </c>
      <c r="K776" s="173" t="str">
        <f t="shared" si="3"/>
        <v/>
      </c>
      <c r="L776" s="173" t="str">
        <f t="array" ref="L776">IF($A776="","",INDEX('主表 Stock_Transaction_Log'!$P:$P,$A776))</f>
        <v/>
      </c>
      <c r="M776" s="174" t="str">
        <f>IF($A776="","",IF($H776&lt;=0,0,SUMIFS('主表 Stock_Transaction_Log'!$K$2:$K1000,'主表 Stock_Transaction_Log'!$C$2:$C1000,"Prepared",'主表 Stock_Transaction_Log'!$L$2:$L1000,$B776,'主表 Stock_Transaction_Log'!$F$2:$F1000,$C776,'主表 Stock_Transaction_Log'!$G$2:$G1000,$D776,'主表 Stock_Transaction_Log'!$P$2:$P1000,$L776)))</f>
        <v/>
      </c>
    </row>
    <row r="777">
      <c r="A777" s="173" t="str">
        <f>IF('主表 Stock_Transaction_Log'!$T777="","",IF(COUNTIF('主表 Stock_Transaction_Log'!$T$2:$T777,'主表 Stock_Transaction_Log'!$T777)=1,ROW('主表 Stock_Transaction_Log'!$T777),""))</f>
        <v/>
      </c>
      <c r="B777" s="173" t="str">
        <f t="array" ref="B777">IF($A777="","",INDEX('主表 Stock_Transaction_Log'!$Q:$Q,$A777))</f>
        <v/>
      </c>
      <c r="C777" s="173" t="str">
        <f t="array" ref="C777">IF($A777="","",IF(INDEX('主表 Stock_Transaction_Log'!$F:$F,$A777)=0,"",INDEX('主表 Stock_Transaction_Log'!$F:$F,$A777)))</f>
        <v/>
      </c>
      <c r="D777" s="173" t="str">
        <f t="array" ref="D777">IF($A777="","",INDEX('主表 Stock_Transaction_Log'!$G:$G,$A777))</f>
        <v/>
      </c>
      <c r="E777" s="173" t="str">
        <f t="array" ref="E777">IF($A777="","",INDEX('主表 Stock_Transaction_Log'!$H:$H,$A777))</f>
        <v/>
      </c>
      <c r="F777" s="173" t="str">
        <f t="array" ref="F777">IF($A777="","",INDEX('主表 Stock_Transaction_Log'!$I:$I,$A777))</f>
        <v/>
      </c>
      <c r="G777" s="173" t="str">
        <f t="array" ref="G777">IF($A777="","",IF(INDEX('主表 Stock_Transaction_Log'!$R:$R,$A777)=0,"",INDEX('主表 Stock_Transaction_Log'!$R:$R,$A777)))</f>
        <v/>
      </c>
      <c r="H777" s="173" t="str">
        <f t="array" ref="H777">IF($A777="","",SUMIF('主表 Stock_Transaction_Log'!$T:$T,INDEX('主表 Stock_Transaction_Log'!$T:$T,$A777),'主表 Stock_Transaction_Log'!$S:$S)+SUMIF('主表 Stock_Transaction_Log'!$AB:$AB,INDEX('主表 Stock_Transaction_Log'!$T:$T,$A777),'主表 Stock_Transaction_Log'!$AC:$AC))</f>
        <v/>
      </c>
      <c r="I777" s="173" t="str">
        <f t="shared" si="1"/>
        <v/>
      </c>
      <c r="J777" s="173" t="str">
        <f t="shared" si="2"/>
        <v/>
      </c>
      <c r="K777" s="173" t="str">
        <f t="shared" si="3"/>
        <v/>
      </c>
      <c r="L777" s="173" t="str">
        <f t="array" ref="L777">IF($A777="","",INDEX('主表 Stock_Transaction_Log'!$P:$P,$A777))</f>
        <v/>
      </c>
      <c r="M777" s="174" t="str">
        <f>IF($A777="","",IF($H777&lt;=0,0,SUMIFS('主表 Stock_Transaction_Log'!$K$2:$K1000,'主表 Stock_Transaction_Log'!$C$2:$C1000,"Prepared",'主表 Stock_Transaction_Log'!$L$2:$L1000,$B777,'主表 Stock_Transaction_Log'!$F$2:$F1000,$C777,'主表 Stock_Transaction_Log'!$G$2:$G1000,$D777,'主表 Stock_Transaction_Log'!$P$2:$P1000,$L777)))</f>
        <v/>
      </c>
    </row>
    <row r="778">
      <c r="A778" s="173" t="str">
        <f>IF('主表 Stock_Transaction_Log'!$T778="","",IF(COUNTIF('主表 Stock_Transaction_Log'!$T$2:$T778,'主表 Stock_Transaction_Log'!$T778)=1,ROW('主表 Stock_Transaction_Log'!$T778),""))</f>
        <v/>
      </c>
      <c r="B778" s="173" t="str">
        <f t="array" ref="B778">IF($A778="","",INDEX('主表 Stock_Transaction_Log'!$Q:$Q,$A778))</f>
        <v/>
      </c>
      <c r="C778" s="173" t="str">
        <f t="array" ref="C778">IF($A778="","",IF(INDEX('主表 Stock_Transaction_Log'!$F:$F,$A778)=0,"",INDEX('主表 Stock_Transaction_Log'!$F:$F,$A778)))</f>
        <v/>
      </c>
      <c r="D778" s="173" t="str">
        <f t="array" ref="D778">IF($A778="","",INDEX('主表 Stock_Transaction_Log'!$G:$G,$A778))</f>
        <v/>
      </c>
      <c r="E778" s="173" t="str">
        <f t="array" ref="E778">IF($A778="","",INDEX('主表 Stock_Transaction_Log'!$H:$H,$A778))</f>
        <v/>
      </c>
      <c r="F778" s="173" t="str">
        <f t="array" ref="F778">IF($A778="","",INDEX('主表 Stock_Transaction_Log'!$I:$I,$A778))</f>
        <v/>
      </c>
      <c r="G778" s="173" t="str">
        <f t="array" ref="G778">IF($A778="","",IF(INDEX('主表 Stock_Transaction_Log'!$R:$R,$A778)=0,"",INDEX('主表 Stock_Transaction_Log'!$R:$R,$A778)))</f>
        <v/>
      </c>
      <c r="H778" s="173" t="str">
        <f t="array" ref="H778">IF($A778="","",SUMIF('主表 Stock_Transaction_Log'!$T:$T,INDEX('主表 Stock_Transaction_Log'!$T:$T,$A778),'主表 Stock_Transaction_Log'!$S:$S)+SUMIF('主表 Stock_Transaction_Log'!$AB:$AB,INDEX('主表 Stock_Transaction_Log'!$T:$T,$A778),'主表 Stock_Transaction_Log'!$AC:$AC))</f>
        <v/>
      </c>
      <c r="I778" s="173" t="str">
        <f t="shared" si="1"/>
        <v/>
      </c>
      <c r="J778" s="173" t="str">
        <f t="shared" si="2"/>
        <v/>
      </c>
      <c r="K778" s="173" t="str">
        <f t="shared" si="3"/>
        <v/>
      </c>
      <c r="L778" s="173" t="str">
        <f t="array" ref="L778">IF($A778="","",INDEX('主表 Stock_Transaction_Log'!$P:$P,$A778))</f>
        <v/>
      </c>
      <c r="M778" s="174" t="str">
        <f>IF($A778="","",IF($H778&lt;=0,0,SUMIFS('主表 Stock_Transaction_Log'!$K$2:$K1000,'主表 Stock_Transaction_Log'!$C$2:$C1000,"Prepared",'主表 Stock_Transaction_Log'!$L$2:$L1000,$B778,'主表 Stock_Transaction_Log'!$F$2:$F1000,$C778,'主表 Stock_Transaction_Log'!$G$2:$G1000,$D778,'主表 Stock_Transaction_Log'!$P$2:$P1000,$L778)))</f>
        <v/>
      </c>
    </row>
    <row r="779">
      <c r="A779" s="173" t="str">
        <f>IF('主表 Stock_Transaction_Log'!$T779="","",IF(COUNTIF('主表 Stock_Transaction_Log'!$T$2:$T779,'主表 Stock_Transaction_Log'!$T779)=1,ROW('主表 Stock_Transaction_Log'!$T779),""))</f>
        <v/>
      </c>
      <c r="B779" s="173" t="str">
        <f t="array" ref="B779">IF($A779="","",INDEX('主表 Stock_Transaction_Log'!$Q:$Q,$A779))</f>
        <v/>
      </c>
      <c r="C779" s="173" t="str">
        <f t="array" ref="C779">IF($A779="","",IF(INDEX('主表 Stock_Transaction_Log'!$F:$F,$A779)=0,"",INDEX('主表 Stock_Transaction_Log'!$F:$F,$A779)))</f>
        <v/>
      </c>
      <c r="D779" s="173" t="str">
        <f t="array" ref="D779">IF($A779="","",INDEX('主表 Stock_Transaction_Log'!$G:$G,$A779))</f>
        <v/>
      </c>
      <c r="E779" s="173" t="str">
        <f t="array" ref="E779">IF($A779="","",INDEX('主表 Stock_Transaction_Log'!$H:$H,$A779))</f>
        <v/>
      </c>
      <c r="F779" s="173" t="str">
        <f t="array" ref="F779">IF($A779="","",INDEX('主表 Stock_Transaction_Log'!$I:$I,$A779))</f>
        <v/>
      </c>
      <c r="G779" s="173" t="str">
        <f t="array" ref="G779">IF($A779="","",IF(INDEX('主表 Stock_Transaction_Log'!$R:$R,$A779)=0,"",INDEX('主表 Stock_Transaction_Log'!$R:$R,$A779)))</f>
        <v/>
      </c>
      <c r="H779" s="173" t="str">
        <f t="array" ref="H779">IF($A779="","",SUMIF('主表 Stock_Transaction_Log'!$T:$T,INDEX('主表 Stock_Transaction_Log'!$T:$T,$A779),'主表 Stock_Transaction_Log'!$S:$S)+SUMIF('主表 Stock_Transaction_Log'!$AB:$AB,INDEX('主表 Stock_Transaction_Log'!$T:$T,$A779),'主表 Stock_Transaction_Log'!$AC:$AC))</f>
        <v/>
      </c>
      <c r="I779" s="173" t="str">
        <f t="shared" si="1"/>
        <v/>
      </c>
      <c r="J779" s="173" t="str">
        <f t="shared" si="2"/>
        <v/>
      </c>
      <c r="K779" s="173" t="str">
        <f t="shared" si="3"/>
        <v/>
      </c>
      <c r="L779" s="173" t="str">
        <f t="array" ref="L779">IF($A779="","",INDEX('主表 Stock_Transaction_Log'!$P:$P,$A779))</f>
        <v/>
      </c>
      <c r="M779" s="174" t="str">
        <f>IF($A779="","",IF($H779&lt;=0,0,SUMIFS('主表 Stock_Transaction_Log'!$K$2:$K1000,'主表 Stock_Transaction_Log'!$C$2:$C1000,"Prepared",'主表 Stock_Transaction_Log'!$L$2:$L1000,$B779,'主表 Stock_Transaction_Log'!$F$2:$F1000,$C779,'主表 Stock_Transaction_Log'!$G$2:$G1000,$D779,'主表 Stock_Transaction_Log'!$P$2:$P1000,$L779)))</f>
        <v/>
      </c>
    </row>
    <row r="780">
      <c r="A780" s="173" t="str">
        <f>IF('主表 Stock_Transaction_Log'!$T780="","",IF(COUNTIF('主表 Stock_Transaction_Log'!$T$2:$T780,'主表 Stock_Transaction_Log'!$T780)=1,ROW('主表 Stock_Transaction_Log'!$T780),""))</f>
        <v/>
      </c>
      <c r="B780" s="173" t="str">
        <f t="array" ref="B780">IF($A780="","",INDEX('主表 Stock_Transaction_Log'!$Q:$Q,$A780))</f>
        <v/>
      </c>
      <c r="C780" s="173" t="str">
        <f t="array" ref="C780">IF($A780="","",IF(INDEX('主表 Stock_Transaction_Log'!$F:$F,$A780)=0,"",INDEX('主表 Stock_Transaction_Log'!$F:$F,$A780)))</f>
        <v/>
      </c>
      <c r="D780" s="173" t="str">
        <f t="array" ref="D780">IF($A780="","",INDEX('主表 Stock_Transaction_Log'!$G:$G,$A780))</f>
        <v/>
      </c>
      <c r="E780" s="173" t="str">
        <f t="array" ref="E780">IF($A780="","",INDEX('主表 Stock_Transaction_Log'!$H:$H,$A780))</f>
        <v/>
      </c>
      <c r="F780" s="173" t="str">
        <f t="array" ref="F780">IF($A780="","",INDEX('主表 Stock_Transaction_Log'!$I:$I,$A780))</f>
        <v/>
      </c>
      <c r="G780" s="173" t="str">
        <f t="array" ref="G780">IF($A780="","",IF(INDEX('主表 Stock_Transaction_Log'!$R:$R,$A780)=0,"",INDEX('主表 Stock_Transaction_Log'!$R:$R,$A780)))</f>
        <v/>
      </c>
      <c r="H780" s="173" t="str">
        <f t="array" ref="H780">IF($A780="","",SUMIF('主表 Stock_Transaction_Log'!$T:$T,INDEX('主表 Stock_Transaction_Log'!$T:$T,$A780),'主表 Stock_Transaction_Log'!$S:$S)+SUMIF('主表 Stock_Transaction_Log'!$AB:$AB,INDEX('主表 Stock_Transaction_Log'!$T:$T,$A780),'主表 Stock_Transaction_Log'!$AC:$AC))</f>
        <v/>
      </c>
      <c r="I780" s="173" t="str">
        <f t="shared" si="1"/>
        <v/>
      </c>
      <c r="J780" s="173" t="str">
        <f t="shared" si="2"/>
        <v/>
      </c>
      <c r="K780" s="173" t="str">
        <f t="shared" si="3"/>
        <v/>
      </c>
      <c r="L780" s="173" t="str">
        <f t="array" ref="L780">IF($A780="","",INDEX('主表 Stock_Transaction_Log'!$P:$P,$A780))</f>
        <v/>
      </c>
      <c r="M780" s="174" t="str">
        <f>IF($A780="","",IF($H780&lt;=0,0,SUMIFS('主表 Stock_Transaction_Log'!$K$2:$K1000,'主表 Stock_Transaction_Log'!$C$2:$C1000,"Prepared",'主表 Stock_Transaction_Log'!$L$2:$L1000,$B780,'主表 Stock_Transaction_Log'!$F$2:$F1000,$C780,'主表 Stock_Transaction_Log'!$G$2:$G1000,$D780,'主表 Stock_Transaction_Log'!$P$2:$P1000,$L780)))</f>
        <v/>
      </c>
    </row>
    <row r="781">
      <c r="A781" s="173" t="str">
        <f>IF('主表 Stock_Transaction_Log'!$T781="","",IF(COUNTIF('主表 Stock_Transaction_Log'!$T$2:$T781,'主表 Stock_Transaction_Log'!$T781)=1,ROW('主表 Stock_Transaction_Log'!$T781),""))</f>
        <v/>
      </c>
      <c r="B781" s="173" t="str">
        <f t="array" ref="B781">IF($A781="","",INDEX('主表 Stock_Transaction_Log'!$Q:$Q,$A781))</f>
        <v/>
      </c>
      <c r="C781" s="173" t="str">
        <f t="array" ref="C781">IF($A781="","",IF(INDEX('主表 Stock_Transaction_Log'!$F:$F,$A781)=0,"",INDEX('主表 Stock_Transaction_Log'!$F:$F,$A781)))</f>
        <v/>
      </c>
      <c r="D781" s="173" t="str">
        <f t="array" ref="D781">IF($A781="","",INDEX('主表 Stock_Transaction_Log'!$G:$G,$A781))</f>
        <v/>
      </c>
      <c r="E781" s="173" t="str">
        <f t="array" ref="E781">IF($A781="","",INDEX('主表 Stock_Transaction_Log'!$H:$H,$A781))</f>
        <v/>
      </c>
      <c r="F781" s="173" t="str">
        <f t="array" ref="F781">IF($A781="","",INDEX('主表 Stock_Transaction_Log'!$I:$I,$A781))</f>
        <v/>
      </c>
      <c r="G781" s="173" t="str">
        <f t="array" ref="G781">IF($A781="","",IF(INDEX('主表 Stock_Transaction_Log'!$R:$R,$A781)=0,"",INDEX('主表 Stock_Transaction_Log'!$R:$R,$A781)))</f>
        <v/>
      </c>
      <c r="H781" s="173" t="str">
        <f t="array" ref="H781">IF($A781="","",SUMIF('主表 Stock_Transaction_Log'!$T:$T,INDEX('主表 Stock_Transaction_Log'!$T:$T,$A781),'主表 Stock_Transaction_Log'!$S:$S)+SUMIF('主表 Stock_Transaction_Log'!$AB:$AB,INDEX('主表 Stock_Transaction_Log'!$T:$T,$A781),'主表 Stock_Transaction_Log'!$AC:$AC))</f>
        <v/>
      </c>
      <c r="I781" s="173" t="str">
        <f t="shared" si="1"/>
        <v/>
      </c>
      <c r="J781" s="173" t="str">
        <f t="shared" si="2"/>
        <v/>
      </c>
      <c r="K781" s="173" t="str">
        <f t="shared" si="3"/>
        <v/>
      </c>
      <c r="L781" s="173" t="str">
        <f t="array" ref="L781">IF($A781="","",INDEX('主表 Stock_Transaction_Log'!$P:$P,$A781))</f>
        <v/>
      </c>
      <c r="M781" s="174" t="str">
        <f>IF($A781="","",IF($H781&lt;=0,0,SUMIFS('主表 Stock_Transaction_Log'!$K$2:$K1000,'主表 Stock_Transaction_Log'!$C$2:$C1000,"Prepared",'主表 Stock_Transaction_Log'!$L$2:$L1000,$B781,'主表 Stock_Transaction_Log'!$F$2:$F1000,$C781,'主表 Stock_Transaction_Log'!$G$2:$G1000,$D781,'主表 Stock_Transaction_Log'!$P$2:$P1000,$L781)))</f>
        <v/>
      </c>
    </row>
    <row r="782">
      <c r="A782" s="173" t="str">
        <f>IF('主表 Stock_Transaction_Log'!$T782="","",IF(COUNTIF('主表 Stock_Transaction_Log'!$T$2:$T782,'主表 Stock_Transaction_Log'!$T782)=1,ROW('主表 Stock_Transaction_Log'!$T782),""))</f>
        <v/>
      </c>
      <c r="B782" s="173" t="str">
        <f t="array" ref="B782">IF($A782="","",INDEX('主表 Stock_Transaction_Log'!$Q:$Q,$A782))</f>
        <v/>
      </c>
      <c r="C782" s="173" t="str">
        <f t="array" ref="C782">IF($A782="","",IF(INDEX('主表 Stock_Transaction_Log'!$F:$F,$A782)=0,"",INDEX('主表 Stock_Transaction_Log'!$F:$F,$A782)))</f>
        <v/>
      </c>
      <c r="D782" s="173" t="str">
        <f t="array" ref="D782">IF($A782="","",INDEX('主表 Stock_Transaction_Log'!$G:$G,$A782))</f>
        <v/>
      </c>
      <c r="E782" s="173" t="str">
        <f t="array" ref="E782">IF($A782="","",INDEX('主表 Stock_Transaction_Log'!$H:$H,$A782))</f>
        <v/>
      </c>
      <c r="F782" s="173" t="str">
        <f t="array" ref="F782">IF($A782="","",INDEX('主表 Stock_Transaction_Log'!$I:$I,$A782))</f>
        <v/>
      </c>
      <c r="G782" s="173" t="str">
        <f t="array" ref="G782">IF($A782="","",IF(INDEX('主表 Stock_Transaction_Log'!$R:$R,$A782)=0,"",INDEX('主表 Stock_Transaction_Log'!$R:$R,$A782)))</f>
        <v/>
      </c>
      <c r="H782" s="173" t="str">
        <f t="array" ref="H782">IF($A782="","",SUMIF('主表 Stock_Transaction_Log'!$T:$T,INDEX('主表 Stock_Transaction_Log'!$T:$T,$A782),'主表 Stock_Transaction_Log'!$S:$S)+SUMIF('主表 Stock_Transaction_Log'!$AB:$AB,INDEX('主表 Stock_Transaction_Log'!$T:$T,$A782),'主表 Stock_Transaction_Log'!$AC:$AC))</f>
        <v/>
      </c>
      <c r="I782" s="173" t="str">
        <f t="shared" si="1"/>
        <v/>
      </c>
      <c r="J782" s="173" t="str">
        <f t="shared" si="2"/>
        <v/>
      </c>
      <c r="K782" s="173" t="str">
        <f t="shared" si="3"/>
        <v/>
      </c>
      <c r="L782" s="173" t="str">
        <f t="array" ref="L782">IF($A782="","",INDEX('主表 Stock_Transaction_Log'!$P:$P,$A782))</f>
        <v/>
      </c>
      <c r="M782" s="174" t="str">
        <f>IF($A782="","",IF($H782&lt;=0,0,SUMIFS('主表 Stock_Transaction_Log'!$K$2:$K1000,'主表 Stock_Transaction_Log'!$C$2:$C1000,"Prepared",'主表 Stock_Transaction_Log'!$L$2:$L1000,$B782,'主表 Stock_Transaction_Log'!$F$2:$F1000,$C782,'主表 Stock_Transaction_Log'!$G$2:$G1000,$D782,'主表 Stock_Transaction_Log'!$P$2:$P1000,$L782)))</f>
        <v/>
      </c>
    </row>
    <row r="783">
      <c r="A783" s="173" t="str">
        <f>IF('主表 Stock_Transaction_Log'!$T783="","",IF(COUNTIF('主表 Stock_Transaction_Log'!$T$2:$T783,'主表 Stock_Transaction_Log'!$T783)=1,ROW('主表 Stock_Transaction_Log'!$T783),""))</f>
        <v/>
      </c>
      <c r="B783" s="173" t="str">
        <f t="array" ref="B783">IF($A783="","",INDEX('主表 Stock_Transaction_Log'!$Q:$Q,$A783))</f>
        <v/>
      </c>
      <c r="C783" s="173" t="str">
        <f t="array" ref="C783">IF($A783="","",IF(INDEX('主表 Stock_Transaction_Log'!$F:$F,$A783)=0,"",INDEX('主表 Stock_Transaction_Log'!$F:$F,$A783)))</f>
        <v/>
      </c>
      <c r="D783" s="173" t="str">
        <f t="array" ref="D783">IF($A783="","",INDEX('主表 Stock_Transaction_Log'!$G:$G,$A783))</f>
        <v/>
      </c>
      <c r="E783" s="173" t="str">
        <f t="array" ref="E783">IF($A783="","",INDEX('主表 Stock_Transaction_Log'!$H:$H,$A783))</f>
        <v/>
      </c>
      <c r="F783" s="173" t="str">
        <f t="array" ref="F783">IF($A783="","",INDEX('主表 Stock_Transaction_Log'!$I:$I,$A783))</f>
        <v/>
      </c>
      <c r="G783" s="173" t="str">
        <f t="array" ref="G783">IF($A783="","",IF(INDEX('主表 Stock_Transaction_Log'!$R:$R,$A783)=0,"",INDEX('主表 Stock_Transaction_Log'!$R:$R,$A783)))</f>
        <v/>
      </c>
      <c r="H783" s="173" t="str">
        <f t="array" ref="H783">IF($A783="","",SUMIF('主表 Stock_Transaction_Log'!$T:$T,INDEX('主表 Stock_Transaction_Log'!$T:$T,$A783),'主表 Stock_Transaction_Log'!$S:$S)+SUMIF('主表 Stock_Transaction_Log'!$AB:$AB,INDEX('主表 Stock_Transaction_Log'!$T:$T,$A783),'主表 Stock_Transaction_Log'!$AC:$AC))</f>
        <v/>
      </c>
      <c r="I783" s="173" t="str">
        <f t="shared" si="1"/>
        <v/>
      </c>
      <c r="J783" s="173" t="str">
        <f t="shared" si="2"/>
        <v/>
      </c>
      <c r="K783" s="173" t="str">
        <f t="shared" si="3"/>
        <v/>
      </c>
      <c r="L783" s="173" t="str">
        <f t="array" ref="L783">IF($A783="","",INDEX('主表 Stock_Transaction_Log'!$P:$P,$A783))</f>
        <v/>
      </c>
      <c r="M783" s="174" t="str">
        <f>IF($A783="","",IF($H783&lt;=0,0,SUMIFS('主表 Stock_Transaction_Log'!$K$2:$K1000,'主表 Stock_Transaction_Log'!$C$2:$C1000,"Prepared",'主表 Stock_Transaction_Log'!$L$2:$L1000,$B783,'主表 Stock_Transaction_Log'!$F$2:$F1000,$C783,'主表 Stock_Transaction_Log'!$G$2:$G1000,$D783,'主表 Stock_Transaction_Log'!$P$2:$P1000,$L783)))</f>
        <v/>
      </c>
    </row>
    <row r="784">
      <c r="A784" s="173" t="str">
        <f>IF('主表 Stock_Transaction_Log'!$T784="","",IF(COUNTIF('主表 Stock_Transaction_Log'!$T$2:$T784,'主表 Stock_Transaction_Log'!$T784)=1,ROW('主表 Stock_Transaction_Log'!$T784),""))</f>
        <v/>
      </c>
      <c r="B784" s="173" t="str">
        <f t="array" ref="B784">IF($A784="","",INDEX('主表 Stock_Transaction_Log'!$Q:$Q,$A784))</f>
        <v/>
      </c>
      <c r="C784" s="173" t="str">
        <f t="array" ref="C784">IF($A784="","",IF(INDEX('主表 Stock_Transaction_Log'!$F:$F,$A784)=0,"",INDEX('主表 Stock_Transaction_Log'!$F:$F,$A784)))</f>
        <v/>
      </c>
      <c r="D784" s="173" t="str">
        <f t="array" ref="D784">IF($A784="","",INDEX('主表 Stock_Transaction_Log'!$G:$G,$A784))</f>
        <v/>
      </c>
      <c r="E784" s="173" t="str">
        <f t="array" ref="E784">IF($A784="","",INDEX('主表 Stock_Transaction_Log'!$H:$H,$A784))</f>
        <v/>
      </c>
      <c r="F784" s="173" t="str">
        <f t="array" ref="F784">IF($A784="","",INDEX('主表 Stock_Transaction_Log'!$I:$I,$A784))</f>
        <v/>
      </c>
      <c r="G784" s="173" t="str">
        <f t="array" ref="G784">IF($A784="","",IF(INDEX('主表 Stock_Transaction_Log'!$R:$R,$A784)=0,"",INDEX('主表 Stock_Transaction_Log'!$R:$R,$A784)))</f>
        <v/>
      </c>
      <c r="H784" s="173" t="str">
        <f t="array" ref="H784">IF($A784="","",SUMIF('主表 Stock_Transaction_Log'!$T:$T,INDEX('主表 Stock_Transaction_Log'!$T:$T,$A784),'主表 Stock_Transaction_Log'!$S:$S)+SUMIF('主表 Stock_Transaction_Log'!$AB:$AB,INDEX('主表 Stock_Transaction_Log'!$T:$T,$A784),'主表 Stock_Transaction_Log'!$AC:$AC))</f>
        <v/>
      </c>
      <c r="I784" s="173" t="str">
        <f t="shared" si="1"/>
        <v/>
      </c>
      <c r="J784" s="173" t="str">
        <f t="shared" si="2"/>
        <v/>
      </c>
      <c r="K784" s="173" t="str">
        <f t="shared" si="3"/>
        <v/>
      </c>
      <c r="L784" s="173" t="str">
        <f t="array" ref="L784">IF($A784="","",INDEX('主表 Stock_Transaction_Log'!$P:$P,$A784))</f>
        <v/>
      </c>
      <c r="M784" s="174" t="str">
        <f>IF($A784="","",IF($H784&lt;=0,0,SUMIFS('主表 Stock_Transaction_Log'!$K$2:$K1000,'主表 Stock_Transaction_Log'!$C$2:$C1000,"Prepared",'主表 Stock_Transaction_Log'!$L$2:$L1000,$B784,'主表 Stock_Transaction_Log'!$F$2:$F1000,$C784,'主表 Stock_Transaction_Log'!$G$2:$G1000,$D784,'主表 Stock_Transaction_Log'!$P$2:$P1000,$L784)))</f>
        <v/>
      </c>
    </row>
    <row r="785">
      <c r="A785" s="173" t="str">
        <f>IF('主表 Stock_Transaction_Log'!$T785="","",IF(COUNTIF('主表 Stock_Transaction_Log'!$T$2:$T785,'主表 Stock_Transaction_Log'!$T785)=1,ROW('主表 Stock_Transaction_Log'!$T785),""))</f>
        <v/>
      </c>
      <c r="B785" s="173" t="str">
        <f t="array" ref="B785">IF($A785="","",INDEX('主表 Stock_Transaction_Log'!$Q:$Q,$A785))</f>
        <v/>
      </c>
      <c r="C785" s="173" t="str">
        <f t="array" ref="C785">IF($A785="","",IF(INDEX('主表 Stock_Transaction_Log'!$F:$F,$A785)=0,"",INDEX('主表 Stock_Transaction_Log'!$F:$F,$A785)))</f>
        <v/>
      </c>
      <c r="D785" s="173" t="str">
        <f t="array" ref="D785">IF($A785="","",INDEX('主表 Stock_Transaction_Log'!$G:$G,$A785))</f>
        <v/>
      </c>
      <c r="E785" s="173" t="str">
        <f t="array" ref="E785">IF($A785="","",INDEX('主表 Stock_Transaction_Log'!$H:$H,$A785))</f>
        <v/>
      </c>
      <c r="F785" s="173" t="str">
        <f t="array" ref="F785">IF($A785="","",INDEX('主表 Stock_Transaction_Log'!$I:$I,$A785))</f>
        <v/>
      </c>
      <c r="G785" s="173" t="str">
        <f t="array" ref="G785">IF($A785="","",IF(INDEX('主表 Stock_Transaction_Log'!$R:$R,$A785)=0,"",INDEX('主表 Stock_Transaction_Log'!$R:$R,$A785)))</f>
        <v/>
      </c>
      <c r="H785" s="173" t="str">
        <f t="array" ref="H785">IF($A785="","",SUMIF('主表 Stock_Transaction_Log'!$T:$T,INDEX('主表 Stock_Transaction_Log'!$T:$T,$A785),'主表 Stock_Transaction_Log'!$S:$S)+SUMIF('主表 Stock_Transaction_Log'!$AB:$AB,INDEX('主表 Stock_Transaction_Log'!$T:$T,$A785),'主表 Stock_Transaction_Log'!$AC:$AC))</f>
        <v/>
      </c>
      <c r="I785" s="173" t="str">
        <f t="shared" si="1"/>
        <v/>
      </c>
      <c r="J785" s="173" t="str">
        <f t="shared" si="2"/>
        <v/>
      </c>
      <c r="K785" s="173" t="str">
        <f t="shared" si="3"/>
        <v/>
      </c>
      <c r="L785" s="173" t="str">
        <f t="array" ref="L785">IF($A785="","",INDEX('主表 Stock_Transaction_Log'!$P:$P,$A785))</f>
        <v/>
      </c>
      <c r="M785" s="174" t="str">
        <f>IF($A785="","",IF($H785&lt;=0,0,SUMIFS('主表 Stock_Transaction_Log'!$K$2:$K1000,'主表 Stock_Transaction_Log'!$C$2:$C1000,"Prepared",'主表 Stock_Transaction_Log'!$L$2:$L1000,$B785,'主表 Stock_Transaction_Log'!$F$2:$F1000,$C785,'主表 Stock_Transaction_Log'!$G$2:$G1000,$D785,'主表 Stock_Transaction_Log'!$P$2:$P1000,$L785)))</f>
        <v/>
      </c>
    </row>
    <row r="786">
      <c r="A786" s="173" t="str">
        <f>IF('主表 Stock_Transaction_Log'!$T786="","",IF(COUNTIF('主表 Stock_Transaction_Log'!$T$2:$T786,'主表 Stock_Transaction_Log'!$T786)=1,ROW('主表 Stock_Transaction_Log'!$T786),""))</f>
        <v/>
      </c>
      <c r="B786" s="173" t="str">
        <f t="array" ref="B786">IF($A786="","",INDEX('主表 Stock_Transaction_Log'!$Q:$Q,$A786))</f>
        <v/>
      </c>
      <c r="C786" s="173" t="str">
        <f t="array" ref="C786">IF($A786="","",IF(INDEX('主表 Stock_Transaction_Log'!$F:$F,$A786)=0,"",INDEX('主表 Stock_Transaction_Log'!$F:$F,$A786)))</f>
        <v/>
      </c>
      <c r="D786" s="173" t="str">
        <f t="array" ref="D786">IF($A786="","",INDEX('主表 Stock_Transaction_Log'!$G:$G,$A786))</f>
        <v/>
      </c>
      <c r="E786" s="173" t="str">
        <f t="array" ref="E786">IF($A786="","",INDEX('主表 Stock_Transaction_Log'!$H:$H,$A786))</f>
        <v/>
      </c>
      <c r="F786" s="173" t="str">
        <f t="array" ref="F786">IF($A786="","",INDEX('主表 Stock_Transaction_Log'!$I:$I,$A786))</f>
        <v/>
      </c>
      <c r="G786" s="173" t="str">
        <f t="array" ref="G786">IF($A786="","",IF(INDEX('主表 Stock_Transaction_Log'!$R:$R,$A786)=0,"",INDEX('主表 Stock_Transaction_Log'!$R:$R,$A786)))</f>
        <v/>
      </c>
      <c r="H786" s="173" t="str">
        <f t="array" ref="H786">IF($A786="","",SUMIF('主表 Stock_Transaction_Log'!$T:$T,INDEX('主表 Stock_Transaction_Log'!$T:$T,$A786),'主表 Stock_Transaction_Log'!$S:$S)+SUMIF('主表 Stock_Transaction_Log'!$AB:$AB,INDEX('主表 Stock_Transaction_Log'!$T:$T,$A786),'主表 Stock_Transaction_Log'!$AC:$AC))</f>
        <v/>
      </c>
      <c r="I786" s="173" t="str">
        <f t="shared" si="1"/>
        <v/>
      </c>
      <c r="J786" s="173" t="str">
        <f t="shared" si="2"/>
        <v/>
      </c>
      <c r="K786" s="173" t="str">
        <f t="shared" si="3"/>
        <v/>
      </c>
      <c r="L786" s="173" t="str">
        <f t="array" ref="L786">IF($A786="","",INDEX('主表 Stock_Transaction_Log'!$P:$P,$A786))</f>
        <v/>
      </c>
      <c r="M786" s="174" t="str">
        <f>IF($A786="","",IF($H786&lt;=0,0,SUMIFS('主表 Stock_Transaction_Log'!$K$2:$K1000,'主表 Stock_Transaction_Log'!$C$2:$C1000,"Prepared",'主表 Stock_Transaction_Log'!$L$2:$L1000,$B786,'主表 Stock_Transaction_Log'!$F$2:$F1000,$C786,'主表 Stock_Transaction_Log'!$G$2:$G1000,$D786,'主表 Stock_Transaction_Log'!$P$2:$P1000,$L786)))</f>
        <v/>
      </c>
    </row>
    <row r="787">
      <c r="A787" s="173" t="str">
        <f>IF('主表 Stock_Transaction_Log'!$T787="","",IF(COUNTIF('主表 Stock_Transaction_Log'!$T$2:$T787,'主表 Stock_Transaction_Log'!$T787)=1,ROW('主表 Stock_Transaction_Log'!$T787),""))</f>
        <v/>
      </c>
      <c r="B787" s="173" t="str">
        <f t="array" ref="B787">IF($A787="","",INDEX('主表 Stock_Transaction_Log'!$Q:$Q,$A787))</f>
        <v/>
      </c>
      <c r="C787" s="173" t="str">
        <f t="array" ref="C787">IF($A787="","",IF(INDEX('主表 Stock_Transaction_Log'!$F:$F,$A787)=0,"",INDEX('主表 Stock_Transaction_Log'!$F:$F,$A787)))</f>
        <v/>
      </c>
      <c r="D787" s="173" t="str">
        <f t="array" ref="D787">IF($A787="","",INDEX('主表 Stock_Transaction_Log'!$G:$G,$A787))</f>
        <v/>
      </c>
      <c r="E787" s="173" t="str">
        <f t="array" ref="E787">IF($A787="","",INDEX('主表 Stock_Transaction_Log'!$H:$H,$A787))</f>
        <v/>
      </c>
      <c r="F787" s="173" t="str">
        <f t="array" ref="F787">IF($A787="","",INDEX('主表 Stock_Transaction_Log'!$I:$I,$A787))</f>
        <v/>
      </c>
      <c r="G787" s="173" t="str">
        <f t="array" ref="G787">IF($A787="","",IF(INDEX('主表 Stock_Transaction_Log'!$R:$R,$A787)=0,"",INDEX('主表 Stock_Transaction_Log'!$R:$R,$A787)))</f>
        <v/>
      </c>
      <c r="H787" s="173" t="str">
        <f t="array" ref="H787">IF($A787="","",SUMIF('主表 Stock_Transaction_Log'!$T:$T,INDEX('主表 Stock_Transaction_Log'!$T:$T,$A787),'主表 Stock_Transaction_Log'!$S:$S)+SUMIF('主表 Stock_Transaction_Log'!$AB:$AB,INDEX('主表 Stock_Transaction_Log'!$T:$T,$A787),'主表 Stock_Transaction_Log'!$AC:$AC))</f>
        <v/>
      </c>
      <c r="I787" s="173" t="str">
        <f t="shared" si="1"/>
        <v/>
      </c>
      <c r="J787" s="173" t="str">
        <f t="shared" si="2"/>
        <v/>
      </c>
      <c r="K787" s="173" t="str">
        <f t="shared" si="3"/>
        <v/>
      </c>
      <c r="L787" s="173" t="str">
        <f t="array" ref="L787">IF($A787="","",INDEX('主表 Stock_Transaction_Log'!$P:$P,$A787))</f>
        <v/>
      </c>
      <c r="M787" s="174" t="str">
        <f>IF($A787="","",IF($H787&lt;=0,0,SUMIFS('主表 Stock_Transaction_Log'!$K$2:$K1000,'主表 Stock_Transaction_Log'!$C$2:$C1000,"Prepared",'主表 Stock_Transaction_Log'!$L$2:$L1000,$B787,'主表 Stock_Transaction_Log'!$F$2:$F1000,$C787,'主表 Stock_Transaction_Log'!$G$2:$G1000,$D787,'主表 Stock_Transaction_Log'!$P$2:$P1000,$L787)))</f>
        <v/>
      </c>
    </row>
    <row r="788">
      <c r="A788" s="173" t="str">
        <f>IF('主表 Stock_Transaction_Log'!$T788="","",IF(COUNTIF('主表 Stock_Transaction_Log'!$T$2:$T788,'主表 Stock_Transaction_Log'!$T788)=1,ROW('主表 Stock_Transaction_Log'!$T788),""))</f>
        <v/>
      </c>
      <c r="B788" s="173" t="str">
        <f t="array" ref="B788">IF($A788="","",INDEX('主表 Stock_Transaction_Log'!$Q:$Q,$A788))</f>
        <v/>
      </c>
      <c r="C788" s="173" t="str">
        <f t="array" ref="C788">IF($A788="","",IF(INDEX('主表 Stock_Transaction_Log'!$F:$F,$A788)=0,"",INDEX('主表 Stock_Transaction_Log'!$F:$F,$A788)))</f>
        <v/>
      </c>
      <c r="D788" s="173" t="str">
        <f t="array" ref="D788">IF($A788="","",INDEX('主表 Stock_Transaction_Log'!$G:$G,$A788))</f>
        <v/>
      </c>
      <c r="E788" s="173" t="str">
        <f t="array" ref="E788">IF($A788="","",INDEX('主表 Stock_Transaction_Log'!$H:$H,$A788))</f>
        <v/>
      </c>
      <c r="F788" s="173" t="str">
        <f t="array" ref="F788">IF($A788="","",INDEX('主表 Stock_Transaction_Log'!$I:$I,$A788))</f>
        <v/>
      </c>
      <c r="G788" s="173" t="str">
        <f t="array" ref="G788">IF($A788="","",IF(INDEX('主表 Stock_Transaction_Log'!$R:$R,$A788)=0,"",INDEX('主表 Stock_Transaction_Log'!$R:$R,$A788)))</f>
        <v/>
      </c>
      <c r="H788" s="173" t="str">
        <f t="array" ref="H788">IF($A788="","",SUMIF('主表 Stock_Transaction_Log'!$T:$T,INDEX('主表 Stock_Transaction_Log'!$T:$T,$A788),'主表 Stock_Transaction_Log'!$S:$S)+SUMIF('主表 Stock_Transaction_Log'!$AB:$AB,INDEX('主表 Stock_Transaction_Log'!$T:$T,$A788),'主表 Stock_Transaction_Log'!$AC:$AC))</f>
        <v/>
      </c>
      <c r="I788" s="173" t="str">
        <f t="shared" si="1"/>
        <v/>
      </c>
      <c r="J788" s="173" t="str">
        <f t="shared" si="2"/>
        <v/>
      </c>
      <c r="K788" s="173" t="str">
        <f t="shared" si="3"/>
        <v/>
      </c>
      <c r="L788" s="173" t="str">
        <f t="array" ref="L788">IF($A788="","",INDEX('主表 Stock_Transaction_Log'!$P:$P,$A788))</f>
        <v/>
      </c>
      <c r="M788" s="174" t="str">
        <f>IF($A788="","",IF($H788&lt;=0,0,SUMIFS('主表 Stock_Transaction_Log'!$K$2:$K1000,'主表 Stock_Transaction_Log'!$C$2:$C1000,"Prepared",'主表 Stock_Transaction_Log'!$L$2:$L1000,$B788,'主表 Stock_Transaction_Log'!$F$2:$F1000,$C788,'主表 Stock_Transaction_Log'!$G$2:$G1000,$D788,'主表 Stock_Transaction_Log'!$P$2:$P1000,$L788)))</f>
        <v/>
      </c>
    </row>
    <row r="789">
      <c r="A789" s="173" t="str">
        <f>IF('主表 Stock_Transaction_Log'!$T789="","",IF(COUNTIF('主表 Stock_Transaction_Log'!$T$2:$T789,'主表 Stock_Transaction_Log'!$T789)=1,ROW('主表 Stock_Transaction_Log'!$T789),""))</f>
        <v/>
      </c>
      <c r="B789" s="173" t="str">
        <f t="array" ref="B789">IF($A789="","",INDEX('主表 Stock_Transaction_Log'!$Q:$Q,$A789))</f>
        <v/>
      </c>
      <c r="C789" s="173" t="str">
        <f t="array" ref="C789">IF($A789="","",IF(INDEX('主表 Stock_Transaction_Log'!$F:$F,$A789)=0,"",INDEX('主表 Stock_Transaction_Log'!$F:$F,$A789)))</f>
        <v/>
      </c>
      <c r="D789" s="173" t="str">
        <f t="array" ref="D789">IF($A789="","",INDEX('主表 Stock_Transaction_Log'!$G:$G,$A789))</f>
        <v/>
      </c>
      <c r="E789" s="173" t="str">
        <f t="array" ref="E789">IF($A789="","",INDEX('主表 Stock_Transaction_Log'!$H:$H,$A789))</f>
        <v/>
      </c>
      <c r="F789" s="173" t="str">
        <f t="array" ref="F789">IF($A789="","",INDEX('主表 Stock_Transaction_Log'!$I:$I,$A789))</f>
        <v/>
      </c>
      <c r="G789" s="173" t="str">
        <f t="array" ref="G789">IF($A789="","",IF(INDEX('主表 Stock_Transaction_Log'!$R:$R,$A789)=0,"",INDEX('主表 Stock_Transaction_Log'!$R:$R,$A789)))</f>
        <v/>
      </c>
      <c r="H789" s="173" t="str">
        <f t="array" ref="H789">IF($A789="","",SUMIF('主表 Stock_Transaction_Log'!$T:$T,INDEX('主表 Stock_Transaction_Log'!$T:$T,$A789),'主表 Stock_Transaction_Log'!$S:$S)+SUMIF('主表 Stock_Transaction_Log'!$AB:$AB,INDEX('主表 Stock_Transaction_Log'!$T:$T,$A789),'主表 Stock_Transaction_Log'!$AC:$AC))</f>
        <v/>
      </c>
      <c r="I789" s="173" t="str">
        <f t="shared" si="1"/>
        <v/>
      </c>
      <c r="J789" s="173" t="str">
        <f t="shared" si="2"/>
        <v/>
      </c>
      <c r="K789" s="173" t="str">
        <f t="shared" si="3"/>
        <v/>
      </c>
      <c r="L789" s="173" t="str">
        <f t="array" ref="L789">IF($A789="","",INDEX('主表 Stock_Transaction_Log'!$P:$P,$A789))</f>
        <v/>
      </c>
      <c r="M789" s="174" t="str">
        <f>IF($A789="","",IF($H789&lt;=0,0,SUMIFS('主表 Stock_Transaction_Log'!$K$2:$K1000,'主表 Stock_Transaction_Log'!$C$2:$C1000,"Prepared",'主表 Stock_Transaction_Log'!$L$2:$L1000,$B789,'主表 Stock_Transaction_Log'!$F$2:$F1000,$C789,'主表 Stock_Transaction_Log'!$G$2:$G1000,$D789,'主表 Stock_Transaction_Log'!$P$2:$P1000,$L789)))</f>
        <v/>
      </c>
    </row>
    <row r="790">
      <c r="A790" s="173" t="str">
        <f>IF('主表 Stock_Transaction_Log'!$T790="","",IF(COUNTIF('主表 Stock_Transaction_Log'!$T$2:$T790,'主表 Stock_Transaction_Log'!$T790)=1,ROW('主表 Stock_Transaction_Log'!$T790),""))</f>
        <v/>
      </c>
      <c r="B790" s="173" t="str">
        <f t="array" ref="B790">IF($A790="","",INDEX('主表 Stock_Transaction_Log'!$Q:$Q,$A790))</f>
        <v/>
      </c>
      <c r="C790" s="173" t="str">
        <f t="array" ref="C790">IF($A790="","",IF(INDEX('主表 Stock_Transaction_Log'!$F:$F,$A790)=0,"",INDEX('主表 Stock_Transaction_Log'!$F:$F,$A790)))</f>
        <v/>
      </c>
      <c r="D790" s="173" t="str">
        <f t="array" ref="D790">IF($A790="","",INDEX('主表 Stock_Transaction_Log'!$G:$G,$A790))</f>
        <v/>
      </c>
      <c r="E790" s="173" t="str">
        <f t="array" ref="E790">IF($A790="","",INDEX('主表 Stock_Transaction_Log'!$H:$H,$A790))</f>
        <v/>
      </c>
      <c r="F790" s="173" t="str">
        <f t="array" ref="F790">IF($A790="","",INDEX('主表 Stock_Transaction_Log'!$I:$I,$A790))</f>
        <v/>
      </c>
      <c r="G790" s="173" t="str">
        <f t="array" ref="G790">IF($A790="","",IF(INDEX('主表 Stock_Transaction_Log'!$R:$R,$A790)=0,"",INDEX('主表 Stock_Transaction_Log'!$R:$R,$A790)))</f>
        <v/>
      </c>
      <c r="H790" s="173" t="str">
        <f t="array" ref="H790">IF($A790="","",SUMIF('主表 Stock_Transaction_Log'!$T:$T,INDEX('主表 Stock_Transaction_Log'!$T:$T,$A790),'主表 Stock_Transaction_Log'!$S:$S)+SUMIF('主表 Stock_Transaction_Log'!$AB:$AB,INDEX('主表 Stock_Transaction_Log'!$T:$T,$A790),'主表 Stock_Transaction_Log'!$AC:$AC))</f>
        <v/>
      </c>
      <c r="I790" s="173" t="str">
        <f t="shared" si="1"/>
        <v/>
      </c>
      <c r="J790" s="173" t="str">
        <f t="shared" si="2"/>
        <v/>
      </c>
      <c r="K790" s="173" t="str">
        <f t="shared" si="3"/>
        <v/>
      </c>
      <c r="L790" s="173" t="str">
        <f t="array" ref="L790">IF($A790="","",INDEX('主表 Stock_Transaction_Log'!$P:$P,$A790))</f>
        <v/>
      </c>
      <c r="M790" s="174" t="str">
        <f>IF($A790="","",IF($H790&lt;=0,0,SUMIFS('主表 Stock_Transaction_Log'!$K$2:$K1000,'主表 Stock_Transaction_Log'!$C$2:$C1000,"Prepared",'主表 Stock_Transaction_Log'!$L$2:$L1000,$B790,'主表 Stock_Transaction_Log'!$F$2:$F1000,$C790,'主表 Stock_Transaction_Log'!$G$2:$G1000,$D790,'主表 Stock_Transaction_Log'!$P$2:$P1000,$L790)))</f>
        <v/>
      </c>
    </row>
    <row r="791">
      <c r="A791" s="173" t="str">
        <f>IF('主表 Stock_Transaction_Log'!$T791="","",IF(COUNTIF('主表 Stock_Transaction_Log'!$T$2:$T791,'主表 Stock_Transaction_Log'!$T791)=1,ROW('主表 Stock_Transaction_Log'!$T791),""))</f>
        <v/>
      </c>
      <c r="B791" s="173" t="str">
        <f t="array" ref="B791">IF($A791="","",INDEX('主表 Stock_Transaction_Log'!$Q:$Q,$A791))</f>
        <v/>
      </c>
      <c r="C791" s="173" t="str">
        <f t="array" ref="C791">IF($A791="","",IF(INDEX('主表 Stock_Transaction_Log'!$F:$F,$A791)=0,"",INDEX('主表 Stock_Transaction_Log'!$F:$F,$A791)))</f>
        <v/>
      </c>
      <c r="D791" s="173" t="str">
        <f t="array" ref="D791">IF($A791="","",INDEX('主表 Stock_Transaction_Log'!$G:$G,$A791))</f>
        <v/>
      </c>
      <c r="E791" s="173" t="str">
        <f t="array" ref="E791">IF($A791="","",INDEX('主表 Stock_Transaction_Log'!$H:$H,$A791))</f>
        <v/>
      </c>
      <c r="F791" s="173" t="str">
        <f t="array" ref="F791">IF($A791="","",INDEX('主表 Stock_Transaction_Log'!$I:$I,$A791))</f>
        <v/>
      </c>
      <c r="G791" s="173" t="str">
        <f t="array" ref="G791">IF($A791="","",IF(INDEX('主表 Stock_Transaction_Log'!$R:$R,$A791)=0,"",INDEX('主表 Stock_Transaction_Log'!$R:$R,$A791)))</f>
        <v/>
      </c>
      <c r="H791" s="173" t="str">
        <f t="array" ref="H791">IF($A791="","",SUMIF('主表 Stock_Transaction_Log'!$T:$T,INDEX('主表 Stock_Transaction_Log'!$T:$T,$A791),'主表 Stock_Transaction_Log'!$S:$S)+SUMIF('主表 Stock_Transaction_Log'!$AB:$AB,INDEX('主表 Stock_Transaction_Log'!$T:$T,$A791),'主表 Stock_Transaction_Log'!$AC:$AC))</f>
        <v/>
      </c>
      <c r="I791" s="173" t="str">
        <f t="shared" si="1"/>
        <v/>
      </c>
      <c r="J791" s="173" t="str">
        <f t="shared" si="2"/>
        <v/>
      </c>
      <c r="K791" s="173" t="str">
        <f t="shared" si="3"/>
        <v/>
      </c>
      <c r="L791" s="173" t="str">
        <f t="array" ref="L791">IF($A791="","",INDEX('主表 Stock_Transaction_Log'!$P:$P,$A791))</f>
        <v/>
      </c>
      <c r="M791" s="174" t="str">
        <f>IF($A791="","",IF($H791&lt;=0,0,SUMIFS('主表 Stock_Transaction_Log'!$K$2:$K1000,'主表 Stock_Transaction_Log'!$C$2:$C1000,"Prepared",'主表 Stock_Transaction_Log'!$L$2:$L1000,$B791,'主表 Stock_Transaction_Log'!$F$2:$F1000,$C791,'主表 Stock_Transaction_Log'!$G$2:$G1000,$D791,'主表 Stock_Transaction_Log'!$P$2:$P1000,$L791)))</f>
        <v/>
      </c>
    </row>
    <row r="792">
      <c r="A792" s="173" t="str">
        <f>IF('主表 Stock_Transaction_Log'!$T792="","",IF(COUNTIF('主表 Stock_Transaction_Log'!$T$2:$T792,'主表 Stock_Transaction_Log'!$T792)=1,ROW('主表 Stock_Transaction_Log'!$T792),""))</f>
        <v/>
      </c>
      <c r="B792" s="173" t="str">
        <f t="array" ref="B792">IF($A792="","",INDEX('主表 Stock_Transaction_Log'!$Q:$Q,$A792))</f>
        <v/>
      </c>
      <c r="C792" s="173" t="str">
        <f t="array" ref="C792">IF($A792="","",IF(INDEX('主表 Stock_Transaction_Log'!$F:$F,$A792)=0,"",INDEX('主表 Stock_Transaction_Log'!$F:$F,$A792)))</f>
        <v/>
      </c>
      <c r="D792" s="173" t="str">
        <f t="array" ref="D792">IF($A792="","",INDEX('主表 Stock_Transaction_Log'!$G:$G,$A792))</f>
        <v/>
      </c>
      <c r="E792" s="173" t="str">
        <f t="array" ref="E792">IF($A792="","",INDEX('主表 Stock_Transaction_Log'!$H:$H,$A792))</f>
        <v/>
      </c>
      <c r="F792" s="173" t="str">
        <f t="array" ref="F792">IF($A792="","",INDEX('主表 Stock_Transaction_Log'!$I:$I,$A792))</f>
        <v/>
      </c>
      <c r="G792" s="173" t="str">
        <f t="array" ref="G792">IF($A792="","",IF(INDEX('主表 Stock_Transaction_Log'!$R:$R,$A792)=0,"",INDEX('主表 Stock_Transaction_Log'!$R:$R,$A792)))</f>
        <v/>
      </c>
      <c r="H792" s="173" t="str">
        <f t="array" ref="H792">IF($A792="","",SUMIF('主表 Stock_Transaction_Log'!$T:$T,INDEX('主表 Stock_Transaction_Log'!$T:$T,$A792),'主表 Stock_Transaction_Log'!$S:$S)+SUMIF('主表 Stock_Transaction_Log'!$AB:$AB,INDEX('主表 Stock_Transaction_Log'!$T:$T,$A792),'主表 Stock_Transaction_Log'!$AC:$AC))</f>
        <v/>
      </c>
      <c r="I792" s="173" t="str">
        <f t="shared" si="1"/>
        <v/>
      </c>
      <c r="J792" s="173" t="str">
        <f t="shared" si="2"/>
        <v/>
      </c>
      <c r="K792" s="173" t="str">
        <f t="shared" si="3"/>
        <v/>
      </c>
      <c r="L792" s="173" t="str">
        <f t="array" ref="L792">IF($A792="","",INDEX('主表 Stock_Transaction_Log'!$P:$P,$A792))</f>
        <v/>
      </c>
      <c r="M792" s="174" t="str">
        <f>IF($A792="","",IF($H792&lt;=0,0,SUMIFS('主表 Stock_Transaction_Log'!$K$2:$K1000,'主表 Stock_Transaction_Log'!$C$2:$C1000,"Prepared",'主表 Stock_Transaction_Log'!$L$2:$L1000,$B792,'主表 Stock_Transaction_Log'!$F$2:$F1000,$C792,'主表 Stock_Transaction_Log'!$G$2:$G1000,$D792,'主表 Stock_Transaction_Log'!$P$2:$P1000,$L792)))</f>
        <v/>
      </c>
    </row>
    <row r="793">
      <c r="A793" s="173" t="str">
        <f>IF('主表 Stock_Transaction_Log'!$T793="","",IF(COUNTIF('主表 Stock_Transaction_Log'!$T$2:$T793,'主表 Stock_Transaction_Log'!$T793)=1,ROW('主表 Stock_Transaction_Log'!$T793),""))</f>
        <v/>
      </c>
      <c r="B793" s="173" t="str">
        <f t="array" ref="B793">IF($A793="","",INDEX('主表 Stock_Transaction_Log'!$Q:$Q,$A793))</f>
        <v/>
      </c>
      <c r="C793" s="173" t="str">
        <f t="array" ref="C793">IF($A793="","",IF(INDEX('主表 Stock_Transaction_Log'!$F:$F,$A793)=0,"",INDEX('主表 Stock_Transaction_Log'!$F:$F,$A793)))</f>
        <v/>
      </c>
      <c r="D793" s="173" t="str">
        <f t="array" ref="D793">IF($A793="","",INDEX('主表 Stock_Transaction_Log'!$G:$G,$A793))</f>
        <v/>
      </c>
      <c r="E793" s="173" t="str">
        <f t="array" ref="E793">IF($A793="","",INDEX('主表 Stock_Transaction_Log'!$H:$H,$A793))</f>
        <v/>
      </c>
      <c r="F793" s="173" t="str">
        <f t="array" ref="F793">IF($A793="","",INDEX('主表 Stock_Transaction_Log'!$I:$I,$A793))</f>
        <v/>
      </c>
      <c r="G793" s="173" t="str">
        <f t="array" ref="G793">IF($A793="","",IF(INDEX('主表 Stock_Transaction_Log'!$R:$R,$A793)=0,"",INDEX('主表 Stock_Transaction_Log'!$R:$R,$A793)))</f>
        <v/>
      </c>
      <c r="H793" s="173" t="str">
        <f t="array" ref="H793">IF($A793="","",SUMIF('主表 Stock_Transaction_Log'!$T:$T,INDEX('主表 Stock_Transaction_Log'!$T:$T,$A793),'主表 Stock_Transaction_Log'!$S:$S)+SUMIF('主表 Stock_Transaction_Log'!$AB:$AB,INDEX('主表 Stock_Transaction_Log'!$T:$T,$A793),'主表 Stock_Transaction_Log'!$AC:$AC))</f>
        <v/>
      </c>
      <c r="I793" s="173" t="str">
        <f t="shared" si="1"/>
        <v/>
      </c>
      <c r="J793" s="173" t="str">
        <f t="shared" si="2"/>
        <v/>
      </c>
      <c r="K793" s="173" t="str">
        <f t="shared" si="3"/>
        <v/>
      </c>
      <c r="L793" s="173" t="str">
        <f t="array" ref="L793">IF($A793="","",INDEX('主表 Stock_Transaction_Log'!$P:$P,$A793))</f>
        <v/>
      </c>
      <c r="M793" s="174" t="str">
        <f>IF($A793="","",IF($H793&lt;=0,0,SUMIFS('主表 Stock_Transaction_Log'!$K$2:$K1000,'主表 Stock_Transaction_Log'!$C$2:$C1000,"Prepared",'主表 Stock_Transaction_Log'!$L$2:$L1000,$B793,'主表 Stock_Transaction_Log'!$F$2:$F1000,$C793,'主表 Stock_Transaction_Log'!$G$2:$G1000,$D793,'主表 Stock_Transaction_Log'!$P$2:$P1000,$L793)))</f>
        <v/>
      </c>
    </row>
    <row r="794">
      <c r="A794" s="173" t="str">
        <f>IF('主表 Stock_Transaction_Log'!$T794="","",IF(COUNTIF('主表 Stock_Transaction_Log'!$T$2:$T794,'主表 Stock_Transaction_Log'!$T794)=1,ROW('主表 Stock_Transaction_Log'!$T794),""))</f>
        <v/>
      </c>
      <c r="B794" s="173" t="str">
        <f t="array" ref="B794">IF($A794="","",INDEX('主表 Stock_Transaction_Log'!$Q:$Q,$A794))</f>
        <v/>
      </c>
      <c r="C794" s="173" t="str">
        <f t="array" ref="C794">IF($A794="","",IF(INDEX('主表 Stock_Transaction_Log'!$F:$F,$A794)=0,"",INDEX('主表 Stock_Transaction_Log'!$F:$F,$A794)))</f>
        <v/>
      </c>
      <c r="D794" s="173" t="str">
        <f t="array" ref="D794">IF($A794="","",INDEX('主表 Stock_Transaction_Log'!$G:$G,$A794))</f>
        <v/>
      </c>
      <c r="E794" s="173" t="str">
        <f t="array" ref="E794">IF($A794="","",INDEX('主表 Stock_Transaction_Log'!$H:$H,$A794))</f>
        <v/>
      </c>
      <c r="F794" s="173" t="str">
        <f t="array" ref="F794">IF($A794="","",INDEX('主表 Stock_Transaction_Log'!$I:$I,$A794))</f>
        <v/>
      </c>
      <c r="G794" s="173" t="str">
        <f t="array" ref="G794">IF($A794="","",IF(INDEX('主表 Stock_Transaction_Log'!$R:$R,$A794)=0,"",INDEX('主表 Stock_Transaction_Log'!$R:$R,$A794)))</f>
        <v/>
      </c>
      <c r="H794" s="173" t="str">
        <f t="array" ref="H794">IF($A794="","",SUMIF('主表 Stock_Transaction_Log'!$T:$T,INDEX('主表 Stock_Transaction_Log'!$T:$T,$A794),'主表 Stock_Transaction_Log'!$S:$S)+SUMIF('主表 Stock_Transaction_Log'!$AB:$AB,INDEX('主表 Stock_Transaction_Log'!$T:$T,$A794),'主表 Stock_Transaction_Log'!$AC:$AC))</f>
        <v/>
      </c>
      <c r="I794" s="173" t="str">
        <f t="shared" si="1"/>
        <v/>
      </c>
      <c r="J794" s="173" t="str">
        <f t="shared" si="2"/>
        <v/>
      </c>
      <c r="K794" s="173" t="str">
        <f t="shared" si="3"/>
        <v/>
      </c>
      <c r="L794" s="173" t="str">
        <f t="array" ref="L794">IF($A794="","",INDEX('主表 Stock_Transaction_Log'!$P:$P,$A794))</f>
        <v/>
      </c>
      <c r="M794" s="174" t="str">
        <f>IF($A794="","",IF($H794&lt;=0,0,SUMIFS('主表 Stock_Transaction_Log'!$K$2:$K1000,'主表 Stock_Transaction_Log'!$C$2:$C1000,"Prepared",'主表 Stock_Transaction_Log'!$L$2:$L1000,$B794,'主表 Stock_Transaction_Log'!$F$2:$F1000,$C794,'主表 Stock_Transaction_Log'!$G$2:$G1000,$D794,'主表 Stock_Transaction_Log'!$P$2:$P1000,$L794)))</f>
        <v/>
      </c>
    </row>
    <row r="795">
      <c r="A795" s="173" t="str">
        <f>IF('主表 Stock_Transaction_Log'!$T795="","",IF(COUNTIF('主表 Stock_Transaction_Log'!$T$2:$T795,'主表 Stock_Transaction_Log'!$T795)=1,ROW('主表 Stock_Transaction_Log'!$T795),""))</f>
        <v/>
      </c>
      <c r="B795" s="173" t="str">
        <f t="array" ref="B795">IF($A795="","",INDEX('主表 Stock_Transaction_Log'!$Q:$Q,$A795))</f>
        <v/>
      </c>
      <c r="C795" s="173" t="str">
        <f t="array" ref="C795">IF($A795="","",IF(INDEX('主表 Stock_Transaction_Log'!$F:$F,$A795)=0,"",INDEX('主表 Stock_Transaction_Log'!$F:$F,$A795)))</f>
        <v/>
      </c>
      <c r="D795" s="173" t="str">
        <f t="array" ref="D795">IF($A795="","",INDEX('主表 Stock_Transaction_Log'!$G:$G,$A795))</f>
        <v/>
      </c>
      <c r="E795" s="173" t="str">
        <f t="array" ref="E795">IF($A795="","",INDEX('主表 Stock_Transaction_Log'!$H:$H,$A795))</f>
        <v/>
      </c>
      <c r="F795" s="173" t="str">
        <f t="array" ref="F795">IF($A795="","",INDEX('主表 Stock_Transaction_Log'!$I:$I,$A795))</f>
        <v/>
      </c>
      <c r="G795" s="173" t="str">
        <f t="array" ref="G795">IF($A795="","",IF(INDEX('主表 Stock_Transaction_Log'!$R:$R,$A795)=0,"",INDEX('主表 Stock_Transaction_Log'!$R:$R,$A795)))</f>
        <v/>
      </c>
      <c r="H795" s="173" t="str">
        <f t="array" ref="H795">IF($A795="","",SUMIF('主表 Stock_Transaction_Log'!$T:$T,INDEX('主表 Stock_Transaction_Log'!$T:$T,$A795),'主表 Stock_Transaction_Log'!$S:$S)+SUMIF('主表 Stock_Transaction_Log'!$AB:$AB,INDEX('主表 Stock_Transaction_Log'!$T:$T,$A795),'主表 Stock_Transaction_Log'!$AC:$AC))</f>
        <v/>
      </c>
      <c r="I795" s="173" t="str">
        <f t="shared" si="1"/>
        <v/>
      </c>
      <c r="J795" s="173" t="str">
        <f t="shared" si="2"/>
        <v/>
      </c>
      <c r="K795" s="173" t="str">
        <f t="shared" si="3"/>
        <v/>
      </c>
      <c r="L795" s="173" t="str">
        <f t="array" ref="L795">IF($A795="","",INDEX('主表 Stock_Transaction_Log'!$P:$P,$A795))</f>
        <v/>
      </c>
      <c r="M795" s="174" t="str">
        <f>IF($A795="","",IF($H795&lt;=0,0,SUMIFS('主表 Stock_Transaction_Log'!$K$2:$K1000,'主表 Stock_Transaction_Log'!$C$2:$C1000,"Prepared",'主表 Stock_Transaction_Log'!$L$2:$L1000,$B795,'主表 Stock_Transaction_Log'!$F$2:$F1000,$C795,'主表 Stock_Transaction_Log'!$G$2:$G1000,$D795,'主表 Stock_Transaction_Log'!$P$2:$P1000,$L795)))</f>
        <v/>
      </c>
    </row>
    <row r="796">
      <c r="A796" s="173" t="str">
        <f>IF('主表 Stock_Transaction_Log'!$T796="","",IF(COUNTIF('主表 Stock_Transaction_Log'!$T$2:$T796,'主表 Stock_Transaction_Log'!$T796)=1,ROW('主表 Stock_Transaction_Log'!$T796),""))</f>
        <v/>
      </c>
      <c r="B796" s="173" t="str">
        <f t="array" ref="B796">IF($A796="","",INDEX('主表 Stock_Transaction_Log'!$Q:$Q,$A796))</f>
        <v/>
      </c>
      <c r="C796" s="173" t="str">
        <f t="array" ref="C796">IF($A796="","",IF(INDEX('主表 Stock_Transaction_Log'!$F:$F,$A796)=0,"",INDEX('主表 Stock_Transaction_Log'!$F:$F,$A796)))</f>
        <v/>
      </c>
      <c r="D796" s="173" t="str">
        <f t="array" ref="D796">IF($A796="","",INDEX('主表 Stock_Transaction_Log'!$G:$G,$A796))</f>
        <v/>
      </c>
      <c r="E796" s="173" t="str">
        <f t="array" ref="E796">IF($A796="","",INDEX('主表 Stock_Transaction_Log'!$H:$H,$A796))</f>
        <v/>
      </c>
      <c r="F796" s="173" t="str">
        <f t="array" ref="F796">IF($A796="","",INDEX('主表 Stock_Transaction_Log'!$I:$I,$A796))</f>
        <v/>
      </c>
      <c r="G796" s="173" t="str">
        <f t="array" ref="G796">IF($A796="","",IF(INDEX('主表 Stock_Transaction_Log'!$R:$R,$A796)=0,"",INDEX('主表 Stock_Transaction_Log'!$R:$R,$A796)))</f>
        <v/>
      </c>
      <c r="H796" s="173" t="str">
        <f t="array" ref="H796">IF($A796="","",SUMIF('主表 Stock_Transaction_Log'!$T:$T,INDEX('主表 Stock_Transaction_Log'!$T:$T,$A796),'主表 Stock_Transaction_Log'!$S:$S)+SUMIF('主表 Stock_Transaction_Log'!$AB:$AB,INDEX('主表 Stock_Transaction_Log'!$T:$T,$A796),'主表 Stock_Transaction_Log'!$AC:$AC))</f>
        <v/>
      </c>
      <c r="I796" s="173" t="str">
        <f t="shared" si="1"/>
        <v/>
      </c>
      <c r="J796" s="173" t="str">
        <f t="shared" si="2"/>
        <v/>
      </c>
      <c r="K796" s="173" t="str">
        <f t="shared" si="3"/>
        <v/>
      </c>
      <c r="L796" s="173" t="str">
        <f t="array" ref="L796">IF($A796="","",INDEX('主表 Stock_Transaction_Log'!$P:$P,$A796))</f>
        <v/>
      </c>
      <c r="M796" s="174" t="str">
        <f>IF($A796="","",IF($H796&lt;=0,0,SUMIFS('主表 Stock_Transaction_Log'!$K$2:$K1000,'主表 Stock_Transaction_Log'!$C$2:$C1000,"Prepared",'主表 Stock_Transaction_Log'!$L$2:$L1000,$B796,'主表 Stock_Transaction_Log'!$F$2:$F1000,$C796,'主表 Stock_Transaction_Log'!$G$2:$G1000,$D796,'主表 Stock_Transaction_Log'!$P$2:$P1000,$L796)))</f>
        <v/>
      </c>
    </row>
    <row r="797">
      <c r="A797" s="173" t="str">
        <f>IF('主表 Stock_Transaction_Log'!$T797="","",IF(COUNTIF('主表 Stock_Transaction_Log'!$T$2:$T797,'主表 Stock_Transaction_Log'!$T797)=1,ROW('主表 Stock_Transaction_Log'!$T797),""))</f>
        <v/>
      </c>
      <c r="B797" s="173" t="str">
        <f t="array" ref="B797">IF($A797="","",INDEX('主表 Stock_Transaction_Log'!$Q:$Q,$A797))</f>
        <v/>
      </c>
      <c r="C797" s="173" t="str">
        <f t="array" ref="C797">IF($A797="","",IF(INDEX('主表 Stock_Transaction_Log'!$F:$F,$A797)=0,"",INDEX('主表 Stock_Transaction_Log'!$F:$F,$A797)))</f>
        <v/>
      </c>
      <c r="D797" s="173" t="str">
        <f t="array" ref="D797">IF($A797="","",INDEX('主表 Stock_Transaction_Log'!$G:$G,$A797))</f>
        <v/>
      </c>
      <c r="E797" s="173" t="str">
        <f t="array" ref="E797">IF($A797="","",INDEX('主表 Stock_Transaction_Log'!$H:$H,$A797))</f>
        <v/>
      </c>
      <c r="F797" s="173" t="str">
        <f t="array" ref="F797">IF($A797="","",INDEX('主表 Stock_Transaction_Log'!$I:$I,$A797))</f>
        <v/>
      </c>
      <c r="G797" s="173" t="str">
        <f t="array" ref="G797">IF($A797="","",IF(INDEX('主表 Stock_Transaction_Log'!$R:$R,$A797)=0,"",INDEX('主表 Stock_Transaction_Log'!$R:$R,$A797)))</f>
        <v/>
      </c>
      <c r="H797" s="173" t="str">
        <f t="array" ref="H797">IF($A797="","",SUMIF('主表 Stock_Transaction_Log'!$T:$T,INDEX('主表 Stock_Transaction_Log'!$T:$T,$A797),'主表 Stock_Transaction_Log'!$S:$S)+SUMIF('主表 Stock_Transaction_Log'!$AB:$AB,INDEX('主表 Stock_Transaction_Log'!$T:$T,$A797),'主表 Stock_Transaction_Log'!$AC:$AC))</f>
        <v/>
      </c>
      <c r="I797" s="173" t="str">
        <f t="shared" si="1"/>
        <v/>
      </c>
      <c r="J797" s="173" t="str">
        <f t="shared" si="2"/>
        <v/>
      </c>
      <c r="K797" s="173" t="str">
        <f t="shared" si="3"/>
        <v/>
      </c>
      <c r="L797" s="173" t="str">
        <f t="array" ref="L797">IF($A797="","",INDEX('主表 Stock_Transaction_Log'!$P:$P,$A797))</f>
        <v/>
      </c>
      <c r="M797" s="174" t="str">
        <f>IF($A797="","",IF($H797&lt;=0,0,SUMIFS('主表 Stock_Transaction_Log'!$K$2:$K1000,'主表 Stock_Transaction_Log'!$C$2:$C1000,"Prepared",'主表 Stock_Transaction_Log'!$L$2:$L1000,$B797,'主表 Stock_Transaction_Log'!$F$2:$F1000,$C797,'主表 Stock_Transaction_Log'!$G$2:$G1000,$D797,'主表 Stock_Transaction_Log'!$P$2:$P1000,$L797)))</f>
        <v/>
      </c>
    </row>
    <row r="798">
      <c r="A798" s="173" t="str">
        <f>IF('主表 Stock_Transaction_Log'!$T798="","",IF(COUNTIF('主表 Stock_Transaction_Log'!$T$2:$T798,'主表 Stock_Transaction_Log'!$T798)=1,ROW('主表 Stock_Transaction_Log'!$T798),""))</f>
        <v/>
      </c>
      <c r="B798" s="173" t="str">
        <f t="array" ref="B798">IF($A798="","",INDEX('主表 Stock_Transaction_Log'!$Q:$Q,$A798))</f>
        <v/>
      </c>
      <c r="C798" s="173" t="str">
        <f t="array" ref="C798">IF($A798="","",IF(INDEX('主表 Stock_Transaction_Log'!$F:$F,$A798)=0,"",INDEX('主表 Stock_Transaction_Log'!$F:$F,$A798)))</f>
        <v/>
      </c>
      <c r="D798" s="173" t="str">
        <f t="array" ref="D798">IF($A798="","",INDEX('主表 Stock_Transaction_Log'!$G:$G,$A798))</f>
        <v/>
      </c>
      <c r="E798" s="173" t="str">
        <f t="array" ref="E798">IF($A798="","",INDEX('主表 Stock_Transaction_Log'!$H:$H,$A798))</f>
        <v/>
      </c>
      <c r="F798" s="173" t="str">
        <f t="array" ref="F798">IF($A798="","",INDEX('主表 Stock_Transaction_Log'!$I:$I,$A798))</f>
        <v/>
      </c>
      <c r="G798" s="173" t="str">
        <f t="array" ref="G798">IF($A798="","",IF(INDEX('主表 Stock_Transaction_Log'!$R:$R,$A798)=0,"",INDEX('主表 Stock_Transaction_Log'!$R:$R,$A798)))</f>
        <v/>
      </c>
      <c r="H798" s="173" t="str">
        <f t="array" ref="H798">IF($A798="","",SUMIF('主表 Stock_Transaction_Log'!$T:$T,INDEX('主表 Stock_Transaction_Log'!$T:$T,$A798),'主表 Stock_Transaction_Log'!$S:$S)+SUMIF('主表 Stock_Transaction_Log'!$AB:$AB,INDEX('主表 Stock_Transaction_Log'!$T:$T,$A798),'主表 Stock_Transaction_Log'!$AC:$AC))</f>
        <v/>
      </c>
      <c r="I798" s="173" t="str">
        <f t="shared" si="1"/>
        <v/>
      </c>
      <c r="J798" s="173" t="str">
        <f t="shared" si="2"/>
        <v/>
      </c>
      <c r="K798" s="173" t="str">
        <f t="shared" si="3"/>
        <v/>
      </c>
      <c r="L798" s="173" t="str">
        <f t="array" ref="L798">IF($A798="","",INDEX('主表 Stock_Transaction_Log'!$P:$P,$A798))</f>
        <v/>
      </c>
      <c r="M798" s="174" t="str">
        <f>IF($A798="","",IF($H798&lt;=0,0,SUMIFS('主表 Stock_Transaction_Log'!$K$2:$K1000,'主表 Stock_Transaction_Log'!$C$2:$C1000,"Prepared",'主表 Stock_Transaction_Log'!$L$2:$L1000,$B798,'主表 Stock_Transaction_Log'!$F$2:$F1000,$C798,'主表 Stock_Transaction_Log'!$G$2:$G1000,$D798,'主表 Stock_Transaction_Log'!$P$2:$P1000,$L798)))</f>
        <v/>
      </c>
    </row>
    <row r="799">
      <c r="A799" s="173" t="str">
        <f>IF('主表 Stock_Transaction_Log'!$T799="","",IF(COUNTIF('主表 Stock_Transaction_Log'!$T$2:$T799,'主表 Stock_Transaction_Log'!$T799)=1,ROW('主表 Stock_Transaction_Log'!$T799),""))</f>
        <v/>
      </c>
      <c r="B799" s="173" t="str">
        <f t="array" ref="B799">IF($A799="","",INDEX('主表 Stock_Transaction_Log'!$Q:$Q,$A799))</f>
        <v/>
      </c>
      <c r="C799" s="173" t="str">
        <f t="array" ref="C799">IF($A799="","",IF(INDEX('主表 Stock_Transaction_Log'!$F:$F,$A799)=0,"",INDEX('主表 Stock_Transaction_Log'!$F:$F,$A799)))</f>
        <v/>
      </c>
      <c r="D799" s="173" t="str">
        <f t="array" ref="D799">IF($A799="","",INDEX('主表 Stock_Transaction_Log'!$G:$G,$A799))</f>
        <v/>
      </c>
      <c r="E799" s="173" t="str">
        <f t="array" ref="E799">IF($A799="","",INDEX('主表 Stock_Transaction_Log'!$H:$H,$A799))</f>
        <v/>
      </c>
      <c r="F799" s="173" t="str">
        <f t="array" ref="F799">IF($A799="","",INDEX('主表 Stock_Transaction_Log'!$I:$I,$A799))</f>
        <v/>
      </c>
      <c r="G799" s="173" t="str">
        <f t="array" ref="G799">IF($A799="","",IF(INDEX('主表 Stock_Transaction_Log'!$R:$R,$A799)=0,"",INDEX('主表 Stock_Transaction_Log'!$R:$R,$A799)))</f>
        <v/>
      </c>
      <c r="H799" s="173" t="str">
        <f t="array" ref="H799">IF($A799="","",SUMIF('主表 Stock_Transaction_Log'!$T:$T,INDEX('主表 Stock_Transaction_Log'!$T:$T,$A799),'主表 Stock_Transaction_Log'!$S:$S)+SUMIF('主表 Stock_Transaction_Log'!$AB:$AB,INDEX('主表 Stock_Transaction_Log'!$T:$T,$A799),'主表 Stock_Transaction_Log'!$AC:$AC))</f>
        <v/>
      </c>
      <c r="I799" s="173" t="str">
        <f t="shared" si="1"/>
        <v/>
      </c>
      <c r="J799" s="173" t="str">
        <f t="shared" si="2"/>
        <v/>
      </c>
      <c r="K799" s="173" t="str">
        <f t="shared" si="3"/>
        <v/>
      </c>
      <c r="L799" s="173" t="str">
        <f t="array" ref="L799">IF($A799="","",INDEX('主表 Stock_Transaction_Log'!$P:$P,$A799))</f>
        <v/>
      </c>
      <c r="M799" s="174" t="str">
        <f>IF($A799="","",IF($H799&lt;=0,0,SUMIFS('主表 Stock_Transaction_Log'!$K$2:$K1000,'主表 Stock_Transaction_Log'!$C$2:$C1000,"Prepared",'主表 Stock_Transaction_Log'!$L$2:$L1000,$B799,'主表 Stock_Transaction_Log'!$F$2:$F1000,$C799,'主表 Stock_Transaction_Log'!$G$2:$G1000,$D799,'主表 Stock_Transaction_Log'!$P$2:$P1000,$L799)))</f>
        <v/>
      </c>
    </row>
    <row r="800">
      <c r="A800" s="173" t="str">
        <f>IF('主表 Stock_Transaction_Log'!$T800="","",IF(COUNTIF('主表 Stock_Transaction_Log'!$T$2:$T800,'主表 Stock_Transaction_Log'!$T800)=1,ROW('主表 Stock_Transaction_Log'!$T800),""))</f>
        <v/>
      </c>
      <c r="B800" s="173" t="str">
        <f t="array" ref="B800">IF($A800="","",INDEX('主表 Stock_Transaction_Log'!$Q:$Q,$A800))</f>
        <v/>
      </c>
      <c r="C800" s="173" t="str">
        <f t="array" ref="C800">IF($A800="","",IF(INDEX('主表 Stock_Transaction_Log'!$F:$F,$A800)=0,"",INDEX('主表 Stock_Transaction_Log'!$F:$F,$A800)))</f>
        <v/>
      </c>
      <c r="D800" s="173" t="str">
        <f t="array" ref="D800">IF($A800="","",INDEX('主表 Stock_Transaction_Log'!$G:$G,$A800))</f>
        <v/>
      </c>
      <c r="E800" s="173" t="str">
        <f t="array" ref="E800">IF($A800="","",INDEX('主表 Stock_Transaction_Log'!$H:$H,$A800))</f>
        <v/>
      </c>
      <c r="F800" s="173" t="str">
        <f t="array" ref="F800">IF($A800="","",INDEX('主表 Stock_Transaction_Log'!$I:$I,$A800))</f>
        <v/>
      </c>
      <c r="G800" s="173" t="str">
        <f t="array" ref="G800">IF($A800="","",IF(INDEX('主表 Stock_Transaction_Log'!$R:$R,$A800)=0,"",INDEX('主表 Stock_Transaction_Log'!$R:$R,$A800)))</f>
        <v/>
      </c>
      <c r="H800" s="173" t="str">
        <f t="array" ref="H800">IF($A800="","",SUMIF('主表 Stock_Transaction_Log'!$T:$T,INDEX('主表 Stock_Transaction_Log'!$T:$T,$A800),'主表 Stock_Transaction_Log'!$S:$S)+SUMIF('主表 Stock_Transaction_Log'!$AB:$AB,INDEX('主表 Stock_Transaction_Log'!$T:$T,$A800),'主表 Stock_Transaction_Log'!$AC:$AC))</f>
        <v/>
      </c>
      <c r="I800" s="173" t="str">
        <f t="shared" si="1"/>
        <v/>
      </c>
      <c r="J800" s="173" t="str">
        <f t="shared" si="2"/>
        <v/>
      </c>
      <c r="K800" s="173" t="str">
        <f t="shared" si="3"/>
        <v/>
      </c>
      <c r="L800" s="173" t="str">
        <f t="array" ref="L800">IF($A800="","",INDEX('主表 Stock_Transaction_Log'!$P:$P,$A800))</f>
        <v/>
      </c>
      <c r="M800" s="174" t="str">
        <f>IF($A800="","",IF($H800&lt;=0,0,SUMIFS('主表 Stock_Transaction_Log'!$K$2:$K1000,'主表 Stock_Transaction_Log'!$C$2:$C1000,"Prepared",'主表 Stock_Transaction_Log'!$L$2:$L1000,$B800,'主表 Stock_Transaction_Log'!$F$2:$F1000,$C800,'主表 Stock_Transaction_Log'!$G$2:$G1000,$D800,'主表 Stock_Transaction_Log'!$P$2:$P1000,$L800)))</f>
        <v/>
      </c>
    </row>
    <row r="801">
      <c r="A801" s="173" t="str">
        <f>IF('主表 Stock_Transaction_Log'!$T801="","",IF(COUNTIF('主表 Stock_Transaction_Log'!$T$2:$T801,'主表 Stock_Transaction_Log'!$T801)=1,ROW('主表 Stock_Transaction_Log'!$T801),""))</f>
        <v/>
      </c>
      <c r="B801" s="173" t="str">
        <f t="array" ref="B801">IF($A801="","",INDEX('主表 Stock_Transaction_Log'!$Q:$Q,$A801))</f>
        <v/>
      </c>
      <c r="C801" s="173" t="str">
        <f t="array" ref="C801">IF($A801="","",IF(INDEX('主表 Stock_Transaction_Log'!$F:$F,$A801)=0,"",INDEX('主表 Stock_Transaction_Log'!$F:$F,$A801)))</f>
        <v/>
      </c>
      <c r="D801" s="173" t="str">
        <f t="array" ref="D801">IF($A801="","",INDEX('主表 Stock_Transaction_Log'!$G:$G,$A801))</f>
        <v/>
      </c>
      <c r="E801" s="173" t="str">
        <f t="array" ref="E801">IF($A801="","",INDEX('主表 Stock_Transaction_Log'!$H:$H,$A801))</f>
        <v/>
      </c>
      <c r="F801" s="173" t="str">
        <f t="array" ref="F801">IF($A801="","",INDEX('主表 Stock_Transaction_Log'!$I:$I,$A801))</f>
        <v/>
      </c>
      <c r="G801" s="173" t="str">
        <f t="array" ref="G801">IF($A801="","",IF(INDEX('主表 Stock_Transaction_Log'!$R:$R,$A801)=0,"",INDEX('主表 Stock_Transaction_Log'!$R:$R,$A801)))</f>
        <v/>
      </c>
      <c r="H801" s="173" t="str">
        <f t="array" ref="H801">IF($A801="","",SUMIF('主表 Stock_Transaction_Log'!$T:$T,INDEX('主表 Stock_Transaction_Log'!$T:$T,$A801),'主表 Stock_Transaction_Log'!$S:$S)+SUMIF('主表 Stock_Transaction_Log'!$AB:$AB,INDEX('主表 Stock_Transaction_Log'!$T:$T,$A801),'主表 Stock_Transaction_Log'!$AC:$AC))</f>
        <v/>
      </c>
      <c r="I801" s="173" t="str">
        <f t="shared" si="1"/>
        <v/>
      </c>
      <c r="J801" s="173" t="str">
        <f t="shared" si="2"/>
        <v/>
      </c>
      <c r="K801" s="173" t="str">
        <f t="shared" si="3"/>
        <v/>
      </c>
      <c r="L801" s="173" t="str">
        <f t="array" ref="L801">IF($A801="","",INDEX('主表 Stock_Transaction_Log'!$P:$P,$A801))</f>
        <v/>
      </c>
      <c r="M801" s="174" t="str">
        <f>IF($A801="","",IF($H801&lt;=0,0,SUMIFS('主表 Stock_Transaction_Log'!$K$2:$K1000,'主表 Stock_Transaction_Log'!$C$2:$C1000,"Prepared",'主表 Stock_Transaction_Log'!$L$2:$L1000,$B801,'主表 Stock_Transaction_Log'!$F$2:$F1000,$C801,'主表 Stock_Transaction_Log'!$G$2:$G1000,$D801,'主表 Stock_Transaction_Log'!$P$2:$P1000,$L801)))</f>
        <v/>
      </c>
    </row>
    <row r="802">
      <c r="A802" s="173" t="str">
        <f>IF('主表 Stock_Transaction_Log'!$T802="","",IF(COUNTIF('主表 Stock_Transaction_Log'!$T$2:$T802,'主表 Stock_Transaction_Log'!$T802)=1,ROW('主表 Stock_Transaction_Log'!$T802),""))</f>
        <v/>
      </c>
      <c r="B802" s="173" t="str">
        <f t="array" ref="B802">IF($A802="","",INDEX('主表 Stock_Transaction_Log'!$Q:$Q,$A802))</f>
        <v/>
      </c>
      <c r="C802" s="173" t="str">
        <f t="array" ref="C802">IF($A802="","",IF(INDEX('主表 Stock_Transaction_Log'!$F:$F,$A802)=0,"",INDEX('主表 Stock_Transaction_Log'!$F:$F,$A802)))</f>
        <v/>
      </c>
      <c r="D802" s="173" t="str">
        <f t="array" ref="D802">IF($A802="","",INDEX('主表 Stock_Transaction_Log'!$G:$G,$A802))</f>
        <v/>
      </c>
      <c r="E802" s="173" t="str">
        <f t="array" ref="E802">IF($A802="","",INDEX('主表 Stock_Transaction_Log'!$H:$H,$A802))</f>
        <v/>
      </c>
      <c r="F802" s="173" t="str">
        <f t="array" ref="F802">IF($A802="","",INDEX('主表 Stock_Transaction_Log'!$I:$I,$A802))</f>
        <v/>
      </c>
      <c r="G802" s="173" t="str">
        <f t="array" ref="G802">IF($A802="","",IF(INDEX('主表 Stock_Transaction_Log'!$R:$R,$A802)=0,"",INDEX('主表 Stock_Transaction_Log'!$R:$R,$A802)))</f>
        <v/>
      </c>
      <c r="H802" s="173" t="str">
        <f t="array" ref="H802">IF($A802="","",SUMIF('主表 Stock_Transaction_Log'!$T:$T,INDEX('主表 Stock_Transaction_Log'!$T:$T,$A802),'主表 Stock_Transaction_Log'!$S:$S)+SUMIF('主表 Stock_Transaction_Log'!$AB:$AB,INDEX('主表 Stock_Transaction_Log'!$T:$T,$A802),'主表 Stock_Transaction_Log'!$AC:$AC))</f>
        <v/>
      </c>
      <c r="I802" s="173" t="str">
        <f t="shared" si="1"/>
        <v/>
      </c>
      <c r="J802" s="173" t="str">
        <f t="shared" si="2"/>
        <v/>
      </c>
      <c r="K802" s="173" t="str">
        <f t="shared" si="3"/>
        <v/>
      </c>
      <c r="L802" s="173" t="str">
        <f t="array" ref="L802">IF($A802="","",INDEX('主表 Stock_Transaction_Log'!$P:$P,$A802))</f>
        <v/>
      </c>
      <c r="M802" s="174" t="str">
        <f>IF($A802="","",IF($H802&lt;=0,0,SUMIFS('主表 Stock_Transaction_Log'!$K$2:$K1000,'主表 Stock_Transaction_Log'!$C$2:$C1000,"Prepared",'主表 Stock_Transaction_Log'!$L$2:$L1000,$B802,'主表 Stock_Transaction_Log'!$F$2:$F1000,$C802,'主表 Stock_Transaction_Log'!$G$2:$G1000,$D802,'主表 Stock_Transaction_Log'!$P$2:$P1000,$L802)))</f>
        <v/>
      </c>
    </row>
    <row r="803">
      <c r="A803" s="173" t="str">
        <f>IF('主表 Stock_Transaction_Log'!$T803="","",IF(COUNTIF('主表 Stock_Transaction_Log'!$T$2:$T803,'主表 Stock_Transaction_Log'!$T803)=1,ROW('主表 Stock_Transaction_Log'!$T803),""))</f>
        <v/>
      </c>
      <c r="B803" s="173" t="str">
        <f t="array" ref="B803">IF($A803="","",INDEX('主表 Stock_Transaction_Log'!$Q:$Q,$A803))</f>
        <v/>
      </c>
      <c r="C803" s="173" t="str">
        <f t="array" ref="C803">IF($A803="","",IF(INDEX('主表 Stock_Transaction_Log'!$F:$F,$A803)=0,"",INDEX('主表 Stock_Transaction_Log'!$F:$F,$A803)))</f>
        <v/>
      </c>
      <c r="D803" s="173" t="str">
        <f t="array" ref="D803">IF($A803="","",INDEX('主表 Stock_Transaction_Log'!$G:$G,$A803))</f>
        <v/>
      </c>
      <c r="E803" s="173" t="str">
        <f t="array" ref="E803">IF($A803="","",INDEX('主表 Stock_Transaction_Log'!$H:$H,$A803))</f>
        <v/>
      </c>
      <c r="F803" s="173" t="str">
        <f t="array" ref="F803">IF($A803="","",INDEX('主表 Stock_Transaction_Log'!$I:$I,$A803))</f>
        <v/>
      </c>
      <c r="G803" s="173" t="str">
        <f t="array" ref="G803">IF($A803="","",IF(INDEX('主表 Stock_Transaction_Log'!$R:$R,$A803)=0,"",INDEX('主表 Stock_Transaction_Log'!$R:$R,$A803)))</f>
        <v/>
      </c>
      <c r="H803" s="173" t="str">
        <f t="array" ref="H803">IF($A803="","",SUMIF('主表 Stock_Transaction_Log'!$T:$T,INDEX('主表 Stock_Transaction_Log'!$T:$T,$A803),'主表 Stock_Transaction_Log'!$S:$S)+SUMIF('主表 Stock_Transaction_Log'!$AB:$AB,INDEX('主表 Stock_Transaction_Log'!$T:$T,$A803),'主表 Stock_Transaction_Log'!$AC:$AC))</f>
        <v/>
      </c>
      <c r="I803" s="173" t="str">
        <f t="shared" si="1"/>
        <v/>
      </c>
      <c r="J803" s="173" t="str">
        <f t="shared" si="2"/>
        <v/>
      </c>
      <c r="K803" s="173" t="str">
        <f t="shared" si="3"/>
        <v/>
      </c>
      <c r="L803" s="173" t="str">
        <f t="array" ref="L803">IF($A803="","",INDEX('主表 Stock_Transaction_Log'!$P:$P,$A803))</f>
        <v/>
      </c>
      <c r="M803" s="174" t="str">
        <f>IF($A803="","",IF($H803&lt;=0,0,SUMIFS('主表 Stock_Transaction_Log'!$K$2:$K1000,'主表 Stock_Transaction_Log'!$C$2:$C1000,"Prepared",'主表 Stock_Transaction_Log'!$L$2:$L1000,$B803,'主表 Stock_Transaction_Log'!$F$2:$F1000,$C803,'主表 Stock_Transaction_Log'!$G$2:$G1000,$D803,'主表 Stock_Transaction_Log'!$P$2:$P1000,$L803)))</f>
        <v/>
      </c>
    </row>
    <row r="804">
      <c r="A804" s="173" t="str">
        <f>IF('主表 Stock_Transaction_Log'!$T804="","",IF(COUNTIF('主表 Stock_Transaction_Log'!$T$2:$T804,'主表 Stock_Transaction_Log'!$T804)=1,ROW('主表 Stock_Transaction_Log'!$T804),""))</f>
        <v/>
      </c>
      <c r="B804" s="173" t="str">
        <f t="array" ref="B804">IF($A804="","",INDEX('主表 Stock_Transaction_Log'!$Q:$Q,$A804))</f>
        <v/>
      </c>
      <c r="C804" s="173" t="str">
        <f t="array" ref="C804">IF($A804="","",IF(INDEX('主表 Stock_Transaction_Log'!$F:$F,$A804)=0,"",INDEX('主表 Stock_Transaction_Log'!$F:$F,$A804)))</f>
        <v/>
      </c>
      <c r="D804" s="173" t="str">
        <f t="array" ref="D804">IF($A804="","",INDEX('主表 Stock_Transaction_Log'!$G:$G,$A804))</f>
        <v/>
      </c>
      <c r="E804" s="173" t="str">
        <f t="array" ref="E804">IF($A804="","",INDEX('主表 Stock_Transaction_Log'!$H:$H,$A804))</f>
        <v/>
      </c>
      <c r="F804" s="173" t="str">
        <f t="array" ref="F804">IF($A804="","",INDEX('主表 Stock_Transaction_Log'!$I:$I,$A804))</f>
        <v/>
      </c>
      <c r="G804" s="173" t="str">
        <f t="array" ref="G804">IF($A804="","",IF(INDEX('主表 Stock_Transaction_Log'!$R:$R,$A804)=0,"",INDEX('主表 Stock_Transaction_Log'!$R:$R,$A804)))</f>
        <v/>
      </c>
      <c r="H804" s="173" t="str">
        <f t="array" ref="H804">IF($A804="","",SUMIF('主表 Stock_Transaction_Log'!$T:$T,INDEX('主表 Stock_Transaction_Log'!$T:$T,$A804),'主表 Stock_Transaction_Log'!$S:$S)+SUMIF('主表 Stock_Transaction_Log'!$AB:$AB,INDEX('主表 Stock_Transaction_Log'!$T:$T,$A804),'主表 Stock_Transaction_Log'!$AC:$AC))</f>
        <v/>
      </c>
      <c r="I804" s="173" t="str">
        <f t="shared" si="1"/>
        <v/>
      </c>
      <c r="J804" s="173" t="str">
        <f t="shared" si="2"/>
        <v/>
      </c>
      <c r="K804" s="173" t="str">
        <f t="shared" si="3"/>
        <v/>
      </c>
      <c r="L804" s="173" t="str">
        <f t="array" ref="L804">IF($A804="","",INDEX('主表 Stock_Transaction_Log'!$P:$P,$A804))</f>
        <v/>
      </c>
      <c r="M804" s="174" t="str">
        <f>IF($A804="","",IF($H804&lt;=0,0,SUMIFS('主表 Stock_Transaction_Log'!$K$2:$K1000,'主表 Stock_Transaction_Log'!$C$2:$C1000,"Prepared",'主表 Stock_Transaction_Log'!$L$2:$L1000,$B804,'主表 Stock_Transaction_Log'!$F$2:$F1000,$C804,'主表 Stock_Transaction_Log'!$G$2:$G1000,$D804,'主表 Stock_Transaction_Log'!$P$2:$P1000,$L804)))</f>
        <v/>
      </c>
    </row>
    <row r="805">
      <c r="A805" s="173" t="str">
        <f>IF('主表 Stock_Transaction_Log'!$T805="","",IF(COUNTIF('主表 Stock_Transaction_Log'!$T$2:$T805,'主表 Stock_Transaction_Log'!$T805)=1,ROW('主表 Stock_Transaction_Log'!$T805),""))</f>
        <v/>
      </c>
      <c r="B805" s="173" t="str">
        <f t="array" ref="B805">IF($A805="","",INDEX('主表 Stock_Transaction_Log'!$Q:$Q,$A805))</f>
        <v/>
      </c>
      <c r="C805" s="173" t="str">
        <f t="array" ref="C805">IF($A805="","",IF(INDEX('主表 Stock_Transaction_Log'!$F:$F,$A805)=0,"",INDEX('主表 Stock_Transaction_Log'!$F:$F,$A805)))</f>
        <v/>
      </c>
      <c r="D805" s="173" t="str">
        <f t="array" ref="D805">IF($A805="","",INDEX('主表 Stock_Transaction_Log'!$G:$G,$A805))</f>
        <v/>
      </c>
      <c r="E805" s="173" t="str">
        <f t="array" ref="E805">IF($A805="","",INDEX('主表 Stock_Transaction_Log'!$H:$H,$A805))</f>
        <v/>
      </c>
      <c r="F805" s="173" t="str">
        <f t="array" ref="F805">IF($A805="","",INDEX('主表 Stock_Transaction_Log'!$I:$I,$A805))</f>
        <v/>
      </c>
      <c r="G805" s="173" t="str">
        <f t="array" ref="G805">IF($A805="","",IF(INDEX('主表 Stock_Transaction_Log'!$R:$R,$A805)=0,"",INDEX('主表 Stock_Transaction_Log'!$R:$R,$A805)))</f>
        <v/>
      </c>
      <c r="H805" s="173" t="str">
        <f t="array" ref="H805">IF($A805="","",SUMIF('主表 Stock_Transaction_Log'!$T:$T,INDEX('主表 Stock_Transaction_Log'!$T:$T,$A805),'主表 Stock_Transaction_Log'!$S:$S)+SUMIF('主表 Stock_Transaction_Log'!$AB:$AB,INDEX('主表 Stock_Transaction_Log'!$T:$T,$A805),'主表 Stock_Transaction_Log'!$AC:$AC))</f>
        <v/>
      </c>
      <c r="I805" s="173" t="str">
        <f t="shared" si="1"/>
        <v/>
      </c>
      <c r="J805" s="173" t="str">
        <f t="shared" si="2"/>
        <v/>
      </c>
      <c r="K805" s="173" t="str">
        <f t="shared" si="3"/>
        <v/>
      </c>
      <c r="L805" s="173" t="str">
        <f t="array" ref="L805">IF($A805="","",INDEX('主表 Stock_Transaction_Log'!$P:$P,$A805))</f>
        <v/>
      </c>
      <c r="M805" s="174" t="str">
        <f>IF($A805="","",IF($H805&lt;=0,0,SUMIFS('主表 Stock_Transaction_Log'!$K$2:$K1000,'主表 Stock_Transaction_Log'!$C$2:$C1000,"Prepared",'主表 Stock_Transaction_Log'!$L$2:$L1000,$B805,'主表 Stock_Transaction_Log'!$F$2:$F1000,$C805,'主表 Stock_Transaction_Log'!$G$2:$G1000,$D805,'主表 Stock_Transaction_Log'!$P$2:$P1000,$L805)))</f>
        <v/>
      </c>
    </row>
    <row r="806">
      <c r="A806" s="173" t="str">
        <f>IF('主表 Stock_Transaction_Log'!$T806="","",IF(COUNTIF('主表 Stock_Transaction_Log'!$T$2:$T806,'主表 Stock_Transaction_Log'!$T806)=1,ROW('主表 Stock_Transaction_Log'!$T806),""))</f>
        <v/>
      </c>
      <c r="B806" s="173" t="str">
        <f t="array" ref="B806">IF($A806="","",INDEX('主表 Stock_Transaction_Log'!$Q:$Q,$A806))</f>
        <v/>
      </c>
      <c r="C806" s="173" t="str">
        <f t="array" ref="C806">IF($A806="","",IF(INDEX('主表 Stock_Transaction_Log'!$F:$F,$A806)=0,"",INDEX('主表 Stock_Transaction_Log'!$F:$F,$A806)))</f>
        <v/>
      </c>
      <c r="D806" s="173" t="str">
        <f t="array" ref="D806">IF($A806="","",INDEX('主表 Stock_Transaction_Log'!$G:$G,$A806))</f>
        <v/>
      </c>
      <c r="E806" s="173" t="str">
        <f t="array" ref="E806">IF($A806="","",INDEX('主表 Stock_Transaction_Log'!$H:$H,$A806))</f>
        <v/>
      </c>
      <c r="F806" s="173" t="str">
        <f t="array" ref="F806">IF($A806="","",INDEX('主表 Stock_Transaction_Log'!$I:$I,$A806))</f>
        <v/>
      </c>
      <c r="G806" s="173" t="str">
        <f t="array" ref="G806">IF($A806="","",IF(INDEX('主表 Stock_Transaction_Log'!$R:$R,$A806)=0,"",INDEX('主表 Stock_Transaction_Log'!$R:$R,$A806)))</f>
        <v/>
      </c>
      <c r="H806" s="173" t="str">
        <f t="array" ref="H806">IF($A806="","",SUMIF('主表 Stock_Transaction_Log'!$T:$T,INDEX('主表 Stock_Transaction_Log'!$T:$T,$A806),'主表 Stock_Transaction_Log'!$S:$S)+SUMIF('主表 Stock_Transaction_Log'!$AB:$AB,INDEX('主表 Stock_Transaction_Log'!$T:$T,$A806),'主表 Stock_Transaction_Log'!$AC:$AC))</f>
        <v/>
      </c>
      <c r="I806" s="173" t="str">
        <f t="shared" si="1"/>
        <v/>
      </c>
      <c r="J806" s="173" t="str">
        <f t="shared" si="2"/>
        <v/>
      </c>
      <c r="K806" s="173" t="str">
        <f t="shared" si="3"/>
        <v/>
      </c>
      <c r="L806" s="173" t="str">
        <f t="array" ref="L806">IF($A806="","",INDEX('主表 Stock_Transaction_Log'!$P:$P,$A806))</f>
        <v/>
      </c>
      <c r="M806" s="174" t="str">
        <f>IF($A806="","",IF($H806&lt;=0,0,SUMIFS('主表 Stock_Transaction_Log'!$K$2:$K1000,'主表 Stock_Transaction_Log'!$C$2:$C1000,"Prepared",'主表 Stock_Transaction_Log'!$L$2:$L1000,$B806,'主表 Stock_Transaction_Log'!$F$2:$F1000,$C806,'主表 Stock_Transaction_Log'!$G$2:$G1000,$D806,'主表 Stock_Transaction_Log'!$P$2:$P1000,$L806)))</f>
        <v/>
      </c>
    </row>
    <row r="807">
      <c r="A807" s="173" t="str">
        <f>IF('主表 Stock_Transaction_Log'!$T807="","",IF(COUNTIF('主表 Stock_Transaction_Log'!$T$2:$T807,'主表 Stock_Transaction_Log'!$T807)=1,ROW('主表 Stock_Transaction_Log'!$T807),""))</f>
        <v/>
      </c>
      <c r="B807" s="173" t="str">
        <f t="array" ref="B807">IF($A807="","",INDEX('主表 Stock_Transaction_Log'!$Q:$Q,$A807))</f>
        <v/>
      </c>
      <c r="C807" s="173" t="str">
        <f t="array" ref="C807">IF($A807="","",IF(INDEX('主表 Stock_Transaction_Log'!$F:$F,$A807)=0,"",INDEX('主表 Stock_Transaction_Log'!$F:$F,$A807)))</f>
        <v/>
      </c>
      <c r="D807" s="173" t="str">
        <f t="array" ref="D807">IF($A807="","",INDEX('主表 Stock_Transaction_Log'!$G:$G,$A807))</f>
        <v/>
      </c>
      <c r="E807" s="173" t="str">
        <f t="array" ref="E807">IF($A807="","",INDEX('主表 Stock_Transaction_Log'!$H:$H,$A807))</f>
        <v/>
      </c>
      <c r="F807" s="173" t="str">
        <f t="array" ref="F807">IF($A807="","",INDEX('主表 Stock_Transaction_Log'!$I:$I,$A807))</f>
        <v/>
      </c>
      <c r="G807" s="173" t="str">
        <f t="array" ref="G807">IF($A807="","",IF(INDEX('主表 Stock_Transaction_Log'!$R:$R,$A807)=0,"",INDEX('主表 Stock_Transaction_Log'!$R:$R,$A807)))</f>
        <v/>
      </c>
      <c r="H807" s="173" t="str">
        <f t="array" ref="H807">IF($A807="","",SUMIF('主表 Stock_Transaction_Log'!$T:$T,INDEX('主表 Stock_Transaction_Log'!$T:$T,$A807),'主表 Stock_Transaction_Log'!$S:$S)+SUMIF('主表 Stock_Transaction_Log'!$AB:$AB,INDEX('主表 Stock_Transaction_Log'!$T:$T,$A807),'主表 Stock_Transaction_Log'!$AC:$AC))</f>
        <v/>
      </c>
      <c r="I807" s="173" t="str">
        <f t="shared" si="1"/>
        <v/>
      </c>
      <c r="J807" s="173" t="str">
        <f t="shared" si="2"/>
        <v/>
      </c>
      <c r="K807" s="173" t="str">
        <f t="shared" si="3"/>
        <v/>
      </c>
      <c r="L807" s="173" t="str">
        <f t="array" ref="L807">IF($A807="","",INDEX('主表 Stock_Transaction_Log'!$P:$P,$A807))</f>
        <v/>
      </c>
      <c r="M807" s="174" t="str">
        <f>IF($A807="","",IF($H807&lt;=0,0,SUMIFS('主表 Stock_Transaction_Log'!$K$2:$K1000,'主表 Stock_Transaction_Log'!$C$2:$C1000,"Prepared",'主表 Stock_Transaction_Log'!$L$2:$L1000,$B807,'主表 Stock_Transaction_Log'!$F$2:$F1000,$C807,'主表 Stock_Transaction_Log'!$G$2:$G1000,$D807,'主表 Stock_Transaction_Log'!$P$2:$P1000,$L807)))</f>
        <v/>
      </c>
    </row>
    <row r="808">
      <c r="A808" s="173" t="str">
        <f>IF('主表 Stock_Transaction_Log'!$T808="","",IF(COUNTIF('主表 Stock_Transaction_Log'!$T$2:$T808,'主表 Stock_Transaction_Log'!$T808)=1,ROW('主表 Stock_Transaction_Log'!$T808),""))</f>
        <v/>
      </c>
      <c r="B808" s="173" t="str">
        <f t="array" ref="B808">IF($A808="","",INDEX('主表 Stock_Transaction_Log'!$Q:$Q,$A808))</f>
        <v/>
      </c>
      <c r="C808" s="173" t="str">
        <f t="array" ref="C808">IF($A808="","",IF(INDEX('主表 Stock_Transaction_Log'!$F:$F,$A808)=0,"",INDEX('主表 Stock_Transaction_Log'!$F:$F,$A808)))</f>
        <v/>
      </c>
      <c r="D808" s="173" t="str">
        <f t="array" ref="D808">IF($A808="","",INDEX('主表 Stock_Transaction_Log'!$G:$G,$A808))</f>
        <v/>
      </c>
      <c r="E808" s="173" t="str">
        <f t="array" ref="E808">IF($A808="","",INDEX('主表 Stock_Transaction_Log'!$H:$H,$A808))</f>
        <v/>
      </c>
      <c r="F808" s="173" t="str">
        <f t="array" ref="F808">IF($A808="","",INDEX('主表 Stock_Transaction_Log'!$I:$I,$A808))</f>
        <v/>
      </c>
      <c r="G808" s="173" t="str">
        <f t="array" ref="G808">IF($A808="","",IF(INDEX('主表 Stock_Transaction_Log'!$R:$R,$A808)=0,"",INDEX('主表 Stock_Transaction_Log'!$R:$R,$A808)))</f>
        <v/>
      </c>
      <c r="H808" s="173" t="str">
        <f t="array" ref="H808">IF($A808="","",SUMIF('主表 Stock_Transaction_Log'!$T:$T,INDEX('主表 Stock_Transaction_Log'!$T:$T,$A808),'主表 Stock_Transaction_Log'!$S:$S)+SUMIF('主表 Stock_Transaction_Log'!$AB:$AB,INDEX('主表 Stock_Transaction_Log'!$T:$T,$A808),'主表 Stock_Transaction_Log'!$AC:$AC))</f>
        <v/>
      </c>
      <c r="I808" s="173" t="str">
        <f t="shared" si="1"/>
        <v/>
      </c>
      <c r="J808" s="173" t="str">
        <f t="shared" si="2"/>
        <v/>
      </c>
      <c r="K808" s="173" t="str">
        <f t="shared" si="3"/>
        <v/>
      </c>
      <c r="L808" s="173" t="str">
        <f t="array" ref="L808">IF($A808="","",INDEX('主表 Stock_Transaction_Log'!$P:$P,$A808))</f>
        <v/>
      </c>
      <c r="M808" s="174" t="str">
        <f>IF($A808="","",IF($H808&lt;=0,0,SUMIFS('主表 Stock_Transaction_Log'!$K$2:$K1000,'主表 Stock_Transaction_Log'!$C$2:$C1000,"Prepared",'主表 Stock_Transaction_Log'!$L$2:$L1000,$B808,'主表 Stock_Transaction_Log'!$F$2:$F1000,$C808,'主表 Stock_Transaction_Log'!$G$2:$G1000,$D808,'主表 Stock_Transaction_Log'!$P$2:$P1000,$L808)))</f>
        <v/>
      </c>
    </row>
    <row r="809">
      <c r="A809" s="173" t="str">
        <f>IF('主表 Stock_Transaction_Log'!$T809="","",IF(COUNTIF('主表 Stock_Transaction_Log'!$T$2:$T809,'主表 Stock_Transaction_Log'!$T809)=1,ROW('主表 Stock_Transaction_Log'!$T809),""))</f>
        <v/>
      </c>
      <c r="B809" s="173" t="str">
        <f t="array" ref="B809">IF($A809="","",INDEX('主表 Stock_Transaction_Log'!$Q:$Q,$A809))</f>
        <v/>
      </c>
      <c r="C809" s="173" t="str">
        <f t="array" ref="C809">IF($A809="","",IF(INDEX('主表 Stock_Transaction_Log'!$F:$F,$A809)=0,"",INDEX('主表 Stock_Transaction_Log'!$F:$F,$A809)))</f>
        <v/>
      </c>
      <c r="D809" s="173" t="str">
        <f t="array" ref="D809">IF($A809="","",INDEX('主表 Stock_Transaction_Log'!$G:$G,$A809))</f>
        <v/>
      </c>
      <c r="E809" s="173" t="str">
        <f t="array" ref="E809">IF($A809="","",INDEX('主表 Stock_Transaction_Log'!$H:$H,$A809))</f>
        <v/>
      </c>
      <c r="F809" s="173" t="str">
        <f t="array" ref="F809">IF($A809="","",INDEX('主表 Stock_Transaction_Log'!$I:$I,$A809))</f>
        <v/>
      </c>
      <c r="G809" s="173" t="str">
        <f t="array" ref="G809">IF($A809="","",IF(INDEX('主表 Stock_Transaction_Log'!$R:$R,$A809)=0,"",INDEX('主表 Stock_Transaction_Log'!$R:$R,$A809)))</f>
        <v/>
      </c>
      <c r="H809" s="173" t="str">
        <f t="array" ref="H809">IF($A809="","",SUMIF('主表 Stock_Transaction_Log'!$T:$T,INDEX('主表 Stock_Transaction_Log'!$T:$T,$A809),'主表 Stock_Transaction_Log'!$S:$S)+SUMIF('主表 Stock_Transaction_Log'!$AB:$AB,INDEX('主表 Stock_Transaction_Log'!$T:$T,$A809),'主表 Stock_Transaction_Log'!$AC:$AC))</f>
        <v/>
      </c>
      <c r="I809" s="173" t="str">
        <f t="shared" si="1"/>
        <v/>
      </c>
      <c r="J809" s="173" t="str">
        <f t="shared" si="2"/>
        <v/>
      </c>
      <c r="K809" s="173" t="str">
        <f t="shared" si="3"/>
        <v/>
      </c>
      <c r="L809" s="173" t="str">
        <f t="array" ref="L809">IF($A809="","",INDEX('主表 Stock_Transaction_Log'!$P:$P,$A809))</f>
        <v/>
      </c>
      <c r="M809" s="174" t="str">
        <f>IF($A809="","",IF($H809&lt;=0,0,SUMIFS('主表 Stock_Transaction_Log'!$K$2:$K1000,'主表 Stock_Transaction_Log'!$C$2:$C1000,"Prepared",'主表 Stock_Transaction_Log'!$L$2:$L1000,$B809,'主表 Stock_Transaction_Log'!$F$2:$F1000,$C809,'主表 Stock_Transaction_Log'!$G$2:$G1000,$D809,'主表 Stock_Transaction_Log'!$P$2:$P1000,$L809)))</f>
        <v/>
      </c>
    </row>
    <row r="810">
      <c r="A810" s="173" t="str">
        <f>IF('主表 Stock_Transaction_Log'!$T810="","",IF(COUNTIF('主表 Stock_Transaction_Log'!$T$2:$T810,'主表 Stock_Transaction_Log'!$T810)=1,ROW('主表 Stock_Transaction_Log'!$T810),""))</f>
        <v/>
      </c>
      <c r="B810" s="173" t="str">
        <f t="array" ref="B810">IF($A810="","",INDEX('主表 Stock_Transaction_Log'!$Q:$Q,$A810))</f>
        <v/>
      </c>
      <c r="C810" s="173" t="str">
        <f t="array" ref="C810">IF($A810="","",IF(INDEX('主表 Stock_Transaction_Log'!$F:$F,$A810)=0,"",INDEX('主表 Stock_Transaction_Log'!$F:$F,$A810)))</f>
        <v/>
      </c>
      <c r="D810" s="173" t="str">
        <f t="array" ref="D810">IF($A810="","",INDEX('主表 Stock_Transaction_Log'!$G:$G,$A810))</f>
        <v/>
      </c>
      <c r="E810" s="173" t="str">
        <f t="array" ref="E810">IF($A810="","",INDEX('主表 Stock_Transaction_Log'!$H:$H,$A810))</f>
        <v/>
      </c>
      <c r="F810" s="173" t="str">
        <f t="array" ref="F810">IF($A810="","",INDEX('主表 Stock_Transaction_Log'!$I:$I,$A810))</f>
        <v/>
      </c>
      <c r="G810" s="173" t="str">
        <f t="array" ref="G810">IF($A810="","",IF(INDEX('主表 Stock_Transaction_Log'!$R:$R,$A810)=0,"",INDEX('主表 Stock_Transaction_Log'!$R:$R,$A810)))</f>
        <v/>
      </c>
      <c r="H810" s="173" t="str">
        <f t="array" ref="H810">IF($A810="","",SUMIF('主表 Stock_Transaction_Log'!$T:$T,INDEX('主表 Stock_Transaction_Log'!$T:$T,$A810),'主表 Stock_Transaction_Log'!$S:$S)+SUMIF('主表 Stock_Transaction_Log'!$AB:$AB,INDEX('主表 Stock_Transaction_Log'!$T:$T,$A810),'主表 Stock_Transaction_Log'!$AC:$AC))</f>
        <v/>
      </c>
      <c r="I810" s="173" t="str">
        <f t="shared" si="1"/>
        <v/>
      </c>
      <c r="J810" s="173" t="str">
        <f t="shared" si="2"/>
        <v/>
      </c>
      <c r="K810" s="173" t="str">
        <f t="shared" si="3"/>
        <v/>
      </c>
      <c r="L810" s="173" t="str">
        <f t="array" ref="L810">IF($A810="","",INDEX('主表 Stock_Transaction_Log'!$P:$P,$A810))</f>
        <v/>
      </c>
      <c r="M810" s="174" t="str">
        <f>IF($A810="","",IF($H810&lt;=0,0,SUMIFS('主表 Stock_Transaction_Log'!$K$2:$K1000,'主表 Stock_Transaction_Log'!$C$2:$C1000,"Prepared",'主表 Stock_Transaction_Log'!$L$2:$L1000,$B810,'主表 Stock_Transaction_Log'!$F$2:$F1000,$C810,'主表 Stock_Transaction_Log'!$G$2:$G1000,$D810,'主表 Stock_Transaction_Log'!$P$2:$P1000,$L810)))</f>
        <v/>
      </c>
    </row>
    <row r="811">
      <c r="A811" s="173" t="str">
        <f>IF('主表 Stock_Transaction_Log'!$T811="","",IF(COUNTIF('主表 Stock_Transaction_Log'!$T$2:$T811,'主表 Stock_Transaction_Log'!$T811)=1,ROW('主表 Stock_Transaction_Log'!$T811),""))</f>
        <v/>
      </c>
      <c r="B811" s="173" t="str">
        <f t="array" ref="B811">IF($A811="","",INDEX('主表 Stock_Transaction_Log'!$Q:$Q,$A811))</f>
        <v/>
      </c>
      <c r="C811" s="173" t="str">
        <f t="array" ref="C811">IF($A811="","",IF(INDEX('主表 Stock_Transaction_Log'!$F:$F,$A811)=0,"",INDEX('主表 Stock_Transaction_Log'!$F:$F,$A811)))</f>
        <v/>
      </c>
      <c r="D811" s="173" t="str">
        <f t="array" ref="D811">IF($A811="","",INDEX('主表 Stock_Transaction_Log'!$G:$G,$A811))</f>
        <v/>
      </c>
      <c r="E811" s="173" t="str">
        <f t="array" ref="E811">IF($A811="","",INDEX('主表 Stock_Transaction_Log'!$H:$H,$A811))</f>
        <v/>
      </c>
      <c r="F811" s="173" t="str">
        <f t="array" ref="F811">IF($A811="","",INDEX('主表 Stock_Transaction_Log'!$I:$I,$A811))</f>
        <v/>
      </c>
      <c r="G811" s="173" t="str">
        <f t="array" ref="G811">IF($A811="","",IF(INDEX('主表 Stock_Transaction_Log'!$R:$R,$A811)=0,"",INDEX('主表 Stock_Transaction_Log'!$R:$R,$A811)))</f>
        <v/>
      </c>
      <c r="H811" s="173" t="str">
        <f t="array" ref="H811">IF($A811="","",SUMIF('主表 Stock_Transaction_Log'!$T:$T,INDEX('主表 Stock_Transaction_Log'!$T:$T,$A811),'主表 Stock_Transaction_Log'!$S:$S)+SUMIF('主表 Stock_Transaction_Log'!$AB:$AB,INDEX('主表 Stock_Transaction_Log'!$T:$T,$A811),'主表 Stock_Transaction_Log'!$AC:$AC))</f>
        <v/>
      </c>
      <c r="I811" s="173" t="str">
        <f t="shared" si="1"/>
        <v/>
      </c>
      <c r="J811" s="173" t="str">
        <f t="shared" si="2"/>
        <v/>
      </c>
      <c r="K811" s="173" t="str">
        <f t="shared" si="3"/>
        <v/>
      </c>
      <c r="L811" s="173" t="str">
        <f t="array" ref="L811">IF($A811="","",INDEX('主表 Stock_Transaction_Log'!$P:$P,$A811))</f>
        <v/>
      </c>
      <c r="M811" s="174" t="str">
        <f>IF($A811="","",IF($H811&lt;=0,0,SUMIFS('主表 Stock_Transaction_Log'!$K$2:$K1000,'主表 Stock_Transaction_Log'!$C$2:$C1000,"Prepared",'主表 Stock_Transaction_Log'!$L$2:$L1000,$B811,'主表 Stock_Transaction_Log'!$F$2:$F1000,$C811,'主表 Stock_Transaction_Log'!$G$2:$G1000,$D811,'主表 Stock_Transaction_Log'!$P$2:$P1000,$L811)))</f>
        <v/>
      </c>
    </row>
    <row r="812">
      <c r="A812" s="173" t="str">
        <f>IF('主表 Stock_Transaction_Log'!$T812="","",IF(COUNTIF('主表 Stock_Transaction_Log'!$T$2:$T812,'主表 Stock_Transaction_Log'!$T812)=1,ROW('主表 Stock_Transaction_Log'!$T812),""))</f>
        <v/>
      </c>
      <c r="B812" s="173" t="str">
        <f t="array" ref="B812">IF($A812="","",INDEX('主表 Stock_Transaction_Log'!$Q:$Q,$A812))</f>
        <v/>
      </c>
      <c r="C812" s="173" t="str">
        <f t="array" ref="C812">IF($A812="","",IF(INDEX('主表 Stock_Transaction_Log'!$F:$F,$A812)=0,"",INDEX('主表 Stock_Transaction_Log'!$F:$F,$A812)))</f>
        <v/>
      </c>
      <c r="D812" s="173" t="str">
        <f t="array" ref="D812">IF($A812="","",INDEX('主表 Stock_Transaction_Log'!$G:$G,$A812))</f>
        <v/>
      </c>
      <c r="E812" s="173" t="str">
        <f t="array" ref="E812">IF($A812="","",INDEX('主表 Stock_Transaction_Log'!$H:$H,$A812))</f>
        <v/>
      </c>
      <c r="F812" s="173" t="str">
        <f t="array" ref="F812">IF($A812="","",INDEX('主表 Stock_Transaction_Log'!$I:$I,$A812))</f>
        <v/>
      </c>
      <c r="G812" s="173" t="str">
        <f t="array" ref="G812">IF($A812="","",IF(INDEX('主表 Stock_Transaction_Log'!$R:$R,$A812)=0,"",INDEX('主表 Stock_Transaction_Log'!$R:$R,$A812)))</f>
        <v/>
      </c>
      <c r="H812" s="173" t="str">
        <f t="array" ref="H812">IF($A812="","",SUMIF('主表 Stock_Transaction_Log'!$T:$T,INDEX('主表 Stock_Transaction_Log'!$T:$T,$A812),'主表 Stock_Transaction_Log'!$S:$S)+SUMIF('主表 Stock_Transaction_Log'!$AB:$AB,INDEX('主表 Stock_Transaction_Log'!$T:$T,$A812),'主表 Stock_Transaction_Log'!$AC:$AC))</f>
        <v/>
      </c>
      <c r="I812" s="173" t="str">
        <f t="shared" si="1"/>
        <v/>
      </c>
      <c r="J812" s="173" t="str">
        <f t="shared" si="2"/>
        <v/>
      </c>
      <c r="K812" s="173" t="str">
        <f t="shared" si="3"/>
        <v/>
      </c>
      <c r="L812" s="173" t="str">
        <f t="array" ref="L812">IF($A812="","",INDEX('主表 Stock_Transaction_Log'!$P:$P,$A812))</f>
        <v/>
      </c>
      <c r="M812" s="174" t="str">
        <f>IF($A812="","",IF($H812&lt;=0,0,SUMIFS('主表 Stock_Transaction_Log'!$K$2:$K1000,'主表 Stock_Transaction_Log'!$C$2:$C1000,"Prepared",'主表 Stock_Transaction_Log'!$L$2:$L1000,$B812,'主表 Stock_Transaction_Log'!$F$2:$F1000,$C812,'主表 Stock_Transaction_Log'!$G$2:$G1000,$D812,'主表 Stock_Transaction_Log'!$P$2:$P1000,$L812)))</f>
        <v/>
      </c>
    </row>
    <row r="813">
      <c r="A813" s="173" t="str">
        <f>IF('主表 Stock_Transaction_Log'!$T813="","",IF(COUNTIF('主表 Stock_Transaction_Log'!$T$2:$T813,'主表 Stock_Transaction_Log'!$T813)=1,ROW('主表 Stock_Transaction_Log'!$T813),""))</f>
        <v/>
      </c>
      <c r="B813" s="173" t="str">
        <f t="array" ref="B813">IF($A813="","",INDEX('主表 Stock_Transaction_Log'!$Q:$Q,$A813))</f>
        <v/>
      </c>
      <c r="C813" s="173" t="str">
        <f t="array" ref="C813">IF($A813="","",IF(INDEX('主表 Stock_Transaction_Log'!$F:$F,$A813)=0,"",INDEX('主表 Stock_Transaction_Log'!$F:$F,$A813)))</f>
        <v/>
      </c>
      <c r="D813" s="173" t="str">
        <f t="array" ref="D813">IF($A813="","",INDEX('主表 Stock_Transaction_Log'!$G:$G,$A813))</f>
        <v/>
      </c>
      <c r="E813" s="173" t="str">
        <f t="array" ref="E813">IF($A813="","",INDEX('主表 Stock_Transaction_Log'!$H:$H,$A813))</f>
        <v/>
      </c>
      <c r="F813" s="173" t="str">
        <f t="array" ref="F813">IF($A813="","",INDEX('主表 Stock_Transaction_Log'!$I:$I,$A813))</f>
        <v/>
      </c>
      <c r="G813" s="173" t="str">
        <f t="array" ref="G813">IF($A813="","",IF(INDEX('主表 Stock_Transaction_Log'!$R:$R,$A813)=0,"",INDEX('主表 Stock_Transaction_Log'!$R:$R,$A813)))</f>
        <v/>
      </c>
      <c r="H813" s="173" t="str">
        <f t="array" ref="H813">IF($A813="","",SUMIF('主表 Stock_Transaction_Log'!$T:$T,INDEX('主表 Stock_Transaction_Log'!$T:$T,$A813),'主表 Stock_Transaction_Log'!$S:$S)+SUMIF('主表 Stock_Transaction_Log'!$AB:$AB,INDEX('主表 Stock_Transaction_Log'!$T:$T,$A813),'主表 Stock_Transaction_Log'!$AC:$AC))</f>
        <v/>
      </c>
      <c r="I813" s="173" t="str">
        <f t="shared" si="1"/>
        <v/>
      </c>
      <c r="J813" s="173" t="str">
        <f t="shared" si="2"/>
        <v/>
      </c>
      <c r="K813" s="173" t="str">
        <f t="shared" si="3"/>
        <v/>
      </c>
      <c r="L813" s="173" t="str">
        <f t="array" ref="L813">IF($A813="","",INDEX('主表 Stock_Transaction_Log'!$P:$P,$A813))</f>
        <v/>
      </c>
      <c r="M813" s="174" t="str">
        <f>IF($A813="","",IF($H813&lt;=0,0,SUMIFS('主表 Stock_Transaction_Log'!$K$2:$K1000,'主表 Stock_Transaction_Log'!$C$2:$C1000,"Prepared",'主表 Stock_Transaction_Log'!$L$2:$L1000,$B813,'主表 Stock_Transaction_Log'!$F$2:$F1000,$C813,'主表 Stock_Transaction_Log'!$G$2:$G1000,$D813,'主表 Stock_Transaction_Log'!$P$2:$P1000,$L813)))</f>
        <v/>
      </c>
    </row>
    <row r="814">
      <c r="A814" s="173" t="str">
        <f>IF('主表 Stock_Transaction_Log'!$T814="","",IF(COUNTIF('主表 Stock_Transaction_Log'!$T$2:$T814,'主表 Stock_Transaction_Log'!$T814)=1,ROW('主表 Stock_Transaction_Log'!$T814),""))</f>
        <v/>
      </c>
      <c r="B814" s="173" t="str">
        <f t="array" ref="B814">IF($A814="","",INDEX('主表 Stock_Transaction_Log'!$Q:$Q,$A814))</f>
        <v/>
      </c>
      <c r="C814" s="173" t="str">
        <f t="array" ref="C814">IF($A814="","",IF(INDEX('主表 Stock_Transaction_Log'!$F:$F,$A814)=0,"",INDEX('主表 Stock_Transaction_Log'!$F:$F,$A814)))</f>
        <v/>
      </c>
      <c r="D814" s="173" t="str">
        <f t="array" ref="D814">IF($A814="","",INDEX('主表 Stock_Transaction_Log'!$G:$G,$A814))</f>
        <v/>
      </c>
      <c r="E814" s="173" t="str">
        <f t="array" ref="E814">IF($A814="","",INDEX('主表 Stock_Transaction_Log'!$H:$H,$A814))</f>
        <v/>
      </c>
      <c r="F814" s="173" t="str">
        <f t="array" ref="F814">IF($A814="","",INDEX('主表 Stock_Transaction_Log'!$I:$I,$A814))</f>
        <v/>
      </c>
      <c r="G814" s="173" t="str">
        <f t="array" ref="G814">IF($A814="","",IF(INDEX('主表 Stock_Transaction_Log'!$R:$R,$A814)=0,"",INDEX('主表 Stock_Transaction_Log'!$R:$R,$A814)))</f>
        <v/>
      </c>
      <c r="H814" s="173" t="str">
        <f t="array" ref="H814">IF($A814="","",SUMIF('主表 Stock_Transaction_Log'!$T:$T,INDEX('主表 Stock_Transaction_Log'!$T:$T,$A814),'主表 Stock_Transaction_Log'!$S:$S)+SUMIF('主表 Stock_Transaction_Log'!$AB:$AB,INDEX('主表 Stock_Transaction_Log'!$T:$T,$A814),'主表 Stock_Transaction_Log'!$AC:$AC))</f>
        <v/>
      </c>
      <c r="I814" s="173" t="str">
        <f t="shared" si="1"/>
        <v/>
      </c>
      <c r="J814" s="173" t="str">
        <f t="shared" si="2"/>
        <v/>
      </c>
      <c r="K814" s="173" t="str">
        <f t="shared" si="3"/>
        <v/>
      </c>
      <c r="L814" s="173" t="str">
        <f t="array" ref="L814">IF($A814="","",INDEX('主表 Stock_Transaction_Log'!$P:$P,$A814))</f>
        <v/>
      </c>
      <c r="M814" s="174" t="str">
        <f>IF($A814="","",IF($H814&lt;=0,0,SUMIFS('主表 Stock_Transaction_Log'!$K$2:$K1000,'主表 Stock_Transaction_Log'!$C$2:$C1000,"Prepared",'主表 Stock_Transaction_Log'!$L$2:$L1000,$B814,'主表 Stock_Transaction_Log'!$F$2:$F1000,$C814,'主表 Stock_Transaction_Log'!$G$2:$G1000,$D814,'主表 Stock_Transaction_Log'!$P$2:$P1000,$L814)))</f>
        <v/>
      </c>
    </row>
    <row r="815">
      <c r="A815" s="173" t="str">
        <f>IF('主表 Stock_Transaction_Log'!$T815="","",IF(COUNTIF('主表 Stock_Transaction_Log'!$T$2:$T815,'主表 Stock_Transaction_Log'!$T815)=1,ROW('主表 Stock_Transaction_Log'!$T815),""))</f>
        <v/>
      </c>
      <c r="B815" s="173" t="str">
        <f t="array" ref="B815">IF($A815="","",INDEX('主表 Stock_Transaction_Log'!$Q:$Q,$A815))</f>
        <v/>
      </c>
      <c r="C815" s="173" t="str">
        <f t="array" ref="C815">IF($A815="","",IF(INDEX('主表 Stock_Transaction_Log'!$F:$F,$A815)=0,"",INDEX('主表 Stock_Transaction_Log'!$F:$F,$A815)))</f>
        <v/>
      </c>
      <c r="D815" s="173" t="str">
        <f t="array" ref="D815">IF($A815="","",INDEX('主表 Stock_Transaction_Log'!$G:$G,$A815))</f>
        <v/>
      </c>
      <c r="E815" s="173" t="str">
        <f t="array" ref="E815">IF($A815="","",INDEX('主表 Stock_Transaction_Log'!$H:$H,$A815))</f>
        <v/>
      </c>
      <c r="F815" s="173" t="str">
        <f t="array" ref="F815">IF($A815="","",INDEX('主表 Stock_Transaction_Log'!$I:$I,$A815))</f>
        <v/>
      </c>
      <c r="G815" s="173" t="str">
        <f t="array" ref="G815">IF($A815="","",IF(INDEX('主表 Stock_Transaction_Log'!$R:$R,$A815)=0,"",INDEX('主表 Stock_Transaction_Log'!$R:$R,$A815)))</f>
        <v/>
      </c>
      <c r="H815" s="173" t="str">
        <f t="array" ref="H815">IF($A815="","",SUMIF('主表 Stock_Transaction_Log'!$T:$T,INDEX('主表 Stock_Transaction_Log'!$T:$T,$A815),'主表 Stock_Transaction_Log'!$S:$S)+SUMIF('主表 Stock_Transaction_Log'!$AB:$AB,INDEX('主表 Stock_Transaction_Log'!$T:$T,$A815),'主表 Stock_Transaction_Log'!$AC:$AC))</f>
        <v/>
      </c>
      <c r="I815" s="173" t="str">
        <f t="shared" si="1"/>
        <v/>
      </c>
      <c r="J815" s="173" t="str">
        <f t="shared" si="2"/>
        <v/>
      </c>
      <c r="K815" s="173" t="str">
        <f t="shared" si="3"/>
        <v/>
      </c>
      <c r="L815" s="173" t="str">
        <f t="array" ref="L815">IF($A815="","",INDEX('主表 Stock_Transaction_Log'!$P:$P,$A815))</f>
        <v/>
      </c>
      <c r="M815" s="174" t="str">
        <f>IF($A815="","",IF($H815&lt;=0,0,SUMIFS('主表 Stock_Transaction_Log'!$K$2:$K1000,'主表 Stock_Transaction_Log'!$C$2:$C1000,"Prepared",'主表 Stock_Transaction_Log'!$L$2:$L1000,$B815,'主表 Stock_Transaction_Log'!$F$2:$F1000,$C815,'主表 Stock_Transaction_Log'!$G$2:$G1000,$D815,'主表 Stock_Transaction_Log'!$P$2:$P1000,$L815)))</f>
        <v/>
      </c>
    </row>
    <row r="816">
      <c r="A816" s="173" t="str">
        <f>IF('主表 Stock_Transaction_Log'!$T816="","",IF(COUNTIF('主表 Stock_Transaction_Log'!$T$2:$T816,'主表 Stock_Transaction_Log'!$T816)=1,ROW('主表 Stock_Transaction_Log'!$T816),""))</f>
        <v/>
      </c>
      <c r="B816" s="173" t="str">
        <f t="array" ref="B816">IF($A816="","",INDEX('主表 Stock_Transaction_Log'!$Q:$Q,$A816))</f>
        <v/>
      </c>
      <c r="C816" s="173" t="str">
        <f t="array" ref="C816">IF($A816="","",IF(INDEX('主表 Stock_Transaction_Log'!$F:$F,$A816)=0,"",INDEX('主表 Stock_Transaction_Log'!$F:$F,$A816)))</f>
        <v/>
      </c>
      <c r="D816" s="173" t="str">
        <f t="array" ref="D816">IF($A816="","",INDEX('主表 Stock_Transaction_Log'!$G:$G,$A816))</f>
        <v/>
      </c>
      <c r="E816" s="173" t="str">
        <f t="array" ref="E816">IF($A816="","",INDEX('主表 Stock_Transaction_Log'!$H:$H,$A816))</f>
        <v/>
      </c>
      <c r="F816" s="173" t="str">
        <f t="array" ref="F816">IF($A816="","",INDEX('主表 Stock_Transaction_Log'!$I:$I,$A816))</f>
        <v/>
      </c>
      <c r="G816" s="173" t="str">
        <f t="array" ref="G816">IF($A816="","",IF(INDEX('主表 Stock_Transaction_Log'!$R:$R,$A816)=0,"",INDEX('主表 Stock_Transaction_Log'!$R:$R,$A816)))</f>
        <v/>
      </c>
      <c r="H816" s="173" t="str">
        <f t="array" ref="H816">IF($A816="","",SUMIF('主表 Stock_Transaction_Log'!$T:$T,INDEX('主表 Stock_Transaction_Log'!$T:$T,$A816),'主表 Stock_Transaction_Log'!$S:$S)+SUMIF('主表 Stock_Transaction_Log'!$AB:$AB,INDEX('主表 Stock_Transaction_Log'!$T:$T,$A816),'主表 Stock_Transaction_Log'!$AC:$AC))</f>
        <v/>
      </c>
      <c r="I816" s="173" t="str">
        <f t="shared" si="1"/>
        <v/>
      </c>
      <c r="J816" s="173" t="str">
        <f t="shared" si="2"/>
        <v/>
      </c>
      <c r="K816" s="173" t="str">
        <f t="shared" si="3"/>
        <v/>
      </c>
      <c r="L816" s="173" t="str">
        <f t="array" ref="L816">IF($A816="","",INDEX('主表 Stock_Transaction_Log'!$P:$P,$A816))</f>
        <v/>
      </c>
      <c r="M816" s="174" t="str">
        <f>IF($A816="","",IF($H816&lt;=0,0,SUMIFS('主表 Stock_Transaction_Log'!$K$2:$K1000,'主表 Stock_Transaction_Log'!$C$2:$C1000,"Prepared",'主表 Stock_Transaction_Log'!$L$2:$L1000,$B816,'主表 Stock_Transaction_Log'!$F$2:$F1000,$C816,'主表 Stock_Transaction_Log'!$G$2:$G1000,$D816,'主表 Stock_Transaction_Log'!$P$2:$P1000,$L816)))</f>
        <v/>
      </c>
    </row>
    <row r="817">
      <c r="A817" s="173" t="str">
        <f>IF('主表 Stock_Transaction_Log'!$T817="","",IF(COUNTIF('主表 Stock_Transaction_Log'!$T$2:$T817,'主表 Stock_Transaction_Log'!$T817)=1,ROW('主表 Stock_Transaction_Log'!$T817),""))</f>
        <v/>
      </c>
      <c r="B817" s="173" t="str">
        <f t="array" ref="B817">IF($A817="","",INDEX('主表 Stock_Transaction_Log'!$Q:$Q,$A817))</f>
        <v/>
      </c>
      <c r="C817" s="173" t="str">
        <f t="array" ref="C817">IF($A817="","",IF(INDEX('主表 Stock_Transaction_Log'!$F:$F,$A817)=0,"",INDEX('主表 Stock_Transaction_Log'!$F:$F,$A817)))</f>
        <v/>
      </c>
      <c r="D817" s="173" t="str">
        <f t="array" ref="D817">IF($A817="","",INDEX('主表 Stock_Transaction_Log'!$G:$G,$A817))</f>
        <v/>
      </c>
      <c r="E817" s="173" t="str">
        <f t="array" ref="E817">IF($A817="","",INDEX('主表 Stock_Transaction_Log'!$H:$H,$A817))</f>
        <v/>
      </c>
      <c r="F817" s="173" t="str">
        <f t="array" ref="F817">IF($A817="","",INDEX('主表 Stock_Transaction_Log'!$I:$I,$A817))</f>
        <v/>
      </c>
      <c r="G817" s="173" t="str">
        <f t="array" ref="G817">IF($A817="","",IF(INDEX('主表 Stock_Transaction_Log'!$R:$R,$A817)=0,"",INDEX('主表 Stock_Transaction_Log'!$R:$R,$A817)))</f>
        <v/>
      </c>
      <c r="H817" s="173" t="str">
        <f t="array" ref="H817">IF($A817="","",SUMIF('主表 Stock_Transaction_Log'!$T:$T,INDEX('主表 Stock_Transaction_Log'!$T:$T,$A817),'主表 Stock_Transaction_Log'!$S:$S)+SUMIF('主表 Stock_Transaction_Log'!$AB:$AB,INDEX('主表 Stock_Transaction_Log'!$T:$T,$A817),'主表 Stock_Transaction_Log'!$AC:$AC))</f>
        <v/>
      </c>
      <c r="I817" s="173" t="str">
        <f t="shared" si="1"/>
        <v/>
      </c>
      <c r="J817" s="173" t="str">
        <f t="shared" si="2"/>
        <v/>
      </c>
      <c r="K817" s="173" t="str">
        <f t="shared" si="3"/>
        <v/>
      </c>
      <c r="L817" s="173" t="str">
        <f t="array" ref="L817">IF($A817="","",INDEX('主表 Stock_Transaction_Log'!$P:$P,$A817))</f>
        <v/>
      </c>
      <c r="M817" s="174" t="str">
        <f>IF($A817="","",IF($H817&lt;=0,0,SUMIFS('主表 Stock_Transaction_Log'!$K$2:$K1000,'主表 Stock_Transaction_Log'!$C$2:$C1000,"Prepared",'主表 Stock_Transaction_Log'!$L$2:$L1000,$B817,'主表 Stock_Transaction_Log'!$F$2:$F1000,$C817,'主表 Stock_Transaction_Log'!$G$2:$G1000,$D817,'主表 Stock_Transaction_Log'!$P$2:$P1000,$L817)))</f>
        <v/>
      </c>
    </row>
    <row r="818">
      <c r="A818" s="173" t="str">
        <f>IF('主表 Stock_Transaction_Log'!$T818="","",IF(COUNTIF('主表 Stock_Transaction_Log'!$T$2:$T818,'主表 Stock_Transaction_Log'!$T818)=1,ROW('主表 Stock_Transaction_Log'!$T818),""))</f>
        <v/>
      </c>
      <c r="B818" s="173" t="str">
        <f t="array" ref="B818">IF($A818="","",INDEX('主表 Stock_Transaction_Log'!$Q:$Q,$A818))</f>
        <v/>
      </c>
      <c r="C818" s="173" t="str">
        <f t="array" ref="C818">IF($A818="","",IF(INDEX('主表 Stock_Transaction_Log'!$F:$F,$A818)=0,"",INDEX('主表 Stock_Transaction_Log'!$F:$F,$A818)))</f>
        <v/>
      </c>
      <c r="D818" s="173" t="str">
        <f t="array" ref="D818">IF($A818="","",INDEX('主表 Stock_Transaction_Log'!$G:$G,$A818))</f>
        <v/>
      </c>
      <c r="E818" s="173" t="str">
        <f t="array" ref="E818">IF($A818="","",INDEX('主表 Stock_Transaction_Log'!$H:$H,$A818))</f>
        <v/>
      </c>
      <c r="F818" s="173" t="str">
        <f t="array" ref="F818">IF($A818="","",INDEX('主表 Stock_Transaction_Log'!$I:$I,$A818))</f>
        <v/>
      </c>
      <c r="G818" s="173" t="str">
        <f t="array" ref="G818">IF($A818="","",IF(INDEX('主表 Stock_Transaction_Log'!$R:$R,$A818)=0,"",INDEX('主表 Stock_Transaction_Log'!$R:$R,$A818)))</f>
        <v/>
      </c>
      <c r="H818" s="173" t="str">
        <f t="array" ref="H818">IF($A818="","",SUMIF('主表 Stock_Transaction_Log'!$T:$T,INDEX('主表 Stock_Transaction_Log'!$T:$T,$A818),'主表 Stock_Transaction_Log'!$S:$S)+SUMIF('主表 Stock_Transaction_Log'!$AB:$AB,INDEX('主表 Stock_Transaction_Log'!$T:$T,$A818),'主表 Stock_Transaction_Log'!$AC:$AC))</f>
        <v/>
      </c>
      <c r="I818" s="173" t="str">
        <f t="shared" si="1"/>
        <v/>
      </c>
      <c r="J818" s="173" t="str">
        <f t="shared" si="2"/>
        <v/>
      </c>
      <c r="K818" s="173" t="str">
        <f t="shared" si="3"/>
        <v/>
      </c>
      <c r="L818" s="173" t="str">
        <f t="array" ref="L818">IF($A818="","",INDEX('主表 Stock_Transaction_Log'!$P:$P,$A818))</f>
        <v/>
      </c>
      <c r="M818" s="174" t="str">
        <f>IF($A818="","",IF($H818&lt;=0,0,SUMIFS('主表 Stock_Transaction_Log'!$K$2:$K1000,'主表 Stock_Transaction_Log'!$C$2:$C1000,"Prepared",'主表 Stock_Transaction_Log'!$L$2:$L1000,$B818,'主表 Stock_Transaction_Log'!$F$2:$F1000,$C818,'主表 Stock_Transaction_Log'!$G$2:$G1000,$D818,'主表 Stock_Transaction_Log'!$P$2:$P1000,$L818)))</f>
        <v/>
      </c>
    </row>
    <row r="819">
      <c r="A819" s="173" t="str">
        <f>IF('主表 Stock_Transaction_Log'!$T819="","",IF(COUNTIF('主表 Stock_Transaction_Log'!$T$2:$T819,'主表 Stock_Transaction_Log'!$T819)=1,ROW('主表 Stock_Transaction_Log'!$T819),""))</f>
        <v/>
      </c>
      <c r="B819" s="173" t="str">
        <f t="array" ref="B819">IF($A819="","",INDEX('主表 Stock_Transaction_Log'!$Q:$Q,$A819))</f>
        <v/>
      </c>
      <c r="C819" s="173" t="str">
        <f t="array" ref="C819">IF($A819="","",IF(INDEX('主表 Stock_Transaction_Log'!$F:$F,$A819)=0,"",INDEX('主表 Stock_Transaction_Log'!$F:$F,$A819)))</f>
        <v/>
      </c>
      <c r="D819" s="173" t="str">
        <f t="array" ref="D819">IF($A819="","",INDEX('主表 Stock_Transaction_Log'!$G:$G,$A819))</f>
        <v/>
      </c>
      <c r="E819" s="173" t="str">
        <f t="array" ref="E819">IF($A819="","",INDEX('主表 Stock_Transaction_Log'!$H:$H,$A819))</f>
        <v/>
      </c>
      <c r="F819" s="173" t="str">
        <f t="array" ref="F819">IF($A819="","",INDEX('主表 Stock_Transaction_Log'!$I:$I,$A819))</f>
        <v/>
      </c>
      <c r="G819" s="173" t="str">
        <f t="array" ref="G819">IF($A819="","",IF(INDEX('主表 Stock_Transaction_Log'!$R:$R,$A819)=0,"",INDEX('主表 Stock_Transaction_Log'!$R:$R,$A819)))</f>
        <v/>
      </c>
      <c r="H819" s="173" t="str">
        <f t="array" ref="H819">IF($A819="","",SUMIF('主表 Stock_Transaction_Log'!$T:$T,INDEX('主表 Stock_Transaction_Log'!$T:$T,$A819),'主表 Stock_Transaction_Log'!$S:$S)+SUMIF('主表 Stock_Transaction_Log'!$AB:$AB,INDEX('主表 Stock_Transaction_Log'!$T:$T,$A819),'主表 Stock_Transaction_Log'!$AC:$AC))</f>
        <v/>
      </c>
      <c r="I819" s="173" t="str">
        <f t="shared" si="1"/>
        <v/>
      </c>
      <c r="J819" s="173" t="str">
        <f t="shared" si="2"/>
        <v/>
      </c>
      <c r="K819" s="173" t="str">
        <f t="shared" si="3"/>
        <v/>
      </c>
      <c r="L819" s="173" t="str">
        <f t="array" ref="L819">IF($A819="","",INDEX('主表 Stock_Transaction_Log'!$P:$P,$A819))</f>
        <v/>
      </c>
      <c r="M819" s="174" t="str">
        <f>IF($A819="","",IF($H819&lt;=0,0,SUMIFS('主表 Stock_Transaction_Log'!$K$2:$K1000,'主表 Stock_Transaction_Log'!$C$2:$C1000,"Prepared",'主表 Stock_Transaction_Log'!$L$2:$L1000,$B819,'主表 Stock_Transaction_Log'!$F$2:$F1000,$C819,'主表 Stock_Transaction_Log'!$G$2:$G1000,$D819,'主表 Stock_Transaction_Log'!$P$2:$P1000,$L819)))</f>
        <v/>
      </c>
    </row>
    <row r="820">
      <c r="A820" s="173" t="str">
        <f>IF('主表 Stock_Transaction_Log'!$T820="","",IF(COUNTIF('主表 Stock_Transaction_Log'!$T$2:$T820,'主表 Stock_Transaction_Log'!$T820)=1,ROW('主表 Stock_Transaction_Log'!$T820),""))</f>
        <v/>
      </c>
      <c r="B820" s="173" t="str">
        <f t="array" ref="B820">IF($A820="","",INDEX('主表 Stock_Transaction_Log'!$Q:$Q,$A820))</f>
        <v/>
      </c>
      <c r="C820" s="173" t="str">
        <f t="array" ref="C820">IF($A820="","",IF(INDEX('主表 Stock_Transaction_Log'!$F:$F,$A820)=0,"",INDEX('主表 Stock_Transaction_Log'!$F:$F,$A820)))</f>
        <v/>
      </c>
      <c r="D820" s="173" t="str">
        <f t="array" ref="D820">IF($A820="","",INDEX('主表 Stock_Transaction_Log'!$G:$G,$A820))</f>
        <v/>
      </c>
      <c r="E820" s="173" t="str">
        <f t="array" ref="E820">IF($A820="","",INDEX('主表 Stock_Transaction_Log'!$H:$H,$A820))</f>
        <v/>
      </c>
      <c r="F820" s="173" t="str">
        <f t="array" ref="F820">IF($A820="","",INDEX('主表 Stock_Transaction_Log'!$I:$I,$A820))</f>
        <v/>
      </c>
      <c r="G820" s="173" t="str">
        <f t="array" ref="G820">IF($A820="","",IF(INDEX('主表 Stock_Transaction_Log'!$R:$R,$A820)=0,"",INDEX('主表 Stock_Transaction_Log'!$R:$R,$A820)))</f>
        <v/>
      </c>
      <c r="H820" s="173" t="str">
        <f t="array" ref="H820">IF($A820="","",SUMIF('主表 Stock_Transaction_Log'!$T:$T,INDEX('主表 Stock_Transaction_Log'!$T:$T,$A820),'主表 Stock_Transaction_Log'!$S:$S)+SUMIF('主表 Stock_Transaction_Log'!$AB:$AB,INDEX('主表 Stock_Transaction_Log'!$T:$T,$A820),'主表 Stock_Transaction_Log'!$AC:$AC))</f>
        <v/>
      </c>
      <c r="I820" s="173" t="str">
        <f t="shared" si="1"/>
        <v/>
      </c>
      <c r="J820" s="173" t="str">
        <f t="shared" si="2"/>
        <v/>
      </c>
      <c r="K820" s="173" t="str">
        <f t="shared" si="3"/>
        <v/>
      </c>
      <c r="L820" s="173" t="str">
        <f t="array" ref="L820">IF($A820="","",INDEX('主表 Stock_Transaction_Log'!$P:$P,$A820))</f>
        <v/>
      </c>
      <c r="M820" s="174" t="str">
        <f>IF($A820="","",IF($H820&lt;=0,0,SUMIFS('主表 Stock_Transaction_Log'!$K$2:$K1000,'主表 Stock_Transaction_Log'!$C$2:$C1000,"Prepared",'主表 Stock_Transaction_Log'!$L$2:$L1000,$B820,'主表 Stock_Transaction_Log'!$F$2:$F1000,$C820,'主表 Stock_Transaction_Log'!$G$2:$G1000,$D820,'主表 Stock_Transaction_Log'!$P$2:$P1000,$L820)))</f>
        <v/>
      </c>
    </row>
    <row r="821">
      <c r="A821" s="173" t="str">
        <f>IF('主表 Stock_Transaction_Log'!$T821="","",IF(COUNTIF('主表 Stock_Transaction_Log'!$T$2:$T821,'主表 Stock_Transaction_Log'!$T821)=1,ROW('主表 Stock_Transaction_Log'!$T821),""))</f>
        <v/>
      </c>
      <c r="B821" s="173" t="str">
        <f t="array" ref="B821">IF($A821="","",INDEX('主表 Stock_Transaction_Log'!$Q:$Q,$A821))</f>
        <v/>
      </c>
      <c r="C821" s="173" t="str">
        <f t="array" ref="C821">IF($A821="","",IF(INDEX('主表 Stock_Transaction_Log'!$F:$F,$A821)=0,"",INDEX('主表 Stock_Transaction_Log'!$F:$F,$A821)))</f>
        <v/>
      </c>
      <c r="D821" s="173" t="str">
        <f t="array" ref="D821">IF($A821="","",INDEX('主表 Stock_Transaction_Log'!$G:$G,$A821))</f>
        <v/>
      </c>
      <c r="E821" s="173" t="str">
        <f t="array" ref="E821">IF($A821="","",INDEX('主表 Stock_Transaction_Log'!$H:$H,$A821))</f>
        <v/>
      </c>
      <c r="F821" s="173" t="str">
        <f t="array" ref="F821">IF($A821="","",INDEX('主表 Stock_Transaction_Log'!$I:$I,$A821))</f>
        <v/>
      </c>
      <c r="G821" s="173" t="str">
        <f t="array" ref="G821">IF($A821="","",IF(INDEX('主表 Stock_Transaction_Log'!$R:$R,$A821)=0,"",INDEX('主表 Stock_Transaction_Log'!$R:$R,$A821)))</f>
        <v/>
      </c>
      <c r="H821" s="173" t="str">
        <f t="array" ref="H821">IF($A821="","",SUMIF('主表 Stock_Transaction_Log'!$T:$T,INDEX('主表 Stock_Transaction_Log'!$T:$T,$A821),'主表 Stock_Transaction_Log'!$S:$S)+SUMIF('主表 Stock_Transaction_Log'!$AB:$AB,INDEX('主表 Stock_Transaction_Log'!$T:$T,$A821),'主表 Stock_Transaction_Log'!$AC:$AC))</f>
        <v/>
      </c>
      <c r="I821" s="173" t="str">
        <f t="shared" si="1"/>
        <v/>
      </c>
      <c r="J821" s="173" t="str">
        <f t="shared" si="2"/>
        <v/>
      </c>
      <c r="K821" s="173" t="str">
        <f t="shared" si="3"/>
        <v/>
      </c>
      <c r="L821" s="173" t="str">
        <f t="array" ref="L821">IF($A821="","",INDEX('主表 Stock_Transaction_Log'!$P:$P,$A821))</f>
        <v/>
      </c>
      <c r="M821" s="174" t="str">
        <f>IF($A821="","",IF($H821&lt;=0,0,SUMIFS('主表 Stock_Transaction_Log'!$K$2:$K1000,'主表 Stock_Transaction_Log'!$C$2:$C1000,"Prepared",'主表 Stock_Transaction_Log'!$L$2:$L1000,$B821,'主表 Stock_Transaction_Log'!$F$2:$F1000,$C821,'主表 Stock_Transaction_Log'!$G$2:$G1000,$D821,'主表 Stock_Transaction_Log'!$P$2:$P1000,$L821)))</f>
        <v/>
      </c>
    </row>
    <row r="822">
      <c r="A822" s="173" t="str">
        <f>IF('主表 Stock_Transaction_Log'!$T822="","",IF(COUNTIF('主表 Stock_Transaction_Log'!$T$2:$T822,'主表 Stock_Transaction_Log'!$T822)=1,ROW('主表 Stock_Transaction_Log'!$T822),""))</f>
        <v/>
      </c>
      <c r="B822" s="173" t="str">
        <f t="array" ref="B822">IF($A822="","",INDEX('主表 Stock_Transaction_Log'!$Q:$Q,$A822))</f>
        <v/>
      </c>
      <c r="C822" s="173" t="str">
        <f t="array" ref="C822">IF($A822="","",IF(INDEX('主表 Stock_Transaction_Log'!$F:$F,$A822)=0,"",INDEX('主表 Stock_Transaction_Log'!$F:$F,$A822)))</f>
        <v/>
      </c>
      <c r="D822" s="173" t="str">
        <f t="array" ref="D822">IF($A822="","",INDEX('主表 Stock_Transaction_Log'!$G:$G,$A822))</f>
        <v/>
      </c>
      <c r="E822" s="173" t="str">
        <f t="array" ref="E822">IF($A822="","",INDEX('主表 Stock_Transaction_Log'!$H:$H,$A822))</f>
        <v/>
      </c>
      <c r="F822" s="173" t="str">
        <f t="array" ref="F822">IF($A822="","",INDEX('主表 Stock_Transaction_Log'!$I:$I,$A822))</f>
        <v/>
      </c>
      <c r="G822" s="173" t="str">
        <f t="array" ref="G822">IF($A822="","",IF(INDEX('主表 Stock_Transaction_Log'!$R:$R,$A822)=0,"",INDEX('主表 Stock_Transaction_Log'!$R:$R,$A822)))</f>
        <v/>
      </c>
      <c r="H822" s="173" t="str">
        <f t="array" ref="H822">IF($A822="","",SUMIF('主表 Stock_Transaction_Log'!$T:$T,INDEX('主表 Stock_Transaction_Log'!$T:$T,$A822),'主表 Stock_Transaction_Log'!$S:$S)+SUMIF('主表 Stock_Transaction_Log'!$AB:$AB,INDEX('主表 Stock_Transaction_Log'!$T:$T,$A822),'主表 Stock_Transaction_Log'!$AC:$AC))</f>
        <v/>
      </c>
      <c r="I822" s="173" t="str">
        <f t="shared" si="1"/>
        <v/>
      </c>
      <c r="J822" s="173" t="str">
        <f t="shared" si="2"/>
        <v/>
      </c>
      <c r="K822" s="173" t="str">
        <f t="shared" si="3"/>
        <v/>
      </c>
      <c r="L822" s="173" t="str">
        <f t="array" ref="L822">IF($A822="","",INDEX('主表 Stock_Transaction_Log'!$P:$P,$A822))</f>
        <v/>
      </c>
      <c r="M822" s="174" t="str">
        <f>IF($A822="","",IF($H822&lt;=0,0,SUMIFS('主表 Stock_Transaction_Log'!$K$2:$K1000,'主表 Stock_Transaction_Log'!$C$2:$C1000,"Prepared",'主表 Stock_Transaction_Log'!$L$2:$L1000,$B822,'主表 Stock_Transaction_Log'!$F$2:$F1000,$C822,'主表 Stock_Transaction_Log'!$G$2:$G1000,$D822,'主表 Stock_Transaction_Log'!$P$2:$P1000,$L822)))</f>
        <v/>
      </c>
    </row>
    <row r="823">
      <c r="A823" s="173" t="str">
        <f>IF('主表 Stock_Transaction_Log'!$T823="","",IF(COUNTIF('主表 Stock_Transaction_Log'!$T$2:$T823,'主表 Stock_Transaction_Log'!$T823)=1,ROW('主表 Stock_Transaction_Log'!$T823),""))</f>
        <v/>
      </c>
      <c r="B823" s="173" t="str">
        <f t="array" ref="B823">IF($A823="","",INDEX('主表 Stock_Transaction_Log'!$Q:$Q,$A823))</f>
        <v/>
      </c>
      <c r="C823" s="173" t="str">
        <f t="array" ref="C823">IF($A823="","",IF(INDEX('主表 Stock_Transaction_Log'!$F:$F,$A823)=0,"",INDEX('主表 Stock_Transaction_Log'!$F:$F,$A823)))</f>
        <v/>
      </c>
      <c r="D823" s="173" t="str">
        <f t="array" ref="D823">IF($A823="","",INDEX('主表 Stock_Transaction_Log'!$G:$G,$A823))</f>
        <v/>
      </c>
      <c r="E823" s="173" t="str">
        <f t="array" ref="E823">IF($A823="","",INDEX('主表 Stock_Transaction_Log'!$H:$H,$A823))</f>
        <v/>
      </c>
      <c r="F823" s="173" t="str">
        <f t="array" ref="F823">IF($A823="","",INDEX('主表 Stock_Transaction_Log'!$I:$I,$A823))</f>
        <v/>
      </c>
      <c r="G823" s="173" t="str">
        <f t="array" ref="G823">IF($A823="","",IF(INDEX('主表 Stock_Transaction_Log'!$R:$R,$A823)=0,"",INDEX('主表 Stock_Transaction_Log'!$R:$R,$A823)))</f>
        <v/>
      </c>
      <c r="H823" s="173" t="str">
        <f t="array" ref="H823">IF($A823="","",SUMIF('主表 Stock_Transaction_Log'!$T:$T,INDEX('主表 Stock_Transaction_Log'!$T:$T,$A823),'主表 Stock_Transaction_Log'!$S:$S)+SUMIF('主表 Stock_Transaction_Log'!$AB:$AB,INDEX('主表 Stock_Transaction_Log'!$T:$T,$A823),'主表 Stock_Transaction_Log'!$AC:$AC))</f>
        <v/>
      </c>
      <c r="I823" s="173" t="str">
        <f t="shared" si="1"/>
        <v/>
      </c>
      <c r="J823" s="173" t="str">
        <f t="shared" si="2"/>
        <v/>
      </c>
      <c r="K823" s="173" t="str">
        <f t="shared" si="3"/>
        <v/>
      </c>
      <c r="L823" s="173" t="str">
        <f t="array" ref="L823">IF($A823="","",INDEX('主表 Stock_Transaction_Log'!$P:$P,$A823))</f>
        <v/>
      </c>
      <c r="M823" s="174" t="str">
        <f>IF($A823="","",IF($H823&lt;=0,0,SUMIFS('主表 Stock_Transaction_Log'!$K$2:$K1000,'主表 Stock_Transaction_Log'!$C$2:$C1000,"Prepared",'主表 Stock_Transaction_Log'!$L$2:$L1000,$B823,'主表 Stock_Transaction_Log'!$F$2:$F1000,$C823,'主表 Stock_Transaction_Log'!$G$2:$G1000,$D823,'主表 Stock_Transaction_Log'!$P$2:$P1000,$L823)))</f>
        <v/>
      </c>
    </row>
    <row r="824">
      <c r="A824" s="173" t="str">
        <f>IF('主表 Stock_Transaction_Log'!$T824="","",IF(COUNTIF('主表 Stock_Transaction_Log'!$T$2:$T824,'主表 Stock_Transaction_Log'!$T824)=1,ROW('主表 Stock_Transaction_Log'!$T824),""))</f>
        <v/>
      </c>
      <c r="B824" s="173" t="str">
        <f t="array" ref="B824">IF($A824="","",INDEX('主表 Stock_Transaction_Log'!$Q:$Q,$A824))</f>
        <v/>
      </c>
      <c r="C824" s="173" t="str">
        <f t="array" ref="C824">IF($A824="","",IF(INDEX('主表 Stock_Transaction_Log'!$F:$F,$A824)=0,"",INDEX('主表 Stock_Transaction_Log'!$F:$F,$A824)))</f>
        <v/>
      </c>
      <c r="D824" s="173" t="str">
        <f t="array" ref="D824">IF($A824="","",INDEX('主表 Stock_Transaction_Log'!$G:$G,$A824))</f>
        <v/>
      </c>
      <c r="E824" s="173" t="str">
        <f t="array" ref="E824">IF($A824="","",INDEX('主表 Stock_Transaction_Log'!$H:$H,$A824))</f>
        <v/>
      </c>
      <c r="F824" s="173" t="str">
        <f t="array" ref="F824">IF($A824="","",INDEX('主表 Stock_Transaction_Log'!$I:$I,$A824))</f>
        <v/>
      </c>
      <c r="G824" s="173" t="str">
        <f t="array" ref="G824">IF($A824="","",IF(INDEX('主表 Stock_Transaction_Log'!$R:$R,$A824)=0,"",INDEX('主表 Stock_Transaction_Log'!$R:$R,$A824)))</f>
        <v/>
      </c>
      <c r="H824" s="173" t="str">
        <f t="array" ref="H824">IF($A824="","",SUMIF('主表 Stock_Transaction_Log'!$T:$T,INDEX('主表 Stock_Transaction_Log'!$T:$T,$A824),'主表 Stock_Transaction_Log'!$S:$S)+SUMIF('主表 Stock_Transaction_Log'!$AB:$AB,INDEX('主表 Stock_Transaction_Log'!$T:$T,$A824),'主表 Stock_Transaction_Log'!$AC:$AC))</f>
        <v/>
      </c>
      <c r="I824" s="173" t="str">
        <f t="shared" si="1"/>
        <v/>
      </c>
      <c r="J824" s="173" t="str">
        <f t="shared" si="2"/>
        <v/>
      </c>
      <c r="K824" s="173" t="str">
        <f t="shared" si="3"/>
        <v/>
      </c>
      <c r="L824" s="173" t="str">
        <f t="array" ref="L824">IF($A824="","",INDEX('主表 Stock_Transaction_Log'!$P:$P,$A824))</f>
        <v/>
      </c>
      <c r="M824" s="174" t="str">
        <f>IF($A824="","",IF($H824&lt;=0,0,SUMIFS('主表 Stock_Transaction_Log'!$K$2:$K1000,'主表 Stock_Transaction_Log'!$C$2:$C1000,"Prepared",'主表 Stock_Transaction_Log'!$L$2:$L1000,$B824,'主表 Stock_Transaction_Log'!$F$2:$F1000,$C824,'主表 Stock_Transaction_Log'!$G$2:$G1000,$D824,'主表 Stock_Transaction_Log'!$P$2:$P1000,$L824)))</f>
        <v/>
      </c>
    </row>
    <row r="825">
      <c r="A825" s="173" t="str">
        <f>IF('主表 Stock_Transaction_Log'!$T825="","",IF(COUNTIF('主表 Stock_Transaction_Log'!$T$2:$T825,'主表 Stock_Transaction_Log'!$T825)=1,ROW('主表 Stock_Transaction_Log'!$T825),""))</f>
        <v/>
      </c>
      <c r="B825" s="173" t="str">
        <f t="array" ref="B825">IF($A825="","",INDEX('主表 Stock_Transaction_Log'!$Q:$Q,$A825))</f>
        <v/>
      </c>
      <c r="C825" s="173" t="str">
        <f t="array" ref="C825">IF($A825="","",IF(INDEX('主表 Stock_Transaction_Log'!$F:$F,$A825)=0,"",INDEX('主表 Stock_Transaction_Log'!$F:$F,$A825)))</f>
        <v/>
      </c>
      <c r="D825" s="173" t="str">
        <f t="array" ref="D825">IF($A825="","",INDEX('主表 Stock_Transaction_Log'!$G:$G,$A825))</f>
        <v/>
      </c>
      <c r="E825" s="173" t="str">
        <f t="array" ref="E825">IF($A825="","",INDEX('主表 Stock_Transaction_Log'!$H:$H,$A825))</f>
        <v/>
      </c>
      <c r="F825" s="173" t="str">
        <f t="array" ref="F825">IF($A825="","",INDEX('主表 Stock_Transaction_Log'!$I:$I,$A825))</f>
        <v/>
      </c>
      <c r="G825" s="173" t="str">
        <f t="array" ref="G825">IF($A825="","",IF(INDEX('主表 Stock_Transaction_Log'!$R:$R,$A825)=0,"",INDEX('主表 Stock_Transaction_Log'!$R:$R,$A825)))</f>
        <v/>
      </c>
      <c r="H825" s="173" t="str">
        <f t="array" ref="H825">IF($A825="","",SUMIF('主表 Stock_Transaction_Log'!$T:$T,INDEX('主表 Stock_Transaction_Log'!$T:$T,$A825),'主表 Stock_Transaction_Log'!$S:$S)+SUMIF('主表 Stock_Transaction_Log'!$AB:$AB,INDEX('主表 Stock_Transaction_Log'!$T:$T,$A825),'主表 Stock_Transaction_Log'!$AC:$AC))</f>
        <v/>
      </c>
      <c r="I825" s="173" t="str">
        <f t="shared" si="1"/>
        <v/>
      </c>
      <c r="J825" s="173" t="str">
        <f t="shared" si="2"/>
        <v/>
      </c>
      <c r="K825" s="173" t="str">
        <f t="shared" si="3"/>
        <v/>
      </c>
      <c r="L825" s="173" t="str">
        <f t="array" ref="L825">IF($A825="","",INDEX('主表 Stock_Transaction_Log'!$P:$P,$A825))</f>
        <v/>
      </c>
      <c r="M825" s="174" t="str">
        <f>IF($A825="","",IF($H825&lt;=0,0,SUMIFS('主表 Stock_Transaction_Log'!$K$2:$K1000,'主表 Stock_Transaction_Log'!$C$2:$C1000,"Prepared",'主表 Stock_Transaction_Log'!$L$2:$L1000,$B825,'主表 Stock_Transaction_Log'!$F$2:$F1000,$C825,'主表 Stock_Transaction_Log'!$G$2:$G1000,$D825,'主表 Stock_Transaction_Log'!$P$2:$P1000,$L825)))</f>
        <v/>
      </c>
    </row>
    <row r="826">
      <c r="A826" s="173" t="str">
        <f>IF('主表 Stock_Transaction_Log'!$T826="","",IF(COUNTIF('主表 Stock_Transaction_Log'!$T$2:$T826,'主表 Stock_Transaction_Log'!$T826)=1,ROW('主表 Stock_Transaction_Log'!$T826),""))</f>
        <v/>
      </c>
      <c r="B826" s="173" t="str">
        <f t="array" ref="B826">IF($A826="","",INDEX('主表 Stock_Transaction_Log'!$Q:$Q,$A826))</f>
        <v/>
      </c>
      <c r="C826" s="173" t="str">
        <f t="array" ref="C826">IF($A826="","",IF(INDEX('主表 Stock_Transaction_Log'!$F:$F,$A826)=0,"",INDEX('主表 Stock_Transaction_Log'!$F:$F,$A826)))</f>
        <v/>
      </c>
      <c r="D826" s="173" t="str">
        <f t="array" ref="D826">IF($A826="","",INDEX('主表 Stock_Transaction_Log'!$G:$G,$A826))</f>
        <v/>
      </c>
      <c r="E826" s="173" t="str">
        <f t="array" ref="E826">IF($A826="","",INDEX('主表 Stock_Transaction_Log'!$H:$H,$A826))</f>
        <v/>
      </c>
      <c r="F826" s="173" t="str">
        <f t="array" ref="F826">IF($A826="","",INDEX('主表 Stock_Transaction_Log'!$I:$I,$A826))</f>
        <v/>
      </c>
      <c r="G826" s="173" t="str">
        <f t="array" ref="G826">IF($A826="","",IF(INDEX('主表 Stock_Transaction_Log'!$R:$R,$A826)=0,"",INDEX('主表 Stock_Transaction_Log'!$R:$R,$A826)))</f>
        <v/>
      </c>
      <c r="H826" s="173" t="str">
        <f t="array" ref="H826">IF($A826="","",SUMIF('主表 Stock_Transaction_Log'!$T:$T,INDEX('主表 Stock_Transaction_Log'!$T:$T,$A826),'主表 Stock_Transaction_Log'!$S:$S)+SUMIF('主表 Stock_Transaction_Log'!$AB:$AB,INDEX('主表 Stock_Transaction_Log'!$T:$T,$A826),'主表 Stock_Transaction_Log'!$AC:$AC))</f>
        <v/>
      </c>
      <c r="I826" s="173" t="str">
        <f t="shared" si="1"/>
        <v/>
      </c>
      <c r="J826" s="173" t="str">
        <f t="shared" si="2"/>
        <v/>
      </c>
      <c r="K826" s="173" t="str">
        <f t="shared" si="3"/>
        <v/>
      </c>
      <c r="L826" s="173" t="str">
        <f t="array" ref="L826">IF($A826="","",INDEX('主表 Stock_Transaction_Log'!$P:$P,$A826))</f>
        <v/>
      </c>
      <c r="M826" s="174" t="str">
        <f>IF($A826="","",IF($H826&lt;=0,0,SUMIFS('主表 Stock_Transaction_Log'!$K$2:$K1000,'主表 Stock_Transaction_Log'!$C$2:$C1000,"Prepared",'主表 Stock_Transaction_Log'!$L$2:$L1000,$B826,'主表 Stock_Transaction_Log'!$F$2:$F1000,$C826,'主表 Stock_Transaction_Log'!$G$2:$G1000,$D826,'主表 Stock_Transaction_Log'!$P$2:$P1000,$L826)))</f>
        <v/>
      </c>
    </row>
    <row r="827">
      <c r="A827" s="173" t="str">
        <f>IF('主表 Stock_Transaction_Log'!$T827="","",IF(COUNTIF('主表 Stock_Transaction_Log'!$T$2:$T827,'主表 Stock_Transaction_Log'!$T827)=1,ROW('主表 Stock_Transaction_Log'!$T827),""))</f>
        <v/>
      </c>
      <c r="B827" s="173" t="str">
        <f t="array" ref="B827">IF($A827="","",INDEX('主表 Stock_Transaction_Log'!$Q:$Q,$A827))</f>
        <v/>
      </c>
      <c r="C827" s="173" t="str">
        <f t="array" ref="C827">IF($A827="","",IF(INDEX('主表 Stock_Transaction_Log'!$F:$F,$A827)=0,"",INDEX('主表 Stock_Transaction_Log'!$F:$F,$A827)))</f>
        <v/>
      </c>
      <c r="D827" s="173" t="str">
        <f t="array" ref="D827">IF($A827="","",INDEX('主表 Stock_Transaction_Log'!$G:$G,$A827))</f>
        <v/>
      </c>
      <c r="E827" s="173" t="str">
        <f t="array" ref="E827">IF($A827="","",INDEX('主表 Stock_Transaction_Log'!$H:$H,$A827))</f>
        <v/>
      </c>
      <c r="F827" s="173" t="str">
        <f t="array" ref="F827">IF($A827="","",INDEX('主表 Stock_Transaction_Log'!$I:$I,$A827))</f>
        <v/>
      </c>
      <c r="G827" s="173" t="str">
        <f t="array" ref="G827">IF($A827="","",IF(INDEX('主表 Stock_Transaction_Log'!$R:$R,$A827)=0,"",INDEX('主表 Stock_Transaction_Log'!$R:$R,$A827)))</f>
        <v/>
      </c>
      <c r="H827" s="173" t="str">
        <f t="array" ref="H827">IF($A827="","",SUMIF('主表 Stock_Transaction_Log'!$T:$T,INDEX('主表 Stock_Transaction_Log'!$T:$T,$A827),'主表 Stock_Transaction_Log'!$S:$S)+SUMIF('主表 Stock_Transaction_Log'!$AB:$AB,INDEX('主表 Stock_Transaction_Log'!$T:$T,$A827),'主表 Stock_Transaction_Log'!$AC:$AC))</f>
        <v/>
      </c>
      <c r="I827" s="173" t="str">
        <f t="shared" si="1"/>
        <v/>
      </c>
      <c r="J827" s="173" t="str">
        <f t="shared" si="2"/>
        <v/>
      </c>
      <c r="K827" s="173" t="str">
        <f t="shared" si="3"/>
        <v/>
      </c>
      <c r="L827" s="173" t="str">
        <f t="array" ref="L827">IF($A827="","",INDEX('主表 Stock_Transaction_Log'!$P:$P,$A827))</f>
        <v/>
      </c>
      <c r="M827" s="174" t="str">
        <f>IF($A827="","",IF($H827&lt;=0,0,SUMIFS('主表 Stock_Transaction_Log'!$K$2:$K1000,'主表 Stock_Transaction_Log'!$C$2:$C1000,"Prepared",'主表 Stock_Transaction_Log'!$L$2:$L1000,$B827,'主表 Stock_Transaction_Log'!$F$2:$F1000,$C827,'主表 Stock_Transaction_Log'!$G$2:$G1000,$D827,'主表 Stock_Transaction_Log'!$P$2:$P1000,$L827)))</f>
        <v/>
      </c>
    </row>
    <row r="828">
      <c r="A828" s="173" t="str">
        <f>IF('主表 Stock_Transaction_Log'!$T828="","",IF(COUNTIF('主表 Stock_Transaction_Log'!$T$2:$T828,'主表 Stock_Transaction_Log'!$T828)=1,ROW('主表 Stock_Transaction_Log'!$T828),""))</f>
        <v/>
      </c>
      <c r="B828" s="173" t="str">
        <f t="array" ref="B828">IF($A828="","",INDEX('主表 Stock_Transaction_Log'!$Q:$Q,$A828))</f>
        <v/>
      </c>
      <c r="C828" s="173" t="str">
        <f t="array" ref="C828">IF($A828="","",IF(INDEX('主表 Stock_Transaction_Log'!$F:$F,$A828)=0,"",INDEX('主表 Stock_Transaction_Log'!$F:$F,$A828)))</f>
        <v/>
      </c>
      <c r="D828" s="173" t="str">
        <f t="array" ref="D828">IF($A828="","",INDEX('主表 Stock_Transaction_Log'!$G:$G,$A828))</f>
        <v/>
      </c>
      <c r="E828" s="173" t="str">
        <f t="array" ref="E828">IF($A828="","",INDEX('主表 Stock_Transaction_Log'!$H:$H,$A828))</f>
        <v/>
      </c>
      <c r="F828" s="173" t="str">
        <f t="array" ref="F828">IF($A828="","",INDEX('主表 Stock_Transaction_Log'!$I:$I,$A828))</f>
        <v/>
      </c>
      <c r="G828" s="173" t="str">
        <f t="array" ref="G828">IF($A828="","",IF(INDEX('主表 Stock_Transaction_Log'!$R:$R,$A828)=0,"",INDEX('主表 Stock_Transaction_Log'!$R:$R,$A828)))</f>
        <v/>
      </c>
      <c r="H828" s="173" t="str">
        <f t="array" ref="H828">IF($A828="","",SUMIF('主表 Stock_Transaction_Log'!$T:$T,INDEX('主表 Stock_Transaction_Log'!$T:$T,$A828),'主表 Stock_Transaction_Log'!$S:$S)+SUMIF('主表 Stock_Transaction_Log'!$AB:$AB,INDEX('主表 Stock_Transaction_Log'!$T:$T,$A828),'主表 Stock_Transaction_Log'!$AC:$AC))</f>
        <v/>
      </c>
      <c r="I828" s="173" t="str">
        <f t="shared" si="1"/>
        <v/>
      </c>
      <c r="J828" s="173" t="str">
        <f t="shared" si="2"/>
        <v/>
      </c>
      <c r="K828" s="173" t="str">
        <f t="shared" si="3"/>
        <v/>
      </c>
      <c r="L828" s="173" t="str">
        <f t="array" ref="L828">IF($A828="","",INDEX('主表 Stock_Transaction_Log'!$P:$P,$A828))</f>
        <v/>
      </c>
      <c r="M828" s="174" t="str">
        <f>IF($A828="","",IF($H828&lt;=0,0,SUMIFS('主表 Stock_Transaction_Log'!$K$2:$K1000,'主表 Stock_Transaction_Log'!$C$2:$C1000,"Prepared",'主表 Stock_Transaction_Log'!$L$2:$L1000,$B828,'主表 Stock_Transaction_Log'!$F$2:$F1000,$C828,'主表 Stock_Transaction_Log'!$G$2:$G1000,$D828,'主表 Stock_Transaction_Log'!$P$2:$P1000,$L828)))</f>
        <v/>
      </c>
    </row>
    <row r="829">
      <c r="A829" s="173" t="str">
        <f>IF('主表 Stock_Transaction_Log'!$T829="","",IF(COUNTIF('主表 Stock_Transaction_Log'!$T$2:$T829,'主表 Stock_Transaction_Log'!$T829)=1,ROW('主表 Stock_Transaction_Log'!$T829),""))</f>
        <v/>
      </c>
      <c r="B829" s="173" t="str">
        <f t="array" ref="B829">IF($A829="","",INDEX('主表 Stock_Transaction_Log'!$Q:$Q,$A829))</f>
        <v/>
      </c>
      <c r="C829" s="173" t="str">
        <f t="array" ref="C829">IF($A829="","",IF(INDEX('主表 Stock_Transaction_Log'!$F:$F,$A829)=0,"",INDEX('主表 Stock_Transaction_Log'!$F:$F,$A829)))</f>
        <v/>
      </c>
      <c r="D829" s="173" t="str">
        <f t="array" ref="D829">IF($A829="","",INDEX('主表 Stock_Transaction_Log'!$G:$G,$A829))</f>
        <v/>
      </c>
      <c r="E829" s="173" t="str">
        <f t="array" ref="E829">IF($A829="","",INDEX('主表 Stock_Transaction_Log'!$H:$H,$A829))</f>
        <v/>
      </c>
      <c r="F829" s="173" t="str">
        <f t="array" ref="F829">IF($A829="","",INDEX('主表 Stock_Transaction_Log'!$I:$I,$A829))</f>
        <v/>
      </c>
      <c r="G829" s="173" t="str">
        <f t="array" ref="G829">IF($A829="","",IF(INDEX('主表 Stock_Transaction_Log'!$R:$R,$A829)=0,"",INDEX('主表 Stock_Transaction_Log'!$R:$R,$A829)))</f>
        <v/>
      </c>
      <c r="H829" s="173" t="str">
        <f t="array" ref="H829">IF($A829="","",SUMIF('主表 Stock_Transaction_Log'!$T:$T,INDEX('主表 Stock_Transaction_Log'!$T:$T,$A829),'主表 Stock_Transaction_Log'!$S:$S)+SUMIF('主表 Stock_Transaction_Log'!$AB:$AB,INDEX('主表 Stock_Transaction_Log'!$T:$T,$A829),'主表 Stock_Transaction_Log'!$AC:$AC))</f>
        <v/>
      </c>
      <c r="I829" s="173" t="str">
        <f t="shared" si="1"/>
        <v/>
      </c>
      <c r="J829" s="173" t="str">
        <f t="shared" si="2"/>
        <v/>
      </c>
      <c r="K829" s="173" t="str">
        <f t="shared" si="3"/>
        <v/>
      </c>
      <c r="L829" s="173" t="str">
        <f t="array" ref="L829">IF($A829="","",INDEX('主表 Stock_Transaction_Log'!$P:$P,$A829))</f>
        <v/>
      </c>
      <c r="M829" s="174" t="str">
        <f>IF($A829="","",IF($H829&lt;=0,0,SUMIFS('主表 Stock_Transaction_Log'!$K$2:$K1000,'主表 Stock_Transaction_Log'!$C$2:$C1000,"Prepared",'主表 Stock_Transaction_Log'!$L$2:$L1000,$B829,'主表 Stock_Transaction_Log'!$F$2:$F1000,$C829,'主表 Stock_Transaction_Log'!$G$2:$G1000,$D829,'主表 Stock_Transaction_Log'!$P$2:$P1000,$L829)))</f>
        <v/>
      </c>
    </row>
    <row r="830">
      <c r="A830" s="173" t="str">
        <f>IF('主表 Stock_Transaction_Log'!$T830="","",IF(COUNTIF('主表 Stock_Transaction_Log'!$T$2:$T830,'主表 Stock_Transaction_Log'!$T830)=1,ROW('主表 Stock_Transaction_Log'!$T830),""))</f>
        <v/>
      </c>
      <c r="B830" s="173" t="str">
        <f t="array" ref="B830">IF($A830="","",INDEX('主表 Stock_Transaction_Log'!$Q:$Q,$A830))</f>
        <v/>
      </c>
      <c r="C830" s="173" t="str">
        <f t="array" ref="C830">IF($A830="","",IF(INDEX('主表 Stock_Transaction_Log'!$F:$F,$A830)=0,"",INDEX('主表 Stock_Transaction_Log'!$F:$F,$A830)))</f>
        <v/>
      </c>
      <c r="D830" s="173" t="str">
        <f t="array" ref="D830">IF($A830="","",INDEX('主表 Stock_Transaction_Log'!$G:$G,$A830))</f>
        <v/>
      </c>
      <c r="E830" s="173" t="str">
        <f t="array" ref="E830">IF($A830="","",INDEX('主表 Stock_Transaction_Log'!$H:$H,$A830))</f>
        <v/>
      </c>
      <c r="F830" s="173" t="str">
        <f t="array" ref="F830">IF($A830="","",INDEX('主表 Stock_Transaction_Log'!$I:$I,$A830))</f>
        <v/>
      </c>
      <c r="G830" s="173" t="str">
        <f t="array" ref="G830">IF($A830="","",IF(INDEX('主表 Stock_Transaction_Log'!$R:$R,$A830)=0,"",INDEX('主表 Stock_Transaction_Log'!$R:$R,$A830)))</f>
        <v/>
      </c>
      <c r="H830" s="173" t="str">
        <f t="array" ref="H830">IF($A830="","",SUMIF('主表 Stock_Transaction_Log'!$T:$T,INDEX('主表 Stock_Transaction_Log'!$T:$T,$A830),'主表 Stock_Transaction_Log'!$S:$S)+SUMIF('主表 Stock_Transaction_Log'!$AB:$AB,INDEX('主表 Stock_Transaction_Log'!$T:$T,$A830),'主表 Stock_Transaction_Log'!$AC:$AC))</f>
        <v/>
      </c>
      <c r="I830" s="173" t="str">
        <f t="shared" si="1"/>
        <v/>
      </c>
      <c r="J830" s="173" t="str">
        <f t="shared" si="2"/>
        <v/>
      </c>
      <c r="K830" s="173" t="str">
        <f t="shared" si="3"/>
        <v/>
      </c>
      <c r="L830" s="173" t="str">
        <f t="array" ref="L830">IF($A830="","",INDEX('主表 Stock_Transaction_Log'!$P:$P,$A830))</f>
        <v/>
      </c>
      <c r="M830" s="174" t="str">
        <f>IF($A830="","",IF($H830&lt;=0,0,SUMIFS('主表 Stock_Transaction_Log'!$K$2:$K1000,'主表 Stock_Transaction_Log'!$C$2:$C1000,"Prepared",'主表 Stock_Transaction_Log'!$L$2:$L1000,$B830,'主表 Stock_Transaction_Log'!$F$2:$F1000,$C830,'主表 Stock_Transaction_Log'!$G$2:$G1000,$D830,'主表 Stock_Transaction_Log'!$P$2:$P1000,$L830)))</f>
        <v/>
      </c>
    </row>
    <row r="831">
      <c r="A831" s="173" t="str">
        <f>IF('主表 Stock_Transaction_Log'!$T831="","",IF(COUNTIF('主表 Stock_Transaction_Log'!$T$2:$T831,'主表 Stock_Transaction_Log'!$T831)=1,ROW('主表 Stock_Transaction_Log'!$T831),""))</f>
        <v/>
      </c>
      <c r="B831" s="173" t="str">
        <f t="array" ref="B831">IF($A831="","",INDEX('主表 Stock_Transaction_Log'!$Q:$Q,$A831))</f>
        <v/>
      </c>
      <c r="C831" s="173" t="str">
        <f t="array" ref="C831">IF($A831="","",IF(INDEX('主表 Stock_Transaction_Log'!$F:$F,$A831)=0,"",INDEX('主表 Stock_Transaction_Log'!$F:$F,$A831)))</f>
        <v/>
      </c>
      <c r="D831" s="173" t="str">
        <f t="array" ref="D831">IF($A831="","",INDEX('主表 Stock_Transaction_Log'!$G:$G,$A831))</f>
        <v/>
      </c>
      <c r="E831" s="173" t="str">
        <f t="array" ref="E831">IF($A831="","",INDEX('主表 Stock_Transaction_Log'!$H:$H,$A831))</f>
        <v/>
      </c>
      <c r="F831" s="173" t="str">
        <f t="array" ref="F831">IF($A831="","",INDEX('主表 Stock_Transaction_Log'!$I:$I,$A831))</f>
        <v/>
      </c>
      <c r="G831" s="173" t="str">
        <f t="array" ref="G831">IF($A831="","",IF(INDEX('主表 Stock_Transaction_Log'!$R:$R,$A831)=0,"",INDEX('主表 Stock_Transaction_Log'!$R:$R,$A831)))</f>
        <v/>
      </c>
      <c r="H831" s="173" t="str">
        <f t="array" ref="H831">IF($A831="","",SUMIF('主表 Stock_Transaction_Log'!$T:$T,INDEX('主表 Stock_Transaction_Log'!$T:$T,$A831),'主表 Stock_Transaction_Log'!$S:$S)+SUMIF('主表 Stock_Transaction_Log'!$AB:$AB,INDEX('主表 Stock_Transaction_Log'!$T:$T,$A831),'主表 Stock_Transaction_Log'!$AC:$AC))</f>
        <v/>
      </c>
      <c r="I831" s="173" t="str">
        <f t="shared" si="1"/>
        <v/>
      </c>
      <c r="J831" s="173" t="str">
        <f t="shared" si="2"/>
        <v/>
      </c>
      <c r="K831" s="173" t="str">
        <f t="shared" si="3"/>
        <v/>
      </c>
      <c r="L831" s="173" t="str">
        <f t="array" ref="L831">IF($A831="","",INDEX('主表 Stock_Transaction_Log'!$P:$P,$A831))</f>
        <v/>
      </c>
      <c r="M831" s="174" t="str">
        <f>IF($A831="","",IF($H831&lt;=0,0,SUMIFS('主表 Stock_Transaction_Log'!$K$2:$K1000,'主表 Stock_Transaction_Log'!$C$2:$C1000,"Prepared",'主表 Stock_Transaction_Log'!$L$2:$L1000,$B831,'主表 Stock_Transaction_Log'!$F$2:$F1000,$C831,'主表 Stock_Transaction_Log'!$G$2:$G1000,$D831,'主表 Stock_Transaction_Log'!$P$2:$P1000,$L831)))</f>
        <v/>
      </c>
    </row>
    <row r="832">
      <c r="A832" s="173" t="str">
        <f>IF('主表 Stock_Transaction_Log'!$T832="","",IF(COUNTIF('主表 Stock_Transaction_Log'!$T$2:$T832,'主表 Stock_Transaction_Log'!$T832)=1,ROW('主表 Stock_Transaction_Log'!$T832),""))</f>
        <v/>
      </c>
      <c r="B832" s="173" t="str">
        <f t="array" ref="B832">IF($A832="","",INDEX('主表 Stock_Transaction_Log'!$Q:$Q,$A832))</f>
        <v/>
      </c>
      <c r="C832" s="173" t="str">
        <f t="array" ref="C832">IF($A832="","",IF(INDEX('主表 Stock_Transaction_Log'!$F:$F,$A832)=0,"",INDEX('主表 Stock_Transaction_Log'!$F:$F,$A832)))</f>
        <v/>
      </c>
      <c r="D832" s="173" t="str">
        <f t="array" ref="D832">IF($A832="","",INDEX('主表 Stock_Transaction_Log'!$G:$G,$A832))</f>
        <v/>
      </c>
      <c r="E832" s="173" t="str">
        <f t="array" ref="E832">IF($A832="","",INDEX('主表 Stock_Transaction_Log'!$H:$H,$A832))</f>
        <v/>
      </c>
      <c r="F832" s="173" t="str">
        <f t="array" ref="F832">IF($A832="","",INDEX('主表 Stock_Transaction_Log'!$I:$I,$A832))</f>
        <v/>
      </c>
      <c r="G832" s="173" t="str">
        <f t="array" ref="G832">IF($A832="","",IF(INDEX('主表 Stock_Transaction_Log'!$R:$R,$A832)=0,"",INDEX('主表 Stock_Transaction_Log'!$R:$R,$A832)))</f>
        <v/>
      </c>
      <c r="H832" s="173" t="str">
        <f t="array" ref="H832">IF($A832="","",SUMIF('主表 Stock_Transaction_Log'!$T:$T,INDEX('主表 Stock_Transaction_Log'!$T:$T,$A832),'主表 Stock_Transaction_Log'!$S:$S)+SUMIF('主表 Stock_Transaction_Log'!$AB:$AB,INDEX('主表 Stock_Transaction_Log'!$T:$T,$A832),'主表 Stock_Transaction_Log'!$AC:$AC))</f>
        <v/>
      </c>
      <c r="I832" s="173" t="str">
        <f t="shared" si="1"/>
        <v/>
      </c>
      <c r="J832" s="173" t="str">
        <f t="shared" si="2"/>
        <v/>
      </c>
      <c r="K832" s="173" t="str">
        <f t="shared" si="3"/>
        <v/>
      </c>
      <c r="L832" s="173" t="str">
        <f t="array" ref="L832">IF($A832="","",INDEX('主表 Stock_Transaction_Log'!$P:$P,$A832))</f>
        <v/>
      </c>
      <c r="M832" s="174" t="str">
        <f>IF($A832="","",IF($H832&lt;=0,0,SUMIFS('主表 Stock_Transaction_Log'!$K$2:$K1000,'主表 Stock_Transaction_Log'!$C$2:$C1000,"Prepared",'主表 Stock_Transaction_Log'!$L$2:$L1000,$B832,'主表 Stock_Transaction_Log'!$F$2:$F1000,$C832,'主表 Stock_Transaction_Log'!$G$2:$G1000,$D832,'主表 Stock_Transaction_Log'!$P$2:$P1000,$L832)))</f>
        <v/>
      </c>
    </row>
    <row r="833">
      <c r="A833" s="173" t="str">
        <f>IF('主表 Stock_Transaction_Log'!$T833="","",IF(COUNTIF('主表 Stock_Transaction_Log'!$T$2:$T833,'主表 Stock_Transaction_Log'!$T833)=1,ROW('主表 Stock_Transaction_Log'!$T833),""))</f>
        <v/>
      </c>
      <c r="B833" s="173" t="str">
        <f t="array" ref="B833">IF($A833="","",INDEX('主表 Stock_Transaction_Log'!$Q:$Q,$A833))</f>
        <v/>
      </c>
      <c r="C833" s="173" t="str">
        <f t="array" ref="C833">IF($A833="","",IF(INDEX('主表 Stock_Transaction_Log'!$F:$F,$A833)=0,"",INDEX('主表 Stock_Transaction_Log'!$F:$F,$A833)))</f>
        <v/>
      </c>
      <c r="D833" s="173" t="str">
        <f t="array" ref="D833">IF($A833="","",INDEX('主表 Stock_Transaction_Log'!$G:$G,$A833))</f>
        <v/>
      </c>
      <c r="E833" s="173" t="str">
        <f t="array" ref="E833">IF($A833="","",INDEX('主表 Stock_Transaction_Log'!$H:$H,$A833))</f>
        <v/>
      </c>
      <c r="F833" s="173" t="str">
        <f t="array" ref="F833">IF($A833="","",INDEX('主表 Stock_Transaction_Log'!$I:$I,$A833))</f>
        <v/>
      </c>
      <c r="G833" s="173" t="str">
        <f t="array" ref="G833">IF($A833="","",IF(INDEX('主表 Stock_Transaction_Log'!$R:$R,$A833)=0,"",INDEX('主表 Stock_Transaction_Log'!$R:$R,$A833)))</f>
        <v/>
      </c>
      <c r="H833" s="173" t="str">
        <f t="array" ref="H833">IF($A833="","",SUMIF('主表 Stock_Transaction_Log'!$T:$T,INDEX('主表 Stock_Transaction_Log'!$T:$T,$A833),'主表 Stock_Transaction_Log'!$S:$S)+SUMIF('主表 Stock_Transaction_Log'!$AB:$AB,INDEX('主表 Stock_Transaction_Log'!$T:$T,$A833),'主表 Stock_Transaction_Log'!$AC:$AC))</f>
        <v/>
      </c>
      <c r="I833" s="173" t="str">
        <f t="shared" si="1"/>
        <v/>
      </c>
      <c r="J833" s="173" t="str">
        <f t="shared" si="2"/>
        <v/>
      </c>
      <c r="K833" s="173" t="str">
        <f t="shared" si="3"/>
        <v/>
      </c>
      <c r="L833" s="173" t="str">
        <f t="array" ref="L833">IF($A833="","",INDEX('主表 Stock_Transaction_Log'!$P:$P,$A833))</f>
        <v/>
      </c>
      <c r="M833" s="174" t="str">
        <f>IF($A833="","",IF($H833&lt;=0,0,SUMIFS('主表 Stock_Transaction_Log'!$K$2:$K1000,'主表 Stock_Transaction_Log'!$C$2:$C1000,"Prepared",'主表 Stock_Transaction_Log'!$L$2:$L1000,$B833,'主表 Stock_Transaction_Log'!$F$2:$F1000,$C833,'主表 Stock_Transaction_Log'!$G$2:$G1000,$D833,'主表 Stock_Transaction_Log'!$P$2:$P1000,$L833)))</f>
        <v/>
      </c>
    </row>
    <row r="834">
      <c r="A834" s="173" t="str">
        <f>IF('主表 Stock_Transaction_Log'!$T834="","",IF(COUNTIF('主表 Stock_Transaction_Log'!$T$2:$T834,'主表 Stock_Transaction_Log'!$T834)=1,ROW('主表 Stock_Transaction_Log'!$T834),""))</f>
        <v/>
      </c>
      <c r="B834" s="173" t="str">
        <f t="array" ref="B834">IF($A834="","",INDEX('主表 Stock_Transaction_Log'!$Q:$Q,$A834))</f>
        <v/>
      </c>
      <c r="C834" s="173" t="str">
        <f t="array" ref="C834">IF($A834="","",IF(INDEX('主表 Stock_Transaction_Log'!$F:$F,$A834)=0,"",INDEX('主表 Stock_Transaction_Log'!$F:$F,$A834)))</f>
        <v/>
      </c>
      <c r="D834" s="173" t="str">
        <f t="array" ref="D834">IF($A834="","",INDEX('主表 Stock_Transaction_Log'!$G:$G,$A834))</f>
        <v/>
      </c>
      <c r="E834" s="173" t="str">
        <f t="array" ref="E834">IF($A834="","",INDEX('主表 Stock_Transaction_Log'!$H:$H,$A834))</f>
        <v/>
      </c>
      <c r="F834" s="173" t="str">
        <f t="array" ref="F834">IF($A834="","",INDEX('主表 Stock_Transaction_Log'!$I:$I,$A834))</f>
        <v/>
      </c>
      <c r="G834" s="173" t="str">
        <f t="array" ref="G834">IF($A834="","",IF(INDEX('主表 Stock_Transaction_Log'!$R:$R,$A834)=0,"",INDEX('主表 Stock_Transaction_Log'!$R:$R,$A834)))</f>
        <v/>
      </c>
      <c r="H834" s="173" t="str">
        <f t="array" ref="H834">IF($A834="","",SUMIF('主表 Stock_Transaction_Log'!$T:$T,INDEX('主表 Stock_Transaction_Log'!$T:$T,$A834),'主表 Stock_Transaction_Log'!$S:$S)+SUMIF('主表 Stock_Transaction_Log'!$AB:$AB,INDEX('主表 Stock_Transaction_Log'!$T:$T,$A834),'主表 Stock_Transaction_Log'!$AC:$AC))</f>
        <v/>
      </c>
      <c r="I834" s="173" t="str">
        <f t="shared" si="1"/>
        <v/>
      </c>
      <c r="J834" s="173" t="str">
        <f t="shared" si="2"/>
        <v/>
      </c>
      <c r="K834" s="173" t="str">
        <f t="shared" si="3"/>
        <v/>
      </c>
      <c r="L834" s="173" t="str">
        <f t="array" ref="L834">IF($A834="","",INDEX('主表 Stock_Transaction_Log'!$P:$P,$A834))</f>
        <v/>
      </c>
      <c r="M834" s="174" t="str">
        <f>IF($A834="","",IF($H834&lt;=0,0,SUMIFS('主表 Stock_Transaction_Log'!$K$2:$K1000,'主表 Stock_Transaction_Log'!$C$2:$C1000,"Prepared",'主表 Stock_Transaction_Log'!$L$2:$L1000,$B834,'主表 Stock_Transaction_Log'!$F$2:$F1000,$C834,'主表 Stock_Transaction_Log'!$G$2:$G1000,$D834,'主表 Stock_Transaction_Log'!$P$2:$P1000,$L834)))</f>
        <v/>
      </c>
    </row>
    <row r="835">
      <c r="A835" s="173" t="str">
        <f>IF('主表 Stock_Transaction_Log'!$T835="","",IF(COUNTIF('主表 Stock_Transaction_Log'!$T$2:$T835,'主表 Stock_Transaction_Log'!$T835)=1,ROW('主表 Stock_Transaction_Log'!$T835),""))</f>
        <v/>
      </c>
      <c r="B835" s="173" t="str">
        <f t="array" ref="B835">IF($A835="","",INDEX('主表 Stock_Transaction_Log'!$Q:$Q,$A835))</f>
        <v/>
      </c>
      <c r="C835" s="173" t="str">
        <f t="array" ref="C835">IF($A835="","",IF(INDEX('主表 Stock_Transaction_Log'!$F:$F,$A835)=0,"",INDEX('主表 Stock_Transaction_Log'!$F:$F,$A835)))</f>
        <v/>
      </c>
      <c r="D835" s="173" t="str">
        <f t="array" ref="D835">IF($A835="","",INDEX('主表 Stock_Transaction_Log'!$G:$G,$A835))</f>
        <v/>
      </c>
      <c r="E835" s="173" t="str">
        <f t="array" ref="E835">IF($A835="","",INDEX('主表 Stock_Transaction_Log'!$H:$H,$A835))</f>
        <v/>
      </c>
      <c r="F835" s="173" t="str">
        <f t="array" ref="F835">IF($A835="","",INDEX('主表 Stock_Transaction_Log'!$I:$I,$A835))</f>
        <v/>
      </c>
      <c r="G835" s="173" t="str">
        <f t="array" ref="G835">IF($A835="","",IF(INDEX('主表 Stock_Transaction_Log'!$R:$R,$A835)=0,"",INDEX('主表 Stock_Transaction_Log'!$R:$R,$A835)))</f>
        <v/>
      </c>
      <c r="H835" s="173" t="str">
        <f t="array" ref="H835">IF($A835="","",SUMIF('主表 Stock_Transaction_Log'!$T:$T,INDEX('主表 Stock_Transaction_Log'!$T:$T,$A835),'主表 Stock_Transaction_Log'!$S:$S)+SUMIF('主表 Stock_Transaction_Log'!$AB:$AB,INDEX('主表 Stock_Transaction_Log'!$T:$T,$A835),'主表 Stock_Transaction_Log'!$AC:$AC))</f>
        <v/>
      </c>
      <c r="I835" s="173" t="str">
        <f t="shared" si="1"/>
        <v/>
      </c>
      <c r="J835" s="173" t="str">
        <f t="shared" si="2"/>
        <v/>
      </c>
      <c r="K835" s="173" t="str">
        <f t="shared" si="3"/>
        <v/>
      </c>
      <c r="L835" s="173" t="str">
        <f t="array" ref="L835">IF($A835="","",INDEX('主表 Stock_Transaction_Log'!$P:$P,$A835))</f>
        <v/>
      </c>
      <c r="M835" s="174" t="str">
        <f>IF($A835="","",IF($H835&lt;=0,0,SUMIFS('主表 Stock_Transaction_Log'!$K$2:$K1000,'主表 Stock_Transaction_Log'!$C$2:$C1000,"Prepared",'主表 Stock_Transaction_Log'!$L$2:$L1000,$B835,'主表 Stock_Transaction_Log'!$F$2:$F1000,$C835,'主表 Stock_Transaction_Log'!$G$2:$G1000,$D835,'主表 Stock_Transaction_Log'!$P$2:$P1000,$L835)))</f>
        <v/>
      </c>
    </row>
    <row r="836">
      <c r="A836" s="173" t="str">
        <f>IF('主表 Stock_Transaction_Log'!$T836="","",IF(COUNTIF('主表 Stock_Transaction_Log'!$T$2:$T836,'主表 Stock_Transaction_Log'!$T836)=1,ROW('主表 Stock_Transaction_Log'!$T836),""))</f>
        <v/>
      </c>
      <c r="B836" s="173" t="str">
        <f t="array" ref="B836">IF($A836="","",INDEX('主表 Stock_Transaction_Log'!$Q:$Q,$A836))</f>
        <v/>
      </c>
      <c r="C836" s="173" t="str">
        <f t="array" ref="C836">IF($A836="","",IF(INDEX('主表 Stock_Transaction_Log'!$F:$F,$A836)=0,"",INDEX('主表 Stock_Transaction_Log'!$F:$F,$A836)))</f>
        <v/>
      </c>
      <c r="D836" s="173" t="str">
        <f t="array" ref="D836">IF($A836="","",INDEX('主表 Stock_Transaction_Log'!$G:$G,$A836))</f>
        <v/>
      </c>
      <c r="E836" s="173" t="str">
        <f t="array" ref="E836">IF($A836="","",INDEX('主表 Stock_Transaction_Log'!$H:$H,$A836))</f>
        <v/>
      </c>
      <c r="F836" s="173" t="str">
        <f t="array" ref="F836">IF($A836="","",INDEX('主表 Stock_Transaction_Log'!$I:$I,$A836))</f>
        <v/>
      </c>
      <c r="G836" s="173" t="str">
        <f t="array" ref="G836">IF($A836="","",IF(INDEX('主表 Stock_Transaction_Log'!$R:$R,$A836)=0,"",INDEX('主表 Stock_Transaction_Log'!$R:$R,$A836)))</f>
        <v/>
      </c>
      <c r="H836" s="173" t="str">
        <f t="array" ref="H836">IF($A836="","",SUMIF('主表 Stock_Transaction_Log'!$T:$T,INDEX('主表 Stock_Transaction_Log'!$T:$T,$A836),'主表 Stock_Transaction_Log'!$S:$S)+SUMIF('主表 Stock_Transaction_Log'!$AB:$AB,INDEX('主表 Stock_Transaction_Log'!$T:$T,$A836),'主表 Stock_Transaction_Log'!$AC:$AC))</f>
        <v/>
      </c>
      <c r="I836" s="173" t="str">
        <f t="shared" si="1"/>
        <v/>
      </c>
      <c r="J836" s="173" t="str">
        <f t="shared" si="2"/>
        <v/>
      </c>
      <c r="K836" s="173" t="str">
        <f t="shared" si="3"/>
        <v/>
      </c>
      <c r="L836" s="173" t="str">
        <f t="array" ref="L836">IF($A836="","",INDEX('主表 Stock_Transaction_Log'!$P:$P,$A836))</f>
        <v/>
      </c>
      <c r="M836" s="174" t="str">
        <f>IF($A836="","",IF($H836&lt;=0,0,SUMIFS('主表 Stock_Transaction_Log'!$K$2:$K1000,'主表 Stock_Transaction_Log'!$C$2:$C1000,"Prepared",'主表 Stock_Transaction_Log'!$L$2:$L1000,$B836,'主表 Stock_Transaction_Log'!$F$2:$F1000,$C836,'主表 Stock_Transaction_Log'!$G$2:$G1000,$D836,'主表 Stock_Transaction_Log'!$P$2:$P1000,$L836)))</f>
        <v/>
      </c>
    </row>
    <row r="837">
      <c r="A837" s="173" t="str">
        <f>IF('主表 Stock_Transaction_Log'!$T837="","",IF(COUNTIF('主表 Stock_Transaction_Log'!$T$2:$T837,'主表 Stock_Transaction_Log'!$T837)=1,ROW('主表 Stock_Transaction_Log'!$T837),""))</f>
        <v/>
      </c>
      <c r="B837" s="173" t="str">
        <f t="array" ref="B837">IF($A837="","",INDEX('主表 Stock_Transaction_Log'!$Q:$Q,$A837))</f>
        <v/>
      </c>
      <c r="C837" s="173" t="str">
        <f t="array" ref="C837">IF($A837="","",IF(INDEX('主表 Stock_Transaction_Log'!$F:$F,$A837)=0,"",INDEX('主表 Stock_Transaction_Log'!$F:$F,$A837)))</f>
        <v/>
      </c>
      <c r="D837" s="173" t="str">
        <f t="array" ref="D837">IF($A837="","",INDEX('主表 Stock_Transaction_Log'!$G:$G,$A837))</f>
        <v/>
      </c>
      <c r="E837" s="173" t="str">
        <f t="array" ref="E837">IF($A837="","",INDEX('主表 Stock_Transaction_Log'!$H:$H,$A837))</f>
        <v/>
      </c>
      <c r="F837" s="173" t="str">
        <f t="array" ref="F837">IF($A837="","",INDEX('主表 Stock_Transaction_Log'!$I:$I,$A837))</f>
        <v/>
      </c>
      <c r="G837" s="173" t="str">
        <f t="array" ref="G837">IF($A837="","",IF(INDEX('主表 Stock_Transaction_Log'!$R:$R,$A837)=0,"",INDEX('主表 Stock_Transaction_Log'!$R:$R,$A837)))</f>
        <v/>
      </c>
      <c r="H837" s="173" t="str">
        <f t="array" ref="H837">IF($A837="","",SUMIF('主表 Stock_Transaction_Log'!$T:$T,INDEX('主表 Stock_Transaction_Log'!$T:$T,$A837),'主表 Stock_Transaction_Log'!$S:$S)+SUMIF('主表 Stock_Transaction_Log'!$AB:$AB,INDEX('主表 Stock_Transaction_Log'!$T:$T,$A837),'主表 Stock_Transaction_Log'!$AC:$AC))</f>
        <v/>
      </c>
      <c r="I837" s="173" t="str">
        <f t="shared" si="1"/>
        <v/>
      </c>
      <c r="J837" s="173" t="str">
        <f t="shared" si="2"/>
        <v/>
      </c>
      <c r="K837" s="173" t="str">
        <f t="shared" si="3"/>
        <v/>
      </c>
      <c r="L837" s="173" t="str">
        <f t="array" ref="L837">IF($A837="","",INDEX('主表 Stock_Transaction_Log'!$P:$P,$A837))</f>
        <v/>
      </c>
      <c r="M837" s="174" t="str">
        <f>IF($A837="","",IF($H837&lt;=0,0,SUMIFS('主表 Stock_Transaction_Log'!$K$2:$K1000,'主表 Stock_Transaction_Log'!$C$2:$C1000,"Prepared",'主表 Stock_Transaction_Log'!$L$2:$L1000,$B837,'主表 Stock_Transaction_Log'!$F$2:$F1000,$C837,'主表 Stock_Transaction_Log'!$G$2:$G1000,$D837,'主表 Stock_Transaction_Log'!$P$2:$P1000,$L837)))</f>
        <v/>
      </c>
    </row>
    <row r="838">
      <c r="A838" s="173" t="str">
        <f>IF('主表 Stock_Transaction_Log'!$T838="","",IF(COUNTIF('主表 Stock_Transaction_Log'!$T$2:$T838,'主表 Stock_Transaction_Log'!$T838)=1,ROW('主表 Stock_Transaction_Log'!$T838),""))</f>
        <v/>
      </c>
      <c r="B838" s="173" t="str">
        <f t="array" ref="B838">IF($A838="","",INDEX('主表 Stock_Transaction_Log'!$Q:$Q,$A838))</f>
        <v/>
      </c>
      <c r="C838" s="173" t="str">
        <f t="array" ref="C838">IF($A838="","",IF(INDEX('主表 Stock_Transaction_Log'!$F:$F,$A838)=0,"",INDEX('主表 Stock_Transaction_Log'!$F:$F,$A838)))</f>
        <v/>
      </c>
      <c r="D838" s="173" t="str">
        <f t="array" ref="D838">IF($A838="","",INDEX('主表 Stock_Transaction_Log'!$G:$G,$A838))</f>
        <v/>
      </c>
      <c r="E838" s="173" t="str">
        <f t="array" ref="E838">IF($A838="","",INDEX('主表 Stock_Transaction_Log'!$H:$H,$A838))</f>
        <v/>
      </c>
      <c r="F838" s="173" t="str">
        <f t="array" ref="F838">IF($A838="","",INDEX('主表 Stock_Transaction_Log'!$I:$I,$A838))</f>
        <v/>
      </c>
      <c r="G838" s="173" t="str">
        <f t="array" ref="G838">IF($A838="","",IF(INDEX('主表 Stock_Transaction_Log'!$R:$R,$A838)=0,"",INDEX('主表 Stock_Transaction_Log'!$R:$R,$A838)))</f>
        <v/>
      </c>
      <c r="H838" s="173" t="str">
        <f t="array" ref="H838">IF($A838="","",SUMIF('主表 Stock_Transaction_Log'!$T:$T,INDEX('主表 Stock_Transaction_Log'!$T:$T,$A838),'主表 Stock_Transaction_Log'!$S:$S)+SUMIF('主表 Stock_Transaction_Log'!$AB:$AB,INDEX('主表 Stock_Transaction_Log'!$T:$T,$A838),'主表 Stock_Transaction_Log'!$AC:$AC))</f>
        <v/>
      </c>
      <c r="I838" s="173" t="str">
        <f t="shared" si="1"/>
        <v/>
      </c>
      <c r="J838" s="173" t="str">
        <f t="shared" si="2"/>
        <v/>
      </c>
      <c r="K838" s="173" t="str">
        <f t="shared" si="3"/>
        <v/>
      </c>
      <c r="L838" s="173" t="str">
        <f t="array" ref="L838">IF($A838="","",INDEX('主表 Stock_Transaction_Log'!$P:$P,$A838))</f>
        <v/>
      </c>
      <c r="M838" s="174" t="str">
        <f>IF($A838="","",IF($H838&lt;=0,0,SUMIFS('主表 Stock_Transaction_Log'!$K$2:$K1000,'主表 Stock_Transaction_Log'!$C$2:$C1000,"Prepared",'主表 Stock_Transaction_Log'!$L$2:$L1000,$B838,'主表 Stock_Transaction_Log'!$F$2:$F1000,$C838,'主表 Stock_Transaction_Log'!$G$2:$G1000,$D838,'主表 Stock_Transaction_Log'!$P$2:$P1000,$L838)))</f>
        <v/>
      </c>
    </row>
    <row r="839">
      <c r="A839" s="173" t="str">
        <f>IF('主表 Stock_Transaction_Log'!$T839="","",IF(COUNTIF('主表 Stock_Transaction_Log'!$T$2:$T839,'主表 Stock_Transaction_Log'!$T839)=1,ROW('主表 Stock_Transaction_Log'!$T839),""))</f>
        <v/>
      </c>
      <c r="B839" s="173" t="str">
        <f t="array" ref="B839">IF($A839="","",INDEX('主表 Stock_Transaction_Log'!$Q:$Q,$A839))</f>
        <v/>
      </c>
      <c r="C839" s="173" t="str">
        <f t="array" ref="C839">IF($A839="","",IF(INDEX('主表 Stock_Transaction_Log'!$F:$F,$A839)=0,"",INDEX('主表 Stock_Transaction_Log'!$F:$F,$A839)))</f>
        <v/>
      </c>
      <c r="D839" s="173" t="str">
        <f t="array" ref="D839">IF($A839="","",INDEX('主表 Stock_Transaction_Log'!$G:$G,$A839))</f>
        <v/>
      </c>
      <c r="E839" s="173" t="str">
        <f t="array" ref="E839">IF($A839="","",INDEX('主表 Stock_Transaction_Log'!$H:$H,$A839))</f>
        <v/>
      </c>
      <c r="F839" s="173" t="str">
        <f t="array" ref="F839">IF($A839="","",INDEX('主表 Stock_Transaction_Log'!$I:$I,$A839))</f>
        <v/>
      </c>
      <c r="G839" s="173" t="str">
        <f t="array" ref="G839">IF($A839="","",IF(INDEX('主表 Stock_Transaction_Log'!$R:$R,$A839)=0,"",INDEX('主表 Stock_Transaction_Log'!$R:$R,$A839)))</f>
        <v/>
      </c>
      <c r="H839" s="173" t="str">
        <f t="array" ref="H839">IF($A839="","",SUMIF('主表 Stock_Transaction_Log'!$T:$T,INDEX('主表 Stock_Transaction_Log'!$T:$T,$A839),'主表 Stock_Transaction_Log'!$S:$S)+SUMIF('主表 Stock_Transaction_Log'!$AB:$AB,INDEX('主表 Stock_Transaction_Log'!$T:$T,$A839),'主表 Stock_Transaction_Log'!$AC:$AC))</f>
        <v/>
      </c>
      <c r="I839" s="173" t="str">
        <f t="shared" si="1"/>
        <v/>
      </c>
      <c r="J839" s="173" t="str">
        <f t="shared" si="2"/>
        <v/>
      </c>
      <c r="K839" s="173" t="str">
        <f t="shared" si="3"/>
        <v/>
      </c>
      <c r="L839" s="173" t="str">
        <f t="array" ref="L839">IF($A839="","",INDEX('主表 Stock_Transaction_Log'!$P:$P,$A839))</f>
        <v/>
      </c>
      <c r="M839" s="174" t="str">
        <f>IF($A839="","",IF($H839&lt;=0,0,SUMIFS('主表 Stock_Transaction_Log'!$K$2:$K1000,'主表 Stock_Transaction_Log'!$C$2:$C1000,"Prepared",'主表 Stock_Transaction_Log'!$L$2:$L1000,$B839,'主表 Stock_Transaction_Log'!$F$2:$F1000,$C839,'主表 Stock_Transaction_Log'!$G$2:$G1000,$D839,'主表 Stock_Transaction_Log'!$P$2:$P1000,$L839)))</f>
        <v/>
      </c>
    </row>
    <row r="840">
      <c r="A840" s="173" t="str">
        <f>IF('主表 Stock_Transaction_Log'!$T840="","",IF(COUNTIF('主表 Stock_Transaction_Log'!$T$2:$T840,'主表 Stock_Transaction_Log'!$T840)=1,ROW('主表 Stock_Transaction_Log'!$T840),""))</f>
        <v/>
      </c>
      <c r="B840" s="173" t="str">
        <f t="array" ref="B840">IF($A840="","",INDEX('主表 Stock_Transaction_Log'!$Q:$Q,$A840))</f>
        <v/>
      </c>
      <c r="C840" s="173" t="str">
        <f t="array" ref="C840">IF($A840="","",IF(INDEX('主表 Stock_Transaction_Log'!$F:$F,$A840)=0,"",INDEX('主表 Stock_Transaction_Log'!$F:$F,$A840)))</f>
        <v/>
      </c>
      <c r="D840" s="173" t="str">
        <f t="array" ref="D840">IF($A840="","",INDEX('主表 Stock_Transaction_Log'!$G:$G,$A840))</f>
        <v/>
      </c>
      <c r="E840" s="173" t="str">
        <f t="array" ref="E840">IF($A840="","",INDEX('主表 Stock_Transaction_Log'!$H:$H,$A840))</f>
        <v/>
      </c>
      <c r="F840" s="173" t="str">
        <f t="array" ref="F840">IF($A840="","",INDEX('主表 Stock_Transaction_Log'!$I:$I,$A840))</f>
        <v/>
      </c>
      <c r="G840" s="173" t="str">
        <f t="array" ref="G840">IF($A840="","",IF(INDEX('主表 Stock_Transaction_Log'!$R:$R,$A840)=0,"",INDEX('主表 Stock_Transaction_Log'!$R:$R,$A840)))</f>
        <v/>
      </c>
      <c r="H840" s="173" t="str">
        <f t="array" ref="H840">IF($A840="","",SUMIF('主表 Stock_Transaction_Log'!$T:$T,INDEX('主表 Stock_Transaction_Log'!$T:$T,$A840),'主表 Stock_Transaction_Log'!$S:$S)+SUMIF('主表 Stock_Transaction_Log'!$AB:$AB,INDEX('主表 Stock_Transaction_Log'!$T:$T,$A840),'主表 Stock_Transaction_Log'!$AC:$AC))</f>
        <v/>
      </c>
      <c r="I840" s="173" t="str">
        <f t="shared" si="1"/>
        <v/>
      </c>
      <c r="J840" s="173" t="str">
        <f t="shared" si="2"/>
        <v/>
      </c>
      <c r="K840" s="173" t="str">
        <f t="shared" si="3"/>
        <v/>
      </c>
      <c r="L840" s="173" t="str">
        <f t="array" ref="L840">IF($A840="","",INDEX('主表 Stock_Transaction_Log'!$P:$P,$A840))</f>
        <v/>
      </c>
      <c r="M840" s="174" t="str">
        <f>IF($A840="","",IF($H840&lt;=0,0,SUMIFS('主表 Stock_Transaction_Log'!$K$2:$K1000,'主表 Stock_Transaction_Log'!$C$2:$C1000,"Prepared",'主表 Stock_Transaction_Log'!$L$2:$L1000,$B840,'主表 Stock_Transaction_Log'!$F$2:$F1000,$C840,'主表 Stock_Transaction_Log'!$G$2:$G1000,$D840,'主表 Stock_Transaction_Log'!$P$2:$P1000,$L840)))</f>
        <v/>
      </c>
    </row>
    <row r="841">
      <c r="A841" s="173" t="str">
        <f>IF('主表 Stock_Transaction_Log'!$T841="","",IF(COUNTIF('主表 Stock_Transaction_Log'!$T$2:$T841,'主表 Stock_Transaction_Log'!$T841)=1,ROW('主表 Stock_Transaction_Log'!$T841),""))</f>
        <v/>
      </c>
      <c r="B841" s="173" t="str">
        <f t="array" ref="B841">IF($A841="","",INDEX('主表 Stock_Transaction_Log'!$Q:$Q,$A841))</f>
        <v/>
      </c>
      <c r="C841" s="173" t="str">
        <f t="array" ref="C841">IF($A841="","",IF(INDEX('主表 Stock_Transaction_Log'!$F:$F,$A841)=0,"",INDEX('主表 Stock_Transaction_Log'!$F:$F,$A841)))</f>
        <v/>
      </c>
      <c r="D841" s="173" t="str">
        <f t="array" ref="D841">IF($A841="","",INDEX('主表 Stock_Transaction_Log'!$G:$G,$A841))</f>
        <v/>
      </c>
      <c r="E841" s="173" t="str">
        <f t="array" ref="E841">IF($A841="","",INDEX('主表 Stock_Transaction_Log'!$H:$H,$A841))</f>
        <v/>
      </c>
      <c r="F841" s="173" t="str">
        <f t="array" ref="F841">IF($A841="","",INDEX('主表 Stock_Transaction_Log'!$I:$I,$A841))</f>
        <v/>
      </c>
      <c r="G841" s="173" t="str">
        <f t="array" ref="G841">IF($A841="","",IF(INDEX('主表 Stock_Transaction_Log'!$R:$R,$A841)=0,"",INDEX('主表 Stock_Transaction_Log'!$R:$R,$A841)))</f>
        <v/>
      </c>
      <c r="H841" s="173" t="str">
        <f t="array" ref="H841">IF($A841="","",SUMIF('主表 Stock_Transaction_Log'!$T:$T,INDEX('主表 Stock_Transaction_Log'!$T:$T,$A841),'主表 Stock_Transaction_Log'!$S:$S)+SUMIF('主表 Stock_Transaction_Log'!$AB:$AB,INDEX('主表 Stock_Transaction_Log'!$T:$T,$A841),'主表 Stock_Transaction_Log'!$AC:$AC))</f>
        <v/>
      </c>
      <c r="I841" s="173" t="str">
        <f t="shared" si="1"/>
        <v/>
      </c>
      <c r="J841" s="173" t="str">
        <f t="shared" si="2"/>
        <v/>
      </c>
      <c r="K841" s="173" t="str">
        <f t="shared" si="3"/>
        <v/>
      </c>
      <c r="L841" s="173" t="str">
        <f t="array" ref="L841">IF($A841="","",INDEX('主表 Stock_Transaction_Log'!$P:$P,$A841))</f>
        <v/>
      </c>
      <c r="M841" s="174" t="str">
        <f>IF($A841="","",IF($H841&lt;=0,0,SUMIFS('主表 Stock_Transaction_Log'!$K$2:$K1000,'主表 Stock_Transaction_Log'!$C$2:$C1000,"Prepared",'主表 Stock_Transaction_Log'!$L$2:$L1000,$B841,'主表 Stock_Transaction_Log'!$F$2:$F1000,$C841,'主表 Stock_Transaction_Log'!$G$2:$G1000,$D841,'主表 Stock_Transaction_Log'!$P$2:$P1000,$L841)))</f>
        <v/>
      </c>
    </row>
    <row r="842">
      <c r="A842" s="173" t="str">
        <f>IF('主表 Stock_Transaction_Log'!$T842="","",IF(COUNTIF('主表 Stock_Transaction_Log'!$T$2:$T842,'主表 Stock_Transaction_Log'!$T842)=1,ROW('主表 Stock_Transaction_Log'!$T842),""))</f>
        <v/>
      </c>
      <c r="B842" s="173" t="str">
        <f t="array" ref="B842">IF($A842="","",INDEX('主表 Stock_Transaction_Log'!$Q:$Q,$A842))</f>
        <v/>
      </c>
      <c r="C842" s="173" t="str">
        <f t="array" ref="C842">IF($A842="","",IF(INDEX('主表 Stock_Transaction_Log'!$F:$F,$A842)=0,"",INDEX('主表 Stock_Transaction_Log'!$F:$F,$A842)))</f>
        <v/>
      </c>
      <c r="D842" s="173" t="str">
        <f t="array" ref="D842">IF($A842="","",INDEX('主表 Stock_Transaction_Log'!$G:$G,$A842))</f>
        <v/>
      </c>
      <c r="E842" s="173" t="str">
        <f t="array" ref="E842">IF($A842="","",INDEX('主表 Stock_Transaction_Log'!$H:$H,$A842))</f>
        <v/>
      </c>
      <c r="F842" s="173" t="str">
        <f t="array" ref="F842">IF($A842="","",INDEX('主表 Stock_Transaction_Log'!$I:$I,$A842))</f>
        <v/>
      </c>
      <c r="G842" s="173" t="str">
        <f t="array" ref="G842">IF($A842="","",IF(INDEX('主表 Stock_Transaction_Log'!$R:$R,$A842)=0,"",INDEX('主表 Stock_Transaction_Log'!$R:$R,$A842)))</f>
        <v/>
      </c>
      <c r="H842" s="173" t="str">
        <f t="array" ref="H842">IF($A842="","",SUMIF('主表 Stock_Transaction_Log'!$T:$T,INDEX('主表 Stock_Transaction_Log'!$T:$T,$A842),'主表 Stock_Transaction_Log'!$S:$S)+SUMIF('主表 Stock_Transaction_Log'!$AB:$AB,INDEX('主表 Stock_Transaction_Log'!$T:$T,$A842),'主表 Stock_Transaction_Log'!$AC:$AC))</f>
        <v/>
      </c>
      <c r="I842" s="173" t="str">
        <f t="shared" si="1"/>
        <v/>
      </c>
      <c r="J842" s="173" t="str">
        <f t="shared" si="2"/>
        <v/>
      </c>
      <c r="K842" s="173" t="str">
        <f t="shared" si="3"/>
        <v/>
      </c>
      <c r="L842" s="173" t="str">
        <f t="array" ref="L842">IF($A842="","",INDEX('主表 Stock_Transaction_Log'!$P:$P,$A842))</f>
        <v/>
      </c>
      <c r="M842" s="174" t="str">
        <f>IF($A842="","",IF($H842&lt;=0,0,SUMIFS('主表 Stock_Transaction_Log'!$K$2:$K1000,'主表 Stock_Transaction_Log'!$C$2:$C1000,"Prepared",'主表 Stock_Transaction_Log'!$L$2:$L1000,$B842,'主表 Stock_Transaction_Log'!$F$2:$F1000,$C842,'主表 Stock_Transaction_Log'!$G$2:$G1000,$D842,'主表 Stock_Transaction_Log'!$P$2:$P1000,$L842)))</f>
        <v/>
      </c>
    </row>
    <row r="843">
      <c r="A843" s="173" t="str">
        <f>IF('主表 Stock_Transaction_Log'!$T843="","",IF(COUNTIF('主表 Stock_Transaction_Log'!$T$2:$T843,'主表 Stock_Transaction_Log'!$T843)=1,ROW('主表 Stock_Transaction_Log'!$T843),""))</f>
        <v/>
      </c>
      <c r="B843" s="173" t="str">
        <f t="array" ref="B843">IF($A843="","",INDEX('主表 Stock_Transaction_Log'!$Q:$Q,$A843))</f>
        <v/>
      </c>
      <c r="C843" s="173" t="str">
        <f t="array" ref="C843">IF($A843="","",IF(INDEX('主表 Stock_Transaction_Log'!$F:$F,$A843)=0,"",INDEX('主表 Stock_Transaction_Log'!$F:$F,$A843)))</f>
        <v/>
      </c>
      <c r="D843" s="173" t="str">
        <f t="array" ref="D843">IF($A843="","",INDEX('主表 Stock_Transaction_Log'!$G:$G,$A843))</f>
        <v/>
      </c>
      <c r="E843" s="173" t="str">
        <f t="array" ref="E843">IF($A843="","",INDEX('主表 Stock_Transaction_Log'!$H:$H,$A843))</f>
        <v/>
      </c>
      <c r="F843" s="173" t="str">
        <f t="array" ref="F843">IF($A843="","",INDEX('主表 Stock_Transaction_Log'!$I:$I,$A843))</f>
        <v/>
      </c>
      <c r="G843" s="173" t="str">
        <f t="array" ref="G843">IF($A843="","",IF(INDEX('主表 Stock_Transaction_Log'!$R:$R,$A843)=0,"",INDEX('主表 Stock_Transaction_Log'!$R:$R,$A843)))</f>
        <v/>
      </c>
      <c r="H843" s="173" t="str">
        <f t="array" ref="H843">IF($A843="","",SUMIF('主表 Stock_Transaction_Log'!$T:$T,INDEX('主表 Stock_Transaction_Log'!$T:$T,$A843),'主表 Stock_Transaction_Log'!$S:$S)+SUMIF('主表 Stock_Transaction_Log'!$AB:$AB,INDEX('主表 Stock_Transaction_Log'!$T:$T,$A843),'主表 Stock_Transaction_Log'!$AC:$AC))</f>
        <v/>
      </c>
      <c r="I843" s="173" t="str">
        <f t="shared" si="1"/>
        <v/>
      </c>
      <c r="J843" s="173" t="str">
        <f t="shared" si="2"/>
        <v/>
      </c>
      <c r="K843" s="173" t="str">
        <f t="shared" si="3"/>
        <v/>
      </c>
      <c r="L843" s="173" t="str">
        <f t="array" ref="L843">IF($A843="","",INDEX('主表 Stock_Transaction_Log'!$P:$P,$A843))</f>
        <v/>
      </c>
      <c r="M843" s="174" t="str">
        <f>IF($A843="","",IF($H843&lt;=0,0,SUMIFS('主表 Stock_Transaction_Log'!$K$2:$K1000,'主表 Stock_Transaction_Log'!$C$2:$C1000,"Prepared",'主表 Stock_Transaction_Log'!$L$2:$L1000,$B843,'主表 Stock_Transaction_Log'!$F$2:$F1000,$C843,'主表 Stock_Transaction_Log'!$G$2:$G1000,$D843,'主表 Stock_Transaction_Log'!$P$2:$P1000,$L843)))</f>
        <v/>
      </c>
    </row>
    <row r="844">
      <c r="A844" s="173" t="str">
        <f>IF('主表 Stock_Transaction_Log'!$T844="","",IF(COUNTIF('主表 Stock_Transaction_Log'!$T$2:$T844,'主表 Stock_Transaction_Log'!$T844)=1,ROW('主表 Stock_Transaction_Log'!$T844),""))</f>
        <v/>
      </c>
      <c r="B844" s="173" t="str">
        <f t="array" ref="B844">IF($A844="","",INDEX('主表 Stock_Transaction_Log'!$Q:$Q,$A844))</f>
        <v/>
      </c>
      <c r="C844" s="173" t="str">
        <f t="array" ref="C844">IF($A844="","",IF(INDEX('主表 Stock_Transaction_Log'!$F:$F,$A844)=0,"",INDEX('主表 Stock_Transaction_Log'!$F:$F,$A844)))</f>
        <v/>
      </c>
      <c r="D844" s="173" t="str">
        <f t="array" ref="D844">IF($A844="","",INDEX('主表 Stock_Transaction_Log'!$G:$G,$A844))</f>
        <v/>
      </c>
      <c r="E844" s="173" t="str">
        <f t="array" ref="E844">IF($A844="","",INDEX('主表 Stock_Transaction_Log'!$H:$H,$A844))</f>
        <v/>
      </c>
      <c r="F844" s="173" t="str">
        <f t="array" ref="F844">IF($A844="","",INDEX('主表 Stock_Transaction_Log'!$I:$I,$A844))</f>
        <v/>
      </c>
      <c r="G844" s="173" t="str">
        <f t="array" ref="G844">IF($A844="","",IF(INDEX('主表 Stock_Transaction_Log'!$R:$R,$A844)=0,"",INDEX('主表 Stock_Transaction_Log'!$R:$R,$A844)))</f>
        <v/>
      </c>
      <c r="H844" s="173" t="str">
        <f t="array" ref="H844">IF($A844="","",SUMIF('主表 Stock_Transaction_Log'!$T:$T,INDEX('主表 Stock_Transaction_Log'!$T:$T,$A844),'主表 Stock_Transaction_Log'!$S:$S)+SUMIF('主表 Stock_Transaction_Log'!$AB:$AB,INDEX('主表 Stock_Transaction_Log'!$T:$T,$A844),'主表 Stock_Transaction_Log'!$AC:$AC))</f>
        <v/>
      </c>
      <c r="I844" s="173" t="str">
        <f t="shared" si="1"/>
        <v/>
      </c>
      <c r="J844" s="173" t="str">
        <f t="shared" si="2"/>
        <v/>
      </c>
      <c r="K844" s="173" t="str">
        <f t="shared" si="3"/>
        <v/>
      </c>
      <c r="L844" s="173" t="str">
        <f t="array" ref="L844">IF($A844="","",INDEX('主表 Stock_Transaction_Log'!$P:$P,$A844))</f>
        <v/>
      </c>
      <c r="M844" s="174" t="str">
        <f>IF($A844="","",IF($H844&lt;=0,0,SUMIFS('主表 Stock_Transaction_Log'!$K$2:$K1000,'主表 Stock_Transaction_Log'!$C$2:$C1000,"Prepared",'主表 Stock_Transaction_Log'!$L$2:$L1000,$B844,'主表 Stock_Transaction_Log'!$F$2:$F1000,$C844,'主表 Stock_Transaction_Log'!$G$2:$G1000,$D844,'主表 Stock_Transaction_Log'!$P$2:$P1000,$L844)))</f>
        <v/>
      </c>
    </row>
    <row r="845">
      <c r="A845" s="173" t="str">
        <f>IF('主表 Stock_Transaction_Log'!$T845="","",IF(COUNTIF('主表 Stock_Transaction_Log'!$T$2:$T845,'主表 Stock_Transaction_Log'!$T845)=1,ROW('主表 Stock_Transaction_Log'!$T845),""))</f>
        <v/>
      </c>
      <c r="B845" s="173" t="str">
        <f t="array" ref="B845">IF($A845="","",INDEX('主表 Stock_Transaction_Log'!$Q:$Q,$A845))</f>
        <v/>
      </c>
      <c r="C845" s="173" t="str">
        <f t="array" ref="C845">IF($A845="","",IF(INDEX('主表 Stock_Transaction_Log'!$F:$F,$A845)=0,"",INDEX('主表 Stock_Transaction_Log'!$F:$F,$A845)))</f>
        <v/>
      </c>
      <c r="D845" s="173" t="str">
        <f t="array" ref="D845">IF($A845="","",INDEX('主表 Stock_Transaction_Log'!$G:$G,$A845))</f>
        <v/>
      </c>
      <c r="E845" s="173" t="str">
        <f t="array" ref="E845">IF($A845="","",INDEX('主表 Stock_Transaction_Log'!$H:$H,$A845))</f>
        <v/>
      </c>
      <c r="F845" s="173" t="str">
        <f t="array" ref="F845">IF($A845="","",INDEX('主表 Stock_Transaction_Log'!$I:$I,$A845))</f>
        <v/>
      </c>
      <c r="G845" s="173" t="str">
        <f t="array" ref="G845">IF($A845="","",IF(INDEX('主表 Stock_Transaction_Log'!$R:$R,$A845)=0,"",INDEX('主表 Stock_Transaction_Log'!$R:$R,$A845)))</f>
        <v/>
      </c>
      <c r="H845" s="173" t="str">
        <f t="array" ref="H845">IF($A845="","",SUMIF('主表 Stock_Transaction_Log'!$T:$T,INDEX('主表 Stock_Transaction_Log'!$T:$T,$A845),'主表 Stock_Transaction_Log'!$S:$S)+SUMIF('主表 Stock_Transaction_Log'!$AB:$AB,INDEX('主表 Stock_Transaction_Log'!$T:$T,$A845),'主表 Stock_Transaction_Log'!$AC:$AC))</f>
        <v/>
      </c>
      <c r="I845" s="173" t="str">
        <f t="shared" si="1"/>
        <v/>
      </c>
      <c r="J845" s="173" t="str">
        <f t="shared" si="2"/>
        <v/>
      </c>
      <c r="K845" s="173" t="str">
        <f t="shared" si="3"/>
        <v/>
      </c>
      <c r="L845" s="173" t="str">
        <f t="array" ref="L845">IF($A845="","",INDEX('主表 Stock_Transaction_Log'!$P:$P,$A845))</f>
        <v/>
      </c>
      <c r="M845" s="174" t="str">
        <f>IF($A845="","",IF($H845&lt;=0,0,SUMIFS('主表 Stock_Transaction_Log'!$K$2:$K1000,'主表 Stock_Transaction_Log'!$C$2:$C1000,"Prepared",'主表 Stock_Transaction_Log'!$L$2:$L1000,$B845,'主表 Stock_Transaction_Log'!$F$2:$F1000,$C845,'主表 Stock_Transaction_Log'!$G$2:$G1000,$D845,'主表 Stock_Transaction_Log'!$P$2:$P1000,$L845)))</f>
        <v/>
      </c>
    </row>
    <row r="846">
      <c r="A846" s="173" t="str">
        <f>IF('主表 Stock_Transaction_Log'!$T846="","",IF(COUNTIF('主表 Stock_Transaction_Log'!$T$2:$T846,'主表 Stock_Transaction_Log'!$T846)=1,ROW('主表 Stock_Transaction_Log'!$T846),""))</f>
        <v/>
      </c>
      <c r="B846" s="173" t="str">
        <f t="array" ref="B846">IF($A846="","",INDEX('主表 Stock_Transaction_Log'!$Q:$Q,$A846))</f>
        <v/>
      </c>
      <c r="C846" s="173" t="str">
        <f t="array" ref="C846">IF($A846="","",IF(INDEX('主表 Stock_Transaction_Log'!$F:$F,$A846)=0,"",INDEX('主表 Stock_Transaction_Log'!$F:$F,$A846)))</f>
        <v/>
      </c>
      <c r="D846" s="173" t="str">
        <f t="array" ref="D846">IF($A846="","",INDEX('主表 Stock_Transaction_Log'!$G:$G,$A846))</f>
        <v/>
      </c>
      <c r="E846" s="173" t="str">
        <f t="array" ref="E846">IF($A846="","",INDEX('主表 Stock_Transaction_Log'!$H:$H,$A846))</f>
        <v/>
      </c>
      <c r="F846" s="173" t="str">
        <f t="array" ref="F846">IF($A846="","",INDEX('主表 Stock_Transaction_Log'!$I:$I,$A846))</f>
        <v/>
      </c>
      <c r="G846" s="173" t="str">
        <f t="array" ref="G846">IF($A846="","",IF(INDEX('主表 Stock_Transaction_Log'!$R:$R,$A846)=0,"",INDEX('主表 Stock_Transaction_Log'!$R:$R,$A846)))</f>
        <v/>
      </c>
      <c r="H846" s="173" t="str">
        <f t="array" ref="H846">IF($A846="","",SUMIF('主表 Stock_Transaction_Log'!$T:$T,INDEX('主表 Stock_Transaction_Log'!$T:$T,$A846),'主表 Stock_Transaction_Log'!$S:$S)+SUMIF('主表 Stock_Transaction_Log'!$AB:$AB,INDEX('主表 Stock_Transaction_Log'!$T:$T,$A846),'主表 Stock_Transaction_Log'!$AC:$AC))</f>
        <v/>
      </c>
      <c r="I846" s="173" t="str">
        <f t="shared" si="1"/>
        <v/>
      </c>
      <c r="J846" s="173" t="str">
        <f t="shared" si="2"/>
        <v/>
      </c>
      <c r="K846" s="173" t="str">
        <f t="shared" si="3"/>
        <v/>
      </c>
      <c r="L846" s="173" t="str">
        <f t="array" ref="L846">IF($A846="","",INDEX('主表 Stock_Transaction_Log'!$P:$P,$A846))</f>
        <v/>
      </c>
      <c r="M846" s="174" t="str">
        <f>IF($A846="","",IF($H846&lt;=0,0,SUMIFS('主表 Stock_Transaction_Log'!$K$2:$K1000,'主表 Stock_Transaction_Log'!$C$2:$C1000,"Prepared",'主表 Stock_Transaction_Log'!$L$2:$L1000,$B846,'主表 Stock_Transaction_Log'!$F$2:$F1000,$C846,'主表 Stock_Transaction_Log'!$G$2:$G1000,$D846,'主表 Stock_Transaction_Log'!$P$2:$P1000,$L846)))</f>
        <v/>
      </c>
    </row>
    <row r="847">
      <c r="A847" s="173" t="str">
        <f>IF('主表 Stock_Transaction_Log'!$T847="","",IF(COUNTIF('主表 Stock_Transaction_Log'!$T$2:$T847,'主表 Stock_Transaction_Log'!$T847)=1,ROW('主表 Stock_Transaction_Log'!$T847),""))</f>
        <v/>
      </c>
      <c r="B847" s="173" t="str">
        <f t="array" ref="B847">IF($A847="","",INDEX('主表 Stock_Transaction_Log'!$Q:$Q,$A847))</f>
        <v/>
      </c>
      <c r="C847" s="173" t="str">
        <f t="array" ref="C847">IF($A847="","",IF(INDEX('主表 Stock_Transaction_Log'!$F:$F,$A847)=0,"",INDEX('主表 Stock_Transaction_Log'!$F:$F,$A847)))</f>
        <v/>
      </c>
      <c r="D847" s="173" t="str">
        <f t="array" ref="D847">IF($A847="","",INDEX('主表 Stock_Transaction_Log'!$G:$G,$A847))</f>
        <v/>
      </c>
      <c r="E847" s="173" t="str">
        <f t="array" ref="E847">IF($A847="","",INDEX('主表 Stock_Transaction_Log'!$H:$H,$A847))</f>
        <v/>
      </c>
      <c r="F847" s="173" t="str">
        <f t="array" ref="F847">IF($A847="","",INDEX('主表 Stock_Transaction_Log'!$I:$I,$A847))</f>
        <v/>
      </c>
      <c r="G847" s="173" t="str">
        <f t="array" ref="G847">IF($A847="","",IF(INDEX('主表 Stock_Transaction_Log'!$R:$R,$A847)=0,"",INDEX('主表 Stock_Transaction_Log'!$R:$R,$A847)))</f>
        <v/>
      </c>
      <c r="H847" s="173" t="str">
        <f t="array" ref="H847">IF($A847="","",SUMIF('主表 Stock_Transaction_Log'!$T:$T,INDEX('主表 Stock_Transaction_Log'!$T:$T,$A847),'主表 Stock_Transaction_Log'!$S:$S)+SUMIF('主表 Stock_Transaction_Log'!$AB:$AB,INDEX('主表 Stock_Transaction_Log'!$T:$T,$A847),'主表 Stock_Transaction_Log'!$AC:$AC))</f>
        <v/>
      </c>
      <c r="I847" s="173" t="str">
        <f t="shared" si="1"/>
        <v/>
      </c>
      <c r="J847" s="173" t="str">
        <f t="shared" si="2"/>
        <v/>
      </c>
      <c r="K847" s="173" t="str">
        <f t="shared" si="3"/>
        <v/>
      </c>
      <c r="L847" s="173" t="str">
        <f t="array" ref="L847">IF($A847="","",INDEX('主表 Stock_Transaction_Log'!$P:$P,$A847))</f>
        <v/>
      </c>
      <c r="M847" s="174" t="str">
        <f>IF($A847="","",IF($H847&lt;=0,0,SUMIFS('主表 Stock_Transaction_Log'!$K$2:$K1000,'主表 Stock_Transaction_Log'!$C$2:$C1000,"Prepared",'主表 Stock_Transaction_Log'!$L$2:$L1000,$B847,'主表 Stock_Transaction_Log'!$F$2:$F1000,$C847,'主表 Stock_Transaction_Log'!$G$2:$G1000,$D847,'主表 Stock_Transaction_Log'!$P$2:$P1000,$L847)))</f>
        <v/>
      </c>
    </row>
    <row r="848">
      <c r="A848" s="173" t="str">
        <f>IF('主表 Stock_Transaction_Log'!$T848="","",IF(COUNTIF('主表 Stock_Transaction_Log'!$T$2:$T848,'主表 Stock_Transaction_Log'!$T848)=1,ROW('主表 Stock_Transaction_Log'!$T848),""))</f>
        <v/>
      </c>
      <c r="B848" s="173" t="str">
        <f t="array" ref="B848">IF($A848="","",INDEX('主表 Stock_Transaction_Log'!$Q:$Q,$A848))</f>
        <v/>
      </c>
      <c r="C848" s="173" t="str">
        <f t="array" ref="C848">IF($A848="","",IF(INDEX('主表 Stock_Transaction_Log'!$F:$F,$A848)=0,"",INDEX('主表 Stock_Transaction_Log'!$F:$F,$A848)))</f>
        <v/>
      </c>
      <c r="D848" s="173" t="str">
        <f t="array" ref="D848">IF($A848="","",INDEX('主表 Stock_Transaction_Log'!$G:$G,$A848))</f>
        <v/>
      </c>
      <c r="E848" s="173" t="str">
        <f t="array" ref="E848">IF($A848="","",INDEX('主表 Stock_Transaction_Log'!$H:$H,$A848))</f>
        <v/>
      </c>
      <c r="F848" s="173" t="str">
        <f t="array" ref="F848">IF($A848="","",INDEX('主表 Stock_Transaction_Log'!$I:$I,$A848))</f>
        <v/>
      </c>
      <c r="G848" s="173" t="str">
        <f t="array" ref="G848">IF($A848="","",IF(INDEX('主表 Stock_Transaction_Log'!$R:$R,$A848)=0,"",INDEX('主表 Stock_Transaction_Log'!$R:$R,$A848)))</f>
        <v/>
      </c>
      <c r="H848" s="173" t="str">
        <f t="array" ref="H848">IF($A848="","",SUMIF('主表 Stock_Transaction_Log'!$T:$T,INDEX('主表 Stock_Transaction_Log'!$T:$T,$A848),'主表 Stock_Transaction_Log'!$S:$S)+SUMIF('主表 Stock_Transaction_Log'!$AB:$AB,INDEX('主表 Stock_Transaction_Log'!$T:$T,$A848),'主表 Stock_Transaction_Log'!$AC:$AC))</f>
        <v/>
      </c>
      <c r="I848" s="173" t="str">
        <f t="shared" si="1"/>
        <v/>
      </c>
      <c r="J848" s="173" t="str">
        <f t="shared" si="2"/>
        <v/>
      </c>
      <c r="K848" s="173" t="str">
        <f t="shared" si="3"/>
        <v/>
      </c>
      <c r="L848" s="173" t="str">
        <f t="array" ref="L848">IF($A848="","",INDEX('主表 Stock_Transaction_Log'!$P:$P,$A848))</f>
        <v/>
      </c>
      <c r="M848" s="174" t="str">
        <f>IF($A848="","",IF($H848&lt;=0,0,SUMIFS('主表 Stock_Transaction_Log'!$K$2:$K1000,'主表 Stock_Transaction_Log'!$C$2:$C1000,"Prepared",'主表 Stock_Transaction_Log'!$L$2:$L1000,$B848,'主表 Stock_Transaction_Log'!$F$2:$F1000,$C848,'主表 Stock_Transaction_Log'!$G$2:$G1000,$D848,'主表 Stock_Transaction_Log'!$P$2:$P1000,$L848)))</f>
        <v/>
      </c>
    </row>
    <row r="849">
      <c r="A849" s="173" t="str">
        <f>IF('主表 Stock_Transaction_Log'!$T849="","",IF(COUNTIF('主表 Stock_Transaction_Log'!$T$2:$T849,'主表 Stock_Transaction_Log'!$T849)=1,ROW('主表 Stock_Transaction_Log'!$T849),""))</f>
        <v/>
      </c>
      <c r="B849" s="173" t="str">
        <f t="array" ref="B849">IF($A849="","",INDEX('主表 Stock_Transaction_Log'!$Q:$Q,$A849))</f>
        <v/>
      </c>
      <c r="C849" s="173" t="str">
        <f t="array" ref="C849">IF($A849="","",IF(INDEX('主表 Stock_Transaction_Log'!$F:$F,$A849)=0,"",INDEX('主表 Stock_Transaction_Log'!$F:$F,$A849)))</f>
        <v/>
      </c>
      <c r="D849" s="173" t="str">
        <f t="array" ref="D849">IF($A849="","",INDEX('主表 Stock_Transaction_Log'!$G:$G,$A849))</f>
        <v/>
      </c>
      <c r="E849" s="173" t="str">
        <f t="array" ref="E849">IF($A849="","",INDEX('主表 Stock_Transaction_Log'!$H:$H,$A849))</f>
        <v/>
      </c>
      <c r="F849" s="173" t="str">
        <f t="array" ref="F849">IF($A849="","",INDEX('主表 Stock_Transaction_Log'!$I:$I,$A849))</f>
        <v/>
      </c>
      <c r="G849" s="173" t="str">
        <f t="array" ref="G849">IF($A849="","",IF(INDEX('主表 Stock_Transaction_Log'!$R:$R,$A849)=0,"",INDEX('主表 Stock_Transaction_Log'!$R:$R,$A849)))</f>
        <v/>
      </c>
      <c r="H849" s="173" t="str">
        <f t="array" ref="H849">IF($A849="","",SUMIF('主表 Stock_Transaction_Log'!$T:$T,INDEX('主表 Stock_Transaction_Log'!$T:$T,$A849),'主表 Stock_Transaction_Log'!$S:$S)+SUMIF('主表 Stock_Transaction_Log'!$AB:$AB,INDEX('主表 Stock_Transaction_Log'!$T:$T,$A849),'主表 Stock_Transaction_Log'!$AC:$AC))</f>
        <v/>
      </c>
      <c r="I849" s="173" t="str">
        <f t="shared" si="1"/>
        <v/>
      </c>
      <c r="J849" s="173" t="str">
        <f t="shared" si="2"/>
        <v/>
      </c>
      <c r="K849" s="173" t="str">
        <f t="shared" si="3"/>
        <v/>
      </c>
      <c r="L849" s="173" t="str">
        <f t="array" ref="L849">IF($A849="","",INDEX('主表 Stock_Transaction_Log'!$P:$P,$A849))</f>
        <v/>
      </c>
      <c r="M849" s="174" t="str">
        <f>IF($A849="","",IF($H849&lt;=0,0,SUMIFS('主表 Stock_Transaction_Log'!$K$2:$K1000,'主表 Stock_Transaction_Log'!$C$2:$C1000,"Prepared",'主表 Stock_Transaction_Log'!$L$2:$L1000,$B849,'主表 Stock_Transaction_Log'!$F$2:$F1000,$C849,'主表 Stock_Transaction_Log'!$G$2:$G1000,$D849,'主表 Stock_Transaction_Log'!$P$2:$P1000,$L849)))</f>
        <v/>
      </c>
    </row>
    <row r="850">
      <c r="A850" s="173" t="str">
        <f>IF('主表 Stock_Transaction_Log'!$T850="","",IF(COUNTIF('主表 Stock_Transaction_Log'!$T$2:$T850,'主表 Stock_Transaction_Log'!$T850)=1,ROW('主表 Stock_Transaction_Log'!$T850),""))</f>
        <v/>
      </c>
      <c r="B850" s="173" t="str">
        <f t="array" ref="B850">IF($A850="","",INDEX('主表 Stock_Transaction_Log'!$Q:$Q,$A850))</f>
        <v/>
      </c>
      <c r="C850" s="173" t="str">
        <f t="array" ref="C850">IF($A850="","",IF(INDEX('主表 Stock_Transaction_Log'!$F:$F,$A850)=0,"",INDEX('主表 Stock_Transaction_Log'!$F:$F,$A850)))</f>
        <v/>
      </c>
      <c r="D850" s="173" t="str">
        <f t="array" ref="D850">IF($A850="","",INDEX('主表 Stock_Transaction_Log'!$G:$G,$A850))</f>
        <v/>
      </c>
      <c r="E850" s="173" t="str">
        <f t="array" ref="E850">IF($A850="","",INDEX('主表 Stock_Transaction_Log'!$H:$H,$A850))</f>
        <v/>
      </c>
      <c r="F850" s="173" t="str">
        <f t="array" ref="F850">IF($A850="","",INDEX('主表 Stock_Transaction_Log'!$I:$I,$A850))</f>
        <v/>
      </c>
      <c r="G850" s="173" t="str">
        <f t="array" ref="G850">IF($A850="","",IF(INDEX('主表 Stock_Transaction_Log'!$R:$R,$A850)=0,"",INDEX('主表 Stock_Transaction_Log'!$R:$R,$A850)))</f>
        <v/>
      </c>
      <c r="H850" s="173" t="str">
        <f t="array" ref="H850">IF($A850="","",SUMIF('主表 Stock_Transaction_Log'!$T:$T,INDEX('主表 Stock_Transaction_Log'!$T:$T,$A850),'主表 Stock_Transaction_Log'!$S:$S)+SUMIF('主表 Stock_Transaction_Log'!$AB:$AB,INDEX('主表 Stock_Transaction_Log'!$T:$T,$A850),'主表 Stock_Transaction_Log'!$AC:$AC))</f>
        <v/>
      </c>
      <c r="I850" s="173" t="str">
        <f t="shared" si="1"/>
        <v/>
      </c>
      <c r="J850" s="173" t="str">
        <f t="shared" si="2"/>
        <v/>
      </c>
      <c r="K850" s="173" t="str">
        <f t="shared" si="3"/>
        <v/>
      </c>
      <c r="L850" s="173" t="str">
        <f t="array" ref="L850">IF($A850="","",INDEX('主表 Stock_Transaction_Log'!$P:$P,$A850))</f>
        <v/>
      </c>
      <c r="M850" s="174" t="str">
        <f>IF($A850="","",IF($H850&lt;=0,0,SUMIFS('主表 Stock_Transaction_Log'!$K$2:$K1000,'主表 Stock_Transaction_Log'!$C$2:$C1000,"Prepared",'主表 Stock_Transaction_Log'!$L$2:$L1000,$B850,'主表 Stock_Transaction_Log'!$F$2:$F1000,$C850,'主表 Stock_Transaction_Log'!$G$2:$G1000,$D850,'主表 Stock_Transaction_Log'!$P$2:$P1000,$L850)))</f>
        <v/>
      </c>
    </row>
    <row r="851">
      <c r="A851" s="173" t="str">
        <f>IF('主表 Stock_Transaction_Log'!$T851="","",IF(COUNTIF('主表 Stock_Transaction_Log'!$T$2:$T851,'主表 Stock_Transaction_Log'!$T851)=1,ROW('主表 Stock_Transaction_Log'!$T851),""))</f>
        <v/>
      </c>
      <c r="B851" s="173" t="str">
        <f t="array" ref="B851">IF($A851="","",INDEX('主表 Stock_Transaction_Log'!$Q:$Q,$A851))</f>
        <v/>
      </c>
      <c r="C851" s="173" t="str">
        <f t="array" ref="C851">IF($A851="","",IF(INDEX('主表 Stock_Transaction_Log'!$F:$F,$A851)=0,"",INDEX('主表 Stock_Transaction_Log'!$F:$F,$A851)))</f>
        <v/>
      </c>
      <c r="D851" s="173" t="str">
        <f t="array" ref="D851">IF($A851="","",INDEX('主表 Stock_Transaction_Log'!$G:$G,$A851))</f>
        <v/>
      </c>
      <c r="E851" s="173" t="str">
        <f t="array" ref="E851">IF($A851="","",INDEX('主表 Stock_Transaction_Log'!$H:$H,$A851))</f>
        <v/>
      </c>
      <c r="F851" s="173" t="str">
        <f t="array" ref="F851">IF($A851="","",INDEX('主表 Stock_Transaction_Log'!$I:$I,$A851))</f>
        <v/>
      </c>
      <c r="G851" s="173" t="str">
        <f t="array" ref="G851">IF($A851="","",IF(INDEX('主表 Stock_Transaction_Log'!$R:$R,$A851)=0,"",INDEX('主表 Stock_Transaction_Log'!$R:$R,$A851)))</f>
        <v/>
      </c>
      <c r="H851" s="173" t="str">
        <f t="array" ref="H851">IF($A851="","",SUMIF('主表 Stock_Transaction_Log'!$T:$T,INDEX('主表 Stock_Transaction_Log'!$T:$T,$A851),'主表 Stock_Transaction_Log'!$S:$S)+SUMIF('主表 Stock_Transaction_Log'!$AB:$AB,INDEX('主表 Stock_Transaction_Log'!$T:$T,$A851),'主表 Stock_Transaction_Log'!$AC:$AC))</f>
        <v/>
      </c>
      <c r="I851" s="173" t="str">
        <f t="shared" si="1"/>
        <v/>
      </c>
      <c r="J851" s="173" t="str">
        <f t="shared" si="2"/>
        <v/>
      </c>
      <c r="K851" s="173" t="str">
        <f t="shared" si="3"/>
        <v/>
      </c>
      <c r="L851" s="173" t="str">
        <f t="array" ref="L851">IF($A851="","",INDEX('主表 Stock_Transaction_Log'!$P:$P,$A851))</f>
        <v/>
      </c>
      <c r="M851" s="174" t="str">
        <f>IF($A851="","",IF($H851&lt;=0,0,SUMIFS('主表 Stock_Transaction_Log'!$K$2:$K1000,'主表 Stock_Transaction_Log'!$C$2:$C1000,"Prepared",'主表 Stock_Transaction_Log'!$L$2:$L1000,$B851,'主表 Stock_Transaction_Log'!$F$2:$F1000,$C851,'主表 Stock_Transaction_Log'!$G$2:$G1000,$D851,'主表 Stock_Transaction_Log'!$P$2:$P1000,$L851)))</f>
        <v/>
      </c>
    </row>
    <row r="852">
      <c r="A852" s="173" t="str">
        <f>IF('主表 Stock_Transaction_Log'!$T852="","",IF(COUNTIF('主表 Stock_Transaction_Log'!$T$2:$T852,'主表 Stock_Transaction_Log'!$T852)=1,ROW('主表 Stock_Transaction_Log'!$T852),""))</f>
        <v/>
      </c>
      <c r="B852" s="173" t="str">
        <f t="array" ref="B852">IF($A852="","",INDEX('主表 Stock_Transaction_Log'!$Q:$Q,$A852))</f>
        <v/>
      </c>
      <c r="C852" s="173" t="str">
        <f t="array" ref="C852">IF($A852="","",IF(INDEX('主表 Stock_Transaction_Log'!$F:$F,$A852)=0,"",INDEX('主表 Stock_Transaction_Log'!$F:$F,$A852)))</f>
        <v/>
      </c>
      <c r="D852" s="173" t="str">
        <f t="array" ref="D852">IF($A852="","",INDEX('主表 Stock_Transaction_Log'!$G:$G,$A852))</f>
        <v/>
      </c>
      <c r="E852" s="173" t="str">
        <f t="array" ref="E852">IF($A852="","",INDEX('主表 Stock_Transaction_Log'!$H:$H,$A852))</f>
        <v/>
      </c>
      <c r="F852" s="173" t="str">
        <f t="array" ref="F852">IF($A852="","",INDEX('主表 Stock_Transaction_Log'!$I:$I,$A852))</f>
        <v/>
      </c>
      <c r="G852" s="173" t="str">
        <f t="array" ref="G852">IF($A852="","",IF(INDEX('主表 Stock_Transaction_Log'!$R:$R,$A852)=0,"",INDEX('主表 Stock_Transaction_Log'!$R:$R,$A852)))</f>
        <v/>
      </c>
      <c r="H852" s="173" t="str">
        <f t="array" ref="H852">IF($A852="","",SUMIF('主表 Stock_Transaction_Log'!$T:$T,INDEX('主表 Stock_Transaction_Log'!$T:$T,$A852),'主表 Stock_Transaction_Log'!$S:$S)+SUMIF('主表 Stock_Transaction_Log'!$AB:$AB,INDEX('主表 Stock_Transaction_Log'!$T:$T,$A852),'主表 Stock_Transaction_Log'!$AC:$AC))</f>
        <v/>
      </c>
      <c r="I852" s="173" t="str">
        <f t="shared" si="1"/>
        <v/>
      </c>
      <c r="J852" s="173" t="str">
        <f t="shared" si="2"/>
        <v/>
      </c>
      <c r="K852" s="173" t="str">
        <f t="shared" si="3"/>
        <v/>
      </c>
      <c r="L852" s="173" t="str">
        <f t="array" ref="L852">IF($A852="","",INDEX('主表 Stock_Transaction_Log'!$P:$P,$A852))</f>
        <v/>
      </c>
      <c r="M852" s="174" t="str">
        <f>IF($A852="","",IF($H852&lt;=0,0,SUMIFS('主表 Stock_Transaction_Log'!$K$2:$K1000,'主表 Stock_Transaction_Log'!$C$2:$C1000,"Prepared",'主表 Stock_Transaction_Log'!$L$2:$L1000,$B852,'主表 Stock_Transaction_Log'!$F$2:$F1000,$C852,'主表 Stock_Transaction_Log'!$G$2:$G1000,$D852,'主表 Stock_Transaction_Log'!$P$2:$P1000,$L852)))</f>
        <v/>
      </c>
    </row>
    <row r="853">
      <c r="A853" s="173" t="str">
        <f>IF('主表 Stock_Transaction_Log'!$T853="","",IF(COUNTIF('主表 Stock_Transaction_Log'!$T$2:$T853,'主表 Stock_Transaction_Log'!$T853)=1,ROW('主表 Stock_Transaction_Log'!$T853),""))</f>
        <v/>
      </c>
      <c r="B853" s="173" t="str">
        <f t="array" ref="B853">IF($A853="","",INDEX('主表 Stock_Transaction_Log'!$Q:$Q,$A853))</f>
        <v/>
      </c>
      <c r="C853" s="173" t="str">
        <f t="array" ref="C853">IF($A853="","",IF(INDEX('主表 Stock_Transaction_Log'!$F:$F,$A853)=0,"",INDEX('主表 Stock_Transaction_Log'!$F:$F,$A853)))</f>
        <v/>
      </c>
      <c r="D853" s="173" t="str">
        <f t="array" ref="D853">IF($A853="","",INDEX('主表 Stock_Transaction_Log'!$G:$G,$A853))</f>
        <v/>
      </c>
      <c r="E853" s="173" t="str">
        <f t="array" ref="E853">IF($A853="","",INDEX('主表 Stock_Transaction_Log'!$H:$H,$A853))</f>
        <v/>
      </c>
      <c r="F853" s="173" t="str">
        <f t="array" ref="F853">IF($A853="","",INDEX('主表 Stock_Transaction_Log'!$I:$I,$A853))</f>
        <v/>
      </c>
      <c r="G853" s="173" t="str">
        <f t="array" ref="G853">IF($A853="","",IF(INDEX('主表 Stock_Transaction_Log'!$R:$R,$A853)=0,"",INDEX('主表 Stock_Transaction_Log'!$R:$R,$A853)))</f>
        <v/>
      </c>
      <c r="H853" s="173" t="str">
        <f t="array" ref="H853">IF($A853="","",SUMIF('主表 Stock_Transaction_Log'!$T:$T,INDEX('主表 Stock_Transaction_Log'!$T:$T,$A853),'主表 Stock_Transaction_Log'!$S:$S)+SUMIF('主表 Stock_Transaction_Log'!$AB:$AB,INDEX('主表 Stock_Transaction_Log'!$T:$T,$A853),'主表 Stock_Transaction_Log'!$AC:$AC))</f>
        <v/>
      </c>
      <c r="I853" s="173" t="str">
        <f t="shared" si="1"/>
        <v/>
      </c>
      <c r="J853" s="173" t="str">
        <f t="shared" si="2"/>
        <v/>
      </c>
      <c r="K853" s="173" t="str">
        <f t="shared" si="3"/>
        <v/>
      </c>
      <c r="L853" s="173" t="str">
        <f t="array" ref="L853">IF($A853="","",INDEX('主表 Stock_Transaction_Log'!$P:$P,$A853))</f>
        <v/>
      </c>
      <c r="M853" s="174" t="str">
        <f>IF($A853="","",IF($H853&lt;=0,0,SUMIFS('主表 Stock_Transaction_Log'!$K$2:$K1000,'主表 Stock_Transaction_Log'!$C$2:$C1000,"Prepared",'主表 Stock_Transaction_Log'!$L$2:$L1000,$B853,'主表 Stock_Transaction_Log'!$F$2:$F1000,$C853,'主表 Stock_Transaction_Log'!$G$2:$G1000,$D853,'主表 Stock_Transaction_Log'!$P$2:$P1000,$L853)))</f>
        <v/>
      </c>
    </row>
    <row r="854">
      <c r="A854" s="173" t="str">
        <f>IF('主表 Stock_Transaction_Log'!$T854="","",IF(COUNTIF('主表 Stock_Transaction_Log'!$T$2:$T854,'主表 Stock_Transaction_Log'!$T854)=1,ROW('主表 Stock_Transaction_Log'!$T854),""))</f>
        <v/>
      </c>
      <c r="B854" s="173" t="str">
        <f t="array" ref="B854">IF($A854="","",INDEX('主表 Stock_Transaction_Log'!$Q:$Q,$A854))</f>
        <v/>
      </c>
      <c r="C854" s="173" t="str">
        <f t="array" ref="C854">IF($A854="","",IF(INDEX('主表 Stock_Transaction_Log'!$F:$F,$A854)=0,"",INDEX('主表 Stock_Transaction_Log'!$F:$F,$A854)))</f>
        <v/>
      </c>
      <c r="D854" s="173" t="str">
        <f t="array" ref="D854">IF($A854="","",INDEX('主表 Stock_Transaction_Log'!$G:$G,$A854))</f>
        <v/>
      </c>
      <c r="E854" s="173" t="str">
        <f t="array" ref="E854">IF($A854="","",INDEX('主表 Stock_Transaction_Log'!$H:$H,$A854))</f>
        <v/>
      </c>
      <c r="F854" s="173" t="str">
        <f t="array" ref="F854">IF($A854="","",INDEX('主表 Stock_Transaction_Log'!$I:$I,$A854))</f>
        <v/>
      </c>
      <c r="G854" s="173" t="str">
        <f t="array" ref="G854">IF($A854="","",IF(INDEX('主表 Stock_Transaction_Log'!$R:$R,$A854)=0,"",INDEX('主表 Stock_Transaction_Log'!$R:$R,$A854)))</f>
        <v/>
      </c>
      <c r="H854" s="173" t="str">
        <f t="array" ref="H854">IF($A854="","",SUMIF('主表 Stock_Transaction_Log'!$T:$T,INDEX('主表 Stock_Transaction_Log'!$T:$T,$A854),'主表 Stock_Transaction_Log'!$S:$S)+SUMIF('主表 Stock_Transaction_Log'!$AB:$AB,INDEX('主表 Stock_Transaction_Log'!$T:$T,$A854),'主表 Stock_Transaction_Log'!$AC:$AC))</f>
        <v/>
      </c>
      <c r="I854" s="173" t="str">
        <f t="shared" si="1"/>
        <v/>
      </c>
      <c r="J854" s="173" t="str">
        <f t="shared" si="2"/>
        <v/>
      </c>
      <c r="K854" s="173" t="str">
        <f t="shared" si="3"/>
        <v/>
      </c>
      <c r="L854" s="173" t="str">
        <f t="array" ref="L854">IF($A854="","",INDEX('主表 Stock_Transaction_Log'!$P:$P,$A854))</f>
        <v/>
      </c>
      <c r="M854" s="174" t="str">
        <f>IF($A854="","",IF($H854&lt;=0,0,SUMIFS('主表 Stock_Transaction_Log'!$K$2:$K1000,'主表 Stock_Transaction_Log'!$C$2:$C1000,"Prepared",'主表 Stock_Transaction_Log'!$L$2:$L1000,$B854,'主表 Stock_Transaction_Log'!$F$2:$F1000,$C854,'主表 Stock_Transaction_Log'!$G$2:$G1000,$D854,'主表 Stock_Transaction_Log'!$P$2:$P1000,$L854)))</f>
        <v/>
      </c>
    </row>
    <row r="855">
      <c r="A855" s="173" t="str">
        <f>IF('主表 Stock_Transaction_Log'!$T855="","",IF(COUNTIF('主表 Stock_Transaction_Log'!$T$2:$T855,'主表 Stock_Transaction_Log'!$T855)=1,ROW('主表 Stock_Transaction_Log'!$T855),""))</f>
        <v/>
      </c>
      <c r="B855" s="173" t="str">
        <f t="array" ref="B855">IF($A855="","",INDEX('主表 Stock_Transaction_Log'!$Q:$Q,$A855))</f>
        <v/>
      </c>
      <c r="C855" s="173" t="str">
        <f t="array" ref="C855">IF($A855="","",IF(INDEX('主表 Stock_Transaction_Log'!$F:$F,$A855)=0,"",INDEX('主表 Stock_Transaction_Log'!$F:$F,$A855)))</f>
        <v/>
      </c>
      <c r="D855" s="173" t="str">
        <f t="array" ref="D855">IF($A855="","",INDEX('主表 Stock_Transaction_Log'!$G:$G,$A855))</f>
        <v/>
      </c>
      <c r="E855" s="173" t="str">
        <f t="array" ref="E855">IF($A855="","",INDEX('主表 Stock_Transaction_Log'!$H:$H,$A855))</f>
        <v/>
      </c>
      <c r="F855" s="173" t="str">
        <f t="array" ref="F855">IF($A855="","",INDEX('主表 Stock_Transaction_Log'!$I:$I,$A855))</f>
        <v/>
      </c>
      <c r="G855" s="173" t="str">
        <f t="array" ref="G855">IF($A855="","",IF(INDEX('主表 Stock_Transaction_Log'!$R:$R,$A855)=0,"",INDEX('主表 Stock_Transaction_Log'!$R:$R,$A855)))</f>
        <v/>
      </c>
      <c r="H855" s="173" t="str">
        <f t="array" ref="H855">IF($A855="","",SUMIF('主表 Stock_Transaction_Log'!$T:$T,INDEX('主表 Stock_Transaction_Log'!$T:$T,$A855),'主表 Stock_Transaction_Log'!$S:$S)+SUMIF('主表 Stock_Transaction_Log'!$AB:$AB,INDEX('主表 Stock_Transaction_Log'!$T:$T,$A855),'主表 Stock_Transaction_Log'!$AC:$AC))</f>
        <v/>
      </c>
      <c r="I855" s="173" t="str">
        <f t="shared" si="1"/>
        <v/>
      </c>
      <c r="J855" s="173" t="str">
        <f t="shared" si="2"/>
        <v/>
      </c>
      <c r="K855" s="173" t="str">
        <f t="shared" si="3"/>
        <v/>
      </c>
      <c r="L855" s="173" t="str">
        <f t="array" ref="L855">IF($A855="","",INDEX('主表 Stock_Transaction_Log'!$P:$P,$A855))</f>
        <v/>
      </c>
      <c r="M855" s="174" t="str">
        <f>IF($A855="","",IF($H855&lt;=0,0,SUMIFS('主表 Stock_Transaction_Log'!$K$2:$K1000,'主表 Stock_Transaction_Log'!$C$2:$C1000,"Prepared",'主表 Stock_Transaction_Log'!$L$2:$L1000,$B855,'主表 Stock_Transaction_Log'!$F$2:$F1000,$C855,'主表 Stock_Transaction_Log'!$G$2:$G1000,$D855,'主表 Stock_Transaction_Log'!$P$2:$P1000,$L855)))</f>
        <v/>
      </c>
    </row>
    <row r="856">
      <c r="A856" s="173" t="str">
        <f>IF('主表 Stock_Transaction_Log'!$T856="","",IF(COUNTIF('主表 Stock_Transaction_Log'!$T$2:$T856,'主表 Stock_Transaction_Log'!$T856)=1,ROW('主表 Stock_Transaction_Log'!$T856),""))</f>
        <v/>
      </c>
      <c r="B856" s="173" t="str">
        <f t="array" ref="B856">IF($A856="","",INDEX('主表 Stock_Transaction_Log'!$Q:$Q,$A856))</f>
        <v/>
      </c>
      <c r="C856" s="173" t="str">
        <f t="array" ref="C856">IF($A856="","",IF(INDEX('主表 Stock_Transaction_Log'!$F:$F,$A856)=0,"",INDEX('主表 Stock_Transaction_Log'!$F:$F,$A856)))</f>
        <v/>
      </c>
      <c r="D856" s="173" t="str">
        <f t="array" ref="D856">IF($A856="","",INDEX('主表 Stock_Transaction_Log'!$G:$G,$A856))</f>
        <v/>
      </c>
      <c r="E856" s="173" t="str">
        <f t="array" ref="E856">IF($A856="","",INDEX('主表 Stock_Transaction_Log'!$H:$H,$A856))</f>
        <v/>
      </c>
      <c r="F856" s="173" t="str">
        <f t="array" ref="F856">IF($A856="","",INDEX('主表 Stock_Transaction_Log'!$I:$I,$A856))</f>
        <v/>
      </c>
      <c r="G856" s="173" t="str">
        <f t="array" ref="G856">IF($A856="","",IF(INDEX('主表 Stock_Transaction_Log'!$R:$R,$A856)=0,"",INDEX('主表 Stock_Transaction_Log'!$R:$R,$A856)))</f>
        <v/>
      </c>
      <c r="H856" s="173" t="str">
        <f t="array" ref="H856">IF($A856="","",SUMIF('主表 Stock_Transaction_Log'!$T:$T,INDEX('主表 Stock_Transaction_Log'!$T:$T,$A856),'主表 Stock_Transaction_Log'!$S:$S)+SUMIF('主表 Stock_Transaction_Log'!$AB:$AB,INDEX('主表 Stock_Transaction_Log'!$T:$T,$A856),'主表 Stock_Transaction_Log'!$AC:$AC))</f>
        <v/>
      </c>
      <c r="I856" s="173" t="str">
        <f t="shared" si="1"/>
        <v/>
      </c>
      <c r="J856" s="173" t="str">
        <f t="shared" si="2"/>
        <v/>
      </c>
      <c r="K856" s="173" t="str">
        <f t="shared" si="3"/>
        <v/>
      </c>
      <c r="L856" s="173" t="str">
        <f t="array" ref="L856">IF($A856="","",INDEX('主表 Stock_Transaction_Log'!$P:$P,$A856))</f>
        <v/>
      </c>
      <c r="M856" s="174" t="str">
        <f>IF($A856="","",IF($H856&lt;=0,0,SUMIFS('主表 Stock_Transaction_Log'!$K$2:$K1000,'主表 Stock_Transaction_Log'!$C$2:$C1000,"Prepared",'主表 Stock_Transaction_Log'!$L$2:$L1000,$B856,'主表 Stock_Transaction_Log'!$F$2:$F1000,$C856,'主表 Stock_Transaction_Log'!$G$2:$G1000,$D856,'主表 Stock_Transaction_Log'!$P$2:$P1000,$L856)))</f>
        <v/>
      </c>
    </row>
    <row r="857">
      <c r="A857" s="173" t="str">
        <f>IF('主表 Stock_Transaction_Log'!$T857="","",IF(COUNTIF('主表 Stock_Transaction_Log'!$T$2:$T857,'主表 Stock_Transaction_Log'!$T857)=1,ROW('主表 Stock_Transaction_Log'!$T857),""))</f>
        <v/>
      </c>
      <c r="B857" s="173" t="str">
        <f t="array" ref="B857">IF($A857="","",INDEX('主表 Stock_Transaction_Log'!$Q:$Q,$A857))</f>
        <v/>
      </c>
      <c r="C857" s="173" t="str">
        <f t="array" ref="C857">IF($A857="","",IF(INDEX('主表 Stock_Transaction_Log'!$F:$F,$A857)=0,"",INDEX('主表 Stock_Transaction_Log'!$F:$F,$A857)))</f>
        <v/>
      </c>
      <c r="D857" s="173" t="str">
        <f t="array" ref="D857">IF($A857="","",INDEX('主表 Stock_Transaction_Log'!$G:$G,$A857))</f>
        <v/>
      </c>
      <c r="E857" s="173" t="str">
        <f t="array" ref="E857">IF($A857="","",INDEX('主表 Stock_Transaction_Log'!$H:$H,$A857))</f>
        <v/>
      </c>
      <c r="F857" s="173" t="str">
        <f t="array" ref="F857">IF($A857="","",INDEX('主表 Stock_Transaction_Log'!$I:$I,$A857))</f>
        <v/>
      </c>
      <c r="G857" s="173" t="str">
        <f t="array" ref="G857">IF($A857="","",IF(INDEX('主表 Stock_Transaction_Log'!$R:$R,$A857)=0,"",INDEX('主表 Stock_Transaction_Log'!$R:$R,$A857)))</f>
        <v/>
      </c>
      <c r="H857" s="173" t="str">
        <f t="array" ref="H857">IF($A857="","",SUMIF('主表 Stock_Transaction_Log'!$T:$T,INDEX('主表 Stock_Transaction_Log'!$T:$T,$A857),'主表 Stock_Transaction_Log'!$S:$S)+SUMIF('主表 Stock_Transaction_Log'!$AB:$AB,INDEX('主表 Stock_Transaction_Log'!$T:$T,$A857),'主表 Stock_Transaction_Log'!$AC:$AC))</f>
        <v/>
      </c>
      <c r="I857" s="173" t="str">
        <f t="shared" si="1"/>
        <v/>
      </c>
      <c r="J857" s="173" t="str">
        <f t="shared" si="2"/>
        <v/>
      </c>
      <c r="K857" s="173" t="str">
        <f t="shared" si="3"/>
        <v/>
      </c>
      <c r="L857" s="173" t="str">
        <f t="array" ref="L857">IF($A857="","",INDEX('主表 Stock_Transaction_Log'!$P:$P,$A857))</f>
        <v/>
      </c>
      <c r="M857" s="174" t="str">
        <f>IF($A857="","",IF($H857&lt;=0,0,SUMIFS('主表 Stock_Transaction_Log'!$K$2:$K1000,'主表 Stock_Transaction_Log'!$C$2:$C1000,"Prepared",'主表 Stock_Transaction_Log'!$L$2:$L1000,$B857,'主表 Stock_Transaction_Log'!$F$2:$F1000,$C857,'主表 Stock_Transaction_Log'!$G$2:$G1000,$D857,'主表 Stock_Transaction_Log'!$P$2:$P1000,$L857)))</f>
        <v/>
      </c>
    </row>
    <row r="858">
      <c r="A858" s="173" t="str">
        <f>IF('主表 Stock_Transaction_Log'!$T858="","",IF(COUNTIF('主表 Stock_Transaction_Log'!$T$2:$T858,'主表 Stock_Transaction_Log'!$T858)=1,ROW('主表 Stock_Transaction_Log'!$T858),""))</f>
        <v/>
      </c>
      <c r="B858" s="173" t="str">
        <f t="array" ref="B858">IF($A858="","",INDEX('主表 Stock_Transaction_Log'!$Q:$Q,$A858))</f>
        <v/>
      </c>
      <c r="C858" s="173" t="str">
        <f t="array" ref="C858">IF($A858="","",IF(INDEX('主表 Stock_Transaction_Log'!$F:$F,$A858)=0,"",INDEX('主表 Stock_Transaction_Log'!$F:$F,$A858)))</f>
        <v/>
      </c>
      <c r="D858" s="173" t="str">
        <f t="array" ref="D858">IF($A858="","",INDEX('主表 Stock_Transaction_Log'!$G:$G,$A858))</f>
        <v/>
      </c>
      <c r="E858" s="173" t="str">
        <f t="array" ref="E858">IF($A858="","",INDEX('主表 Stock_Transaction_Log'!$H:$H,$A858))</f>
        <v/>
      </c>
      <c r="F858" s="173" t="str">
        <f t="array" ref="F858">IF($A858="","",INDEX('主表 Stock_Transaction_Log'!$I:$I,$A858))</f>
        <v/>
      </c>
      <c r="G858" s="173" t="str">
        <f t="array" ref="G858">IF($A858="","",IF(INDEX('主表 Stock_Transaction_Log'!$R:$R,$A858)=0,"",INDEX('主表 Stock_Transaction_Log'!$R:$R,$A858)))</f>
        <v/>
      </c>
      <c r="H858" s="173" t="str">
        <f t="array" ref="H858">IF($A858="","",SUMIF('主表 Stock_Transaction_Log'!$T:$T,INDEX('主表 Stock_Transaction_Log'!$T:$T,$A858),'主表 Stock_Transaction_Log'!$S:$S)+SUMIF('主表 Stock_Transaction_Log'!$AB:$AB,INDEX('主表 Stock_Transaction_Log'!$T:$T,$A858),'主表 Stock_Transaction_Log'!$AC:$AC))</f>
        <v/>
      </c>
      <c r="I858" s="173" t="str">
        <f t="shared" si="1"/>
        <v/>
      </c>
      <c r="J858" s="173" t="str">
        <f t="shared" si="2"/>
        <v/>
      </c>
      <c r="K858" s="173" t="str">
        <f t="shared" si="3"/>
        <v/>
      </c>
      <c r="L858" s="173" t="str">
        <f t="array" ref="L858">IF($A858="","",INDEX('主表 Stock_Transaction_Log'!$P:$P,$A858))</f>
        <v/>
      </c>
      <c r="M858" s="174" t="str">
        <f>IF($A858="","",IF($H858&lt;=0,0,SUMIFS('主表 Stock_Transaction_Log'!$K$2:$K1000,'主表 Stock_Transaction_Log'!$C$2:$C1000,"Prepared",'主表 Stock_Transaction_Log'!$L$2:$L1000,$B858,'主表 Stock_Transaction_Log'!$F$2:$F1000,$C858,'主表 Stock_Transaction_Log'!$G$2:$G1000,$D858,'主表 Stock_Transaction_Log'!$P$2:$P1000,$L858)))</f>
        <v/>
      </c>
    </row>
    <row r="859">
      <c r="A859" s="173" t="str">
        <f>IF('主表 Stock_Transaction_Log'!$T859="","",IF(COUNTIF('主表 Stock_Transaction_Log'!$T$2:$T859,'主表 Stock_Transaction_Log'!$T859)=1,ROW('主表 Stock_Transaction_Log'!$T859),""))</f>
        <v/>
      </c>
      <c r="B859" s="173" t="str">
        <f t="array" ref="B859">IF($A859="","",INDEX('主表 Stock_Transaction_Log'!$Q:$Q,$A859))</f>
        <v/>
      </c>
      <c r="C859" s="173" t="str">
        <f t="array" ref="C859">IF($A859="","",IF(INDEX('主表 Stock_Transaction_Log'!$F:$F,$A859)=0,"",INDEX('主表 Stock_Transaction_Log'!$F:$F,$A859)))</f>
        <v/>
      </c>
      <c r="D859" s="173" t="str">
        <f t="array" ref="D859">IF($A859="","",INDEX('主表 Stock_Transaction_Log'!$G:$G,$A859))</f>
        <v/>
      </c>
      <c r="E859" s="173" t="str">
        <f t="array" ref="E859">IF($A859="","",INDEX('主表 Stock_Transaction_Log'!$H:$H,$A859))</f>
        <v/>
      </c>
      <c r="F859" s="173" t="str">
        <f t="array" ref="F859">IF($A859="","",INDEX('主表 Stock_Transaction_Log'!$I:$I,$A859))</f>
        <v/>
      </c>
      <c r="G859" s="173" t="str">
        <f t="array" ref="G859">IF($A859="","",IF(INDEX('主表 Stock_Transaction_Log'!$R:$R,$A859)=0,"",INDEX('主表 Stock_Transaction_Log'!$R:$R,$A859)))</f>
        <v/>
      </c>
      <c r="H859" s="173" t="str">
        <f t="array" ref="H859">IF($A859="","",SUMIF('主表 Stock_Transaction_Log'!$T:$T,INDEX('主表 Stock_Transaction_Log'!$T:$T,$A859),'主表 Stock_Transaction_Log'!$S:$S)+SUMIF('主表 Stock_Transaction_Log'!$AB:$AB,INDEX('主表 Stock_Transaction_Log'!$T:$T,$A859),'主表 Stock_Transaction_Log'!$AC:$AC))</f>
        <v/>
      </c>
      <c r="I859" s="173" t="str">
        <f t="shared" si="1"/>
        <v/>
      </c>
      <c r="J859" s="173" t="str">
        <f t="shared" si="2"/>
        <v/>
      </c>
      <c r="K859" s="173" t="str">
        <f t="shared" si="3"/>
        <v/>
      </c>
      <c r="L859" s="173" t="str">
        <f t="array" ref="L859">IF($A859="","",INDEX('主表 Stock_Transaction_Log'!$P:$P,$A859))</f>
        <v/>
      </c>
      <c r="M859" s="174" t="str">
        <f>IF($A859="","",IF($H859&lt;=0,0,SUMIFS('主表 Stock_Transaction_Log'!$K$2:$K1000,'主表 Stock_Transaction_Log'!$C$2:$C1000,"Prepared",'主表 Stock_Transaction_Log'!$L$2:$L1000,$B859,'主表 Stock_Transaction_Log'!$F$2:$F1000,$C859,'主表 Stock_Transaction_Log'!$G$2:$G1000,$D859,'主表 Stock_Transaction_Log'!$P$2:$P1000,$L859)))</f>
        <v/>
      </c>
    </row>
    <row r="860">
      <c r="A860" s="173" t="str">
        <f>IF('主表 Stock_Transaction_Log'!$T860="","",IF(COUNTIF('主表 Stock_Transaction_Log'!$T$2:$T860,'主表 Stock_Transaction_Log'!$T860)=1,ROW('主表 Stock_Transaction_Log'!$T860),""))</f>
        <v/>
      </c>
      <c r="B860" s="173" t="str">
        <f t="array" ref="B860">IF($A860="","",INDEX('主表 Stock_Transaction_Log'!$Q:$Q,$A860))</f>
        <v/>
      </c>
      <c r="C860" s="173" t="str">
        <f t="array" ref="C860">IF($A860="","",IF(INDEX('主表 Stock_Transaction_Log'!$F:$F,$A860)=0,"",INDEX('主表 Stock_Transaction_Log'!$F:$F,$A860)))</f>
        <v/>
      </c>
      <c r="D860" s="173" t="str">
        <f t="array" ref="D860">IF($A860="","",INDEX('主表 Stock_Transaction_Log'!$G:$G,$A860))</f>
        <v/>
      </c>
      <c r="E860" s="173" t="str">
        <f t="array" ref="E860">IF($A860="","",INDEX('主表 Stock_Transaction_Log'!$H:$H,$A860))</f>
        <v/>
      </c>
      <c r="F860" s="173" t="str">
        <f t="array" ref="F860">IF($A860="","",INDEX('主表 Stock_Transaction_Log'!$I:$I,$A860))</f>
        <v/>
      </c>
      <c r="G860" s="173" t="str">
        <f t="array" ref="G860">IF($A860="","",IF(INDEX('主表 Stock_Transaction_Log'!$R:$R,$A860)=0,"",INDEX('主表 Stock_Transaction_Log'!$R:$R,$A860)))</f>
        <v/>
      </c>
      <c r="H860" s="173" t="str">
        <f t="array" ref="H860">IF($A860="","",SUMIF('主表 Stock_Transaction_Log'!$T:$T,INDEX('主表 Stock_Transaction_Log'!$T:$T,$A860),'主表 Stock_Transaction_Log'!$S:$S)+SUMIF('主表 Stock_Transaction_Log'!$AB:$AB,INDEX('主表 Stock_Transaction_Log'!$T:$T,$A860),'主表 Stock_Transaction_Log'!$AC:$AC))</f>
        <v/>
      </c>
      <c r="I860" s="173" t="str">
        <f t="shared" si="1"/>
        <v/>
      </c>
      <c r="J860" s="173" t="str">
        <f t="shared" si="2"/>
        <v/>
      </c>
      <c r="K860" s="173" t="str">
        <f t="shared" si="3"/>
        <v/>
      </c>
      <c r="L860" s="173" t="str">
        <f t="array" ref="L860">IF($A860="","",INDEX('主表 Stock_Transaction_Log'!$P:$P,$A860))</f>
        <v/>
      </c>
      <c r="M860" s="174" t="str">
        <f>IF($A860="","",IF($H860&lt;=0,0,SUMIFS('主表 Stock_Transaction_Log'!$K$2:$K1000,'主表 Stock_Transaction_Log'!$C$2:$C1000,"Prepared",'主表 Stock_Transaction_Log'!$L$2:$L1000,$B860,'主表 Stock_Transaction_Log'!$F$2:$F1000,$C860,'主表 Stock_Transaction_Log'!$G$2:$G1000,$D860,'主表 Stock_Transaction_Log'!$P$2:$P1000,$L860)))</f>
        <v/>
      </c>
    </row>
    <row r="861">
      <c r="A861" s="173" t="str">
        <f>IF('主表 Stock_Transaction_Log'!$T861="","",IF(COUNTIF('主表 Stock_Transaction_Log'!$T$2:$T861,'主表 Stock_Transaction_Log'!$T861)=1,ROW('主表 Stock_Transaction_Log'!$T861),""))</f>
        <v/>
      </c>
      <c r="B861" s="173" t="str">
        <f t="array" ref="B861">IF($A861="","",INDEX('主表 Stock_Transaction_Log'!$Q:$Q,$A861))</f>
        <v/>
      </c>
      <c r="C861" s="173" t="str">
        <f t="array" ref="C861">IF($A861="","",IF(INDEX('主表 Stock_Transaction_Log'!$F:$F,$A861)=0,"",INDEX('主表 Stock_Transaction_Log'!$F:$F,$A861)))</f>
        <v/>
      </c>
      <c r="D861" s="173" t="str">
        <f t="array" ref="D861">IF($A861="","",INDEX('主表 Stock_Transaction_Log'!$G:$G,$A861))</f>
        <v/>
      </c>
      <c r="E861" s="173" t="str">
        <f t="array" ref="E861">IF($A861="","",INDEX('主表 Stock_Transaction_Log'!$H:$H,$A861))</f>
        <v/>
      </c>
      <c r="F861" s="173" t="str">
        <f t="array" ref="F861">IF($A861="","",INDEX('主表 Stock_Transaction_Log'!$I:$I,$A861))</f>
        <v/>
      </c>
      <c r="G861" s="173" t="str">
        <f t="array" ref="G861">IF($A861="","",IF(INDEX('主表 Stock_Transaction_Log'!$R:$R,$A861)=0,"",INDEX('主表 Stock_Transaction_Log'!$R:$R,$A861)))</f>
        <v/>
      </c>
      <c r="H861" s="173" t="str">
        <f t="array" ref="H861">IF($A861="","",SUMIF('主表 Stock_Transaction_Log'!$T:$T,INDEX('主表 Stock_Transaction_Log'!$T:$T,$A861),'主表 Stock_Transaction_Log'!$S:$S)+SUMIF('主表 Stock_Transaction_Log'!$AB:$AB,INDEX('主表 Stock_Transaction_Log'!$T:$T,$A861),'主表 Stock_Transaction_Log'!$AC:$AC))</f>
        <v/>
      </c>
      <c r="I861" s="173" t="str">
        <f t="shared" si="1"/>
        <v/>
      </c>
      <c r="J861" s="173" t="str">
        <f t="shared" si="2"/>
        <v/>
      </c>
      <c r="K861" s="173" t="str">
        <f t="shared" si="3"/>
        <v/>
      </c>
      <c r="L861" s="173" t="str">
        <f t="array" ref="L861">IF($A861="","",INDEX('主表 Stock_Transaction_Log'!$P:$P,$A861))</f>
        <v/>
      </c>
      <c r="M861" s="174" t="str">
        <f>IF($A861="","",IF($H861&lt;=0,0,SUMIFS('主表 Stock_Transaction_Log'!$K$2:$K1000,'主表 Stock_Transaction_Log'!$C$2:$C1000,"Prepared",'主表 Stock_Transaction_Log'!$L$2:$L1000,$B861,'主表 Stock_Transaction_Log'!$F$2:$F1000,$C861,'主表 Stock_Transaction_Log'!$G$2:$G1000,$D861,'主表 Stock_Transaction_Log'!$P$2:$P1000,$L861)))</f>
        <v/>
      </c>
    </row>
    <row r="862">
      <c r="A862" s="173" t="str">
        <f>IF('主表 Stock_Transaction_Log'!$T862="","",IF(COUNTIF('主表 Stock_Transaction_Log'!$T$2:$T862,'主表 Stock_Transaction_Log'!$T862)=1,ROW('主表 Stock_Transaction_Log'!$T862),""))</f>
        <v/>
      </c>
      <c r="B862" s="173" t="str">
        <f t="array" ref="B862">IF($A862="","",INDEX('主表 Stock_Transaction_Log'!$Q:$Q,$A862))</f>
        <v/>
      </c>
      <c r="C862" s="173" t="str">
        <f t="array" ref="C862">IF($A862="","",IF(INDEX('主表 Stock_Transaction_Log'!$F:$F,$A862)=0,"",INDEX('主表 Stock_Transaction_Log'!$F:$F,$A862)))</f>
        <v/>
      </c>
      <c r="D862" s="173" t="str">
        <f t="array" ref="D862">IF($A862="","",INDEX('主表 Stock_Transaction_Log'!$G:$G,$A862))</f>
        <v/>
      </c>
      <c r="E862" s="173" t="str">
        <f t="array" ref="E862">IF($A862="","",INDEX('主表 Stock_Transaction_Log'!$H:$H,$A862))</f>
        <v/>
      </c>
      <c r="F862" s="173" t="str">
        <f t="array" ref="F862">IF($A862="","",INDEX('主表 Stock_Transaction_Log'!$I:$I,$A862))</f>
        <v/>
      </c>
      <c r="G862" s="173" t="str">
        <f t="array" ref="G862">IF($A862="","",IF(INDEX('主表 Stock_Transaction_Log'!$R:$R,$A862)=0,"",INDEX('主表 Stock_Transaction_Log'!$R:$R,$A862)))</f>
        <v/>
      </c>
      <c r="H862" s="173" t="str">
        <f t="array" ref="H862">IF($A862="","",SUMIF('主表 Stock_Transaction_Log'!$T:$T,INDEX('主表 Stock_Transaction_Log'!$T:$T,$A862),'主表 Stock_Transaction_Log'!$S:$S)+SUMIF('主表 Stock_Transaction_Log'!$AB:$AB,INDEX('主表 Stock_Transaction_Log'!$T:$T,$A862),'主表 Stock_Transaction_Log'!$AC:$AC))</f>
        <v/>
      </c>
      <c r="I862" s="173" t="str">
        <f t="shared" si="1"/>
        <v/>
      </c>
      <c r="J862" s="173" t="str">
        <f t="shared" si="2"/>
        <v/>
      </c>
      <c r="K862" s="173" t="str">
        <f t="shared" si="3"/>
        <v/>
      </c>
      <c r="L862" s="173" t="str">
        <f t="array" ref="L862">IF($A862="","",INDEX('主表 Stock_Transaction_Log'!$P:$P,$A862))</f>
        <v/>
      </c>
      <c r="M862" s="174" t="str">
        <f>IF($A862="","",IF($H862&lt;=0,0,SUMIFS('主表 Stock_Transaction_Log'!$K$2:$K1000,'主表 Stock_Transaction_Log'!$C$2:$C1000,"Prepared",'主表 Stock_Transaction_Log'!$L$2:$L1000,$B862,'主表 Stock_Transaction_Log'!$F$2:$F1000,$C862,'主表 Stock_Transaction_Log'!$G$2:$G1000,$D862,'主表 Stock_Transaction_Log'!$P$2:$P1000,$L862)))</f>
        <v/>
      </c>
    </row>
    <row r="863">
      <c r="A863" s="173" t="str">
        <f>IF('主表 Stock_Transaction_Log'!$T863="","",IF(COUNTIF('主表 Stock_Transaction_Log'!$T$2:$T863,'主表 Stock_Transaction_Log'!$T863)=1,ROW('主表 Stock_Transaction_Log'!$T863),""))</f>
        <v/>
      </c>
      <c r="B863" s="173" t="str">
        <f t="array" ref="B863">IF($A863="","",INDEX('主表 Stock_Transaction_Log'!$Q:$Q,$A863))</f>
        <v/>
      </c>
      <c r="C863" s="173" t="str">
        <f t="array" ref="C863">IF($A863="","",IF(INDEX('主表 Stock_Transaction_Log'!$F:$F,$A863)=0,"",INDEX('主表 Stock_Transaction_Log'!$F:$F,$A863)))</f>
        <v/>
      </c>
      <c r="D863" s="173" t="str">
        <f t="array" ref="D863">IF($A863="","",INDEX('主表 Stock_Transaction_Log'!$G:$G,$A863))</f>
        <v/>
      </c>
      <c r="E863" s="173" t="str">
        <f t="array" ref="E863">IF($A863="","",INDEX('主表 Stock_Transaction_Log'!$H:$H,$A863))</f>
        <v/>
      </c>
      <c r="F863" s="173" t="str">
        <f t="array" ref="F863">IF($A863="","",INDEX('主表 Stock_Transaction_Log'!$I:$I,$A863))</f>
        <v/>
      </c>
      <c r="G863" s="173" t="str">
        <f t="array" ref="G863">IF($A863="","",IF(INDEX('主表 Stock_Transaction_Log'!$R:$R,$A863)=0,"",INDEX('主表 Stock_Transaction_Log'!$R:$R,$A863)))</f>
        <v/>
      </c>
      <c r="H863" s="173" t="str">
        <f t="array" ref="H863">IF($A863="","",SUMIF('主表 Stock_Transaction_Log'!$T:$T,INDEX('主表 Stock_Transaction_Log'!$T:$T,$A863),'主表 Stock_Transaction_Log'!$S:$S)+SUMIF('主表 Stock_Transaction_Log'!$AB:$AB,INDEX('主表 Stock_Transaction_Log'!$T:$T,$A863),'主表 Stock_Transaction_Log'!$AC:$AC))</f>
        <v/>
      </c>
      <c r="I863" s="173" t="str">
        <f t="shared" si="1"/>
        <v/>
      </c>
      <c r="J863" s="173" t="str">
        <f t="shared" si="2"/>
        <v/>
      </c>
      <c r="K863" s="173" t="str">
        <f t="shared" si="3"/>
        <v/>
      </c>
      <c r="L863" s="173" t="str">
        <f t="array" ref="L863">IF($A863="","",INDEX('主表 Stock_Transaction_Log'!$P:$P,$A863))</f>
        <v/>
      </c>
      <c r="M863" s="174" t="str">
        <f>IF($A863="","",IF($H863&lt;=0,0,SUMIFS('主表 Stock_Transaction_Log'!$K$2:$K1000,'主表 Stock_Transaction_Log'!$C$2:$C1000,"Prepared",'主表 Stock_Transaction_Log'!$L$2:$L1000,$B863,'主表 Stock_Transaction_Log'!$F$2:$F1000,$C863,'主表 Stock_Transaction_Log'!$G$2:$G1000,$D863,'主表 Stock_Transaction_Log'!$P$2:$P1000,$L863)))</f>
        <v/>
      </c>
    </row>
    <row r="864">
      <c r="A864" s="173" t="str">
        <f>IF('主表 Stock_Transaction_Log'!$T864="","",IF(COUNTIF('主表 Stock_Transaction_Log'!$T$2:$T864,'主表 Stock_Transaction_Log'!$T864)=1,ROW('主表 Stock_Transaction_Log'!$T864),""))</f>
        <v/>
      </c>
      <c r="B864" s="173" t="str">
        <f t="array" ref="B864">IF($A864="","",INDEX('主表 Stock_Transaction_Log'!$Q:$Q,$A864))</f>
        <v/>
      </c>
      <c r="C864" s="173" t="str">
        <f t="array" ref="C864">IF($A864="","",IF(INDEX('主表 Stock_Transaction_Log'!$F:$F,$A864)=0,"",INDEX('主表 Stock_Transaction_Log'!$F:$F,$A864)))</f>
        <v/>
      </c>
      <c r="D864" s="173" t="str">
        <f t="array" ref="D864">IF($A864="","",INDEX('主表 Stock_Transaction_Log'!$G:$G,$A864))</f>
        <v/>
      </c>
      <c r="E864" s="173" t="str">
        <f t="array" ref="E864">IF($A864="","",INDEX('主表 Stock_Transaction_Log'!$H:$H,$A864))</f>
        <v/>
      </c>
      <c r="F864" s="173" t="str">
        <f t="array" ref="F864">IF($A864="","",INDEX('主表 Stock_Transaction_Log'!$I:$I,$A864))</f>
        <v/>
      </c>
      <c r="G864" s="173" t="str">
        <f t="array" ref="G864">IF($A864="","",IF(INDEX('主表 Stock_Transaction_Log'!$R:$R,$A864)=0,"",INDEX('主表 Stock_Transaction_Log'!$R:$R,$A864)))</f>
        <v/>
      </c>
      <c r="H864" s="173" t="str">
        <f t="array" ref="H864">IF($A864="","",SUMIF('主表 Stock_Transaction_Log'!$T:$T,INDEX('主表 Stock_Transaction_Log'!$T:$T,$A864),'主表 Stock_Transaction_Log'!$S:$S)+SUMIF('主表 Stock_Transaction_Log'!$AB:$AB,INDEX('主表 Stock_Transaction_Log'!$T:$T,$A864),'主表 Stock_Transaction_Log'!$AC:$AC))</f>
        <v/>
      </c>
      <c r="I864" s="173" t="str">
        <f t="shared" si="1"/>
        <v/>
      </c>
      <c r="J864" s="173" t="str">
        <f t="shared" si="2"/>
        <v/>
      </c>
      <c r="K864" s="173" t="str">
        <f t="shared" si="3"/>
        <v/>
      </c>
      <c r="L864" s="173" t="str">
        <f t="array" ref="L864">IF($A864="","",INDEX('主表 Stock_Transaction_Log'!$P:$P,$A864))</f>
        <v/>
      </c>
      <c r="M864" s="174" t="str">
        <f>IF($A864="","",IF($H864&lt;=0,0,SUMIFS('主表 Stock_Transaction_Log'!$K$2:$K1000,'主表 Stock_Transaction_Log'!$C$2:$C1000,"Prepared",'主表 Stock_Transaction_Log'!$L$2:$L1000,$B864,'主表 Stock_Transaction_Log'!$F$2:$F1000,$C864,'主表 Stock_Transaction_Log'!$G$2:$G1000,$D864,'主表 Stock_Transaction_Log'!$P$2:$P1000,$L864)))</f>
        <v/>
      </c>
    </row>
    <row r="865">
      <c r="A865" s="173" t="str">
        <f>IF('主表 Stock_Transaction_Log'!$T865="","",IF(COUNTIF('主表 Stock_Transaction_Log'!$T$2:$T865,'主表 Stock_Transaction_Log'!$T865)=1,ROW('主表 Stock_Transaction_Log'!$T865),""))</f>
        <v/>
      </c>
      <c r="B865" s="173" t="str">
        <f t="array" ref="B865">IF($A865="","",INDEX('主表 Stock_Transaction_Log'!$Q:$Q,$A865))</f>
        <v/>
      </c>
      <c r="C865" s="173" t="str">
        <f t="array" ref="C865">IF($A865="","",IF(INDEX('主表 Stock_Transaction_Log'!$F:$F,$A865)=0,"",INDEX('主表 Stock_Transaction_Log'!$F:$F,$A865)))</f>
        <v/>
      </c>
      <c r="D865" s="173" t="str">
        <f t="array" ref="D865">IF($A865="","",INDEX('主表 Stock_Transaction_Log'!$G:$G,$A865))</f>
        <v/>
      </c>
      <c r="E865" s="173" t="str">
        <f t="array" ref="E865">IF($A865="","",INDEX('主表 Stock_Transaction_Log'!$H:$H,$A865))</f>
        <v/>
      </c>
      <c r="F865" s="173" t="str">
        <f t="array" ref="F865">IF($A865="","",INDEX('主表 Stock_Transaction_Log'!$I:$I,$A865))</f>
        <v/>
      </c>
      <c r="G865" s="173" t="str">
        <f t="array" ref="G865">IF($A865="","",IF(INDEX('主表 Stock_Transaction_Log'!$R:$R,$A865)=0,"",INDEX('主表 Stock_Transaction_Log'!$R:$R,$A865)))</f>
        <v/>
      </c>
      <c r="H865" s="173" t="str">
        <f t="array" ref="H865">IF($A865="","",SUMIF('主表 Stock_Transaction_Log'!$T:$T,INDEX('主表 Stock_Transaction_Log'!$T:$T,$A865),'主表 Stock_Transaction_Log'!$S:$S)+SUMIF('主表 Stock_Transaction_Log'!$AB:$AB,INDEX('主表 Stock_Transaction_Log'!$T:$T,$A865),'主表 Stock_Transaction_Log'!$AC:$AC))</f>
        <v/>
      </c>
      <c r="I865" s="173" t="str">
        <f t="shared" si="1"/>
        <v/>
      </c>
      <c r="J865" s="173" t="str">
        <f t="shared" si="2"/>
        <v/>
      </c>
      <c r="K865" s="173" t="str">
        <f t="shared" si="3"/>
        <v/>
      </c>
      <c r="L865" s="173" t="str">
        <f t="array" ref="L865">IF($A865="","",INDEX('主表 Stock_Transaction_Log'!$P:$P,$A865))</f>
        <v/>
      </c>
      <c r="M865" s="174" t="str">
        <f>IF($A865="","",IF($H865&lt;=0,0,SUMIFS('主表 Stock_Transaction_Log'!$K$2:$K1000,'主表 Stock_Transaction_Log'!$C$2:$C1000,"Prepared",'主表 Stock_Transaction_Log'!$L$2:$L1000,$B865,'主表 Stock_Transaction_Log'!$F$2:$F1000,$C865,'主表 Stock_Transaction_Log'!$G$2:$G1000,$D865,'主表 Stock_Transaction_Log'!$P$2:$P1000,$L865)))</f>
        <v/>
      </c>
    </row>
    <row r="866">
      <c r="A866" s="173" t="str">
        <f>IF('主表 Stock_Transaction_Log'!$T866="","",IF(COUNTIF('主表 Stock_Transaction_Log'!$T$2:$T866,'主表 Stock_Transaction_Log'!$T866)=1,ROW('主表 Stock_Transaction_Log'!$T866),""))</f>
        <v/>
      </c>
      <c r="B866" s="173" t="str">
        <f t="array" ref="B866">IF($A866="","",INDEX('主表 Stock_Transaction_Log'!$Q:$Q,$A866))</f>
        <v/>
      </c>
      <c r="C866" s="173" t="str">
        <f t="array" ref="C866">IF($A866="","",IF(INDEX('主表 Stock_Transaction_Log'!$F:$F,$A866)=0,"",INDEX('主表 Stock_Transaction_Log'!$F:$F,$A866)))</f>
        <v/>
      </c>
      <c r="D866" s="173" t="str">
        <f t="array" ref="D866">IF($A866="","",INDEX('主表 Stock_Transaction_Log'!$G:$G,$A866))</f>
        <v/>
      </c>
      <c r="E866" s="173" t="str">
        <f t="array" ref="E866">IF($A866="","",INDEX('主表 Stock_Transaction_Log'!$H:$H,$A866))</f>
        <v/>
      </c>
      <c r="F866" s="173" t="str">
        <f t="array" ref="F866">IF($A866="","",INDEX('主表 Stock_Transaction_Log'!$I:$I,$A866))</f>
        <v/>
      </c>
      <c r="G866" s="173" t="str">
        <f t="array" ref="G866">IF($A866="","",IF(INDEX('主表 Stock_Transaction_Log'!$R:$R,$A866)=0,"",INDEX('主表 Stock_Transaction_Log'!$R:$R,$A866)))</f>
        <v/>
      </c>
      <c r="H866" s="173" t="str">
        <f t="array" ref="H866">IF($A866="","",SUMIF('主表 Stock_Transaction_Log'!$T:$T,INDEX('主表 Stock_Transaction_Log'!$T:$T,$A866),'主表 Stock_Transaction_Log'!$S:$S)+SUMIF('主表 Stock_Transaction_Log'!$AB:$AB,INDEX('主表 Stock_Transaction_Log'!$T:$T,$A866),'主表 Stock_Transaction_Log'!$AC:$AC))</f>
        <v/>
      </c>
      <c r="I866" s="173" t="str">
        <f t="shared" si="1"/>
        <v/>
      </c>
      <c r="J866" s="173" t="str">
        <f t="shared" si="2"/>
        <v/>
      </c>
      <c r="K866" s="173" t="str">
        <f t="shared" si="3"/>
        <v/>
      </c>
      <c r="L866" s="173" t="str">
        <f t="array" ref="L866">IF($A866="","",INDEX('主表 Stock_Transaction_Log'!$P:$P,$A866))</f>
        <v/>
      </c>
      <c r="M866" s="174" t="str">
        <f>IF($A866="","",IF($H866&lt;=0,0,SUMIFS('主表 Stock_Transaction_Log'!$K$2:$K1000,'主表 Stock_Transaction_Log'!$C$2:$C1000,"Prepared",'主表 Stock_Transaction_Log'!$L$2:$L1000,$B866,'主表 Stock_Transaction_Log'!$F$2:$F1000,$C866,'主表 Stock_Transaction_Log'!$G$2:$G1000,$D866,'主表 Stock_Transaction_Log'!$P$2:$P1000,$L866)))</f>
        <v/>
      </c>
    </row>
    <row r="867">
      <c r="A867" s="173" t="str">
        <f>IF('主表 Stock_Transaction_Log'!$T867="","",IF(COUNTIF('主表 Stock_Transaction_Log'!$T$2:$T867,'主表 Stock_Transaction_Log'!$T867)=1,ROW('主表 Stock_Transaction_Log'!$T867),""))</f>
        <v/>
      </c>
      <c r="B867" s="173" t="str">
        <f t="array" ref="B867">IF($A867="","",INDEX('主表 Stock_Transaction_Log'!$Q:$Q,$A867))</f>
        <v/>
      </c>
      <c r="C867" s="173" t="str">
        <f t="array" ref="C867">IF($A867="","",IF(INDEX('主表 Stock_Transaction_Log'!$F:$F,$A867)=0,"",INDEX('主表 Stock_Transaction_Log'!$F:$F,$A867)))</f>
        <v/>
      </c>
      <c r="D867" s="173" t="str">
        <f t="array" ref="D867">IF($A867="","",INDEX('主表 Stock_Transaction_Log'!$G:$G,$A867))</f>
        <v/>
      </c>
      <c r="E867" s="173" t="str">
        <f t="array" ref="E867">IF($A867="","",INDEX('主表 Stock_Transaction_Log'!$H:$H,$A867))</f>
        <v/>
      </c>
      <c r="F867" s="173" t="str">
        <f t="array" ref="F867">IF($A867="","",INDEX('主表 Stock_Transaction_Log'!$I:$I,$A867))</f>
        <v/>
      </c>
      <c r="G867" s="173" t="str">
        <f t="array" ref="G867">IF($A867="","",IF(INDEX('主表 Stock_Transaction_Log'!$R:$R,$A867)=0,"",INDEX('主表 Stock_Transaction_Log'!$R:$R,$A867)))</f>
        <v/>
      </c>
      <c r="H867" s="173" t="str">
        <f t="array" ref="H867">IF($A867="","",SUMIF('主表 Stock_Transaction_Log'!$T:$T,INDEX('主表 Stock_Transaction_Log'!$T:$T,$A867),'主表 Stock_Transaction_Log'!$S:$S)+SUMIF('主表 Stock_Transaction_Log'!$AB:$AB,INDEX('主表 Stock_Transaction_Log'!$T:$T,$A867),'主表 Stock_Transaction_Log'!$AC:$AC))</f>
        <v/>
      </c>
      <c r="I867" s="173" t="str">
        <f t="shared" si="1"/>
        <v/>
      </c>
      <c r="J867" s="173" t="str">
        <f t="shared" si="2"/>
        <v/>
      </c>
      <c r="K867" s="173" t="str">
        <f t="shared" si="3"/>
        <v/>
      </c>
      <c r="L867" s="173" t="str">
        <f t="array" ref="L867">IF($A867="","",INDEX('主表 Stock_Transaction_Log'!$P:$P,$A867))</f>
        <v/>
      </c>
      <c r="M867" s="174" t="str">
        <f>IF($A867="","",IF($H867&lt;=0,0,SUMIFS('主表 Stock_Transaction_Log'!$K$2:$K1000,'主表 Stock_Transaction_Log'!$C$2:$C1000,"Prepared",'主表 Stock_Transaction_Log'!$L$2:$L1000,$B867,'主表 Stock_Transaction_Log'!$F$2:$F1000,$C867,'主表 Stock_Transaction_Log'!$G$2:$G1000,$D867,'主表 Stock_Transaction_Log'!$P$2:$P1000,$L867)))</f>
        <v/>
      </c>
    </row>
    <row r="868">
      <c r="A868" s="173" t="str">
        <f>IF('主表 Stock_Transaction_Log'!$T868="","",IF(COUNTIF('主表 Stock_Transaction_Log'!$T$2:$T868,'主表 Stock_Transaction_Log'!$T868)=1,ROW('主表 Stock_Transaction_Log'!$T868),""))</f>
        <v/>
      </c>
      <c r="B868" s="173" t="str">
        <f t="array" ref="B868">IF($A868="","",INDEX('主表 Stock_Transaction_Log'!$Q:$Q,$A868))</f>
        <v/>
      </c>
      <c r="C868" s="173" t="str">
        <f t="array" ref="C868">IF($A868="","",IF(INDEX('主表 Stock_Transaction_Log'!$F:$F,$A868)=0,"",INDEX('主表 Stock_Transaction_Log'!$F:$F,$A868)))</f>
        <v/>
      </c>
      <c r="D868" s="173" t="str">
        <f t="array" ref="D868">IF($A868="","",INDEX('主表 Stock_Transaction_Log'!$G:$G,$A868))</f>
        <v/>
      </c>
      <c r="E868" s="173" t="str">
        <f t="array" ref="E868">IF($A868="","",INDEX('主表 Stock_Transaction_Log'!$H:$H,$A868))</f>
        <v/>
      </c>
      <c r="F868" s="173" t="str">
        <f t="array" ref="F868">IF($A868="","",INDEX('主表 Stock_Transaction_Log'!$I:$I,$A868))</f>
        <v/>
      </c>
      <c r="G868" s="173" t="str">
        <f t="array" ref="G868">IF($A868="","",IF(INDEX('主表 Stock_Transaction_Log'!$R:$R,$A868)=0,"",INDEX('主表 Stock_Transaction_Log'!$R:$R,$A868)))</f>
        <v/>
      </c>
      <c r="H868" s="173" t="str">
        <f t="array" ref="H868">IF($A868="","",SUMIF('主表 Stock_Transaction_Log'!$T:$T,INDEX('主表 Stock_Transaction_Log'!$T:$T,$A868),'主表 Stock_Transaction_Log'!$S:$S)+SUMIF('主表 Stock_Transaction_Log'!$AB:$AB,INDEX('主表 Stock_Transaction_Log'!$T:$T,$A868),'主表 Stock_Transaction_Log'!$AC:$AC))</f>
        <v/>
      </c>
      <c r="I868" s="173" t="str">
        <f t="shared" si="1"/>
        <v/>
      </c>
      <c r="J868" s="173" t="str">
        <f t="shared" si="2"/>
        <v/>
      </c>
      <c r="K868" s="173" t="str">
        <f t="shared" si="3"/>
        <v/>
      </c>
      <c r="L868" s="173" t="str">
        <f t="array" ref="L868">IF($A868="","",INDEX('主表 Stock_Transaction_Log'!$P:$P,$A868))</f>
        <v/>
      </c>
      <c r="M868" s="174" t="str">
        <f>IF($A868="","",IF($H868&lt;=0,0,SUMIFS('主表 Stock_Transaction_Log'!$K$2:$K1000,'主表 Stock_Transaction_Log'!$C$2:$C1000,"Prepared",'主表 Stock_Transaction_Log'!$L$2:$L1000,$B868,'主表 Stock_Transaction_Log'!$F$2:$F1000,$C868,'主表 Stock_Transaction_Log'!$G$2:$G1000,$D868,'主表 Stock_Transaction_Log'!$P$2:$P1000,$L868)))</f>
        <v/>
      </c>
    </row>
    <row r="869">
      <c r="A869" s="173" t="str">
        <f>IF('主表 Stock_Transaction_Log'!$T869="","",IF(COUNTIF('主表 Stock_Transaction_Log'!$T$2:$T869,'主表 Stock_Transaction_Log'!$T869)=1,ROW('主表 Stock_Transaction_Log'!$T869),""))</f>
        <v/>
      </c>
      <c r="B869" s="173" t="str">
        <f t="array" ref="B869">IF($A869="","",INDEX('主表 Stock_Transaction_Log'!$Q:$Q,$A869))</f>
        <v/>
      </c>
      <c r="C869" s="173" t="str">
        <f t="array" ref="C869">IF($A869="","",IF(INDEX('主表 Stock_Transaction_Log'!$F:$F,$A869)=0,"",INDEX('主表 Stock_Transaction_Log'!$F:$F,$A869)))</f>
        <v/>
      </c>
      <c r="D869" s="173" t="str">
        <f t="array" ref="D869">IF($A869="","",INDEX('主表 Stock_Transaction_Log'!$G:$G,$A869))</f>
        <v/>
      </c>
      <c r="E869" s="173" t="str">
        <f t="array" ref="E869">IF($A869="","",INDEX('主表 Stock_Transaction_Log'!$H:$H,$A869))</f>
        <v/>
      </c>
      <c r="F869" s="173" t="str">
        <f t="array" ref="F869">IF($A869="","",INDEX('主表 Stock_Transaction_Log'!$I:$I,$A869))</f>
        <v/>
      </c>
      <c r="G869" s="173" t="str">
        <f t="array" ref="G869">IF($A869="","",IF(INDEX('主表 Stock_Transaction_Log'!$R:$R,$A869)=0,"",INDEX('主表 Stock_Transaction_Log'!$R:$R,$A869)))</f>
        <v/>
      </c>
      <c r="H869" s="173" t="str">
        <f t="array" ref="H869">IF($A869="","",SUMIF('主表 Stock_Transaction_Log'!$T:$T,INDEX('主表 Stock_Transaction_Log'!$T:$T,$A869),'主表 Stock_Transaction_Log'!$S:$S)+SUMIF('主表 Stock_Transaction_Log'!$AB:$AB,INDEX('主表 Stock_Transaction_Log'!$T:$T,$A869),'主表 Stock_Transaction_Log'!$AC:$AC))</f>
        <v/>
      </c>
      <c r="I869" s="173" t="str">
        <f t="shared" si="1"/>
        <v/>
      </c>
      <c r="J869" s="173" t="str">
        <f t="shared" si="2"/>
        <v/>
      </c>
      <c r="K869" s="173" t="str">
        <f t="shared" si="3"/>
        <v/>
      </c>
      <c r="L869" s="173" t="str">
        <f t="array" ref="L869">IF($A869="","",INDEX('主表 Stock_Transaction_Log'!$P:$P,$A869))</f>
        <v/>
      </c>
      <c r="M869" s="174" t="str">
        <f>IF($A869="","",IF($H869&lt;=0,0,SUMIFS('主表 Stock_Transaction_Log'!$K$2:$K1000,'主表 Stock_Transaction_Log'!$C$2:$C1000,"Prepared",'主表 Stock_Transaction_Log'!$L$2:$L1000,$B869,'主表 Stock_Transaction_Log'!$F$2:$F1000,$C869,'主表 Stock_Transaction_Log'!$G$2:$G1000,$D869,'主表 Stock_Transaction_Log'!$P$2:$P1000,$L869)))</f>
        <v/>
      </c>
    </row>
    <row r="870">
      <c r="A870" s="173" t="str">
        <f>IF('主表 Stock_Transaction_Log'!$T870="","",IF(COUNTIF('主表 Stock_Transaction_Log'!$T$2:$T870,'主表 Stock_Transaction_Log'!$T870)=1,ROW('主表 Stock_Transaction_Log'!$T870),""))</f>
        <v/>
      </c>
      <c r="B870" s="173" t="str">
        <f t="array" ref="B870">IF($A870="","",INDEX('主表 Stock_Transaction_Log'!$Q:$Q,$A870))</f>
        <v/>
      </c>
      <c r="C870" s="173" t="str">
        <f t="array" ref="C870">IF($A870="","",IF(INDEX('主表 Stock_Transaction_Log'!$F:$F,$A870)=0,"",INDEX('主表 Stock_Transaction_Log'!$F:$F,$A870)))</f>
        <v/>
      </c>
      <c r="D870" s="173" t="str">
        <f t="array" ref="D870">IF($A870="","",INDEX('主表 Stock_Transaction_Log'!$G:$G,$A870))</f>
        <v/>
      </c>
      <c r="E870" s="173" t="str">
        <f t="array" ref="E870">IF($A870="","",INDEX('主表 Stock_Transaction_Log'!$H:$H,$A870))</f>
        <v/>
      </c>
      <c r="F870" s="173" t="str">
        <f t="array" ref="F870">IF($A870="","",INDEX('主表 Stock_Transaction_Log'!$I:$I,$A870))</f>
        <v/>
      </c>
      <c r="G870" s="173" t="str">
        <f t="array" ref="G870">IF($A870="","",IF(INDEX('主表 Stock_Transaction_Log'!$R:$R,$A870)=0,"",INDEX('主表 Stock_Transaction_Log'!$R:$R,$A870)))</f>
        <v/>
      </c>
      <c r="H870" s="173" t="str">
        <f t="array" ref="H870">IF($A870="","",SUMIF('主表 Stock_Transaction_Log'!$T:$T,INDEX('主表 Stock_Transaction_Log'!$T:$T,$A870),'主表 Stock_Transaction_Log'!$S:$S)+SUMIF('主表 Stock_Transaction_Log'!$AB:$AB,INDEX('主表 Stock_Transaction_Log'!$T:$T,$A870),'主表 Stock_Transaction_Log'!$AC:$AC))</f>
        <v/>
      </c>
      <c r="I870" s="173" t="str">
        <f t="shared" si="1"/>
        <v/>
      </c>
      <c r="J870" s="173" t="str">
        <f t="shared" si="2"/>
        <v/>
      </c>
      <c r="K870" s="173" t="str">
        <f t="shared" si="3"/>
        <v/>
      </c>
      <c r="L870" s="173" t="str">
        <f t="array" ref="L870">IF($A870="","",INDEX('主表 Stock_Transaction_Log'!$P:$P,$A870))</f>
        <v/>
      </c>
      <c r="M870" s="174" t="str">
        <f>IF($A870="","",IF($H870&lt;=0,0,SUMIFS('主表 Stock_Transaction_Log'!$K$2:$K1000,'主表 Stock_Transaction_Log'!$C$2:$C1000,"Prepared",'主表 Stock_Transaction_Log'!$L$2:$L1000,$B870,'主表 Stock_Transaction_Log'!$F$2:$F1000,$C870,'主表 Stock_Transaction_Log'!$G$2:$G1000,$D870,'主表 Stock_Transaction_Log'!$P$2:$P1000,$L870)))</f>
        <v/>
      </c>
    </row>
    <row r="871">
      <c r="A871" s="173" t="str">
        <f>IF('主表 Stock_Transaction_Log'!$T871="","",IF(COUNTIF('主表 Stock_Transaction_Log'!$T$2:$T871,'主表 Stock_Transaction_Log'!$T871)=1,ROW('主表 Stock_Transaction_Log'!$T871),""))</f>
        <v/>
      </c>
      <c r="B871" s="173" t="str">
        <f t="array" ref="B871">IF($A871="","",INDEX('主表 Stock_Transaction_Log'!$Q:$Q,$A871))</f>
        <v/>
      </c>
      <c r="C871" s="173" t="str">
        <f t="array" ref="C871">IF($A871="","",IF(INDEX('主表 Stock_Transaction_Log'!$F:$F,$A871)=0,"",INDEX('主表 Stock_Transaction_Log'!$F:$F,$A871)))</f>
        <v/>
      </c>
      <c r="D871" s="173" t="str">
        <f t="array" ref="D871">IF($A871="","",INDEX('主表 Stock_Transaction_Log'!$G:$G,$A871))</f>
        <v/>
      </c>
      <c r="E871" s="173" t="str">
        <f t="array" ref="E871">IF($A871="","",INDEX('主表 Stock_Transaction_Log'!$H:$H,$A871))</f>
        <v/>
      </c>
      <c r="F871" s="173" t="str">
        <f t="array" ref="F871">IF($A871="","",INDEX('主表 Stock_Transaction_Log'!$I:$I,$A871))</f>
        <v/>
      </c>
      <c r="G871" s="173" t="str">
        <f t="array" ref="G871">IF($A871="","",IF(INDEX('主表 Stock_Transaction_Log'!$R:$R,$A871)=0,"",INDEX('主表 Stock_Transaction_Log'!$R:$R,$A871)))</f>
        <v/>
      </c>
      <c r="H871" s="173" t="str">
        <f t="array" ref="H871">IF($A871="","",SUMIF('主表 Stock_Transaction_Log'!$T:$T,INDEX('主表 Stock_Transaction_Log'!$T:$T,$A871),'主表 Stock_Transaction_Log'!$S:$S)+SUMIF('主表 Stock_Transaction_Log'!$AB:$AB,INDEX('主表 Stock_Transaction_Log'!$T:$T,$A871),'主表 Stock_Transaction_Log'!$AC:$AC))</f>
        <v/>
      </c>
      <c r="I871" s="173" t="str">
        <f t="shared" si="1"/>
        <v/>
      </c>
      <c r="J871" s="173" t="str">
        <f t="shared" si="2"/>
        <v/>
      </c>
      <c r="K871" s="173" t="str">
        <f t="shared" si="3"/>
        <v/>
      </c>
      <c r="L871" s="173" t="str">
        <f t="array" ref="L871">IF($A871="","",INDEX('主表 Stock_Transaction_Log'!$P:$P,$A871))</f>
        <v/>
      </c>
      <c r="M871" s="174" t="str">
        <f>IF($A871="","",IF($H871&lt;=0,0,SUMIFS('主表 Stock_Transaction_Log'!$K$2:$K1000,'主表 Stock_Transaction_Log'!$C$2:$C1000,"Prepared",'主表 Stock_Transaction_Log'!$L$2:$L1000,$B871,'主表 Stock_Transaction_Log'!$F$2:$F1000,$C871,'主表 Stock_Transaction_Log'!$G$2:$G1000,$D871,'主表 Stock_Transaction_Log'!$P$2:$P1000,$L871)))</f>
        <v/>
      </c>
    </row>
    <row r="872">
      <c r="A872" s="173" t="str">
        <f>IF('主表 Stock_Transaction_Log'!$T872="","",IF(COUNTIF('主表 Stock_Transaction_Log'!$T$2:$T872,'主表 Stock_Transaction_Log'!$T872)=1,ROW('主表 Stock_Transaction_Log'!$T872),""))</f>
        <v/>
      </c>
      <c r="B872" s="173" t="str">
        <f t="array" ref="B872">IF($A872="","",INDEX('主表 Stock_Transaction_Log'!$Q:$Q,$A872))</f>
        <v/>
      </c>
      <c r="C872" s="173" t="str">
        <f t="array" ref="C872">IF($A872="","",IF(INDEX('主表 Stock_Transaction_Log'!$F:$F,$A872)=0,"",INDEX('主表 Stock_Transaction_Log'!$F:$F,$A872)))</f>
        <v/>
      </c>
      <c r="D872" s="173" t="str">
        <f t="array" ref="D872">IF($A872="","",INDEX('主表 Stock_Transaction_Log'!$G:$G,$A872))</f>
        <v/>
      </c>
      <c r="E872" s="173" t="str">
        <f t="array" ref="E872">IF($A872="","",INDEX('主表 Stock_Transaction_Log'!$H:$H,$A872))</f>
        <v/>
      </c>
      <c r="F872" s="173" t="str">
        <f t="array" ref="F872">IF($A872="","",INDEX('主表 Stock_Transaction_Log'!$I:$I,$A872))</f>
        <v/>
      </c>
      <c r="G872" s="173" t="str">
        <f t="array" ref="G872">IF($A872="","",IF(INDEX('主表 Stock_Transaction_Log'!$R:$R,$A872)=0,"",INDEX('主表 Stock_Transaction_Log'!$R:$R,$A872)))</f>
        <v/>
      </c>
      <c r="H872" s="173" t="str">
        <f t="array" ref="H872">IF($A872="","",SUMIF('主表 Stock_Transaction_Log'!$T:$T,INDEX('主表 Stock_Transaction_Log'!$T:$T,$A872),'主表 Stock_Transaction_Log'!$S:$S)+SUMIF('主表 Stock_Transaction_Log'!$AB:$AB,INDEX('主表 Stock_Transaction_Log'!$T:$T,$A872),'主表 Stock_Transaction_Log'!$AC:$AC))</f>
        <v/>
      </c>
      <c r="I872" s="173" t="str">
        <f t="shared" si="1"/>
        <v/>
      </c>
      <c r="J872" s="173" t="str">
        <f t="shared" si="2"/>
        <v/>
      </c>
      <c r="K872" s="173" t="str">
        <f t="shared" si="3"/>
        <v/>
      </c>
      <c r="L872" s="173" t="str">
        <f t="array" ref="L872">IF($A872="","",INDEX('主表 Stock_Transaction_Log'!$P:$P,$A872))</f>
        <v/>
      </c>
      <c r="M872" s="174" t="str">
        <f>IF($A872="","",IF($H872&lt;=0,0,SUMIFS('主表 Stock_Transaction_Log'!$K$2:$K1000,'主表 Stock_Transaction_Log'!$C$2:$C1000,"Prepared",'主表 Stock_Transaction_Log'!$L$2:$L1000,$B872,'主表 Stock_Transaction_Log'!$F$2:$F1000,$C872,'主表 Stock_Transaction_Log'!$G$2:$G1000,$D872,'主表 Stock_Transaction_Log'!$P$2:$P1000,$L872)))</f>
        <v/>
      </c>
    </row>
    <row r="873">
      <c r="A873" s="173" t="str">
        <f>IF('主表 Stock_Transaction_Log'!$T873="","",IF(COUNTIF('主表 Stock_Transaction_Log'!$T$2:$T873,'主表 Stock_Transaction_Log'!$T873)=1,ROW('主表 Stock_Transaction_Log'!$T873),""))</f>
        <v/>
      </c>
      <c r="B873" s="173" t="str">
        <f t="array" ref="B873">IF($A873="","",INDEX('主表 Stock_Transaction_Log'!$Q:$Q,$A873))</f>
        <v/>
      </c>
      <c r="C873" s="173" t="str">
        <f t="array" ref="C873">IF($A873="","",IF(INDEX('主表 Stock_Transaction_Log'!$F:$F,$A873)=0,"",INDEX('主表 Stock_Transaction_Log'!$F:$F,$A873)))</f>
        <v/>
      </c>
      <c r="D873" s="173" t="str">
        <f t="array" ref="D873">IF($A873="","",INDEX('主表 Stock_Transaction_Log'!$G:$G,$A873))</f>
        <v/>
      </c>
      <c r="E873" s="173" t="str">
        <f t="array" ref="E873">IF($A873="","",INDEX('主表 Stock_Transaction_Log'!$H:$H,$A873))</f>
        <v/>
      </c>
      <c r="F873" s="173" t="str">
        <f t="array" ref="F873">IF($A873="","",INDEX('主表 Stock_Transaction_Log'!$I:$I,$A873))</f>
        <v/>
      </c>
      <c r="G873" s="173" t="str">
        <f t="array" ref="G873">IF($A873="","",IF(INDEX('主表 Stock_Transaction_Log'!$R:$R,$A873)=0,"",INDEX('主表 Stock_Transaction_Log'!$R:$R,$A873)))</f>
        <v/>
      </c>
      <c r="H873" s="173" t="str">
        <f t="array" ref="H873">IF($A873="","",SUMIF('主表 Stock_Transaction_Log'!$T:$T,INDEX('主表 Stock_Transaction_Log'!$T:$T,$A873),'主表 Stock_Transaction_Log'!$S:$S)+SUMIF('主表 Stock_Transaction_Log'!$AB:$AB,INDEX('主表 Stock_Transaction_Log'!$T:$T,$A873),'主表 Stock_Transaction_Log'!$AC:$AC))</f>
        <v/>
      </c>
      <c r="I873" s="173" t="str">
        <f t="shared" si="1"/>
        <v/>
      </c>
      <c r="J873" s="173" t="str">
        <f t="shared" si="2"/>
        <v/>
      </c>
      <c r="K873" s="173" t="str">
        <f t="shared" si="3"/>
        <v/>
      </c>
      <c r="L873" s="173" t="str">
        <f t="array" ref="L873">IF($A873="","",INDEX('主表 Stock_Transaction_Log'!$P:$P,$A873))</f>
        <v/>
      </c>
      <c r="M873" s="174" t="str">
        <f>IF($A873="","",IF($H873&lt;=0,0,SUMIFS('主表 Stock_Transaction_Log'!$K$2:$K1000,'主表 Stock_Transaction_Log'!$C$2:$C1000,"Prepared",'主表 Stock_Transaction_Log'!$L$2:$L1000,$B873,'主表 Stock_Transaction_Log'!$F$2:$F1000,$C873,'主表 Stock_Transaction_Log'!$G$2:$G1000,$D873,'主表 Stock_Transaction_Log'!$P$2:$P1000,$L873)))</f>
        <v/>
      </c>
    </row>
    <row r="874">
      <c r="A874" s="173" t="str">
        <f>IF('主表 Stock_Transaction_Log'!$T874="","",IF(COUNTIF('主表 Stock_Transaction_Log'!$T$2:$T874,'主表 Stock_Transaction_Log'!$T874)=1,ROW('主表 Stock_Transaction_Log'!$T874),""))</f>
        <v/>
      </c>
      <c r="B874" s="173" t="str">
        <f t="array" ref="B874">IF($A874="","",INDEX('主表 Stock_Transaction_Log'!$Q:$Q,$A874))</f>
        <v/>
      </c>
      <c r="C874" s="173" t="str">
        <f t="array" ref="C874">IF($A874="","",IF(INDEX('主表 Stock_Transaction_Log'!$F:$F,$A874)=0,"",INDEX('主表 Stock_Transaction_Log'!$F:$F,$A874)))</f>
        <v/>
      </c>
      <c r="D874" s="173" t="str">
        <f t="array" ref="D874">IF($A874="","",INDEX('主表 Stock_Transaction_Log'!$G:$G,$A874))</f>
        <v/>
      </c>
      <c r="E874" s="173" t="str">
        <f t="array" ref="E874">IF($A874="","",INDEX('主表 Stock_Transaction_Log'!$H:$H,$A874))</f>
        <v/>
      </c>
      <c r="F874" s="173" t="str">
        <f t="array" ref="F874">IF($A874="","",INDEX('主表 Stock_Transaction_Log'!$I:$I,$A874))</f>
        <v/>
      </c>
      <c r="G874" s="173" t="str">
        <f t="array" ref="G874">IF($A874="","",IF(INDEX('主表 Stock_Transaction_Log'!$R:$R,$A874)=0,"",INDEX('主表 Stock_Transaction_Log'!$R:$R,$A874)))</f>
        <v/>
      </c>
      <c r="H874" s="173" t="str">
        <f t="array" ref="H874">IF($A874="","",SUMIF('主表 Stock_Transaction_Log'!$T:$T,INDEX('主表 Stock_Transaction_Log'!$T:$T,$A874),'主表 Stock_Transaction_Log'!$S:$S)+SUMIF('主表 Stock_Transaction_Log'!$AB:$AB,INDEX('主表 Stock_Transaction_Log'!$T:$T,$A874),'主表 Stock_Transaction_Log'!$AC:$AC))</f>
        <v/>
      </c>
      <c r="I874" s="173" t="str">
        <f t="shared" si="1"/>
        <v/>
      </c>
      <c r="J874" s="173" t="str">
        <f t="shared" si="2"/>
        <v/>
      </c>
      <c r="K874" s="173" t="str">
        <f t="shared" si="3"/>
        <v/>
      </c>
      <c r="L874" s="173" t="str">
        <f t="array" ref="L874">IF($A874="","",INDEX('主表 Stock_Transaction_Log'!$P:$P,$A874))</f>
        <v/>
      </c>
      <c r="M874" s="174" t="str">
        <f>IF($A874="","",IF($H874&lt;=0,0,SUMIFS('主表 Stock_Transaction_Log'!$K$2:$K1000,'主表 Stock_Transaction_Log'!$C$2:$C1000,"Prepared",'主表 Stock_Transaction_Log'!$L$2:$L1000,$B874,'主表 Stock_Transaction_Log'!$F$2:$F1000,$C874,'主表 Stock_Transaction_Log'!$G$2:$G1000,$D874,'主表 Stock_Transaction_Log'!$P$2:$P1000,$L874)))</f>
        <v/>
      </c>
    </row>
    <row r="875">
      <c r="A875" s="173" t="str">
        <f>IF('主表 Stock_Transaction_Log'!$T875="","",IF(COUNTIF('主表 Stock_Transaction_Log'!$T$2:$T875,'主表 Stock_Transaction_Log'!$T875)=1,ROW('主表 Stock_Transaction_Log'!$T875),""))</f>
        <v/>
      </c>
      <c r="B875" s="173" t="str">
        <f t="array" ref="B875">IF($A875="","",INDEX('主表 Stock_Transaction_Log'!$Q:$Q,$A875))</f>
        <v/>
      </c>
      <c r="C875" s="173" t="str">
        <f t="array" ref="C875">IF($A875="","",IF(INDEX('主表 Stock_Transaction_Log'!$F:$F,$A875)=0,"",INDEX('主表 Stock_Transaction_Log'!$F:$F,$A875)))</f>
        <v/>
      </c>
      <c r="D875" s="173" t="str">
        <f t="array" ref="D875">IF($A875="","",INDEX('主表 Stock_Transaction_Log'!$G:$G,$A875))</f>
        <v/>
      </c>
      <c r="E875" s="173" t="str">
        <f t="array" ref="E875">IF($A875="","",INDEX('主表 Stock_Transaction_Log'!$H:$H,$A875))</f>
        <v/>
      </c>
      <c r="F875" s="173" t="str">
        <f t="array" ref="F875">IF($A875="","",INDEX('主表 Stock_Transaction_Log'!$I:$I,$A875))</f>
        <v/>
      </c>
      <c r="G875" s="173" t="str">
        <f t="array" ref="G875">IF($A875="","",IF(INDEX('主表 Stock_Transaction_Log'!$R:$R,$A875)=0,"",INDEX('主表 Stock_Transaction_Log'!$R:$R,$A875)))</f>
        <v/>
      </c>
      <c r="H875" s="173" t="str">
        <f t="array" ref="H875">IF($A875="","",SUMIF('主表 Stock_Transaction_Log'!$T:$T,INDEX('主表 Stock_Transaction_Log'!$T:$T,$A875),'主表 Stock_Transaction_Log'!$S:$S)+SUMIF('主表 Stock_Transaction_Log'!$AB:$AB,INDEX('主表 Stock_Transaction_Log'!$T:$T,$A875),'主表 Stock_Transaction_Log'!$AC:$AC))</f>
        <v/>
      </c>
      <c r="I875" s="173" t="str">
        <f t="shared" si="1"/>
        <v/>
      </c>
      <c r="J875" s="173" t="str">
        <f t="shared" si="2"/>
        <v/>
      </c>
      <c r="K875" s="173" t="str">
        <f t="shared" si="3"/>
        <v/>
      </c>
      <c r="L875" s="173" t="str">
        <f t="array" ref="L875">IF($A875="","",INDEX('主表 Stock_Transaction_Log'!$P:$P,$A875))</f>
        <v/>
      </c>
      <c r="M875" s="174" t="str">
        <f>IF($A875="","",IF($H875&lt;=0,0,SUMIFS('主表 Stock_Transaction_Log'!$K$2:$K1000,'主表 Stock_Transaction_Log'!$C$2:$C1000,"Prepared",'主表 Stock_Transaction_Log'!$L$2:$L1000,$B875,'主表 Stock_Transaction_Log'!$F$2:$F1000,$C875,'主表 Stock_Transaction_Log'!$G$2:$G1000,$D875,'主表 Stock_Transaction_Log'!$P$2:$P1000,$L875)))</f>
        <v/>
      </c>
    </row>
    <row r="876">
      <c r="A876" s="173" t="str">
        <f>IF('主表 Stock_Transaction_Log'!$T876="","",IF(COUNTIF('主表 Stock_Transaction_Log'!$T$2:$T876,'主表 Stock_Transaction_Log'!$T876)=1,ROW('主表 Stock_Transaction_Log'!$T876),""))</f>
        <v/>
      </c>
      <c r="B876" s="173" t="str">
        <f t="array" ref="B876">IF($A876="","",INDEX('主表 Stock_Transaction_Log'!$Q:$Q,$A876))</f>
        <v/>
      </c>
      <c r="C876" s="173" t="str">
        <f t="array" ref="C876">IF($A876="","",IF(INDEX('主表 Stock_Transaction_Log'!$F:$F,$A876)=0,"",INDEX('主表 Stock_Transaction_Log'!$F:$F,$A876)))</f>
        <v/>
      </c>
      <c r="D876" s="173" t="str">
        <f t="array" ref="D876">IF($A876="","",INDEX('主表 Stock_Transaction_Log'!$G:$G,$A876))</f>
        <v/>
      </c>
      <c r="E876" s="173" t="str">
        <f t="array" ref="E876">IF($A876="","",INDEX('主表 Stock_Transaction_Log'!$H:$H,$A876))</f>
        <v/>
      </c>
      <c r="F876" s="173" t="str">
        <f t="array" ref="F876">IF($A876="","",INDEX('主表 Stock_Transaction_Log'!$I:$I,$A876))</f>
        <v/>
      </c>
      <c r="G876" s="173" t="str">
        <f t="array" ref="G876">IF($A876="","",IF(INDEX('主表 Stock_Transaction_Log'!$R:$R,$A876)=0,"",INDEX('主表 Stock_Transaction_Log'!$R:$R,$A876)))</f>
        <v/>
      </c>
      <c r="H876" s="173" t="str">
        <f t="array" ref="H876">IF($A876="","",SUMIF('主表 Stock_Transaction_Log'!$T:$T,INDEX('主表 Stock_Transaction_Log'!$T:$T,$A876),'主表 Stock_Transaction_Log'!$S:$S)+SUMIF('主表 Stock_Transaction_Log'!$AB:$AB,INDEX('主表 Stock_Transaction_Log'!$T:$T,$A876),'主表 Stock_Transaction_Log'!$AC:$AC))</f>
        <v/>
      </c>
      <c r="I876" s="173" t="str">
        <f t="shared" si="1"/>
        <v/>
      </c>
      <c r="J876" s="173" t="str">
        <f t="shared" si="2"/>
        <v/>
      </c>
      <c r="K876" s="173" t="str">
        <f t="shared" si="3"/>
        <v/>
      </c>
      <c r="L876" s="173" t="str">
        <f t="array" ref="L876">IF($A876="","",INDEX('主表 Stock_Transaction_Log'!$P:$P,$A876))</f>
        <v/>
      </c>
      <c r="M876" s="174" t="str">
        <f>IF($A876="","",IF($H876&lt;=0,0,SUMIFS('主表 Stock_Transaction_Log'!$K$2:$K1000,'主表 Stock_Transaction_Log'!$C$2:$C1000,"Prepared",'主表 Stock_Transaction_Log'!$L$2:$L1000,$B876,'主表 Stock_Transaction_Log'!$F$2:$F1000,$C876,'主表 Stock_Transaction_Log'!$G$2:$G1000,$D876,'主表 Stock_Transaction_Log'!$P$2:$P1000,$L876)))</f>
        <v/>
      </c>
    </row>
    <row r="877">
      <c r="A877" s="173" t="str">
        <f>IF('主表 Stock_Transaction_Log'!$T877="","",IF(COUNTIF('主表 Stock_Transaction_Log'!$T$2:$T877,'主表 Stock_Transaction_Log'!$T877)=1,ROW('主表 Stock_Transaction_Log'!$T877),""))</f>
        <v/>
      </c>
      <c r="B877" s="173" t="str">
        <f t="array" ref="B877">IF($A877="","",INDEX('主表 Stock_Transaction_Log'!$Q:$Q,$A877))</f>
        <v/>
      </c>
      <c r="C877" s="173" t="str">
        <f t="array" ref="C877">IF($A877="","",IF(INDEX('主表 Stock_Transaction_Log'!$F:$F,$A877)=0,"",INDEX('主表 Stock_Transaction_Log'!$F:$F,$A877)))</f>
        <v/>
      </c>
      <c r="D877" s="173" t="str">
        <f t="array" ref="D877">IF($A877="","",INDEX('主表 Stock_Transaction_Log'!$G:$G,$A877))</f>
        <v/>
      </c>
      <c r="E877" s="173" t="str">
        <f t="array" ref="E877">IF($A877="","",INDEX('主表 Stock_Transaction_Log'!$H:$H,$A877))</f>
        <v/>
      </c>
      <c r="F877" s="173" t="str">
        <f t="array" ref="F877">IF($A877="","",INDEX('主表 Stock_Transaction_Log'!$I:$I,$A877))</f>
        <v/>
      </c>
      <c r="G877" s="173" t="str">
        <f t="array" ref="G877">IF($A877="","",IF(INDEX('主表 Stock_Transaction_Log'!$R:$R,$A877)=0,"",INDEX('主表 Stock_Transaction_Log'!$R:$R,$A877)))</f>
        <v/>
      </c>
      <c r="H877" s="173" t="str">
        <f t="array" ref="H877">IF($A877="","",SUMIF('主表 Stock_Transaction_Log'!$T:$T,INDEX('主表 Stock_Transaction_Log'!$T:$T,$A877),'主表 Stock_Transaction_Log'!$S:$S)+SUMIF('主表 Stock_Transaction_Log'!$AB:$AB,INDEX('主表 Stock_Transaction_Log'!$T:$T,$A877),'主表 Stock_Transaction_Log'!$AC:$AC))</f>
        <v/>
      </c>
      <c r="I877" s="173" t="str">
        <f t="shared" si="1"/>
        <v/>
      </c>
      <c r="J877" s="173" t="str">
        <f t="shared" si="2"/>
        <v/>
      </c>
      <c r="K877" s="173" t="str">
        <f t="shared" si="3"/>
        <v/>
      </c>
      <c r="L877" s="173" t="str">
        <f t="array" ref="L877">IF($A877="","",INDEX('主表 Stock_Transaction_Log'!$P:$P,$A877))</f>
        <v/>
      </c>
      <c r="M877" s="174" t="str">
        <f>IF($A877="","",IF($H877&lt;=0,0,SUMIFS('主表 Stock_Transaction_Log'!$K$2:$K1000,'主表 Stock_Transaction_Log'!$C$2:$C1000,"Prepared",'主表 Stock_Transaction_Log'!$L$2:$L1000,$B877,'主表 Stock_Transaction_Log'!$F$2:$F1000,$C877,'主表 Stock_Transaction_Log'!$G$2:$G1000,$D877,'主表 Stock_Transaction_Log'!$P$2:$P1000,$L877)))</f>
        <v/>
      </c>
    </row>
    <row r="878">
      <c r="A878" s="173" t="str">
        <f>IF('主表 Stock_Transaction_Log'!$T878="","",IF(COUNTIF('主表 Stock_Transaction_Log'!$T$2:$T878,'主表 Stock_Transaction_Log'!$T878)=1,ROW('主表 Stock_Transaction_Log'!$T878),""))</f>
        <v/>
      </c>
      <c r="B878" s="173" t="str">
        <f t="array" ref="B878">IF($A878="","",INDEX('主表 Stock_Transaction_Log'!$Q:$Q,$A878))</f>
        <v/>
      </c>
      <c r="C878" s="173" t="str">
        <f t="array" ref="C878">IF($A878="","",IF(INDEX('主表 Stock_Transaction_Log'!$F:$F,$A878)=0,"",INDEX('主表 Stock_Transaction_Log'!$F:$F,$A878)))</f>
        <v/>
      </c>
      <c r="D878" s="173" t="str">
        <f t="array" ref="D878">IF($A878="","",INDEX('主表 Stock_Transaction_Log'!$G:$G,$A878))</f>
        <v/>
      </c>
      <c r="E878" s="173" t="str">
        <f t="array" ref="E878">IF($A878="","",INDEX('主表 Stock_Transaction_Log'!$H:$H,$A878))</f>
        <v/>
      </c>
      <c r="F878" s="173" t="str">
        <f t="array" ref="F878">IF($A878="","",INDEX('主表 Stock_Transaction_Log'!$I:$I,$A878))</f>
        <v/>
      </c>
      <c r="G878" s="173" t="str">
        <f t="array" ref="G878">IF($A878="","",IF(INDEX('主表 Stock_Transaction_Log'!$R:$R,$A878)=0,"",INDEX('主表 Stock_Transaction_Log'!$R:$R,$A878)))</f>
        <v/>
      </c>
      <c r="H878" s="173" t="str">
        <f t="array" ref="H878">IF($A878="","",SUMIF('主表 Stock_Transaction_Log'!$T:$T,INDEX('主表 Stock_Transaction_Log'!$T:$T,$A878),'主表 Stock_Transaction_Log'!$S:$S)+SUMIF('主表 Stock_Transaction_Log'!$AB:$AB,INDEX('主表 Stock_Transaction_Log'!$T:$T,$A878),'主表 Stock_Transaction_Log'!$AC:$AC))</f>
        <v/>
      </c>
      <c r="I878" s="173" t="str">
        <f t="shared" si="1"/>
        <v/>
      </c>
      <c r="J878" s="173" t="str">
        <f t="shared" si="2"/>
        <v/>
      </c>
      <c r="K878" s="173" t="str">
        <f t="shared" si="3"/>
        <v/>
      </c>
      <c r="L878" s="173" t="str">
        <f t="array" ref="L878">IF($A878="","",INDEX('主表 Stock_Transaction_Log'!$P:$P,$A878))</f>
        <v/>
      </c>
      <c r="M878" s="174" t="str">
        <f>IF($A878="","",IF($H878&lt;=0,0,SUMIFS('主表 Stock_Transaction_Log'!$K$2:$K1000,'主表 Stock_Transaction_Log'!$C$2:$C1000,"Prepared",'主表 Stock_Transaction_Log'!$L$2:$L1000,$B878,'主表 Stock_Transaction_Log'!$F$2:$F1000,$C878,'主表 Stock_Transaction_Log'!$G$2:$G1000,$D878,'主表 Stock_Transaction_Log'!$P$2:$P1000,$L878)))</f>
        <v/>
      </c>
    </row>
    <row r="879">
      <c r="A879" s="173" t="str">
        <f>IF('主表 Stock_Transaction_Log'!$T879="","",IF(COUNTIF('主表 Stock_Transaction_Log'!$T$2:$T879,'主表 Stock_Transaction_Log'!$T879)=1,ROW('主表 Stock_Transaction_Log'!$T879),""))</f>
        <v/>
      </c>
      <c r="B879" s="173" t="str">
        <f t="array" ref="B879">IF($A879="","",INDEX('主表 Stock_Transaction_Log'!$Q:$Q,$A879))</f>
        <v/>
      </c>
      <c r="C879" s="173" t="str">
        <f t="array" ref="C879">IF($A879="","",IF(INDEX('主表 Stock_Transaction_Log'!$F:$F,$A879)=0,"",INDEX('主表 Stock_Transaction_Log'!$F:$F,$A879)))</f>
        <v/>
      </c>
      <c r="D879" s="173" t="str">
        <f t="array" ref="D879">IF($A879="","",INDEX('主表 Stock_Transaction_Log'!$G:$G,$A879))</f>
        <v/>
      </c>
      <c r="E879" s="173" t="str">
        <f t="array" ref="E879">IF($A879="","",INDEX('主表 Stock_Transaction_Log'!$H:$H,$A879))</f>
        <v/>
      </c>
      <c r="F879" s="173" t="str">
        <f t="array" ref="F879">IF($A879="","",INDEX('主表 Stock_Transaction_Log'!$I:$I,$A879))</f>
        <v/>
      </c>
      <c r="G879" s="173" t="str">
        <f t="array" ref="G879">IF($A879="","",IF(INDEX('主表 Stock_Transaction_Log'!$R:$R,$A879)=0,"",INDEX('主表 Stock_Transaction_Log'!$R:$R,$A879)))</f>
        <v/>
      </c>
      <c r="H879" s="173" t="str">
        <f t="array" ref="H879">IF($A879="","",SUMIF('主表 Stock_Transaction_Log'!$T:$T,INDEX('主表 Stock_Transaction_Log'!$T:$T,$A879),'主表 Stock_Transaction_Log'!$S:$S)+SUMIF('主表 Stock_Transaction_Log'!$AB:$AB,INDEX('主表 Stock_Transaction_Log'!$T:$T,$A879),'主表 Stock_Transaction_Log'!$AC:$AC))</f>
        <v/>
      </c>
      <c r="I879" s="173" t="str">
        <f t="shared" si="1"/>
        <v/>
      </c>
      <c r="J879" s="173" t="str">
        <f t="shared" si="2"/>
        <v/>
      </c>
      <c r="K879" s="173" t="str">
        <f t="shared" si="3"/>
        <v/>
      </c>
      <c r="L879" s="173" t="str">
        <f t="array" ref="L879">IF($A879="","",INDEX('主表 Stock_Transaction_Log'!$P:$P,$A879))</f>
        <v/>
      </c>
      <c r="M879" s="174" t="str">
        <f>IF($A879="","",IF($H879&lt;=0,0,SUMIFS('主表 Stock_Transaction_Log'!$K$2:$K1000,'主表 Stock_Transaction_Log'!$C$2:$C1000,"Prepared",'主表 Stock_Transaction_Log'!$L$2:$L1000,$B879,'主表 Stock_Transaction_Log'!$F$2:$F1000,$C879,'主表 Stock_Transaction_Log'!$G$2:$G1000,$D879,'主表 Stock_Transaction_Log'!$P$2:$P1000,$L879)))</f>
        <v/>
      </c>
    </row>
    <row r="880">
      <c r="A880" s="173" t="str">
        <f>IF('主表 Stock_Transaction_Log'!$T880="","",IF(COUNTIF('主表 Stock_Transaction_Log'!$T$2:$T880,'主表 Stock_Transaction_Log'!$T880)=1,ROW('主表 Stock_Transaction_Log'!$T880),""))</f>
        <v/>
      </c>
      <c r="B880" s="173" t="str">
        <f t="array" ref="B880">IF($A880="","",INDEX('主表 Stock_Transaction_Log'!$Q:$Q,$A880))</f>
        <v/>
      </c>
      <c r="C880" s="173" t="str">
        <f t="array" ref="C880">IF($A880="","",IF(INDEX('主表 Stock_Transaction_Log'!$F:$F,$A880)=0,"",INDEX('主表 Stock_Transaction_Log'!$F:$F,$A880)))</f>
        <v/>
      </c>
      <c r="D880" s="173" t="str">
        <f t="array" ref="D880">IF($A880="","",INDEX('主表 Stock_Transaction_Log'!$G:$G,$A880))</f>
        <v/>
      </c>
      <c r="E880" s="173" t="str">
        <f t="array" ref="E880">IF($A880="","",INDEX('主表 Stock_Transaction_Log'!$H:$H,$A880))</f>
        <v/>
      </c>
      <c r="F880" s="173" t="str">
        <f t="array" ref="F880">IF($A880="","",INDEX('主表 Stock_Transaction_Log'!$I:$I,$A880))</f>
        <v/>
      </c>
      <c r="G880" s="173" t="str">
        <f t="array" ref="G880">IF($A880="","",IF(INDEX('主表 Stock_Transaction_Log'!$R:$R,$A880)=0,"",INDEX('主表 Stock_Transaction_Log'!$R:$R,$A880)))</f>
        <v/>
      </c>
      <c r="H880" s="173" t="str">
        <f t="array" ref="H880">IF($A880="","",SUMIF('主表 Stock_Transaction_Log'!$T:$T,INDEX('主表 Stock_Transaction_Log'!$T:$T,$A880),'主表 Stock_Transaction_Log'!$S:$S)+SUMIF('主表 Stock_Transaction_Log'!$AB:$AB,INDEX('主表 Stock_Transaction_Log'!$T:$T,$A880),'主表 Stock_Transaction_Log'!$AC:$AC))</f>
        <v/>
      </c>
      <c r="I880" s="173" t="str">
        <f t="shared" si="1"/>
        <v/>
      </c>
      <c r="J880" s="173" t="str">
        <f t="shared" si="2"/>
        <v/>
      </c>
      <c r="K880" s="173" t="str">
        <f t="shared" si="3"/>
        <v/>
      </c>
      <c r="L880" s="173" t="str">
        <f t="array" ref="L880">IF($A880="","",INDEX('主表 Stock_Transaction_Log'!$P:$P,$A880))</f>
        <v/>
      </c>
      <c r="M880" s="174" t="str">
        <f>IF($A880="","",IF($H880&lt;=0,0,SUMIFS('主表 Stock_Transaction_Log'!$K$2:$K1000,'主表 Stock_Transaction_Log'!$C$2:$C1000,"Prepared",'主表 Stock_Transaction_Log'!$L$2:$L1000,$B880,'主表 Stock_Transaction_Log'!$F$2:$F1000,$C880,'主表 Stock_Transaction_Log'!$G$2:$G1000,$D880,'主表 Stock_Transaction_Log'!$P$2:$P1000,$L880)))</f>
        <v/>
      </c>
    </row>
    <row r="881">
      <c r="A881" s="173" t="str">
        <f>IF('主表 Stock_Transaction_Log'!$T881="","",IF(COUNTIF('主表 Stock_Transaction_Log'!$T$2:$T881,'主表 Stock_Transaction_Log'!$T881)=1,ROW('主表 Stock_Transaction_Log'!$T881),""))</f>
        <v/>
      </c>
      <c r="B881" s="173" t="str">
        <f t="array" ref="B881">IF($A881="","",INDEX('主表 Stock_Transaction_Log'!$Q:$Q,$A881))</f>
        <v/>
      </c>
      <c r="C881" s="173" t="str">
        <f t="array" ref="C881">IF($A881="","",IF(INDEX('主表 Stock_Transaction_Log'!$F:$F,$A881)=0,"",INDEX('主表 Stock_Transaction_Log'!$F:$F,$A881)))</f>
        <v/>
      </c>
      <c r="D881" s="173" t="str">
        <f t="array" ref="D881">IF($A881="","",INDEX('主表 Stock_Transaction_Log'!$G:$G,$A881))</f>
        <v/>
      </c>
      <c r="E881" s="173" t="str">
        <f t="array" ref="E881">IF($A881="","",INDEX('主表 Stock_Transaction_Log'!$H:$H,$A881))</f>
        <v/>
      </c>
      <c r="F881" s="173" t="str">
        <f t="array" ref="F881">IF($A881="","",INDEX('主表 Stock_Transaction_Log'!$I:$I,$A881))</f>
        <v/>
      </c>
      <c r="G881" s="173" t="str">
        <f t="array" ref="G881">IF($A881="","",IF(INDEX('主表 Stock_Transaction_Log'!$R:$R,$A881)=0,"",INDEX('主表 Stock_Transaction_Log'!$R:$R,$A881)))</f>
        <v/>
      </c>
      <c r="H881" s="173" t="str">
        <f t="array" ref="H881">IF($A881="","",SUMIF('主表 Stock_Transaction_Log'!$T:$T,INDEX('主表 Stock_Transaction_Log'!$T:$T,$A881),'主表 Stock_Transaction_Log'!$S:$S)+SUMIF('主表 Stock_Transaction_Log'!$AB:$AB,INDEX('主表 Stock_Transaction_Log'!$T:$T,$A881),'主表 Stock_Transaction_Log'!$AC:$AC))</f>
        <v/>
      </c>
      <c r="I881" s="173" t="str">
        <f t="shared" si="1"/>
        <v/>
      </c>
      <c r="J881" s="173" t="str">
        <f t="shared" si="2"/>
        <v/>
      </c>
      <c r="K881" s="173" t="str">
        <f t="shared" si="3"/>
        <v/>
      </c>
      <c r="L881" s="173" t="str">
        <f t="array" ref="L881">IF($A881="","",INDEX('主表 Stock_Transaction_Log'!$P:$P,$A881))</f>
        <v/>
      </c>
      <c r="M881" s="174" t="str">
        <f>IF($A881="","",IF($H881&lt;=0,0,SUMIFS('主表 Stock_Transaction_Log'!$K$2:$K1000,'主表 Stock_Transaction_Log'!$C$2:$C1000,"Prepared",'主表 Stock_Transaction_Log'!$L$2:$L1000,$B881,'主表 Stock_Transaction_Log'!$F$2:$F1000,$C881,'主表 Stock_Transaction_Log'!$G$2:$G1000,$D881,'主表 Stock_Transaction_Log'!$P$2:$P1000,$L881)))</f>
        <v/>
      </c>
    </row>
    <row r="882">
      <c r="A882" s="173" t="str">
        <f>IF('主表 Stock_Transaction_Log'!$T882="","",IF(COUNTIF('主表 Stock_Transaction_Log'!$T$2:$T882,'主表 Stock_Transaction_Log'!$T882)=1,ROW('主表 Stock_Transaction_Log'!$T882),""))</f>
        <v/>
      </c>
      <c r="B882" s="173" t="str">
        <f t="array" ref="B882">IF($A882="","",INDEX('主表 Stock_Transaction_Log'!$Q:$Q,$A882))</f>
        <v/>
      </c>
      <c r="C882" s="173" t="str">
        <f t="array" ref="C882">IF($A882="","",IF(INDEX('主表 Stock_Transaction_Log'!$F:$F,$A882)=0,"",INDEX('主表 Stock_Transaction_Log'!$F:$F,$A882)))</f>
        <v/>
      </c>
      <c r="D882" s="173" t="str">
        <f t="array" ref="D882">IF($A882="","",INDEX('主表 Stock_Transaction_Log'!$G:$G,$A882))</f>
        <v/>
      </c>
      <c r="E882" s="173" t="str">
        <f t="array" ref="E882">IF($A882="","",INDEX('主表 Stock_Transaction_Log'!$H:$H,$A882))</f>
        <v/>
      </c>
      <c r="F882" s="173" t="str">
        <f t="array" ref="F882">IF($A882="","",INDEX('主表 Stock_Transaction_Log'!$I:$I,$A882))</f>
        <v/>
      </c>
      <c r="G882" s="173" t="str">
        <f t="array" ref="G882">IF($A882="","",IF(INDEX('主表 Stock_Transaction_Log'!$R:$R,$A882)=0,"",INDEX('主表 Stock_Transaction_Log'!$R:$R,$A882)))</f>
        <v/>
      </c>
      <c r="H882" s="173" t="str">
        <f t="array" ref="H882">IF($A882="","",SUMIF('主表 Stock_Transaction_Log'!$T:$T,INDEX('主表 Stock_Transaction_Log'!$T:$T,$A882),'主表 Stock_Transaction_Log'!$S:$S)+SUMIF('主表 Stock_Transaction_Log'!$AB:$AB,INDEX('主表 Stock_Transaction_Log'!$T:$T,$A882),'主表 Stock_Transaction_Log'!$AC:$AC))</f>
        <v/>
      </c>
      <c r="I882" s="173" t="str">
        <f t="shared" si="1"/>
        <v/>
      </c>
      <c r="J882" s="173" t="str">
        <f t="shared" si="2"/>
        <v/>
      </c>
      <c r="K882" s="173" t="str">
        <f t="shared" si="3"/>
        <v/>
      </c>
      <c r="L882" s="173" t="str">
        <f t="array" ref="L882">IF($A882="","",INDEX('主表 Stock_Transaction_Log'!$P:$P,$A882))</f>
        <v/>
      </c>
      <c r="M882" s="174" t="str">
        <f>IF($A882="","",IF($H882&lt;=0,0,SUMIFS('主表 Stock_Transaction_Log'!$K$2:$K1000,'主表 Stock_Transaction_Log'!$C$2:$C1000,"Prepared",'主表 Stock_Transaction_Log'!$L$2:$L1000,$B882,'主表 Stock_Transaction_Log'!$F$2:$F1000,$C882,'主表 Stock_Transaction_Log'!$G$2:$G1000,$D882,'主表 Stock_Transaction_Log'!$P$2:$P1000,$L882)))</f>
        <v/>
      </c>
    </row>
    <row r="883">
      <c r="A883" s="173" t="str">
        <f>IF('主表 Stock_Transaction_Log'!$T883="","",IF(COUNTIF('主表 Stock_Transaction_Log'!$T$2:$T883,'主表 Stock_Transaction_Log'!$T883)=1,ROW('主表 Stock_Transaction_Log'!$T883),""))</f>
        <v/>
      </c>
      <c r="B883" s="173" t="str">
        <f t="array" ref="B883">IF($A883="","",INDEX('主表 Stock_Transaction_Log'!$Q:$Q,$A883))</f>
        <v/>
      </c>
      <c r="C883" s="173" t="str">
        <f t="array" ref="C883">IF($A883="","",IF(INDEX('主表 Stock_Transaction_Log'!$F:$F,$A883)=0,"",INDEX('主表 Stock_Transaction_Log'!$F:$F,$A883)))</f>
        <v/>
      </c>
      <c r="D883" s="173" t="str">
        <f t="array" ref="D883">IF($A883="","",INDEX('主表 Stock_Transaction_Log'!$G:$G,$A883))</f>
        <v/>
      </c>
      <c r="E883" s="173" t="str">
        <f t="array" ref="E883">IF($A883="","",INDEX('主表 Stock_Transaction_Log'!$H:$H,$A883))</f>
        <v/>
      </c>
      <c r="F883" s="173" t="str">
        <f t="array" ref="F883">IF($A883="","",INDEX('主表 Stock_Transaction_Log'!$I:$I,$A883))</f>
        <v/>
      </c>
      <c r="G883" s="173" t="str">
        <f t="array" ref="G883">IF($A883="","",IF(INDEX('主表 Stock_Transaction_Log'!$R:$R,$A883)=0,"",INDEX('主表 Stock_Transaction_Log'!$R:$R,$A883)))</f>
        <v/>
      </c>
      <c r="H883" s="173" t="str">
        <f t="array" ref="H883">IF($A883="","",SUMIF('主表 Stock_Transaction_Log'!$T:$T,INDEX('主表 Stock_Transaction_Log'!$T:$T,$A883),'主表 Stock_Transaction_Log'!$S:$S)+SUMIF('主表 Stock_Transaction_Log'!$AB:$AB,INDEX('主表 Stock_Transaction_Log'!$T:$T,$A883),'主表 Stock_Transaction_Log'!$AC:$AC))</f>
        <v/>
      </c>
      <c r="I883" s="173" t="str">
        <f t="shared" si="1"/>
        <v/>
      </c>
      <c r="J883" s="173" t="str">
        <f t="shared" si="2"/>
        <v/>
      </c>
      <c r="K883" s="173" t="str">
        <f t="shared" si="3"/>
        <v/>
      </c>
      <c r="L883" s="173" t="str">
        <f t="array" ref="L883">IF($A883="","",INDEX('主表 Stock_Transaction_Log'!$P:$P,$A883))</f>
        <v/>
      </c>
      <c r="M883" s="174" t="str">
        <f>IF($A883="","",IF($H883&lt;=0,0,SUMIFS('主表 Stock_Transaction_Log'!$K$2:$K1000,'主表 Stock_Transaction_Log'!$C$2:$C1000,"Prepared",'主表 Stock_Transaction_Log'!$L$2:$L1000,$B883,'主表 Stock_Transaction_Log'!$F$2:$F1000,$C883,'主表 Stock_Transaction_Log'!$G$2:$G1000,$D883,'主表 Stock_Transaction_Log'!$P$2:$P1000,$L883)))</f>
        <v/>
      </c>
    </row>
    <row r="884">
      <c r="A884" s="173" t="str">
        <f>IF('主表 Stock_Transaction_Log'!$T884="","",IF(COUNTIF('主表 Stock_Transaction_Log'!$T$2:$T884,'主表 Stock_Transaction_Log'!$T884)=1,ROW('主表 Stock_Transaction_Log'!$T884),""))</f>
        <v/>
      </c>
      <c r="B884" s="173" t="str">
        <f t="array" ref="B884">IF($A884="","",INDEX('主表 Stock_Transaction_Log'!$Q:$Q,$A884))</f>
        <v/>
      </c>
      <c r="C884" s="173" t="str">
        <f t="array" ref="C884">IF($A884="","",IF(INDEX('主表 Stock_Transaction_Log'!$F:$F,$A884)=0,"",INDEX('主表 Stock_Transaction_Log'!$F:$F,$A884)))</f>
        <v/>
      </c>
      <c r="D884" s="173" t="str">
        <f t="array" ref="D884">IF($A884="","",INDEX('主表 Stock_Transaction_Log'!$G:$G,$A884))</f>
        <v/>
      </c>
      <c r="E884" s="173" t="str">
        <f t="array" ref="E884">IF($A884="","",INDEX('主表 Stock_Transaction_Log'!$H:$H,$A884))</f>
        <v/>
      </c>
      <c r="F884" s="173" t="str">
        <f t="array" ref="F884">IF($A884="","",INDEX('主表 Stock_Transaction_Log'!$I:$I,$A884))</f>
        <v/>
      </c>
      <c r="G884" s="173" t="str">
        <f t="array" ref="G884">IF($A884="","",IF(INDEX('主表 Stock_Transaction_Log'!$R:$R,$A884)=0,"",INDEX('主表 Stock_Transaction_Log'!$R:$R,$A884)))</f>
        <v/>
      </c>
      <c r="H884" s="173" t="str">
        <f t="array" ref="H884">IF($A884="","",SUMIF('主表 Stock_Transaction_Log'!$T:$T,INDEX('主表 Stock_Transaction_Log'!$T:$T,$A884),'主表 Stock_Transaction_Log'!$S:$S)+SUMIF('主表 Stock_Transaction_Log'!$AB:$AB,INDEX('主表 Stock_Transaction_Log'!$T:$T,$A884),'主表 Stock_Transaction_Log'!$AC:$AC))</f>
        <v/>
      </c>
      <c r="I884" s="173" t="str">
        <f t="shared" si="1"/>
        <v/>
      </c>
      <c r="J884" s="173" t="str">
        <f t="shared" si="2"/>
        <v/>
      </c>
      <c r="K884" s="173" t="str">
        <f t="shared" si="3"/>
        <v/>
      </c>
      <c r="L884" s="173" t="str">
        <f t="array" ref="L884">IF($A884="","",INDEX('主表 Stock_Transaction_Log'!$P:$P,$A884))</f>
        <v/>
      </c>
      <c r="M884" s="174" t="str">
        <f>IF($A884="","",IF($H884&lt;=0,0,SUMIFS('主表 Stock_Transaction_Log'!$K$2:$K1000,'主表 Stock_Transaction_Log'!$C$2:$C1000,"Prepared",'主表 Stock_Transaction_Log'!$L$2:$L1000,$B884,'主表 Stock_Transaction_Log'!$F$2:$F1000,$C884,'主表 Stock_Transaction_Log'!$G$2:$G1000,$D884,'主表 Stock_Transaction_Log'!$P$2:$P1000,$L884)))</f>
        <v/>
      </c>
    </row>
    <row r="885">
      <c r="A885" s="173" t="str">
        <f>IF('主表 Stock_Transaction_Log'!$T885="","",IF(COUNTIF('主表 Stock_Transaction_Log'!$T$2:$T885,'主表 Stock_Transaction_Log'!$T885)=1,ROW('主表 Stock_Transaction_Log'!$T885),""))</f>
        <v/>
      </c>
      <c r="B885" s="173" t="str">
        <f t="array" ref="B885">IF($A885="","",INDEX('主表 Stock_Transaction_Log'!$Q:$Q,$A885))</f>
        <v/>
      </c>
      <c r="C885" s="173" t="str">
        <f t="array" ref="C885">IF($A885="","",IF(INDEX('主表 Stock_Transaction_Log'!$F:$F,$A885)=0,"",INDEX('主表 Stock_Transaction_Log'!$F:$F,$A885)))</f>
        <v/>
      </c>
      <c r="D885" s="173" t="str">
        <f t="array" ref="D885">IF($A885="","",INDEX('主表 Stock_Transaction_Log'!$G:$G,$A885))</f>
        <v/>
      </c>
      <c r="E885" s="173" t="str">
        <f t="array" ref="E885">IF($A885="","",INDEX('主表 Stock_Transaction_Log'!$H:$H,$A885))</f>
        <v/>
      </c>
      <c r="F885" s="173" t="str">
        <f t="array" ref="F885">IF($A885="","",INDEX('主表 Stock_Transaction_Log'!$I:$I,$A885))</f>
        <v/>
      </c>
      <c r="G885" s="173" t="str">
        <f t="array" ref="G885">IF($A885="","",IF(INDEX('主表 Stock_Transaction_Log'!$R:$R,$A885)=0,"",INDEX('主表 Stock_Transaction_Log'!$R:$R,$A885)))</f>
        <v/>
      </c>
      <c r="H885" s="173" t="str">
        <f t="array" ref="H885">IF($A885="","",SUMIF('主表 Stock_Transaction_Log'!$T:$T,INDEX('主表 Stock_Transaction_Log'!$T:$T,$A885),'主表 Stock_Transaction_Log'!$S:$S)+SUMIF('主表 Stock_Transaction_Log'!$AB:$AB,INDEX('主表 Stock_Transaction_Log'!$T:$T,$A885),'主表 Stock_Transaction_Log'!$AC:$AC))</f>
        <v/>
      </c>
      <c r="I885" s="173" t="str">
        <f t="shared" si="1"/>
        <v/>
      </c>
      <c r="J885" s="173" t="str">
        <f t="shared" si="2"/>
        <v/>
      </c>
      <c r="K885" s="173" t="str">
        <f t="shared" si="3"/>
        <v/>
      </c>
      <c r="L885" s="173" t="str">
        <f t="array" ref="L885">IF($A885="","",INDEX('主表 Stock_Transaction_Log'!$P:$P,$A885))</f>
        <v/>
      </c>
      <c r="M885" s="174" t="str">
        <f>IF($A885="","",IF($H885&lt;=0,0,SUMIFS('主表 Stock_Transaction_Log'!$K$2:$K1000,'主表 Stock_Transaction_Log'!$C$2:$C1000,"Prepared",'主表 Stock_Transaction_Log'!$L$2:$L1000,$B885,'主表 Stock_Transaction_Log'!$F$2:$F1000,$C885,'主表 Stock_Transaction_Log'!$G$2:$G1000,$D885,'主表 Stock_Transaction_Log'!$P$2:$P1000,$L885)))</f>
        <v/>
      </c>
    </row>
    <row r="886">
      <c r="A886" s="173" t="str">
        <f>IF('主表 Stock_Transaction_Log'!$T886="","",IF(COUNTIF('主表 Stock_Transaction_Log'!$T$2:$T886,'主表 Stock_Transaction_Log'!$T886)=1,ROW('主表 Stock_Transaction_Log'!$T886),""))</f>
        <v/>
      </c>
      <c r="B886" s="173" t="str">
        <f t="array" ref="B886">IF($A886="","",INDEX('主表 Stock_Transaction_Log'!$Q:$Q,$A886))</f>
        <v/>
      </c>
      <c r="C886" s="173" t="str">
        <f t="array" ref="C886">IF($A886="","",IF(INDEX('主表 Stock_Transaction_Log'!$F:$F,$A886)=0,"",INDEX('主表 Stock_Transaction_Log'!$F:$F,$A886)))</f>
        <v/>
      </c>
      <c r="D886" s="173" t="str">
        <f t="array" ref="D886">IF($A886="","",INDEX('主表 Stock_Transaction_Log'!$G:$G,$A886))</f>
        <v/>
      </c>
      <c r="E886" s="173" t="str">
        <f t="array" ref="E886">IF($A886="","",INDEX('主表 Stock_Transaction_Log'!$H:$H,$A886))</f>
        <v/>
      </c>
      <c r="F886" s="173" t="str">
        <f t="array" ref="F886">IF($A886="","",INDEX('主表 Stock_Transaction_Log'!$I:$I,$A886))</f>
        <v/>
      </c>
      <c r="G886" s="173" t="str">
        <f t="array" ref="G886">IF($A886="","",IF(INDEX('主表 Stock_Transaction_Log'!$R:$R,$A886)=0,"",INDEX('主表 Stock_Transaction_Log'!$R:$R,$A886)))</f>
        <v/>
      </c>
      <c r="H886" s="173" t="str">
        <f t="array" ref="H886">IF($A886="","",SUMIF('主表 Stock_Transaction_Log'!$T:$T,INDEX('主表 Stock_Transaction_Log'!$T:$T,$A886),'主表 Stock_Transaction_Log'!$S:$S)+SUMIF('主表 Stock_Transaction_Log'!$AB:$AB,INDEX('主表 Stock_Transaction_Log'!$T:$T,$A886),'主表 Stock_Transaction_Log'!$AC:$AC))</f>
        <v/>
      </c>
      <c r="I886" s="173" t="str">
        <f t="shared" si="1"/>
        <v/>
      </c>
      <c r="J886" s="173" t="str">
        <f t="shared" si="2"/>
        <v/>
      </c>
      <c r="K886" s="173" t="str">
        <f t="shared" si="3"/>
        <v/>
      </c>
      <c r="L886" s="173" t="str">
        <f t="array" ref="L886">IF($A886="","",INDEX('主表 Stock_Transaction_Log'!$P:$P,$A886))</f>
        <v/>
      </c>
      <c r="M886" s="174" t="str">
        <f>IF($A886="","",IF($H886&lt;=0,0,SUMIFS('主表 Stock_Transaction_Log'!$K$2:$K1000,'主表 Stock_Transaction_Log'!$C$2:$C1000,"Prepared",'主表 Stock_Transaction_Log'!$L$2:$L1000,$B886,'主表 Stock_Transaction_Log'!$F$2:$F1000,$C886,'主表 Stock_Transaction_Log'!$G$2:$G1000,$D886,'主表 Stock_Transaction_Log'!$P$2:$P1000,$L886)))</f>
        <v/>
      </c>
    </row>
    <row r="887">
      <c r="A887" s="173" t="str">
        <f>IF('主表 Stock_Transaction_Log'!$T887="","",IF(COUNTIF('主表 Stock_Transaction_Log'!$T$2:$T887,'主表 Stock_Transaction_Log'!$T887)=1,ROW('主表 Stock_Transaction_Log'!$T887),""))</f>
        <v/>
      </c>
      <c r="B887" s="173" t="str">
        <f t="array" ref="B887">IF($A887="","",INDEX('主表 Stock_Transaction_Log'!$Q:$Q,$A887))</f>
        <v/>
      </c>
      <c r="C887" s="173" t="str">
        <f t="array" ref="C887">IF($A887="","",IF(INDEX('主表 Stock_Transaction_Log'!$F:$F,$A887)=0,"",INDEX('主表 Stock_Transaction_Log'!$F:$F,$A887)))</f>
        <v/>
      </c>
      <c r="D887" s="173" t="str">
        <f t="array" ref="D887">IF($A887="","",INDEX('主表 Stock_Transaction_Log'!$G:$G,$A887))</f>
        <v/>
      </c>
      <c r="E887" s="173" t="str">
        <f t="array" ref="E887">IF($A887="","",INDEX('主表 Stock_Transaction_Log'!$H:$H,$A887))</f>
        <v/>
      </c>
      <c r="F887" s="173" t="str">
        <f t="array" ref="F887">IF($A887="","",INDEX('主表 Stock_Transaction_Log'!$I:$I,$A887))</f>
        <v/>
      </c>
      <c r="G887" s="173" t="str">
        <f t="array" ref="G887">IF($A887="","",IF(INDEX('主表 Stock_Transaction_Log'!$R:$R,$A887)=0,"",INDEX('主表 Stock_Transaction_Log'!$R:$R,$A887)))</f>
        <v/>
      </c>
      <c r="H887" s="173" t="str">
        <f t="array" ref="H887">IF($A887="","",SUMIF('主表 Stock_Transaction_Log'!$T:$T,INDEX('主表 Stock_Transaction_Log'!$T:$T,$A887),'主表 Stock_Transaction_Log'!$S:$S)+SUMIF('主表 Stock_Transaction_Log'!$AB:$AB,INDEX('主表 Stock_Transaction_Log'!$T:$T,$A887),'主表 Stock_Transaction_Log'!$AC:$AC))</f>
        <v/>
      </c>
      <c r="I887" s="173" t="str">
        <f t="shared" si="1"/>
        <v/>
      </c>
      <c r="J887" s="173" t="str">
        <f t="shared" si="2"/>
        <v/>
      </c>
      <c r="K887" s="173" t="str">
        <f t="shared" si="3"/>
        <v/>
      </c>
      <c r="L887" s="173" t="str">
        <f t="array" ref="L887">IF($A887="","",INDEX('主表 Stock_Transaction_Log'!$P:$P,$A887))</f>
        <v/>
      </c>
      <c r="M887" s="174" t="str">
        <f>IF($A887="","",IF($H887&lt;=0,0,SUMIFS('主表 Stock_Transaction_Log'!$K$2:$K1000,'主表 Stock_Transaction_Log'!$C$2:$C1000,"Prepared",'主表 Stock_Transaction_Log'!$L$2:$L1000,$B887,'主表 Stock_Transaction_Log'!$F$2:$F1000,$C887,'主表 Stock_Transaction_Log'!$G$2:$G1000,$D887,'主表 Stock_Transaction_Log'!$P$2:$P1000,$L887)))</f>
        <v/>
      </c>
    </row>
    <row r="888">
      <c r="A888" s="173" t="str">
        <f>IF('主表 Stock_Transaction_Log'!$T888="","",IF(COUNTIF('主表 Stock_Transaction_Log'!$T$2:$T888,'主表 Stock_Transaction_Log'!$T888)=1,ROW('主表 Stock_Transaction_Log'!$T888),""))</f>
        <v/>
      </c>
      <c r="B888" s="173" t="str">
        <f t="array" ref="B888">IF($A888="","",INDEX('主表 Stock_Transaction_Log'!$Q:$Q,$A888))</f>
        <v/>
      </c>
      <c r="C888" s="173" t="str">
        <f t="array" ref="C888">IF($A888="","",IF(INDEX('主表 Stock_Transaction_Log'!$F:$F,$A888)=0,"",INDEX('主表 Stock_Transaction_Log'!$F:$F,$A888)))</f>
        <v/>
      </c>
      <c r="D888" s="173" t="str">
        <f t="array" ref="D888">IF($A888="","",INDEX('主表 Stock_Transaction_Log'!$G:$G,$A888))</f>
        <v/>
      </c>
      <c r="E888" s="173" t="str">
        <f t="array" ref="E888">IF($A888="","",INDEX('主表 Stock_Transaction_Log'!$H:$H,$A888))</f>
        <v/>
      </c>
      <c r="F888" s="173" t="str">
        <f t="array" ref="F888">IF($A888="","",INDEX('主表 Stock_Transaction_Log'!$I:$I,$A888))</f>
        <v/>
      </c>
      <c r="G888" s="173" t="str">
        <f t="array" ref="G888">IF($A888="","",IF(INDEX('主表 Stock_Transaction_Log'!$R:$R,$A888)=0,"",INDEX('主表 Stock_Transaction_Log'!$R:$R,$A888)))</f>
        <v/>
      </c>
      <c r="H888" s="173" t="str">
        <f t="array" ref="H888">IF($A888="","",SUMIF('主表 Stock_Transaction_Log'!$T:$T,INDEX('主表 Stock_Transaction_Log'!$T:$T,$A888),'主表 Stock_Transaction_Log'!$S:$S)+SUMIF('主表 Stock_Transaction_Log'!$AB:$AB,INDEX('主表 Stock_Transaction_Log'!$T:$T,$A888),'主表 Stock_Transaction_Log'!$AC:$AC))</f>
        <v/>
      </c>
      <c r="I888" s="173" t="str">
        <f t="shared" si="1"/>
        <v/>
      </c>
      <c r="J888" s="173" t="str">
        <f t="shared" si="2"/>
        <v/>
      </c>
      <c r="K888" s="173" t="str">
        <f t="shared" si="3"/>
        <v/>
      </c>
      <c r="L888" s="173" t="str">
        <f t="array" ref="L888">IF($A888="","",INDEX('主表 Stock_Transaction_Log'!$P:$P,$A888))</f>
        <v/>
      </c>
      <c r="M888" s="174" t="str">
        <f>IF($A888="","",IF($H888&lt;=0,0,SUMIFS('主表 Stock_Transaction_Log'!$K$2:$K1000,'主表 Stock_Transaction_Log'!$C$2:$C1000,"Prepared",'主表 Stock_Transaction_Log'!$L$2:$L1000,$B888,'主表 Stock_Transaction_Log'!$F$2:$F1000,$C888,'主表 Stock_Transaction_Log'!$G$2:$G1000,$D888,'主表 Stock_Transaction_Log'!$P$2:$P1000,$L888)))</f>
        <v/>
      </c>
    </row>
    <row r="889">
      <c r="A889" s="173" t="str">
        <f>IF('主表 Stock_Transaction_Log'!$T889="","",IF(COUNTIF('主表 Stock_Transaction_Log'!$T$2:$T889,'主表 Stock_Transaction_Log'!$T889)=1,ROW('主表 Stock_Transaction_Log'!$T889),""))</f>
        <v/>
      </c>
      <c r="B889" s="173" t="str">
        <f t="array" ref="B889">IF($A889="","",INDEX('主表 Stock_Transaction_Log'!$Q:$Q,$A889))</f>
        <v/>
      </c>
      <c r="C889" s="173" t="str">
        <f t="array" ref="C889">IF($A889="","",IF(INDEX('主表 Stock_Transaction_Log'!$F:$F,$A889)=0,"",INDEX('主表 Stock_Transaction_Log'!$F:$F,$A889)))</f>
        <v/>
      </c>
      <c r="D889" s="173" t="str">
        <f t="array" ref="D889">IF($A889="","",INDEX('主表 Stock_Transaction_Log'!$G:$G,$A889))</f>
        <v/>
      </c>
      <c r="E889" s="173" t="str">
        <f t="array" ref="E889">IF($A889="","",INDEX('主表 Stock_Transaction_Log'!$H:$H,$A889))</f>
        <v/>
      </c>
      <c r="F889" s="173" t="str">
        <f t="array" ref="F889">IF($A889="","",INDEX('主表 Stock_Transaction_Log'!$I:$I,$A889))</f>
        <v/>
      </c>
      <c r="G889" s="173" t="str">
        <f t="array" ref="G889">IF($A889="","",IF(INDEX('主表 Stock_Transaction_Log'!$R:$R,$A889)=0,"",INDEX('主表 Stock_Transaction_Log'!$R:$R,$A889)))</f>
        <v/>
      </c>
      <c r="H889" s="173" t="str">
        <f t="array" ref="H889">IF($A889="","",SUMIF('主表 Stock_Transaction_Log'!$T:$T,INDEX('主表 Stock_Transaction_Log'!$T:$T,$A889),'主表 Stock_Transaction_Log'!$S:$S)+SUMIF('主表 Stock_Transaction_Log'!$AB:$AB,INDEX('主表 Stock_Transaction_Log'!$T:$T,$A889),'主表 Stock_Transaction_Log'!$AC:$AC))</f>
        <v/>
      </c>
      <c r="I889" s="173" t="str">
        <f t="shared" si="1"/>
        <v/>
      </c>
      <c r="J889" s="173" t="str">
        <f t="shared" si="2"/>
        <v/>
      </c>
      <c r="K889" s="173" t="str">
        <f t="shared" si="3"/>
        <v/>
      </c>
      <c r="L889" s="173" t="str">
        <f t="array" ref="L889">IF($A889="","",INDEX('主表 Stock_Transaction_Log'!$P:$P,$A889))</f>
        <v/>
      </c>
      <c r="M889" s="174" t="str">
        <f>IF($A889="","",IF($H889&lt;=0,0,SUMIFS('主表 Stock_Transaction_Log'!$K$2:$K1000,'主表 Stock_Transaction_Log'!$C$2:$C1000,"Prepared",'主表 Stock_Transaction_Log'!$L$2:$L1000,$B889,'主表 Stock_Transaction_Log'!$F$2:$F1000,$C889,'主表 Stock_Transaction_Log'!$G$2:$G1000,$D889,'主表 Stock_Transaction_Log'!$P$2:$P1000,$L889)))</f>
        <v/>
      </c>
    </row>
    <row r="890">
      <c r="A890" s="173" t="str">
        <f>IF('主表 Stock_Transaction_Log'!$T890="","",IF(COUNTIF('主表 Stock_Transaction_Log'!$T$2:$T890,'主表 Stock_Transaction_Log'!$T890)=1,ROW('主表 Stock_Transaction_Log'!$T890),""))</f>
        <v/>
      </c>
      <c r="B890" s="173" t="str">
        <f t="array" ref="B890">IF($A890="","",INDEX('主表 Stock_Transaction_Log'!$Q:$Q,$A890))</f>
        <v/>
      </c>
      <c r="C890" s="173" t="str">
        <f t="array" ref="C890">IF($A890="","",IF(INDEX('主表 Stock_Transaction_Log'!$F:$F,$A890)=0,"",INDEX('主表 Stock_Transaction_Log'!$F:$F,$A890)))</f>
        <v/>
      </c>
      <c r="D890" s="173" t="str">
        <f t="array" ref="D890">IF($A890="","",INDEX('主表 Stock_Transaction_Log'!$G:$G,$A890))</f>
        <v/>
      </c>
      <c r="E890" s="173" t="str">
        <f t="array" ref="E890">IF($A890="","",INDEX('主表 Stock_Transaction_Log'!$H:$H,$A890))</f>
        <v/>
      </c>
      <c r="F890" s="173" t="str">
        <f t="array" ref="F890">IF($A890="","",INDEX('主表 Stock_Transaction_Log'!$I:$I,$A890))</f>
        <v/>
      </c>
      <c r="G890" s="173" t="str">
        <f t="array" ref="G890">IF($A890="","",IF(INDEX('主表 Stock_Transaction_Log'!$R:$R,$A890)=0,"",INDEX('主表 Stock_Transaction_Log'!$R:$R,$A890)))</f>
        <v/>
      </c>
      <c r="H890" s="173" t="str">
        <f t="array" ref="H890">IF($A890="","",SUMIF('主表 Stock_Transaction_Log'!$T:$T,INDEX('主表 Stock_Transaction_Log'!$T:$T,$A890),'主表 Stock_Transaction_Log'!$S:$S)+SUMIF('主表 Stock_Transaction_Log'!$AB:$AB,INDEX('主表 Stock_Transaction_Log'!$T:$T,$A890),'主表 Stock_Transaction_Log'!$AC:$AC))</f>
        <v/>
      </c>
      <c r="I890" s="173" t="str">
        <f t="shared" si="1"/>
        <v/>
      </c>
      <c r="J890" s="173" t="str">
        <f t="shared" si="2"/>
        <v/>
      </c>
      <c r="K890" s="173" t="str">
        <f t="shared" si="3"/>
        <v/>
      </c>
      <c r="L890" s="173" t="str">
        <f t="array" ref="L890">IF($A890="","",INDEX('主表 Stock_Transaction_Log'!$P:$P,$A890))</f>
        <v/>
      </c>
      <c r="M890" s="174" t="str">
        <f>IF($A890="","",IF($H890&lt;=0,0,SUMIFS('主表 Stock_Transaction_Log'!$K$2:$K1000,'主表 Stock_Transaction_Log'!$C$2:$C1000,"Prepared",'主表 Stock_Transaction_Log'!$L$2:$L1000,$B890,'主表 Stock_Transaction_Log'!$F$2:$F1000,$C890,'主表 Stock_Transaction_Log'!$G$2:$G1000,$D890,'主表 Stock_Transaction_Log'!$P$2:$P1000,$L890)))</f>
        <v/>
      </c>
    </row>
    <row r="891">
      <c r="A891" s="173" t="str">
        <f>IF('主表 Stock_Transaction_Log'!$T891="","",IF(COUNTIF('主表 Stock_Transaction_Log'!$T$2:$T891,'主表 Stock_Transaction_Log'!$T891)=1,ROW('主表 Stock_Transaction_Log'!$T891),""))</f>
        <v/>
      </c>
      <c r="B891" s="173" t="str">
        <f t="array" ref="B891">IF($A891="","",INDEX('主表 Stock_Transaction_Log'!$Q:$Q,$A891))</f>
        <v/>
      </c>
      <c r="C891" s="173" t="str">
        <f t="array" ref="C891">IF($A891="","",IF(INDEX('主表 Stock_Transaction_Log'!$F:$F,$A891)=0,"",INDEX('主表 Stock_Transaction_Log'!$F:$F,$A891)))</f>
        <v/>
      </c>
      <c r="D891" s="173" t="str">
        <f t="array" ref="D891">IF($A891="","",INDEX('主表 Stock_Transaction_Log'!$G:$G,$A891))</f>
        <v/>
      </c>
      <c r="E891" s="173" t="str">
        <f t="array" ref="E891">IF($A891="","",INDEX('主表 Stock_Transaction_Log'!$H:$H,$A891))</f>
        <v/>
      </c>
      <c r="F891" s="173" t="str">
        <f t="array" ref="F891">IF($A891="","",INDEX('主表 Stock_Transaction_Log'!$I:$I,$A891))</f>
        <v/>
      </c>
      <c r="G891" s="173" t="str">
        <f t="array" ref="G891">IF($A891="","",IF(INDEX('主表 Stock_Transaction_Log'!$R:$R,$A891)=0,"",INDEX('主表 Stock_Transaction_Log'!$R:$R,$A891)))</f>
        <v/>
      </c>
      <c r="H891" s="173" t="str">
        <f t="array" ref="H891">IF($A891="","",SUMIF('主表 Stock_Transaction_Log'!$T:$T,INDEX('主表 Stock_Transaction_Log'!$T:$T,$A891),'主表 Stock_Transaction_Log'!$S:$S)+SUMIF('主表 Stock_Transaction_Log'!$AB:$AB,INDEX('主表 Stock_Transaction_Log'!$T:$T,$A891),'主表 Stock_Transaction_Log'!$AC:$AC))</f>
        <v/>
      </c>
      <c r="I891" s="173" t="str">
        <f t="shared" si="1"/>
        <v/>
      </c>
      <c r="J891" s="173" t="str">
        <f t="shared" si="2"/>
        <v/>
      </c>
      <c r="K891" s="173" t="str">
        <f t="shared" si="3"/>
        <v/>
      </c>
      <c r="L891" s="173" t="str">
        <f t="array" ref="L891">IF($A891="","",INDEX('主表 Stock_Transaction_Log'!$P:$P,$A891))</f>
        <v/>
      </c>
      <c r="M891" s="174" t="str">
        <f>IF($A891="","",IF($H891&lt;=0,0,SUMIFS('主表 Stock_Transaction_Log'!$K$2:$K1000,'主表 Stock_Transaction_Log'!$C$2:$C1000,"Prepared",'主表 Stock_Transaction_Log'!$L$2:$L1000,$B891,'主表 Stock_Transaction_Log'!$F$2:$F1000,$C891,'主表 Stock_Transaction_Log'!$G$2:$G1000,$D891,'主表 Stock_Transaction_Log'!$P$2:$P1000,$L891)))</f>
        <v/>
      </c>
    </row>
    <row r="892">
      <c r="A892" s="173" t="str">
        <f>IF('主表 Stock_Transaction_Log'!$T892="","",IF(COUNTIF('主表 Stock_Transaction_Log'!$T$2:$T892,'主表 Stock_Transaction_Log'!$T892)=1,ROW('主表 Stock_Transaction_Log'!$T892),""))</f>
        <v/>
      </c>
      <c r="B892" s="173" t="str">
        <f t="array" ref="B892">IF($A892="","",INDEX('主表 Stock_Transaction_Log'!$Q:$Q,$A892))</f>
        <v/>
      </c>
      <c r="C892" s="173" t="str">
        <f t="array" ref="C892">IF($A892="","",IF(INDEX('主表 Stock_Transaction_Log'!$F:$F,$A892)=0,"",INDEX('主表 Stock_Transaction_Log'!$F:$F,$A892)))</f>
        <v/>
      </c>
      <c r="D892" s="173" t="str">
        <f t="array" ref="D892">IF($A892="","",INDEX('主表 Stock_Transaction_Log'!$G:$G,$A892))</f>
        <v/>
      </c>
      <c r="E892" s="173" t="str">
        <f t="array" ref="E892">IF($A892="","",INDEX('主表 Stock_Transaction_Log'!$H:$H,$A892))</f>
        <v/>
      </c>
      <c r="F892" s="173" t="str">
        <f t="array" ref="F892">IF($A892="","",INDEX('主表 Stock_Transaction_Log'!$I:$I,$A892))</f>
        <v/>
      </c>
      <c r="G892" s="173" t="str">
        <f t="array" ref="G892">IF($A892="","",IF(INDEX('主表 Stock_Transaction_Log'!$R:$R,$A892)=0,"",INDEX('主表 Stock_Transaction_Log'!$R:$R,$A892)))</f>
        <v/>
      </c>
      <c r="H892" s="173" t="str">
        <f t="array" ref="H892">IF($A892="","",SUMIF('主表 Stock_Transaction_Log'!$T:$T,INDEX('主表 Stock_Transaction_Log'!$T:$T,$A892),'主表 Stock_Transaction_Log'!$S:$S)+SUMIF('主表 Stock_Transaction_Log'!$AB:$AB,INDEX('主表 Stock_Transaction_Log'!$T:$T,$A892),'主表 Stock_Transaction_Log'!$AC:$AC))</f>
        <v/>
      </c>
      <c r="I892" s="173" t="str">
        <f t="shared" si="1"/>
        <v/>
      </c>
      <c r="J892" s="173" t="str">
        <f t="shared" si="2"/>
        <v/>
      </c>
      <c r="K892" s="173" t="str">
        <f t="shared" si="3"/>
        <v/>
      </c>
      <c r="L892" s="173" t="str">
        <f t="array" ref="L892">IF($A892="","",INDEX('主表 Stock_Transaction_Log'!$P:$P,$A892))</f>
        <v/>
      </c>
      <c r="M892" s="174" t="str">
        <f>IF($A892="","",IF($H892&lt;=0,0,SUMIFS('主表 Stock_Transaction_Log'!$K$2:$K1000,'主表 Stock_Transaction_Log'!$C$2:$C1000,"Prepared",'主表 Stock_Transaction_Log'!$L$2:$L1000,$B892,'主表 Stock_Transaction_Log'!$F$2:$F1000,$C892,'主表 Stock_Transaction_Log'!$G$2:$G1000,$D892,'主表 Stock_Transaction_Log'!$P$2:$P1000,$L892)))</f>
        <v/>
      </c>
    </row>
    <row r="893">
      <c r="A893" s="173" t="str">
        <f>IF('主表 Stock_Transaction_Log'!$T893="","",IF(COUNTIF('主表 Stock_Transaction_Log'!$T$2:$T893,'主表 Stock_Transaction_Log'!$T893)=1,ROW('主表 Stock_Transaction_Log'!$T893),""))</f>
        <v/>
      </c>
      <c r="B893" s="173" t="str">
        <f t="array" ref="B893">IF($A893="","",INDEX('主表 Stock_Transaction_Log'!$Q:$Q,$A893))</f>
        <v/>
      </c>
      <c r="C893" s="173" t="str">
        <f t="array" ref="C893">IF($A893="","",IF(INDEX('主表 Stock_Transaction_Log'!$F:$F,$A893)=0,"",INDEX('主表 Stock_Transaction_Log'!$F:$F,$A893)))</f>
        <v/>
      </c>
      <c r="D893" s="173" t="str">
        <f t="array" ref="D893">IF($A893="","",INDEX('主表 Stock_Transaction_Log'!$G:$G,$A893))</f>
        <v/>
      </c>
      <c r="E893" s="173" t="str">
        <f t="array" ref="E893">IF($A893="","",INDEX('主表 Stock_Transaction_Log'!$H:$H,$A893))</f>
        <v/>
      </c>
      <c r="F893" s="173" t="str">
        <f t="array" ref="F893">IF($A893="","",INDEX('主表 Stock_Transaction_Log'!$I:$I,$A893))</f>
        <v/>
      </c>
      <c r="G893" s="173" t="str">
        <f t="array" ref="G893">IF($A893="","",IF(INDEX('主表 Stock_Transaction_Log'!$R:$R,$A893)=0,"",INDEX('主表 Stock_Transaction_Log'!$R:$R,$A893)))</f>
        <v/>
      </c>
      <c r="H893" s="173" t="str">
        <f t="array" ref="H893">IF($A893="","",SUMIF('主表 Stock_Transaction_Log'!$T:$T,INDEX('主表 Stock_Transaction_Log'!$T:$T,$A893),'主表 Stock_Transaction_Log'!$S:$S)+SUMIF('主表 Stock_Transaction_Log'!$AB:$AB,INDEX('主表 Stock_Transaction_Log'!$T:$T,$A893),'主表 Stock_Transaction_Log'!$AC:$AC))</f>
        <v/>
      </c>
      <c r="I893" s="173" t="str">
        <f t="shared" si="1"/>
        <v/>
      </c>
      <c r="J893" s="173" t="str">
        <f t="shared" si="2"/>
        <v/>
      </c>
      <c r="K893" s="173" t="str">
        <f t="shared" si="3"/>
        <v/>
      </c>
      <c r="L893" s="173" t="str">
        <f t="array" ref="L893">IF($A893="","",INDEX('主表 Stock_Transaction_Log'!$P:$P,$A893))</f>
        <v/>
      </c>
      <c r="M893" s="174" t="str">
        <f>IF($A893="","",IF($H893&lt;=0,0,SUMIFS('主表 Stock_Transaction_Log'!$K$2:$K1000,'主表 Stock_Transaction_Log'!$C$2:$C1000,"Prepared",'主表 Stock_Transaction_Log'!$L$2:$L1000,$B893,'主表 Stock_Transaction_Log'!$F$2:$F1000,$C893,'主表 Stock_Transaction_Log'!$G$2:$G1000,$D893,'主表 Stock_Transaction_Log'!$P$2:$P1000,$L893)))</f>
        <v/>
      </c>
    </row>
    <row r="894">
      <c r="A894" s="173" t="str">
        <f>IF('主表 Stock_Transaction_Log'!$T894="","",IF(COUNTIF('主表 Stock_Transaction_Log'!$T$2:$T894,'主表 Stock_Transaction_Log'!$T894)=1,ROW('主表 Stock_Transaction_Log'!$T894),""))</f>
        <v/>
      </c>
      <c r="B894" s="173" t="str">
        <f t="array" ref="B894">IF($A894="","",INDEX('主表 Stock_Transaction_Log'!$Q:$Q,$A894))</f>
        <v/>
      </c>
      <c r="C894" s="173" t="str">
        <f t="array" ref="C894">IF($A894="","",IF(INDEX('主表 Stock_Transaction_Log'!$F:$F,$A894)=0,"",INDEX('主表 Stock_Transaction_Log'!$F:$F,$A894)))</f>
        <v/>
      </c>
      <c r="D894" s="173" t="str">
        <f t="array" ref="D894">IF($A894="","",INDEX('主表 Stock_Transaction_Log'!$G:$G,$A894))</f>
        <v/>
      </c>
      <c r="E894" s="173" t="str">
        <f t="array" ref="E894">IF($A894="","",INDEX('主表 Stock_Transaction_Log'!$H:$H,$A894))</f>
        <v/>
      </c>
      <c r="F894" s="173" t="str">
        <f t="array" ref="F894">IF($A894="","",INDEX('主表 Stock_Transaction_Log'!$I:$I,$A894))</f>
        <v/>
      </c>
      <c r="G894" s="173" t="str">
        <f t="array" ref="G894">IF($A894="","",IF(INDEX('主表 Stock_Transaction_Log'!$R:$R,$A894)=0,"",INDEX('主表 Stock_Transaction_Log'!$R:$R,$A894)))</f>
        <v/>
      </c>
      <c r="H894" s="173" t="str">
        <f t="array" ref="H894">IF($A894="","",SUMIF('主表 Stock_Transaction_Log'!$T:$T,INDEX('主表 Stock_Transaction_Log'!$T:$T,$A894),'主表 Stock_Transaction_Log'!$S:$S)+SUMIF('主表 Stock_Transaction_Log'!$AB:$AB,INDEX('主表 Stock_Transaction_Log'!$T:$T,$A894),'主表 Stock_Transaction_Log'!$AC:$AC))</f>
        <v/>
      </c>
      <c r="I894" s="173" t="str">
        <f t="shared" si="1"/>
        <v/>
      </c>
      <c r="J894" s="173" t="str">
        <f t="shared" si="2"/>
        <v/>
      </c>
      <c r="K894" s="173" t="str">
        <f t="shared" si="3"/>
        <v/>
      </c>
      <c r="L894" s="173" t="str">
        <f t="array" ref="L894">IF($A894="","",INDEX('主表 Stock_Transaction_Log'!$P:$P,$A894))</f>
        <v/>
      </c>
      <c r="M894" s="174" t="str">
        <f>IF($A894="","",IF($H894&lt;=0,0,SUMIFS('主表 Stock_Transaction_Log'!$K$2:$K1000,'主表 Stock_Transaction_Log'!$C$2:$C1000,"Prepared",'主表 Stock_Transaction_Log'!$L$2:$L1000,$B894,'主表 Stock_Transaction_Log'!$F$2:$F1000,$C894,'主表 Stock_Transaction_Log'!$G$2:$G1000,$D894,'主表 Stock_Transaction_Log'!$P$2:$P1000,$L894)))</f>
        <v/>
      </c>
    </row>
    <row r="895">
      <c r="A895" s="173" t="str">
        <f>IF('主表 Stock_Transaction_Log'!$T895="","",IF(COUNTIF('主表 Stock_Transaction_Log'!$T$2:$T895,'主表 Stock_Transaction_Log'!$T895)=1,ROW('主表 Stock_Transaction_Log'!$T895),""))</f>
        <v/>
      </c>
      <c r="B895" s="173" t="str">
        <f t="array" ref="B895">IF($A895="","",INDEX('主表 Stock_Transaction_Log'!$Q:$Q,$A895))</f>
        <v/>
      </c>
      <c r="C895" s="173" t="str">
        <f t="array" ref="C895">IF($A895="","",IF(INDEX('主表 Stock_Transaction_Log'!$F:$F,$A895)=0,"",INDEX('主表 Stock_Transaction_Log'!$F:$F,$A895)))</f>
        <v/>
      </c>
      <c r="D895" s="173" t="str">
        <f t="array" ref="D895">IF($A895="","",INDEX('主表 Stock_Transaction_Log'!$G:$G,$A895))</f>
        <v/>
      </c>
      <c r="E895" s="173" t="str">
        <f t="array" ref="E895">IF($A895="","",INDEX('主表 Stock_Transaction_Log'!$H:$H,$A895))</f>
        <v/>
      </c>
      <c r="F895" s="173" t="str">
        <f t="array" ref="F895">IF($A895="","",INDEX('主表 Stock_Transaction_Log'!$I:$I,$A895))</f>
        <v/>
      </c>
      <c r="G895" s="173" t="str">
        <f t="array" ref="G895">IF($A895="","",IF(INDEX('主表 Stock_Transaction_Log'!$R:$R,$A895)=0,"",INDEX('主表 Stock_Transaction_Log'!$R:$R,$A895)))</f>
        <v/>
      </c>
      <c r="H895" s="173" t="str">
        <f t="array" ref="H895">IF($A895="","",SUMIF('主表 Stock_Transaction_Log'!$T:$T,INDEX('主表 Stock_Transaction_Log'!$T:$T,$A895),'主表 Stock_Transaction_Log'!$S:$S)+SUMIF('主表 Stock_Transaction_Log'!$AB:$AB,INDEX('主表 Stock_Transaction_Log'!$T:$T,$A895),'主表 Stock_Transaction_Log'!$AC:$AC))</f>
        <v/>
      </c>
      <c r="I895" s="173" t="str">
        <f t="shared" si="1"/>
        <v/>
      </c>
      <c r="J895" s="173" t="str">
        <f t="shared" si="2"/>
        <v/>
      </c>
      <c r="K895" s="173" t="str">
        <f t="shared" si="3"/>
        <v/>
      </c>
      <c r="L895" s="173" t="str">
        <f t="array" ref="L895">IF($A895="","",INDEX('主表 Stock_Transaction_Log'!$P:$P,$A895))</f>
        <v/>
      </c>
      <c r="M895" s="174" t="str">
        <f>IF($A895="","",IF($H895&lt;=0,0,SUMIFS('主表 Stock_Transaction_Log'!$K$2:$K1000,'主表 Stock_Transaction_Log'!$C$2:$C1000,"Prepared",'主表 Stock_Transaction_Log'!$L$2:$L1000,$B895,'主表 Stock_Transaction_Log'!$F$2:$F1000,$C895,'主表 Stock_Transaction_Log'!$G$2:$G1000,$D895,'主表 Stock_Transaction_Log'!$P$2:$P1000,$L895)))</f>
        <v/>
      </c>
    </row>
    <row r="896">
      <c r="A896" s="173" t="str">
        <f>IF('主表 Stock_Transaction_Log'!$T896="","",IF(COUNTIF('主表 Stock_Transaction_Log'!$T$2:$T896,'主表 Stock_Transaction_Log'!$T896)=1,ROW('主表 Stock_Transaction_Log'!$T896),""))</f>
        <v/>
      </c>
      <c r="B896" s="173" t="str">
        <f t="array" ref="B896">IF($A896="","",INDEX('主表 Stock_Transaction_Log'!$Q:$Q,$A896))</f>
        <v/>
      </c>
      <c r="C896" s="173" t="str">
        <f t="array" ref="C896">IF($A896="","",IF(INDEX('主表 Stock_Transaction_Log'!$F:$F,$A896)=0,"",INDEX('主表 Stock_Transaction_Log'!$F:$F,$A896)))</f>
        <v/>
      </c>
      <c r="D896" s="173" t="str">
        <f t="array" ref="D896">IF($A896="","",INDEX('主表 Stock_Transaction_Log'!$G:$G,$A896))</f>
        <v/>
      </c>
      <c r="E896" s="173" t="str">
        <f t="array" ref="E896">IF($A896="","",INDEX('主表 Stock_Transaction_Log'!$H:$H,$A896))</f>
        <v/>
      </c>
      <c r="F896" s="173" t="str">
        <f t="array" ref="F896">IF($A896="","",INDEX('主表 Stock_Transaction_Log'!$I:$I,$A896))</f>
        <v/>
      </c>
      <c r="G896" s="173" t="str">
        <f t="array" ref="G896">IF($A896="","",IF(INDEX('主表 Stock_Transaction_Log'!$R:$R,$A896)=0,"",INDEX('主表 Stock_Transaction_Log'!$R:$R,$A896)))</f>
        <v/>
      </c>
      <c r="H896" s="173" t="str">
        <f t="array" ref="H896">IF($A896="","",SUMIF('主表 Stock_Transaction_Log'!$T:$T,INDEX('主表 Stock_Transaction_Log'!$T:$T,$A896),'主表 Stock_Transaction_Log'!$S:$S)+SUMIF('主表 Stock_Transaction_Log'!$AB:$AB,INDEX('主表 Stock_Transaction_Log'!$T:$T,$A896),'主表 Stock_Transaction_Log'!$AC:$AC))</f>
        <v/>
      </c>
      <c r="I896" s="173" t="str">
        <f t="shared" si="1"/>
        <v/>
      </c>
      <c r="J896" s="173" t="str">
        <f t="shared" si="2"/>
        <v/>
      </c>
      <c r="K896" s="173" t="str">
        <f t="shared" si="3"/>
        <v/>
      </c>
      <c r="L896" s="173" t="str">
        <f t="array" ref="L896">IF($A896="","",INDEX('主表 Stock_Transaction_Log'!$P:$P,$A896))</f>
        <v/>
      </c>
      <c r="M896" s="174" t="str">
        <f>IF($A896="","",IF($H896&lt;=0,0,SUMIFS('主表 Stock_Transaction_Log'!$K$2:$K1000,'主表 Stock_Transaction_Log'!$C$2:$C1000,"Prepared",'主表 Stock_Transaction_Log'!$L$2:$L1000,$B896,'主表 Stock_Transaction_Log'!$F$2:$F1000,$C896,'主表 Stock_Transaction_Log'!$G$2:$G1000,$D896,'主表 Stock_Transaction_Log'!$P$2:$P1000,$L896)))</f>
        <v/>
      </c>
    </row>
    <row r="897">
      <c r="A897" s="173" t="str">
        <f>IF('主表 Stock_Transaction_Log'!$T897="","",IF(COUNTIF('主表 Stock_Transaction_Log'!$T$2:$T897,'主表 Stock_Transaction_Log'!$T897)=1,ROW('主表 Stock_Transaction_Log'!$T897),""))</f>
        <v/>
      </c>
      <c r="B897" s="173" t="str">
        <f t="array" ref="B897">IF($A897="","",INDEX('主表 Stock_Transaction_Log'!$Q:$Q,$A897))</f>
        <v/>
      </c>
      <c r="C897" s="173" t="str">
        <f t="array" ref="C897">IF($A897="","",IF(INDEX('主表 Stock_Transaction_Log'!$F:$F,$A897)=0,"",INDEX('主表 Stock_Transaction_Log'!$F:$F,$A897)))</f>
        <v/>
      </c>
      <c r="D897" s="173" t="str">
        <f t="array" ref="D897">IF($A897="","",INDEX('主表 Stock_Transaction_Log'!$G:$G,$A897))</f>
        <v/>
      </c>
      <c r="E897" s="173" t="str">
        <f t="array" ref="E897">IF($A897="","",INDEX('主表 Stock_Transaction_Log'!$H:$H,$A897))</f>
        <v/>
      </c>
      <c r="F897" s="173" t="str">
        <f t="array" ref="F897">IF($A897="","",INDEX('主表 Stock_Transaction_Log'!$I:$I,$A897))</f>
        <v/>
      </c>
      <c r="G897" s="173" t="str">
        <f t="array" ref="G897">IF($A897="","",IF(INDEX('主表 Stock_Transaction_Log'!$R:$R,$A897)=0,"",INDEX('主表 Stock_Transaction_Log'!$R:$R,$A897)))</f>
        <v/>
      </c>
      <c r="H897" s="173" t="str">
        <f t="array" ref="H897">IF($A897="","",SUMIF('主表 Stock_Transaction_Log'!$T:$T,INDEX('主表 Stock_Transaction_Log'!$T:$T,$A897),'主表 Stock_Transaction_Log'!$S:$S)+SUMIF('主表 Stock_Transaction_Log'!$AB:$AB,INDEX('主表 Stock_Transaction_Log'!$T:$T,$A897),'主表 Stock_Transaction_Log'!$AC:$AC))</f>
        <v/>
      </c>
      <c r="I897" s="173" t="str">
        <f t="shared" si="1"/>
        <v/>
      </c>
      <c r="J897" s="173" t="str">
        <f t="shared" si="2"/>
        <v/>
      </c>
      <c r="K897" s="173" t="str">
        <f t="shared" si="3"/>
        <v/>
      </c>
      <c r="L897" s="173" t="str">
        <f t="array" ref="L897">IF($A897="","",INDEX('主表 Stock_Transaction_Log'!$P:$P,$A897))</f>
        <v/>
      </c>
      <c r="M897" s="174" t="str">
        <f>IF($A897="","",IF($H897&lt;=0,0,SUMIFS('主表 Stock_Transaction_Log'!$K$2:$K1000,'主表 Stock_Transaction_Log'!$C$2:$C1000,"Prepared",'主表 Stock_Transaction_Log'!$L$2:$L1000,$B897,'主表 Stock_Transaction_Log'!$F$2:$F1000,$C897,'主表 Stock_Transaction_Log'!$G$2:$G1000,$D897,'主表 Stock_Transaction_Log'!$P$2:$P1000,$L897)))</f>
        <v/>
      </c>
    </row>
    <row r="898">
      <c r="A898" s="173" t="str">
        <f>IF('主表 Stock_Transaction_Log'!$T898="","",IF(COUNTIF('主表 Stock_Transaction_Log'!$T$2:$T898,'主表 Stock_Transaction_Log'!$T898)=1,ROW('主表 Stock_Transaction_Log'!$T898),""))</f>
        <v/>
      </c>
      <c r="B898" s="173" t="str">
        <f t="array" ref="B898">IF($A898="","",INDEX('主表 Stock_Transaction_Log'!$Q:$Q,$A898))</f>
        <v/>
      </c>
      <c r="C898" s="173" t="str">
        <f t="array" ref="C898">IF($A898="","",IF(INDEX('主表 Stock_Transaction_Log'!$F:$F,$A898)=0,"",INDEX('主表 Stock_Transaction_Log'!$F:$F,$A898)))</f>
        <v/>
      </c>
      <c r="D898" s="173" t="str">
        <f t="array" ref="D898">IF($A898="","",INDEX('主表 Stock_Transaction_Log'!$G:$G,$A898))</f>
        <v/>
      </c>
      <c r="E898" s="173" t="str">
        <f t="array" ref="E898">IF($A898="","",INDEX('主表 Stock_Transaction_Log'!$H:$H,$A898))</f>
        <v/>
      </c>
      <c r="F898" s="173" t="str">
        <f t="array" ref="F898">IF($A898="","",INDEX('主表 Stock_Transaction_Log'!$I:$I,$A898))</f>
        <v/>
      </c>
      <c r="G898" s="173" t="str">
        <f t="array" ref="G898">IF($A898="","",IF(INDEX('主表 Stock_Transaction_Log'!$R:$R,$A898)=0,"",INDEX('主表 Stock_Transaction_Log'!$R:$R,$A898)))</f>
        <v/>
      </c>
      <c r="H898" s="173" t="str">
        <f t="array" ref="H898">IF($A898="","",SUMIF('主表 Stock_Transaction_Log'!$T:$T,INDEX('主表 Stock_Transaction_Log'!$T:$T,$A898),'主表 Stock_Transaction_Log'!$S:$S)+SUMIF('主表 Stock_Transaction_Log'!$AB:$AB,INDEX('主表 Stock_Transaction_Log'!$T:$T,$A898),'主表 Stock_Transaction_Log'!$AC:$AC))</f>
        <v/>
      </c>
      <c r="I898" s="173" t="str">
        <f t="shared" si="1"/>
        <v/>
      </c>
      <c r="J898" s="173" t="str">
        <f t="shared" si="2"/>
        <v/>
      </c>
      <c r="K898" s="173" t="str">
        <f t="shared" si="3"/>
        <v/>
      </c>
      <c r="L898" s="173" t="str">
        <f t="array" ref="L898">IF($A898="","",INDEX('主表 Stock_Transaction_Log'!$P:$P,$A898))</f>
        <v/>
      </c>
      <c r="M898" s="174" t="str">
        <f>IF($A898="","",IF($H898&lt;=0,0,SUMIFS('主表 Stock_Transaction_Log'!$K$2:$K1000,'主表 Stock_Transaction_Log'!$C$2:$C1000,"Prepared",'主表 Stock_Transaction_Log'!$L$2:$L1000,$B898,'主表 Stock_Transaction_Log'!$F$2:$F1000,$C898,'主表 Stock_Transaction_Log'!$G$2:$G1000,$D898,'主表 Stock_Transaction_Log'!$P$2:$P1000,$L898)))</f>
        <v/>
      </c>
    </row>
    <row r="899">
      <c r="A899" s="173" t="str">
        <f>IF('主表 Stock_Transaction_Log'!$T899="","",IF(COUNTIF('主表 Stock_Transaction_Log'!$T$2:$T899,'主表 Stock_Transaction_Log'!$T899)=1,ROW('主表 Stock_Transaction_Log'!$T899),""))</f>
        <v/>
      </c>
      <c r="B899" s="173" t="str">
        <f t="array" ref="B899">IF($A899="","",INDEX('主表 Stock_Transaction_Log'!$Q:$Q,$A899))</f>
        <v/>
      </c>
      <c r="C899" s="173" t="str">
        <f t="array" ref="C899">IF($A899="","",IF(INDEX('主表 Stock_Transaction_Log'!$F:$F,$A899)=0,"",INDEX('主表 Stock_Transaction_Log'!$F:$F,$A899)))</f>
        <v/>
      </c>
      <c r="D899" s="173" t="str">
        <f t="array" ref="D899">IF($A899="","",INDEX('主表 Stock_Transaction_Log'!$G:$G,$A899))</f>
        <v/>
      </c>
      <c r="E899" s="173" t="str">
        <f t="array" ref="E899">IF($A899="","",INDEX('主表 Stock_Transaction_Log'!$H:$H,$A899))</f>
        <v/>
      </c>
      <c r="F899" s="173" t="str">
        <f t="array" ref="F899">IF($A899="","",INDEX('主表 Stock_Transaction_Log'!$I:$I,$A899))</f>
        <v/>
      </c>
      <c r="G899" s="173" t="str">
        <f t="array" ref="G899">IF($A899="","",IF(INDEX('主表 Stock_Transaction_Log'!$R:$R,$A899)=0,"",INDEX('主表 Stock_Transaction_Log'!$R:$R,$A899)))</f>
        <v/>
      </c>
      <c r="H899" s="173" t="str">
        <f t="array" ref="H899">IF($A899="","",SUMIF('主表 Stock_Transaction_Log'!$T:$T,INDEX('主表 Stock_Transaction_Log'!$T:$T,$A899),'主表 Stock_Transaction_Log'!$S:$S)+SUMIF('主表 Stock_Transaction_Log'!$AB:$AB,INDEX('主表 Stock_Transaction_Log'!$T:$T,$A899),'主表 Stock_Transaction_Log'!$AC:$AC))</f>
        <v/>
      </c>
      <c r="I899" s="173" t="str">
        <f t="shared" si="1"/>
        <v/>
      </c>
      <c r="J899" s="173" t="str">
        <f t="shared" si="2"/>
        <v/>
      </c>
      <c r="K899" s="173" t="str">
        <f t="shared" si="3"/>
        <v/>
      </c>
      <c r="L899" s="173" t="str">
        <f t="array" ref="L899">IF($A899="","",INDEX('主表 Stock_Transaction_Log'!$P:$P,$A899))</f>
        <v/>
      </c>
      <c r="M899" s="174" t="str">
        <f>IF($A899="","",IF($H899&lt;=0,0,SUMIFS('主表 Stock_Transaction_Log'!$K$2:$K1000,'主表 Stock_Transaction_Log'!$C$2:$C1000,"Prepared",'主表 Stock_Transaction_Log'!$L$2:$L1000,$B899,'主表 Stock_Transaction_Log'!$F$2:$F1000,$C899,'主表 Stock_Transaction_Log'!$G$2:$G1000,$D899,'主表 Stock_Transaction_Log'!$P$2:$P1000,$L899)))</f>
        <v/>
      </c>
    </row>
    <row r="900">
      <c r="A900" s="173" t="str">
        <f>IF('主表 Stock_Transaction_Log'!$T900="","",IF(COUNTIF('主表 Stock_Transaction_Log'!$T$2:$T900,'主表 Stock_Transaction_Log'!$T900)=1,ROW('主表 Stock_Transaction_Log'!$T900),""))</f>
        <v/>
      </c>
      <c r="B900" s="173" t="str">
        <f t="array" ref="B900">IF($A900="","",INDEX('主表 Stock_Transaction_Log'!$Q:$Q,$A900))</f>
        <v/>
      </c>
      <c r="C900" s="173" t="str">
        <f t="array" ref="C900">IF($A900="","",IF(INDEX('主表 Stock_Transaction_Log'!$F:$F,$A900)=0,"",INDEX('主表 Stock_Transaction_Log'!$F:$F,$A900)))</f>
        <v/>
      </c>
      <c r="D900" s="173" t="str">
        <f t="array" ref="D900">IF($A900="","",INDEX('主表 Stock_Transaction_Log'!$G:$G,$A900))</f>
        <v/>
      </c>
      <c r="E900" s="173" t="str">
        <f t="array" ref="E900">IF($A900="","",INDEX('主表 Stock_Transaction_Log'!$H:$H,$A900))</f>
        <v/>
      </c>
      <c r="F900" s="173" t="str">
        <f t="array" ref="F900">IF($A900="","",INDEX('主表 Stock_Transaction_Log'!$I:$I,$A900))</f>
        <v/>
      </c>
      <c r="G900" s="173" t="str">
        <f t="array" ref="G900">IF($A900="","",IF(INDEX('主表 Stock_Transaction_Log'!$R:$R,$A900)=0,"",INDEX('主表 Stock_Transaction_Log'!$R:$R,$A900)))</f>
        <v/>
      </c>
      <c r="H900" s="173" t="str">
        <f t="array" ref="H900">IF($A900="","",SUMIF('主表 Stock_Transaction_Log'!$T:$T,INDEX('主表 Stock_Transaction_Log'!$T:$T,$A900),'主表 Stock_Transaction_Log'!$S:$S)+SUMIF('主表 Stock_Transaction_Log'!$AB:$AB,INDEX('主表 Stock_Transaction_Log'!$T:$T,$A900),'主表 Stock_Transaction_Log'!$AC:$AC))</f>
        <v/>
      </c>
      <c r="I900" s="173" t="str">
        <f t="shared" si="1"/>
        <v/>
      </c>
      <c r="J900" s="173" t="str">
        <f t="shared" si="2"/>
        <v/>
      </c>
      <c r="K900" s="173" t="str">
        <f t="shared" si="3"/>
        <v/>
      </c>
      <c r="L900" s="173" t="str">
        <f t="array" ref="L900">IF($A900="","",INDEX('主表 Stock_Transaction_Log'!$P:$P,$A900))</f>
        <v/>
      </c>
      <c r="M900" s="174" t="str">
        <f>IF($A900="","",IF($H900&lt;=0,0,SUMIFS('主表 Stock_Transaction_Log'!$K$2:$K1000,'主表 Stock_Transaction_Log'!$C$2:$C1000,"Prepared",'主表 Stock_Transaction_Log'!$L$2:$L1000,$B900,'主表 Stock_Transaction_Log'!$F$2:$F1000,$C900,'主表 Stock_Transaction_Log'!$G$2:$G1000,$D900,'主表 Stock_Transaction_Log'!$P$2:$P1000,$L900)))</f>
        <v/>
      </c>
    </row>
    <row r="901">
      <c r="A901" s="173" t="str">
        <f>IF('主表 Stock_Transaction_Log'!$T901="","",IF(COUNTIF('主表 Stock_Transaction_Log'!$T$2:$T901,'主表 Stock_Transaction_Log'!$T901)=1,ROW('主表 Stock_Transaction_Log'!$T901),""))</f>
        <v/>
      </c>
      <c r="B901" s="173" t="str">
        <f t="array" ref="B901">IF($A901="","",INDEX('主表 Stock_Transaction_Log'!$Q:$Q,$A901))</f>
        <v/>
      </c>
      <c r="C901" s="173" t="str">
        <f t="array" ref="C901">IF($A901="","",IF(INDEX('主表 Stock_Transaction_Log'!$F:$F,$A901)=0,"",INDEX('主表 Stock_Transaction_Log'!$F:$F,$A901)))</f>
        <v/>
      </c>
      <c r="D901" s="173" t="str">
        <f t="array" ref="D901">IF($A901="","",INDEX('主表 Stock_Transaction_Log'!$G:$G,$A901))</f>
        <v/>
      </c>
      <c r="E901" s="173" t="str">
        <f t="array" ref="E901">IF($A901="","",INDEX('主表 Stock_Transaction_Log'!$H:$H,$A901))</f>
        <v/>
      </c>
      <c r="F901" s="173" t="str">
        <f t="array" ref="F901">IF($A901="","",INDEX('主表 Stock_Transaction_Log'!$I:$I,$A901))</f>
        <v/>
      </c>
      <c r="G901" s="173" t="str">
        <f t="array" ref="G901">IF($A901="","",IF(INDEX('主表 Stock_Transaction_Log'!$R:$R,$A901)=0,"",INDEX('主表 Stock_Transaction_Log'!$R:$R,$A901)))</f>
        <v/>
      </c>
      <c r="H901" s="173" t="str">
        <f t="array" ref="H901">IF($A901="","",SUMIF('主表 Stock_Transaction_Log'!$T:$T,INDEX('主表 Stock_Transaction_Log'!$T:$T,$A901),'主表 Stock_Transaction_Log'!$S:$S)+SUMIF('主表 Stock_Transaction_Log'!$AB:$AB,INDEX('主表 Stock_Transaction_Log'!$T:$T,$A901),'主表 Stock_Transaction_Log'!$AC:$AC))</f>
        <v/>
      </c>
      <c r="I901" s="173" t="str">
        <f t="shared" si="1"/>
        <v/>
      </c>
      <c r="J901" s="173" t="str">
        <f t="shared" si="2"/>
        <v/>
      </c>
      <c r="K901" s="173" t="str">
        <f t="shared" si="3"/>
        <v/>
      </c>
      <c r="L901" s="173" t="str">
        <f t="array" ref="L901">IF($A901="","",INDEX('主表 Stock_Transaction_Log'!$P:$P,$A901))</f>
        <v/>
      </c>
      <c r="M901" s="174" t="str">
        <f>IF($A901="","",IF($H901&lt;=0,0,SUMIFS('主表 Stock_Transaction_Log'!$K$2:$K1000,'主表 Stock_Transaction_Log'!$C$2:$C1000,"Prepared",'主表 Stock_Transaction_Log'!$L$2:$L1000,$B901,'主表 Stock_Transaction_Log'!$F$2:$F1000,$C901,'主表 Stock_Transaction_Log'!$G$2:$G1000,$D901,'主表 Stock_Transaction_Log'!$P$2:$P1000,$L901)))</f>
        <v/>
      </c>
    </row>
    <row r="902">
      <c r="A902" s="173" t="str">
        <f>IF('主表 Stock_Transaction_Log'!$T902="","",IF(COUNTIF('主表 Stock_Transaction_Log'!$T$2:$T902,'主表 Stock_Transaction_Log'!$T902)=1,ROW('主表 Stock_Transaction_Log'!$T902),""))</f>
        <v/>
      </c>
      <c r="B902" s="173" t="str">
        <f t="array" ref="B902">IF($A902="","",INDEX('主表 Stock_Transaction_Log'!$Q:$Q,$A902))</f>
        <v/>
      </c>
      <c r="C902" s="173" t="str">
        <f t="array" ref="C902">IF($A902="","",IF(INDEX('主表 Stock_Transaction_Log'!$F:$F,$A902)=0,"",INDEX('主表 Stock_Transaction_Log'!$F:$F,$A902)))</f>
        <v/>
      </c>
      <c r="D902" s="173" t="str">
        <f t="array" ref="D902">IF($A902="","",INDEX('主表 Stock_Transaction_Log'!$G:$G,$A902))</f>
        <v/>
      </c>
      <c r="E902" s="173" t="str">
        <f t="array" ref="E902">IF($A902="","",INDEX('主表 Stock_Transaction_Log'!$H:$H,$A902))</f>
        <v/>
      </c>
      <c r="F902" s="173" t="str">
        <f t="array" ref="F902">IF($A902="","",INDEX('主表 Stock_Transaction_Log'!$I:$I,$A902))</f>
        <v/>
      </c>
      <c r="G902" s="173" t="str">
        <f t="array" ref="G902">IF($A902="","",IF(INDEX('主表 Stock_Transaction_Log'!$R:$R,$A902)=0,"",INDEX('主表 Stock_Transaction_Log'!$R:$R,$A902)))</f>
        <v/>
      </c>
      <c r="H902" s="173" t="str">
        <f t="array" ref="H902">IF($A902="","",SUMIF('主表 Stock_Transaction_Log'!$T:$T,INDEX('主表 Stock_Transaction_Log'!$T:$T,$A902),'主表 Stock_Transaction_Log'!$S:$S)+SUMIF('主表 Stock_Transaction_Log'!$AB:$AB,INDEX('主表 Stock_Transaction_Log'!$T:$T,$A902),'主表 Stock_Transaction_Log'!$AC:$AC))</f>
        <v/>
      </c>
      <c r="I902" s="173" t="str">
        <f t="shared" si="1"/>
        <v/>
      </c>
      <c r="J902" s="173" t="str">
        <f t="shared" si="2"/>
        <v/>
      </c>
      <c r="K902" s="173" t="str">
        <f t="shared" si="3"/>
        <v/>
      </c>
      <c r="L902" s="173" t="str">
        <f t="array" ref="L902">IF($A902="","",INDEX('主表 Stock_Transaction_Log'!$P:$P,$A902))</f>
        <v/>
      </c>
      <c r="M902" s="174" t="str">
        <f>IF($A902="","",IF($H902&lt;=0,0,SUMIFS('主表 Stock_Transaction_Log'!$K$2:$K1000,'主表 Stock_Transaction_Log'!$C$2:$C1000,"Prepared",'主表 Stock_Transaction_Log'!$L$2:$L1000,$B902,'主表 Stock_Transaction_Log'!$F$2:$F1000,$C902,'主表 Stock_Transaction_Log'!$G$2:$G1000,$D902,'主表 Stock_Transaction_Log'!$P$2:$P1000,$L902)))</f>
        <v/>
      </c>
    </row>
    <row r="903">
      <c r="A903" s="173" t="str">
        <f>IF('主表 Stock_Transaction_Log'!$T903="","",IF(COUNTIF('主表 Stock_Transaction_Log'!$T$2:$T903,'主表 Stock_Transaction_Log'!$T903)=1,ROW('主表 Stock_Transaction_Log'!$T903),""))</f>
        <v/>
      </c>
      <c r="B903" s="173" t="str">
        <f t="array" ref="B903">IF($A903="","",INDEX('主表 Stock_Transaction_Log'!$Q:$Q,$A903))</f>
        <v/>
      </c>
      <c r="C903" s="173" t="str">
        <f t="array" ref="C903">IF($A903="","",IF(INDEX('主表 Stock_Transaction_Log'!$F:$F,$A903)=0,"",INDEX('主表 Stock_Transaction_Log'!$F:$F,$A903)))</f>
        <v/>
      </c>
      <c r="D903" s="173" t="str">
        <f t="array" ref="D903">IF($A903="","",INDEX('主表 Stock_Transaction_Log'!$G:$G,$A903))</f>
        <v/>
      </c>
      <c r="E903" s="173" t="str">
        <f t="array" ref="E903">IF($A903="","",INDEX('主表 Stock_Transaction_Log'!$H:$H,$A903))</f>
        <v/>
      </c>
      <c r="F903" s="173" t="str">
        <f t="array" ref="F903">IF($A903="","",INDEX('主表 Stock_Transaction_Log'!$I:$I,$A903))</f>
        <v/>
      </c>
      <c r="G903" s="173" t="str">
        <f t="array" ref="G903">IF($A903="","",IF(INDEX('主表 Stock_Transaction_Log'!$R:$R,$A903)=0,"",INDEX('主表 Stock_Transaction_Log'!$R:$R,$A903)))</f>
        <v/>
      </c>
      <c r="H903" s="173" t="str">
        <f t="array" ref="H903">IF($A903="","",SUMIF('主表 Stock_Transaction_Log'!$T:$T,INDEX('主表 Stock_Transaction_Log'!$T:$T,$A903),'主表 Stock_Transaction_Log'!$S:$S)+SUMIF('主表 Stock_Transaction_Log'!$AB:$AB,INDEX('主表 Stock_Transaction_Log'!$T:$T,$A903),'主表 Stock_Transaction_Log'!$AC:$AC))</f>
        <v/>
      </c>
      <c r="I903" s="173" t="str">
        <f t="shared" si="1"/>
        <v/>
      </c>
      <c r="J903" s="173" t="str">
        <f t="shared" si="2"/>
        <v/>
      </c>
      <c r="K903" s="173" t="str">
        <f t="shared" si="3"/>
        <v/>
      </c>
      <c r="L903" s="173" t="str">
        <f t="array" ref="L903">IF($A903="","",INDEX('主表 Stock_Transaction_Log'!$P:$P,$A903))</f>
        <v/>
      </c>
      <c r="M903" s="174" t="str">
        <f>IF($A903="","",IF($H903&lt;=0,0,SUMIFS('主表 Stock_Transaction_Log'!$K$2:$K1000,'主表 Stock_Transaction_Log'!$C$2:$C1000,"Prepared",'主表 Stock_Transaction_Log'!$L$2:$L1000,$B903,'主表 Stock_Transaction_Log'!$F$2:$F1000,$C903,'主表 Stock_Transaction_Log'!$G$2:$G1000,$D903,'主表 Stock_Transaction_Log'!$P$2:$P1000,$L903)))</f>
        <v/>
      </c>
    </row>
    <row r="904">
      <c r="A904" s="173" t="str">
        <f>IF('主表 Stock_Transaction_Log'!$T904="","",IF(COUNTIF('主表 Stock_Transaction_Log'!$T$2:$T904,'主表 Stock_Transaction_Log'!$T904)=1,ROW('主表 Stock_Transaction_Log'!$T904),""))</f>
        <v/>
      </c>
      <c r="B904" s="173" t="str">
        <f t="array" ref="B904">IF($A904="","",INDEX('主表 Stock_Transaction_Log'!$Q:$Q,$A904))</f>
        <v/>
      </c>
      <c r="C904" s="173" t="str">
        <f t="array" ref="C904">IF($A904="","",IF(INDEX('主表 Stock_Transaction_Log'!$F:$F,$A904)=0,"",INDEX('主表 Stock_Transaction_Log'!$F:$F,$A904)))</f>
        <v/>
      </c>
      <c r="D904" s="173" t="str">
        <f t="array" ref="D904">IF($A904="","",INDEX('主表 Stock_Transaction_Log'!$G:$G,$A904))</f>
        <v/>
      </c>
      <c r="E904" s="173" t="str">
        <f t="array" ref="E904">IF($A904="","",INDEX('主表 Stock_Transaction_Log'!$H:$H,$A904))</f>
        <v/>
      </c>
      <c r="F904" s="173" t="str">
        <f t="array" ref="F904">IF($A904="","",INDEX('主表 Stock_Transaction_Log'!$I:$I,$A904))</f>
        <v/>
      </c>
      <c r="G904" s="173" t="str">
        <f t="array" ref="G904">IF($A904="","",IF(INDEX('主表 Stock_Transaction_Log'!$R:$R,$A904)=0,"",INDEX('主表 Stock_Transaction_Log'!$R:$R,$A904)))</f>
        <v/>
      </c>
      <c r="H904" s="173" t="str">
        <f t="array" ref="H904">IF($A904="","",SUMIF('主表 Stock_Transaction_Log'!$T:$T,INDEX('主表 Stock_Transaction_Log'!$T:$T,$A904),'主表 Stock_Transaction_Log'!$S:$S)+SUMIF('主表 Stock_Transaction_Log'!$AB:$AB,INDEX('主表 Stock_Transaction_Log'!$T:$T,$A904),'主表 Stock_Transaction_Log'!$AC:$AC))</f>
        <v/>
      </c>
      <c r="I904" s="173" t="str">
        <f t="shared" si="1"/>
        <v/>
      </c>
      <c r="J904" s="173" t="str">
        <f t="shared" si="2"/>
        <v/>
      </c>
      <c r="K904" s="173" t="str">
        <f t="shared" si="3"/>
        <v/>
      </c>
      <c r="L904" s="173" t="str">
        <f t="array" ref="L904">IF($A904="","",INDEX('主表 Stock_Transaction_Log'!$P:$P,$A904))</f>
        <v/>
      </c>
      <c r="M904" s="174" t="str">
        <f>IF($A904="","",IF($H904&lt;=0,0,SUMIFS('主表 Stock_Transaction_Log'!$K$2:$K1000,'主表 Stock_Transaction_Log'!$C$2:$C1000,"Prepared",'主表 Stock_Transaction_Log'!$L$2:$L1000,$B904,'主表 Stock_Transaction_Log'!$F$2:$F1000,$C904,'主表 Stock_Transaction_Log'!$G$2:$G1000,$D904,'主表 Stock_Transaction_Log'!$P$2:$P1000,$L904)))</f>
        <v/>
      </c>
    </row>
    <row r="905">
      <c r="A905" s="173" t="str">
        <f>IF('主表 Stock_Transaction_Log'!$T905="","",IF(COUNTIF('主表 Stock_Transaction_Log'!$T$2:$T905,'主表 Stock_Transaction_Log'!$T905)=1,ROW('主表 Stock_Transaction_Log'!$T905),""))</f>
        <v/>
      </c>
      <c r="B905" s="173" t="str">
        <f t="array" ref="B905">IF($A905="","",INDEX('主表 Stock_Transaction_Log'!$Q:$Q,$A905))</f>
        <v/>
      </c>
      <c r="C905" s="173" t="str">
        <f t="array" ref="C905">IF($A905="","",IF(INDEX('主表 Stock_Transaction_Log'!$F:$F,$A905)=0,"",INDEX('主表 Stock_Transaction_Log'!$F:$F,$A905)))</f>
        <v/>
      </c>
      <c r="D905" s="173" t="str">
        <f t="array" ref="D905">IF($A905="","",INDEX('主表 Stock_Transaction_Log'!$G:$G,$A905))</f>
        <v/>
      </c>
      <c r="E905" s="173" t="str">
        <f t="array" ref="E905">IF($A905="","",INDEX('主表 Stock_Transaction_Log'!$H:$H,$A905))</f>
        <v/>
      </c>
      <c r="F905" s="173" t="str">
        <f t="array" ref="F905">IF($A905="","",INDEX('主表 Stock_Transaction_Log'!$I:$I,$A905))</f>
        <v/>
      </c>
      <c r="G905" s="173" t="str">
        <f t="array" ref="G905">IF($A905="","",IF(INDEX('主表 Stock_Transaction_Log'!$R:$R,$A905)=0,"",INDEX('主表 Stock_Transaction_Log'!$R:$R,$A905)))</f>
        <v/>
      </c>
      <c r="H905" s="173" t="str">
        <f t="array" ref="H905">IF($A905="","",SUMIF('主表 Stock_Transaction_Log'!$T:$T,INDEX('主表 Stock_Transaction_Log'!$T:$T,$A905),'主表 Stock_Transaction_Log'!$S:$S)+SUMIF('主表 Stock_Transaction_Log'!$AB:$AB,INDEX('主表 Stock_Transaction_Log'!$T:$T,$A905),'主表 Stock_Transaction_Log'!$AC:$AC))</f>
        <v/>
      </c>
      <c r="I905" s="173" t="str">
        <f t="shared" si="1"/>
        <v/>
      </c>
      <c r="J905" s="173" t="str">
        <f t="shared" si="2"/>
        <v/>
      </c>
      <c r="K905" s="173" t="str">
        <f t="shared" si="3"/>
        <v/>
      </c>
      <c r="L905" s="173" t="str">
        <f t="array" ref="L905">IF($A905="","",INDEX('主表 Stock_Transaction_Log'!$P:$P,$A905))</f>
        <v/>
      </c>
      <c r="M905" s="174" t="str">
        <f>IF($A905="","",IF($H905&lt;=0,0,SUMIFS('主表 Stock_Transaction_Log'!$K$2:$K1000,'主表 Stock_Transaction_Log'!$C$2:$C1000,"Prepared",'主表 Stock_Transaction_Log'!$L$2:$L1000,$B905,'主表 Stock_Transaction_Log'!$F$2:$F1000,$C905,'主表 Stock_Transaction_Log'!$G$2:$G1000,$D905,'主表 Stock_Transaction_Log'!$P$2:$P1000,$L905)))</f>
        <v/>
      </c>
    </row>
    <row r="906">
      <c r="A906" s="173" t="str">
        <f>IF('主表 Stock_Transaction_Log'!$T906="","",IF(COUNTIF('主表 Stock_Transaction_Log'!$T$2:$T906,'主表 Stock_Transaction_Log'!$T906)=1,ROW('主表 Stock_Transaction_Log'!$T906),""))</f>
        <v/>
      </c>
      <c r="B906" s="173" t="str">
        <f t="array" ref="B906">IF($A906="","",INDEX('主表 Stock_Transaction_Log'!$Q:$Q,$A906))</f>
        <v/>
      </c>
      <c r="C906" s="173" t="str">
        <f t="array" ref="C906">IF($A906="","",IF(INDEX('主表 Stock_Transaction_Log'!$F:$F,$A906)=0,"",INDEX('主表 Stock_Transaction_Log'!$F:$F,$A906)))</f>
        <v/>
      </c>
      <c r="D906" s="173" t="str">
        <f t="array" ref="D906">IF($A906="","",INDEX('主表 Stock_Transaction_Log'!$G:$G,$A906))</f>
        <v/>
      </c>
      <c r="E906" s="173" t="str">
        <f t="array" ref="E906">IF($A906="","",INDEX('主表 Stock_Transaction_Log'!$H:$H,$A906))</f>
        <v/>
      </c>
      <c r="F906" s="173" t="str">
        <f t="array" ref="F906">IF($A906="","",INDEX('主表 Stock_Transaction_Log'!$I:$I,$A906))</f>
        <v/>
      </c>
      <c r="G906" s="173" t="str">
        <f t="array" ref="G906">IF($A906="","",IF(INDEX('主表 Stock_Transaction_Log'!$R:$R,$A906)=0,"",INDEX('主表 Stock_Transaction_Log'!$R:$R,$A906)))</f>
        <v/>
      </c>
      <c r="H906" s="173" t="str">
        <f t="array" ref="H906">IF($A906="","",SUMIF('主表 Stock_Transaction_Log'!$T:$T,INDEX('主表 Stock_Transaction_Log'!$T:$T,$A906),'主表 Stock_Transaction_Log'!$S:$S)+SUMIF('主表 Stock_Transaction_Log'!$AB:$AB,INDEX('主表 Stock_Transaction_Log'!$T:$T,$A906),'主表 Stock_Transaction_Log'!$AC:$AC))</f>
        <v/>
      </c>
      <c r="I906" s="173" t="str">
        <f t="shared" si="1"/>
        <v/>
      </c>
      <c r="J906" s="173" t="str">
        <f t="shared" si="2"/>
        <v/>
      </c>
      <c r="K906" s="173" t="str">
        <f t="shared" si="3"/>
        <v/>
      </c>
      <c r="L906" s="173" t="str">
        <f t="array" ref="L906">IF($A906="","",INDEX('主表 Stock_Transaction_Log'!$P:$P,$A906))</f>
        <v/>
      </c>
      <c r="M906" s="174" t="str">
        <f>IF($A906="","",IF($H906&lt;=0,0,SUMIFS('主表 Stock_Transaction_Log'!$K$2:$K1000,'主表 Stock_Transaction_Log'!$C$2:$C1000,"Prepared",'主表 Stock_Transaction_Log'!$L$2:$L1000,$B906,'主表 Stock_Transaction_Log'!$F$2:$F1000,$C906,'主表 Stock_Transaction_Log'!$G$2:$G1000,$D906,'主表 Stock_Transaction_Log'!$P$2:$P1000,$L906)))</f>
        <v/>
      </c>
    </row>
    <row r="907">
      <c r="A907" s="173" t="str">
        <f>IF('主表 Stock_Transaction_Log'!$T907="","",IF(COUNTIF('主表 Stock_Transaction_Log'!$T$2:$T907,'主表 Stock_Transaction_Log'!$T907)=1,ROW('主表 Stock_Transaction_Log'!$T907),""))</f>
        <v/>
      </c>
      <c r="B907" s="173" t="str">
        <f t="array" ref="B907">IF($A907="","",INDEX('主表 Stock_Transaction_Log'!$Q:$Q,$A907))</f>
        <v/>
      </c>
      <c r="C907" s="173" t="str">
        <f t="array" ref="C907">IF($A907="","",IF(INDEX('主表 Stock_Transaction_Log'!$F:$F,$A907)=0,"",INDEX('主表 Stock_Transaction_Log'!$F:$F,$A907)))</f>
        <v/>
      </c>
      <c r="D907" s="173" t="str">
        <f t="array" ref="D907">IF($A907="","",INDEX('主表 Stock_Transaction_Log'!$G:$G,$A907))</f>
        <v/>
      </c>
      <c r="E907" s="173" t="str">
        <f t="array" ref="E907">IF($A907="","",INDEX('主表 Stock_Transaction_Log'!$H:$H,$A907))</f>
        <v/>
      </c>
      <c r="F907" s="173" t="str">
        <f t="array" ref="F907">IF($A907="","",INDEX('主表 Stock_Transaction_Log'!$I:$I,$A907))</f>
        <v/>
      </c>
      <c r="G907" s="173" t="str">
        <f t="array" ref="G907">IF($A907="","",IF(INDEX('主表 Stock_Transaction_Log'!$R:$R,$A907)=0,"",INDEX('主表 Stock_Transaction_Log'!$R:$R,$A907)))</f>
        <v/>
      </c>
      <c r="H907" s="173" t="str">
        <f t="array" ref="H907">IF($A907="","",SUMIF('主表 Stock_Transaction_Log'!$T:$T,INDEX('主表 Stock_Transaction_Log'!$T:$T,$A907),'主表 Stock_Transaction_Log'!$S:$S)+SUMIF('主表 Stock_Transaction_Log'!$AB:$AB,INDEX('主表 Stock_Transaction_Log'!$T:$T,$A907),'主表 Stock_Transaction_Log'!$AC:$AC))</f>
        <v/>
      </c>
      <c r="I907" s="173" t="str">
        <f t="shared" si="1"/>
        <v/>
      </c>
      <c r="J907" s="173" t="str">
        <f t="shared" si="2"/>
        <v/>
      </c>
      <c r="K907" s="173" t="str">
        <f t="shared" si="3"/>
        <v/>
      </c>
      <c r="L907" s="173" t="str">
        <f t="array" ref="L907">IF($A907="","",INDEX('主表 Stock_Transaction_Log'!$P:$P,$A907))</f>
        <v/>
      </c>
      <c r="M907" s="174" t="str">
        <f>IF($A907="","",IF($H907&lt;=0,0,SUMIFS('主表 Stock_Transaction_Log'!$K$2:$K1000,'主表 Stock_Transaction_Log'!$C$2:$C1000,"Prepared",'主表 Stock_Transaction_Log'!$L$2:$L1000,$B907,'主表 Stock_Transaction_Log'!$F$2:$F1000,$C907,'主表 Stock_Transaction_Log'!$G$2:$G1000,$D907,'主表 Stock_Transaction_Log'!$P$2:$P1000,$L907)))</f>
        <v/>
      </c>
    </row>
    <row r="908">
      <c r="A908" s="173" t="str">
        <f>IF('主表 Stock_Transaction_Log'!$T908="","",IF(COUNTIF('主表 Stock_Transaction_Log'!$T$2:$T908,'主表 Stock_Transaction_Log'!$T908)=1,ROW('主表 Stock_Transaction_Log'!$T908),""))</f>
        <v/>
      </c>
      <c r="B908" s="173" t="str">
        <f t="array" ref="B908">IF($A908="","",INDEX('主表 Stock_Transaction_Log'!$Q:$Q,$A908))</f>
        <v/>
      </c>
      <c r="C908" s="173" t="str">
        <f t="array" ref="C908">IF($A908="","",IF(INDEX('主表 Stock_Transaction_Log'!$F:$F,$A908)=0,"",INDEX('主表 Stock_Transaction_Log'!$F:$F,$A908)))</f>
        <v/>
      </c>
      <c r="D908" s="173" t="str">
        <f t="array" ref="D908">IF($A908="","",INDEX('主表 Stock_Transaction_Log'!$G:$G,$A908))</f>
        <v/>
      </c>
      <c r="E908" s="173" t="str">
        <f t="array" ref="E908">IF($A908="","",INDEX('主表 Stock_Transaction_Log'!$H:$H,$A908))</f>
        <v/>
      </c>
      <c r="F908" s="173" t="str">
        <f t="array" ref="F908">IF($A908="","",INDEX('主表 Stock_Transaction_Log'!$I:$I,$A908))</f>
        <v/>
      </c>
      <c r="G908" s="173" t="str">
        <f t="array" ref="G908">IF($A908="","",IF(INDEX('主表 Stock_Transaction_Log'!$R:$R,$A908)=0,"",INDEX('主表 Stock_Transaction_Log'!$R:$R,$A908)))</f>
        <v/>
      </c>
      <c r="H908" s="173" t="str">
        <f t="array" ref="H908">IF($A908="","",SUMIF('主表 Stock_Transaction_Log'!$T:$T,INDEX('主表 Stock_Transaction_Log'!$T:$T,$A908),'主表 Stock_Transaction_Log'!$S:$S)+SUMIF('主表 Stock_Transaction_Log'!$AB:$AB,INDEX('主表 Stock_Transaction_Log'!$T:$T,$A908),'主表 Stock_Transaction_Log'!$AC:$AC))</f>
        <v/>
      </c>
      <c r="I908" s="173" t="str">
        <f t="shared" si="1"/>
        <v/>
      </c>
      <c r="J908" s="173" t="str">
        <f t="shared" si="2"/>
        <v/>
      </c>
      <c r="K908" s="173" t="str">
        <f t="shared" si="3"/>
        <v/>
      </c>
      <c r="L908" s="173" t="str">
        <f t="array" ref="L908">IF($A908="","",INDEX('主表 Stock_Transaction_Log'!$P:$P,$A908))</f>
        <v/>
      </c>
      <c r="M908" s="174" t="str">
        <f>IF($A908="","",IF($H908&lt;=0,0,SUMIFS('主表 Stock_Transaction_Log'!$K$2:$K1000,'主表 Stock_Transaction_Log'!$C$2:$C1000,"Prepared",'主表 Stock_Transaction_Log'!$L$2:$L1000,$B908,'主表 Stock_Transaction_Log'!$F$2:$F1000,$C908,'主表 Stock_Transaction_Log'!$G$2:$G1000,$D908,'主表 Stock_Transaction_Log'!$P$2:$P1000,$L908)))</f>
        <v/>
      </c>
    </row>
    <row r="909">
      <c r="A909" s="173" t="str">
        <f>IF('主表 Stock_Transaction_Log'!$T909="","",IF(COUNTIF('主表 Stock_Transaction_Log'!$T$2:$T909,'主表 Stock_Transaction_Log'!$T909)=1,ROW('主表 Stock_Transaction_Log'!$T909),""))</f>
        <v/>
      </c>
      <c r="B909" s="173" t="str">
        <f t="array" ref="B909">IF($A909="","",INDEX('主表 Stock_Transaction_Log'!$Q:$Q,$A909))</f>
        <v/>
      </c>
      <c r="C909" s="173" t="str">
        <f t="array" ref="C909">IF($A909="","",IF(INDEX('主表 Stock_Transaction_Log'!$F:$F,$A909)=0,"",INDEX('主表 Stock_Transaction_Log'!$F:$F,$A909)))</f>
        <v/>
      </c>
      <c r="D909" s="173" t="str">
        <f t="array" ref="D909">IF($A909="","",INDEX('主表 Stock_Transaction_Log'!$G:$G,$A909))</f>
        <v/>
      </c>
      <c r="E909" s="173" t="str">
        <f t="array" ref="E909">IF($A909="","",INDEX('主表 Stock_Transaction_Log'!$H:$H,$A909))</f>
        <v/>
      </c>
      <c r="F909" s="173" t="str">
        <f t="array" ref="F909">IF($A909="","",INDEX('主表 Stock_Transaction_Log'!$I:$I,$A909))</f>
        <v/>
      </c>
      <c r="G909" s="173" t="str">
        <f t="array" ref="G909">IF($A909="","",IF(INDEX('主表 Stock_Transaction_Log'!$R:$R,$A909)=0,"",INDEX('主表 Stock_Transaction_Log'!$R:$R,$A909)))</f>
        <v/>
      </c>
      <c r="H909" s="173" t="str">
        <f t="array" ref="H909">IF($A909="","",SUMIF('主表 Stock_Transaction_Log'!$T:$T,INDEX('主表 Stock_Transaction_Log'!$T:$T,$A909),'主表 Stock_Transaction_Log'!$S:$S)+SUMIF('主表 Stock_Transaction_Log'!$AB:$AB,INDEX('主表 Stock_Transaction_Log'!$T:$T,$A909),'主表 Stock_Transaction_Log'!$AC:$AC))</f>
        <v/>
      </c>
      <c r="I909" s="173" t="str">
        <f t="shared" si="1"/>
        <v/>
      </c>
      <c r="J909" s="173" t="str">
        <f t="shared" si="2"/>
        <v/>
      </c>
      <c r="K909" s="173" t="str">
        <f t="shared" si="3"/>
        <v/>
      </c>
      <c r="L909" s="173" t="str">
        <f t="array" ref="L909">IF($A909="","",INDEX('主表 Stock_Transaction_Log'!$P:$P,$A909))</f>
        <v/>
      </c>
      <c r="M909" s="174" t="str">
        <f>IF($A909="","",IF($H909&lt;=0,0,SUMIFS('主表 Stock_Transaction_Log'!$K$2:$K1000,'主表 Stock_Transaction_Log'!$C$2:$C1000,"Prepared",'主表 Stock_Transaction_Log'!$L$2:$L1000,$B909,'主表 Stock_Transaction_Log'!$F$2:$F1000,$C909,'主表 Stock_Transaction_Log'!$G$2:$G1000,$D909,'主表 Stock_Transaction_Log'!$P$2:$P1000,$L909)))</f>
        <v/>
      </c>
    </row>
    <row r="910">
      <c r="A910" s="173" t="str">
        <f>IF('主表 Stock_Transaction_Log'!$T910="","",IF(COUNTIF('主表 Stock_Transaction_Log'!$T$2:$T910,'主表 Stock_Transaction_Log'!$T910)=1,ROW('主表 Stock_Transaction_Log'!$T910),""))</f>
        <v/>
      </c>
      <c r="B910" s="173" t="str">
        <f t="array" ref="B910">IF($A910="","",INDEX('主表 Stock_Transaction_Log'!$Q:$Q,$A910))</f>
        <v/>
      </c>
      <c r="C910" s="173" t="str">
        <f t="array" ref="C910">IF($A910="","",IF(INDEX('主表 Stock_Transaction_Log'!$F:$F,$A910)=0,"",INDEX('主表 Stock_Transaction_Log'!$F:$F,$A910)))</f>
        <v/>
      </c>
      <c r="D910" s="173" t="str">
        <f t="array" ref="D910">IF($A910="","",INDEX('主表 Stock_Transaction_Log'!$G:$G,$A910))</f>
        <v/>
      </c>
      <c r="E910" s="173" t="str">
        <f t="array" ref="E910">IF($A910="","",INDEX('主表 Stock_Transaction_Log'!$H:$H,$A910))</f>
        <v/>
      </c>
      <c r="F910" s="173" t="str">
        <f t="array" ref="F910">IF($A910="","",INDEX('主表 Stock_Transaction_Log'!$I:$I,$A910))</f>
        <v/>
      </c>
      <c r="G910" s="173" t="str">
        <f t="array" ref="G910">IF($A910="","",IF(INDEX('主表 Stock_Transaction_Log'!$R:$R,$A910)=0,"",INDEX('主表 Stock_Transaction_Log'!$R:$R,$A910)))</f>
        <v/>
      </c>
      <c r="H910" s="173" t="str">
        <f t="array" ref="H910">IF($A910="","",SUMIF('主表 Stock_Transaction_Log'!$T:$T,INDEX('主表 Stock_Transaction_Log'!$T:$T,$A910),'主表 Stock_Transaction_Log'!$S:$S)+SUMIF('主表 Stock_Transaction_Log'!$AB:$AB,INDEX('主表 Stock_Transaction_Log'!$T:$T,$A910),'主表 Stock_Transaction_Log'!$AC:$AC))</f>
        <v/>
      </c>
      <c r="I910" s="173" t="str">
        <f t="shared" si="1"/>
        <v/>
      </c>
      <c r="J910" s="173" t="str">
        <f t="shared" si="2"/>
        <v/>
      </c>
      <c r="K910" s="173" t="str">
        <f t="shared" si="3"/>
        <v/>
      </c>
      <c r="L910" s="173" t="str">
        <f t="array" ref="L910">IF($A910="","",INDEX('主表 Stock_Transaction_Log'!$P:$P,$A910))</f>
        <v/>
      </c>
      <c r="M910" s="174" t="str">
        <f>IF($A910="","",IF($H910&lt;=0,0,SUMIFS('主表 Stock_Transaction_Log'!$K$2:$K1000,'主表 Stock_Transaction_Log'!$C$2:$C1000,"Prepared",'主表 Stock_Transaction_Log'!$L$2:$L1000,$B910,'主表 Stock_Transaction_Log'!$F$2:$F1000,$C910,'主表 Stock_Transaction_Log'!$G$2:$G1000,$D910,'主表 Stock_Transaction_Log'!$P$2:$P1000,$L910)))</f>
        <v/>
      </c>
    </row>
    <row r="911">
      <c r="A911" s="173" t="str">
        <f>IF('主表 Stock_Transaction_Log'!$T911="","",IF(COUNTIF('主表 Stock_Transaction_Log'!$T$2:$T911,'主表 Stock_Transaction_Log'!$T911)=1,ROW('主表 Stock_Transaction_Log'!$T911),""))</f>
        <v/>
      </c>
      <c r="B911" s="173" t="str">
        <f t="array" ref="B911">IF($A911="","",INDEX('主表 Stock_Transaction_Log'!$Q:$Q,$A911))</f>
        <v/>
      </c>
      <c r="C911" s="173" t="str">
        <f t="array" ref="C911">IF($A911="","",IF(INDEX('主表 Stock_Transaction_Log'!$F:$F,$A911)=0,"",INDEX('主表 Stock_Transaction_Log'!$F:$F,$A911)))</f>
        <v/>
      </c>
      <c r="D911" s="173" t="str">
        <f t="array" ref="D911">IF($A911="","",INDEX('主表 Stock_Transaction_Log'!$G:$G,$A911))</f>
        <v/>
      </c>
      <c r="E911" s="173" t="str">
        <f t="array" ref="E911">IF($A911="","",INDEX('主表 Stock_Transaction_Log'!$H:$H,$A911))</f>
        <v/>
      </c>
      <c r="F911" s="173" t="str">
        <f t="array" ref="F911">IF($A911="","",INDEX('主表 Stock_Transaction_Log'!$I:$I,$A911))</f>
        <v/>
      </c>
      <c r="G911" s="173" t="str">
        <f t="array" ref="G911">IF($A911="","",IF(INDEX('主表 Stock_Transaction_Log'!$R:$R,$A911)=0,"",INDEX('主表 Stock_Transaction_Log'!$R:$R,$A911)))</f>
        <v/>
      </c>
      <c r="H911" s="173" t="str">
        <f t="array" ref="H911">IF($A911="","",SUMIF('主表 Stock_Transaction_Log'!$T:$T,INDEX('主表 Stock_Transaction_Log'!$T:$T,$A911),'主表 Stock_Transaction_Log'!$S:$S)+SUMIF('主表 Stock_Transaction_Log'!$AB:$AB,INDEX('主表 Stock_Transaction_Log'!$T:$T,$A911),'主表 Stock_Transaction_Log'!$AC:$AC))</f>
        <v/>
      </c>
      <c r="I911" s="173" t="str">
        <f t="shared" si="1"/>
        <v/>
      </c>
      <c r="J911" s="173" t="str">
        <f t="shared" si="2"/>
        <v/>
      </c>
      <c r="K911" s="173" t="str">
        <f t="shared" si="3"/>
        <v/>
      </c>
      <c r="L911" s="173" t="str">
        <f t="array" ref="L911">IF($A911="","",INDEX('主表 Stock_Transaction_Log'!$P:$P,$A911))</f>
        <v/>
      </c>
      <c r="M911" s="174" t="str">
        <f>IF($A911="","",IF($H911&lt;=0,0,SUMIFS('主表 Stock_Transaction_Log'!$K$2:$K1000,'主表 Stock_Transaction_Log'!$C$2:$C1000,"Prepared",'主表 Stock_Transaction_Log'!$L$2:$L1000,$B911,'主表 Stock_Transaction_Log'!$F$2:$F1000,$C911,'主表 Stock_Transaction_Log'!$G$2:$G1000,$D911,'主表 Stock_Transaction_Log'!$P$2:$P1000,$L911)))</f>
        <v/>
      </c>
    </row>
    <row r="912">
      <c r="A912" s="173" t="str">
        <f>IF('主表 Stock_Transaction_Log'!$T912="","",IF(COUNTIF('主表 Stock_Transaction_Log'!$T$2:$T912,'主表 Stock_Transaction_Log'!$T912)=1,ROW('主表 Stock_Transaction_Log'!$T912),""))</f>
        <v/>
      </c>
      <c r="B912" s="173" t="str">
        <f t="array" ref="B912">IF($A912="","",INDEX('主表 Stock_Transaction_Log'!$Q:$Q,$A912))</f>
        <v/>
      </c>
      <c r="C912" s="173" t="str">
        <f t="array" ref="C912">IF($A912="","",IF(INDEX('主表 Stock_Transaction_Log'!$F:$F,$A912)=0,"",INDEX('主表 Stock_Transaction_Log'!$F:$F,$A912)))</f>
        <v/>
      </c>
      <c r="D912" s="173" t="str">
        <f t="array" ref="D912">IF($A912="","",INDEX('主表 Stock_Transaction_Log'!$G:$G,$A912))</f>
        <v/>
      </c>
      <c r="E912" s="173" t="str">
        <f t="array" ref="E912">IF($A912="","",INDEX('主表 Stock_Transaction_Log'!$H:$H,$A912))</f>
        <v/>
      </c>
      <c r="F912" s="173" t="str">
        <f t="array" ref="F912">IF($A912="","",INDEX('主表 Stock_Transaction_Log'!$I:$I,$A912))</f>
        <v/>
      </c>
      <c r="G912" s="173" t="str">
        <f t="array" ref="G912">IF($A912="","",IF(INDEX('主表 Stock_Transaction_Log'!$R:$R,$A912)=0,"",INDEX('主表 Stock_Transaction_Log'!$R:$R,$A912)))</f>
        <v/>
      </c>
      <c r="H912" s="173" t="str">
        <f t="array" ref="H912">IF($A912="","",SUMIF('主表 Stock_Transaction_Log'!$T:$T,INDEX('主表 Stock_Transaction_Log'!$T:$T,$A912),'主表 Stock_Transaction_Log'!$S:$S)+SUMIF('主表 Stock_Transaction_Log'!$AB:$AB,INDEX('主表 Stock_Transaction_Log'!$T:$T,$A912),'主表 Stock_Transaction_Log'!$AC:$AC))</f>
        <v/>
      </c>
      <c r="I912" s="173" t="str">
        <f t="shared" si="1"/>
        <v/>
      </c>
      <c r="J912" s="173" t="str">
        <f t="shared" si="2"/>
        <v/>
      </c>
      <c r="K912" s="173" t="str">
        <f t="shared" si="3"/>
        <v/>
      </c>
      <c r="L912" s="173" t="str">
        <f t="array" ref="L912">IF($A912="","",INDEX('主表 Stock_Transaction_Log'!$P:$P,$A912))</f>
        <v/>
      </c>
      <c r="M912" s="174" t="str">
        <f>IF($A912="","",IF($H912&lt;=0,0,SUMIFS('主表 Stock_Transaction_Log'!$K$2:$K1000,'主表 Stock_Transaction_Log'!$C$2:$C1000,"Prepared",'主表 Stock_Transaction_Log'!$L$2:$L1000,$B912,'主表 Stock_Transaction_Log'!$F$2:$F1000,$C912,'主表 Stock_Transaction_Log'!$G$2:$G1000,$D912,'主表 Stock_Transaction_Log'!$P$2:$P1000,$L912)))</f>
        <v/>
      </c>
    </row>
    <row r="913">
      <c r="A913" s="173" t="str">
        <f>IF('主表 Stock_Transaction_Log'!$T913="","",IF(COUNTIF('主表 Stock_Transaction_Log'!$T$2:$T913,'主表 Stock_Transaction_Log'!$T913)=1,ROW('主表 Stock_Transaction_Log'!$T913),""))</f>
        <v/>
      </c>
      <c r="B913" s="173" t="str">
        <f t="array" ref="B913">IF($A913="","",INDEX('主表 Stock_Transaction_Log'!$Q:$Q,$A913))</f>
        <v/>
      </c>
      <c r="C913" s="173" t="str">
        <f t="array" ref="C913">IF($A913="","",IF(INDEX('主表 Stock_Transaction_Log'!$F:$F,$A913)=0,"",INDEX('主表 Stock_Transaction_Log'!$F:$F,$A913)))</f>
        <v/>
      </c>
      <c r="D913" s="173" t="str">
        <f t="array" ref="D913">IF($A913="","",INDEX('主表 Stock_Transaction_Log'!$G:$G,$A913))</f>
        <v/>
      </c>
      <c r="E913" s="173" t="str">
        <f t="array" ref="E913">IF($A913="","",INDEX('主表 Stock_Transaction_Log'!$H:$H,$A913))</f>
        <v/>
      </c>
      <c r="F913" s="173" t="str">
        <f t="array" ref="F913">IF($A913="","",INDEX('主表 Stock_Transaction_Log'!$I:$I,$A913))</f>
        <v/>
      </c>
      <c r="G913" s="173" t="str">
        <f t="array" ref="G913">IF($A913="","",IF(INDEX('主表 Stock_Transaction_Log'!$R:$R,$A913)=0,"",INDEX('主表 Stock_Transaction_Log'!$R:$R,$A913)))</f>
        <v/>
      </c>
      <c r="H913" s="173" t="str">
        <f t="array" ref="H913">IF($A913="","",SUMIF('主表 Stock_Transaction_Log'!$T:$T,INDEX('主表 Stock_Transaction_Log'!$T:$T,$A913),'主表 Stock_Transaction_Log'!$S:$S)+SUMIF('主表 Stock_Transaction_Log'!$AB:$AB,INDEX('主表 Stock_Transaction_Log'!$T:$T,$A913),'主表 Stock_Transaction_Log'!$AC:$AC))</f>
        <v/>
      </c>
      <c r="I913" s="173" t="str">
        <f t="shared" si="1"/>
        <v/>
      </c>
      <c r="J913" s="173" t="str">
        <f t="shared" si="2"/>
        <v/>
      </c>
      <c r="K913" s="173" t="str">
        <f t="shared" si="3"/>
        <v/>
      </c>
      <c r="L913" s="173" t="str">
        <f t="array" ref="L913">IF($A913="","",INDEX('主表 Stock_Transaction_Log'!$P:$P,$A913))</f>
        <v/>
      </c>
      <c r="M913" s="174" t="str">
        <f>IF($A913="","",IF($H913&lt;=0,0,SUMIFS('主表 Stock_Transaction_Log'!$K$2:$K1000,'主表 Stock_Transaction_Log'!$C$2:$C1000,"Prepared",'主表 Stock_Transaction_Log'!$L$2:$L1000,$B913,'主表 Stock_Transaction_Log'!$F$2:$F1000,$C913,'主表 Stock_Transaction_Log'!$G$2:$G1000,$D913,'主表 Stock_Transaction_Log'!$P$2:$P1000,$L913)))</f>
        <v/>
      </c>
    </row>
    <row r="914">
      <c r="A914" s="173" t="str">
        <f>IF('主表 Stock_Transaction_Log'!$T914="","",IF(COUNTIF('主表 Stock_Transaction_Log'!$T$2:$T914,'主表 Stock_Transaction_Log'!$T914)=1,ROW('主表 Stock_Transaction_Log'!$T914),""))</f>
        <v/>
      </c>
      <c r="B914" s="173" t="str">
        <f t="array" ref="B914">IF($A914="","",INDEX('主表 Stock_Transaction_Log'!$Q:$Q,$A914))</f>
        <v/>
      </c>
      <c r="C914" s="173" t="str">
        <f t="array" ref="C914">IF($A914="","",IF(INDEX('主表 Stock_Transaction_Log'!$F:$F,$A914)=0,"",INDEX('主表 Stock_Transaction_Log'!$F:$F,$A914)))</f>
        <v/>
      </c>
      <c r="D914" s="173" t="str">
        <f t="array" ref="D914">IF($A914="","",INDEX('主表 Stock_Transaction_Log'!$G:$G,$A914))</f>
        <v/>
      </c>
      <c r="E914" s="173" t="str">
        <f t="array" ref="E914">IF($A914="","",INDEX('主表 Stock_Transaction_Log'!$H:$H,$A914))</f>
        <v/>
      </c>
      <c r="F914" s="173" t="str">
        <f t="array" ref="F914">IF($A914="","",INDEX('主表 Stock_Transaction_Log'!$I:$I,$A914))</f>
        <v/>
      </c>
      <c r="G914" s="173" t="str">
        <f t="array" ref="G914">IF($A914="","",IF(INDEX('主表 Stock_Transaction_Log'!$R:$R,$A914)=0,"",INDEX('主表 Stock_Transaction_Log'!$R:$R,$A914)))</f>
        <v/>
      </c>
      <c r="H914" s="173" t="str">
        <f t="array" ref="H914">IF($A914="","",SUMIF('主表 Stock_Transaction_Log'!$T:$T,INDEX('主表 Stock_Transaction_Log'!$T:$T,$A914),'主表 Stock_Transaction_Log'!$S:$S)+SUMIF('主表 Stock_Transaction_Log'!$AB:$AB,INDEX('主表 Stock_Transaction_Log'!$T:$T,$A914),'主表 Stock_Transaction_Log'!$AC:$AC))</f>
        <v/>
      </c>
      <c r="I914" s="173" t="str">
        <f t="shared" si="1"/>
        <v/>
      </c>
      <c r="J914" s="173" t="str">
        <f t="shared" si="2"/>
        <v/>
      </c>
      <c r="K914" s="173" t="str">
        <f t="shared" si="3"/>
        <v/>
      </c>
      <c r="L914" s="173" t="str">
        <f t="array" ref="L914">IF($A914="","",INDEX('主表 Stock_Transaction_Log'!$P:$P,$A914))</f>
        <v/>
      </c>
      <c r="M914" s="174" t="str">
        <f>IF($A914="","",IF($H914&lt;=0,0,SUMIFS('主表 Stock_Transaction_Log'!$K$2:$K1000,'主表 Stock_Transaction_Log'!$C$2:$C1000,"Prepared",'主表 Stock_Transaction_Log'!$L$2:$L1000,$B914,'主表 Stock_Transaction_Log'!$F$2:$F1000,$C914,'主表 Stock_Transaction_Log'!$G$2:$G1000,$D914,'主表 Stock_Transaction_Log'!$P$2:$P1000,$L914)))</f>
        <v/>
      </c>
    </row>
    <row r="915">
      <c r="A915" s="173" t="str">
        <f>IF('主表 Stock_Transaction_Log'!$T915="","",IF(COUNTIF('主表 Stock_Transaction_Log'!$T$2:$T915,'主表 Stock_Transaction_Log'!$T915)=1,ROW('主表 Stock_Transaction_Log'!$T915),""))</f>
        <v/>
      </c>
      <c r="B915" s="173" t="str">
        <f t="array" ref="B915">IF($A915="","",INDEX('主表 Stock_Transaction_Log'!$Q:$Q,$A915))</f>
        <v/>
      </c>
      <c r="C915" s="173" t="str">
        <f t="array" ref="C915">IF($A915="","",IF(INDEX('主表 Stock_Transaction_Log'!$F:$F,$A915)=0,"",INDEX('主表 Stock_Transaction_Log'!$F:$F,$A915)))</f>
        <v/>
      </c>
      <c r="D915" s="173" t="str">
        <f t="array" ref="D915">IF($A915="","",INDEX('主表 Stock_Transaction_Log'!$G:$G,$A915))</f>
        <v/>
      </c>
      <c r="E915" s="173" t="str">
        <f t="array" ref="E915">IF($A915="","",INDEX('主表 Stock_Transaction_Log'!$H:$H,$A915))</f>
        <v/>
      </c>
      <c r="F915" s="173" t="str">
        <f t="array" ref="F915">IF($A915="","",INDEX('主表 Stock_Transaction_Log'!$I:$I,$A915))</f>
        <v/>
      </c>
      <c r="G915" s="173" t="str">
        <f t="array" ref="G915">IF($A915="","",IF(INDEX('主表 Stock_Transaction_Log'!$R:$R,$A915)=0,"",INDEX('主表 Stock_Transaction_Log'!$R:$R,$A915)))</f>
        <v/>
      </c>
      <c r="H915" s="173" t="str">
        <f t="array" ref="H915">IF($A915="","",SUMIF('主表 Stock_Transaction_Log'!$T:$T,INDEX('主表 Stock_Transaction_Log'!$T:$T,$A915),'主表 Stock_Transaction_Log'!$S:$S)+SUMIF('主表 Stock_Transaction_Log'!$AB:$AB,INDEX('主表 Stock_Transaction_Log'!$T:$T,$A915),'主表 Stock_Transaction_Log'!$AC:$AC))</f>
        <v/>
      </c>
      <c r="I915" s="173" t="str">
        <f t="shared" si="1"/>
        <v/>
      </c>
      <c r="J915" s="173" t="str">
        <f t="shared" si="2"/>
        <v/>
      </c>
      <c r="K915" s="173" t="str">
        <f t="shared" si="3"/>
        <v/>
      </c>
      <c r="L915" s="173" t="str">
        <f t="array" ref="L915">IF($A915="","",INDEX('主表 Stock_Transaction_Log'!$P:$P,$A915))</f>
        <v/>
      </c>
      <c r="M915" s="174" t="str">
        <f>IF($A915="","",IF($H915&lt;=0,0,SUMIFS('主表 Stock_Transaction_Log'!$K$2:$K1000,'主表 Stock_Transaction_Log'!$C$2:$C1000,"Prepared",'主表 Stock_Transaction_Log'!$L$2:$L1000,$B915,'主表 Stock_Transaction_Log'!$F$2:$F1000,$C915,'主表 Stock_Transaction_Log'!$G$2:$G1000,$D915,'主表 Stock_Transaction_Log'!$P$2:$P1000,$L915)))</f>
        <v/>
      </c>
    </row>
    <row r="916">
      <c r="A916" s="173" t="str">
        <f>IF('主表 Stock_Transaction_Log'!$T916="","",IF(COUNTIF('主表 Stock_Transaction_Log'!$T$2:$T916,'主表 Stock_Transaction_Log'!$T916)=1,ROW('主表 Stock_Transaction_Log'!$T916),""))</f>
        <v/>
      </c>
      <c r="B916" s="173" t="str">
        <f t="array" ref="B916">IF($A916="","",INDEX('主表 Stock_Transaction_Log'!$Q:$Q,$A916))</f>
        <v/>
      </c>
      <c r="C916" s="173" t="str">
        <f t="array" ref="C916">IF($A916="","",IF(INDEX('主表 Stock_Transaction_Log'!$F:$F,$A916)=0,"",INDEX('主表 Stock_Transaction_Log'!$F:$F,$A916)))</f>
        <v/>
      </c>
      <c r="D916" s="173" t="str">
        <f t="array" ref="D916">IF($A916="","",INDEX('主表 Stock_Transaction_Log'!$G:$G,$A916))</f>
        <v/>
      </c>
      <c r="E916" s="173" t="str">
        <f t="array" ref="E916">IF($A916="","",INDEX('主表 Stock_Transaction_Log'!$H:$H,$A916))</f>
        <v/>
      </c>
      <c r="F916" s="173" t="str">
        <f t="array" ref="F916">IF($A916="","",INDEX('主表 Stock_Transaction_Log'!$I:$I,$A916))</f>
        <v/>
      </c>
      <c r="G916" s="173" t="str">
        <f t="array" ref="G916">IF($A916="","",IF(INDEX('主表 Stock_Transaction_Log'!$R:$R,$A916)=0,"",INDEX('主表 Stock_Transaction_Log'!$R:$R,$A916)))</f>
        <v/>
      </c>
      <c r="H916" s="173" t="str">
        <f t="array" ref="H916">IF($A916="","",SUMIF('主表 Stock_Transaction_Log'!$T:$T,INDEX('主表 Stock_Transaction_Log'!$T:$T,$A916),'主表 Stock_Transaction_Log'!$S:$S)+SUMIF('主表 Stock_Transaction_Log'!$AB:$AB,INDEX('主表 Stock_Transaction_Log'!$T:$T,$A916),'主表 Stock_Transaction_Log'!$AC:$AC))</f>
        <v/>
      </c>
      <c r="I916" s="173" t="str">
        <f t="shared" si="1"/>
        <v/>
      </c>
      <c r="J916" s="173" t="str">
        <f t="shared" si="2"/>
        <v/>
      </c>
      <c r="K916" s="173" t="str">
        <f t="shared" si="3"/>
        <v/>
      </c>
      <c r="L916" s="173" t="str">
        <f t="array" ref="L916">IF($A916="","",INDEX('主表 Stock_Transaction_Log'!$P:$P,$A916))</f>
        <v/>
      </c>
      <c r="M916" s="174" t="str">
        <f>IF($A916="","",IF($H916&lt;=0,0,SUMIFS('主表 Stock_Transaction_Log'!$K$2:$K1000,'主表 Stock_Transaction_Log'!$C$2:$C1000,"Prepared",'主表 Stock_Transaction_Log'!$L$2:$L1000,$B916,'主表 Stock_Transaction_Log'!$F$2:$F1000,$C916,'主表 Stock_Transaction_Log'!$G$2:$G1000,$D916,'主表 Stock_Transaction_Log'!$P$2:$P1000,$L916)))</f>
        <v/>
      </c>
    </row>
    <row r="917">
      <c r="A917" s="173" t="str">
        <f>IF('主表 Stock_Transaction_Log'!$T917="","",IF(COUNTIF('主表 Stock_Transaction_Log'!$T$2:$T917,'主表 Stock_Transaction_Log'!$T917)=1,ROW('主表 Stock_Transaction_Log'!$T917),""))</f>
        <v/>
      </c>
      <c r="B917" s="173" t="str">
        <f t="array" ref="B917">IF($A917="","",INDEX('主表 Stock_Transaction_Log'!$Q:$Q,$A917))</f>
        <v/>
      </c>
      <c r="C917" s="173" t="str">
        <f t="array" ref="C917">IF($A917="","",IF(INDEX('主表 Stock_Transaction_Log'!$F:$F,$A917)=0,"",INDEX('主表 Stock_Transaction_Log'!$F:$F,$A917)))</f>
        <v/>
      </c>
      <c r="D917" s="173" t="str">
        <f t="array" ref="D917">IF($A917="","",INDEX('主表 Stock_Transaction_Log'!$G:$G,$A917))</f>
        <v/>
      </c>
      <c r="E917" s="173" t="str">
        <f t="array" ref="E917">IF($A917="","",INDEX('主表 Stock_Transaction_Log'!$H:$H,$A917))</f>
        <v/>
      </c>
      <c r="F917" s="173" t="str">
        <f t="array" ref="F917">IF($A917="","",INDEX('主表 Stock_Transaction_Log'!$I:$I,$A917))</f>
        <v/>
      </c>
      <c r="G917" s="173" t="str">
        <f t="array" ref="G917">IF($A917="","",IF(INDEX('主表 Stock_Transaction_Log'!$R:$R,$A917)=0,"",INDEX('主表 Stock_Transaction_Log'!$R:$R,$A917)))</f>
        <v/>
      </c>
      <c r="H917" s="173" t="str">
        <f t="array" ref="H917">IF($A917="","",SUMIF('主表 Stock_Transaction_Log'!$T:$T,INDEX('主表 Stock_Transaction_Log'!$T:$T,$A917),'主表 Stock_Transaction_Log'!$S:$S)+SUMIF('主表 Stock_Transaction_Log'!$AB:$AB,INDEX('主表 Stock_Transaction_Log'!$T:$T,$A917),'主表 Stock_Transaction_Log'!$AC:$AC))</f>
        <v/>
      </c>
      <c r="I917" s="173" t="str">
        <f t="shared" si="1"/>
        <v/>
      </c>
      <c r="J917" s="173" t="str">
        <f t="shared" si="2"/>
        <v/>
      </c>
      <c r="K917" s="173" t="str">
        <f t="shared" si="3"/>
        <v/>
      </c>
      <c r="L917" s="173" t="str">
        <f t="array" ref="L917">IF($A917="","",INDEX('主表 Stock_Transaction_Log'!$P:$P,$A917))</f>
        <v/>
      </c>
      <c r="M917" s="174" t="str">
        <f>IF($A917="","",IF($H917&lt;=0,0,SUMIFS('主表 Stock_Transaction_Log'!$K$2:$K1000,'主表 Stock_Transaction_Log'!$C$2:$C1000,"Prepared",'主表 Stock_Transaction_Log'!$L$2:$L1000,$B917,'主表 Stock_Transaction_Log'!$F$2:$F1000,$C917,'主表 Stock_Transaction_Log'!$G$2:$G1000,$D917,'主表 Stock_Transaction_Log'!$P$2:$P1000,$L917)))</f>
        <v/>
      </c>
    </row>
    <row r="918">
      <c r="A918" s="173" t="str">
        <f>IF('主表 Stock_Transaction_Log'!$T918="","",IF(COUNTIF('主表 Stock_Transaction_Log'!$T$2:$T918,'主表 Stock_Transaction_Log'!$T918)=1,ROW('主表 Stock_Transaction_Log'!$T918),""))</f>
        <v/>
      </c>
      <c r="B918" s="173" t="str">
        <f t="array" ref="B918">IF($A918="","",INDEX('主表 Stock_Transaction_Log'!$Q:$Q,$A918))</f>
        <v/>
      </c>
      <c r="C918" s="173" t="str">
        <f t="array" ref="C918">IF($A918="","",IF(INDEX('主表 Stock_Transaction_Log'!$F:$F,$A918)=0,"",INDEX('主表 Stock_Transaction_Log'!$F:$F,$A918)))</f>
        <v/>
      </c>
      <c r="D918" s="173" t="str">
        <f t="array" ref="D918">IF($A918="","",INDEX('主表 Stock_Transaction_Log'!$G:$G,$A918))</f>
        <v/>
      </c>
      <c r="E918" s="173" t="str">
        <f t="array" ref="E918">IF($A918="","",INDEX('主表 Stock_Transaction_Log'!$H:$H,$A918))</f>
        <v/>
      </c>
      <c r="F918" s="173" t="str">
        <f t="array" ref="F918">IF($A918="","",INDEX('主表 Stock_Transaction_Log'!$I:$I,$A918))</f>
        <v/>
      </c>
      <c r="G918" s="173" t="str">
        <f t="array" ref="G918">IF($A918="","",IF(INDEX('主表 Stock_Transaction_Log'!$R:$R,$A918)=0,"",INDEX('主表 Stock_Transaction_Log'!$R:$R,$A918)))</f>
        <v/>
      </c>
      <c r="H918" s="173" t="str">
        <f t="array" ref="H918">IF($A918="","",SUMIF('主表 Stock_Transaction_Log'!$T:$T,INDEX('主表 Stock_Transaction_Log'!$T:$T,$A918),'主表 Stock_Transaction_Log'!$S:$S)+SUMIF('主表 Stock_Transaction_Log'!$AB:$AB,INDEX('主表 Stock_Transaction_Log'!$T:$T,$A918),'主表 Stock_Transaction_Log'!$AC:$AC))</f>
        <v/>
      </c>
      <c r="I918" s="173" t="str">
        <f t="shared" si="1"/>
        <v/>
      </c>
      <c r="J918" s="173" t="str">
        <f t="shared" si="2"/>
        <v/>
      </c>
      <c r="K918" s="173" t="str">
        <f t="shared" si="3"/>
        <v/>
      </c>
      <c r="L918" s="173" t="str">
        <f t="array" ref="L918">IF($A918="","",INDEX('主表 Stock_Transaction_Log'!$P:$P,$A918))</f>
        <v/>
      </c>
      <c r="M918" s="174" t="str">
        <f>IF($A918="","",IF($H918&lt;=0,0,SUMIFS('主表 Stock_Transaction_Log'!$K$2:$K1000,'主表 Stock_Transaction_Log'!$C$2:$C1000,"Prepared",'主表 Stock_Transaction_Log'!$L$2:$L1000,$B918,'主表 Stock_Transaction_Log'!$F$2:$F1000,$C918,'主表 Stock_Transaction_Log'!$G$2:$G1000,$D918,'主表 Stock_Transaction_Log'!$P$2:$P1000,$L918)))</f>
        <v/>
      </c>
    </row>
    <row r="919">
      <c r="A919" s="173" t="str">
        <f>IF('主表 Stock_Transaction_Log'!$T919="","",IF(COUNTIF('主表 Stock_Transaction_Log'!$T$2:$T919,'主表 Stock_Transaction_Log'!$T919)=1,ROW('主表 Stock_Transaction_Log'!$T919),""))</f>
        <v/>
      </c>
      <c r="B919" s="173" t="str">
        <f t="array" ref="B919">IF($A919="","",INDEX('主表 Stock_Transaction_Log'!$Q:$Q,$A919))</f>
        <v/>
      </c>
      <c r="C919" s="173" t="str">
        <f t="array" ref="C919">IF($A919="","",IF(INDEX('主表 Stock_Transaction_Log'!$F:$F,$A919)=0,"",INDEX('主表 Stock_Transaction_Log'!$F:$F,$A919)))</f>
        <v/>
      </c>
      <c r="D919" s="173" t="str">
        <f t="array" ref="D919">IF($A919="","",INDEX('主表 Stock_Transaction_Log'!$G:$G,$A919))</f>
        <v/>
      </c>
      <c r="E919" s="173" t="str">
        <f t="array" ref="E919">IF($A919="","",INDEX('主表 Stock_Transaction_Log'!$H:$H,$A919))</f>
        <v/>
      </c>
      <c r="F919" s="173" t="str">
        <f t="array" ref="F919">IF($A919="","",INDEX('主表 Stock_Transaction_Log'!$I:$I,$A919))</f>
        <v/>
      </c>
      <c r="G919" s="173" t="str">
        <f t="array" ref="G919">IF($A919="","",IF(INDEX('主表 Stock_Transaction_Log'!$R:$R,$A919)=0,"",INDEX('主表 Stock_Transaction_Log'!$R:$R,$A919)))</f>
        <v/>
      </c>
      <c r="H919" s="173" t="str">
        <f t="array" ref="H919">IF($A919="","",SUMIF('主表 Stock_Transaction_Log'!$T:$T,INDEX('主表 Stock_Transaction_Log'!$T:$T,$A919),'主表 Stock_Transaction_Log'!$S:$S)+SUMIF('主表 Stock_Transaction_Log'!$AB:$AB,INDEX('主表 Stock_Transaction_Log'!$T:$T,$A919),'主表 Stock_Transaction_Log'!$AC:$AC))</f>
        <v/>
      </c>
      <c r="I919" s="173" t="str">
        <f t="shared" si="1"/>
        <v/>
      </c>
      <c r="J919" s="173" t="str">
        <f t="shared" si="2"/>
        <v/>
      </c>
      <c r="K919" s="173" t="str">
        <f t="shared" si="3"/>
        <v/>
      </c>
      <c r="L919" s="173" t="str">
        <f t="array" ref="L919">IF($A919="","",INDEX('主表 Stock_Transaction_Log'!$P:$P,$A919))</f>
        <v/>
      </c>
      <c r="M919" s="174" t="str">
        <f>IF($A919="","",IF($H919&lt;=0,0,SUMIFS('主表 Stock_Transaction_Log'!$K$2:$K1000,'主表 Stock_Transaction_Log'!$C$2:$C1000,"Prepared",'主表 Stock_Transaction_Log'!$L$2:$L1000,$B919,'主表 Stock_Transaction_Log'!$F$2:$F1000,$C919,'主表 Stock_Transaction_Log'!$G$2:$G1000,$D919,'主表 Stock_Transaction_Log'!$P$2:$P1000,$L919)))</f>
        <v/>
      </c>
    </row>
    <row r="920">
      <c r="A920" s="173" t="str">
        <f>IF('主表 Stock_Transaction_Log'!$T920="","",IF(COUNTIF('主表 Stock_Transaction_Log'!$T$2:$T920,'主表 Stock_Transaction_Log'!$T920)=1,ROW('主表 Stock_Transaction_Log'!$T920),""))</f>
        <v/>
      </c>
      <c r="B920" s="173" t="str">
        <f t="array" ref="B920">IF($A920="","",INDEX('主表 Stock_Transaction_Log'!$Q:$Q,$A920))</f>
        <v/>
      </c>
      <c r="C920" s="173" t="str">
        <f t="array" ref="C920">IF($A920="","",IF(INDEX('主表 Stock_Transaction_Log'!$F:$F,$A920)=0,"",INDEX('主表 Stock_Transaction_Log'!$F:$F,$A920)))</f>
        <v/>
      </c>
      <c r="D920" s="173" t="str">
        <f t="array" ref="D920">IF($A920="","",INDEX('主表 Stock_Transaction_Log'!$G:$G,$A920))</f>
        <v/>
      </c>
      <c r="E920" s="173" t="str">
        <f t="array" ref="E920">IF($A920="","",INDEX('主表 Stock_Transaction_Log'!$H:$H,$A920))</f>
        <v/>
      </c>
      <c r="F920" s="173" t="str">
        <f t="array" ref="F920">IF($A920="","",INDEX('主表 Stock_Transaction_Log'!$I:$I,$A920))</f>
        <v/>
      </c>
      <c r="G920" s="173" t="str">
        <f t="array" ref="G920">IF($A920="","",IF(INDEX('主表 Stock_Transaction_Log'!$R:$R,$A920)=0,"",INDEX('主表 Stock_Transaction_Log'!$R:$R,$A920)))</f>
        <v/>
      </c>
      <c r="H920" s="173" t="str">
        <f t="array" ref="H920">IF($A920="","",SUMIF('主表 Stock_Transaction_Log'!$T:$T,INDEX('主表 Stock_Transaction_Log'!$T:$T,$A920),'主表 Stock_Transaction_Log'!$S:$S)+SUMIF('主表 Stock_Transaction_Log'!$AB:$AB,INDEX('主表 Stock_Transaction_Log'!$T:$T,$A920),'主表 Stock_Transaction_Log'!$AC:$AC))</f>
        <v/>
      </c>
      <c r="I920" s="173" t="str">
        <f t="shared" si="1"/>
        <v/>
      </c>
      <c r="J920" s="173" t="str">
        <f t="shared" si="2"/>
        <v/>
      </c>
      <c r="K920" s="173" t="str">
        <f t="shared" si="3"/>
        <v/>
      </c>
      <c r="L920" s="173" t="str">
        <f t="array" ref="L920">IF($A920="","",INDEX('主表 Stock_Transaction_Log'!$P:$P,$A920))</f>
        <v/>
      </c>
      <c r="M920" s="174" t="str">
        <f>IF($A920="","",IF($H920&lt;=0,0,SUMIFS('主表 Stock_Transaction_Log'!$K$2:$K1000,'主表 Stock_Transaction_Log'!$C$2:$C1000,"Prepared",'主表 Stock_Transaction_Log'!$L$2:$L1000,$B920,'主表 Stock_Transaction_Log'!$F$2:$F1000,$C920,'主表 Stock_Transaction_Log'!$G$2:$G1000,$D920,'主表 Stock_Transaction_Log'!$P$2:$P1000,$L920)))</f>
        <v/>
      </c>
    </row>
    <row r="921">
      <c r="A921" s="173" t="str">
        <f>IF('主表 Stock_Transaction_Log'!$T921="","",IF(COUNTIF('主表 Stock_Transaction_Log'!$T$2:$T921,'主表 Stock_Transaction_Log'!$T921)=1,ROW('主表 Stock_Transaction_Log'!$T921),""))</f>
        <v/>
      </c>
      <c r="B921" s="173" t="str">
        <f t="array" ref="B921">IF($A921="","",INDEX('主表 Stock_Transaction_Log'!$Q:$Q,$A921))</f>
        <v/>
      </c>
      <c r="C921" s="173" t="str">
        <f t="array" ref="C921">IF($A921="","",IF(INDEX('主表 Stock_Transaction_Log'!$F:$F,$A921)=0,"",INDEX('主表 Stock_Transaction_Log'!$F:$F,$A921)))</f>
        <v/>
      </c>
      <c r="D921" s="173" t="str">
        <f t="array" ref="D921">IF($A921="","",INDEX('主表 Stock_Transaction_Log'!$G:$G,$A921))</f>
        <v/>
      </c>
      <c r="E921" s="173" t="str">
        <f t="array" ref="E921">IF($A921="","",INDEX('主表 Stock_Transaction_Log'!$H:$H,$A921))</f>
        <v/>
      </c>
      <c r="F921" s="173" t="str">
        <f t="array" ref="F921">IF($A921="","",INDEX('主表 Stock_Transaction_Log'!$I:$I,$A921))</f>
        <v/>
      </c>
      <c r="G921" s="173" t="str">
        <f t="array" ref="G921">IF($A921="","",IF(INDEX('主表 Stock_Transaction_Log'!$R:$R,$A921)=0,"",INDEX('主表 Stock_Transaction_Log'!$R:$R,$A921)))</f>
        <v/>
      </c>
      <c r="H921" s="173" t="str">
        <f t="array" ref="H921">IF($A921="","",SUMIF('主表 Stock_Transaction_Log'!$T:$T,INDEX('主表 Stock_Transaction_Log'!$T:$T,$A921),'主表 Stock_Transaction_Log'!$S:$S)+SUMIF('主表 Stock_Transaction_Log'!$AB:$AB,INDEX('主表 Stock_Transaction_Log'!$T:$T,$A921),'主表 Stock_Transaction_Log'!$AC:$AC))</f>
        <v/>
      </c>
      <c r="I921" s="173" t="str">
        <f t="shared" si="1"/>
        <v/>
      </c>
      <c r="J921" s="173" t="str">
        <f t="shared" si="2"/>
        <v/>
      </c>
      <c r="K921" s="173" t="str">
        <f t="shared" si="3"/>
        <v/>
      </c>
      <c r="L921" s="173" t="str">
        <f t="array" ref="L921">IF($A921="","",INDEX('主表 Stock_Transaction_Log'!$P:$P,$A921))</f>
        <v/>
      </c>
      <c r="M921" s="174" t="str">
        <f>IF($A921="","",IF($H921&lt;=0,0,SUMIFS('主表 Stock_Transaction_Log'!$K$2:$K1000,'主表 Stock_Transaction_Log'!$C$2:$C1000,"Prepared",'主表 Stock_Transaction_Log'!$L$2:$L1000,$B921,'主表 Stock_Transaction_Log'!$F$2:$F1000,$C921,'主表 Stock_Transaction_Log'!$G$2:$G1000,$D921,'主表 Stock_Transaction_Log'!$P$2:$P1000,$L921)))</f>
        <v/>
      </c>
    </row>
    <row r="922">
      <c r="A922" s="173" t="str">
        <f>IF('主表 Stock_Transaction_Log'!$T922="","",IF(COUNTIF('主表 Stock_Transaction_Log'!$T$2:$T922,'主表 Stock_Transaction_Log'!$T922)=1,ROW('主表 Stock_Transaction_Log'!$T922),""))</f>
        <v/>
      </c>
      <c r="B922" s="173" t="str">
        <f t="array" ref="B922">IF($A922="","",INDEX('主表 Stock_Transaction_Log'!$Q:$Q,$A922))</f>
        <v/>
      </c>
      <c r="C922" s="173" t="str">
        <f t="array" ref="C922">IF($A922="","",IF(INDEX('主表 Stock_Transaction_Log'!$F:$F,$A922)=0,"",INDEX('主表 Stock_Transaction_Log'!$F:$F,$A922)))</f>
        <v/>
      </c>
      <c r="D922" s="173" t="str">
        <f t="array" ref="D922">IF($A922="","",INDEX('主表 Stock_Transaction_Log'!$G:$G,$A922))</f>
        <v/>
      </c>
      <c r="E922" s="173" t="str">
        <f t="array" ref="E922">IF($A922="","",INDEX('主表 Stock_Transaction_Log'!$H:$H,$A922))</f>
        <v/>
      </c>
      <c r="F922" s="173" t="str">
        <f t="array" ref="F922">IF($A922="","",INDEX('主表 Stock_Transaction_Log'!$I:$I,$A922))</f>
        <v/>
      </c>
      <c r="G922" s="173" t="str">
        <f t="array" ref="G922">IF($A922="","",IF(INDEX('主表 Stock_Transaction_Log'!$R:$R,$A922)=0,"",INDEX('主表 Stock_Transaction_Log'!$R:$R,$A922)))</f>
        <v/>
      </c>
      <c r="H922" s="173" t="str">
        <f t="array" ref="H922">IF($A922="","",SUMIF('主表 Stock_Transaction_Log'!$T:$T,INDEX('主表 Stock_Transaction_Log'!$T:$T,$A922),'主表 Stock_Transaction_Log'!$S:$S)+SUMIF('主表 Stock_Transaction_Log'!$AB:$AB,INDEX('主表 Stock_Transaction_Log'!$T:$T,$A922),'主表 Stock_Transaction_Log'!$AC:$AC))</f>
        <v/>
      </c>
      <c r="I922" s="173" t="str">
        <f t="shared" si="1"/>
        <v/>
      </c>
      <c r="J922" s="173" t="str">
        <f t="shared" si="2"/>
        <v/>
      </c>
      <c r="K922" s="173" t="str">
        <f t="shared" si="3"/>
        <v/>
      </c>
      <c r="L922" s="173" t="str">
        <f t="array" ref="L922">IF($A922="","",INDEX('主表 Stock_Transaction_Log'!$P:$P,$A922))</f>
        <v/>
      </c>
      <c r="M922" s="174" t="str">
        <f>IF($A922="","",IF($H922&lt;=0,0,SUMIFS('主表 Stock_Transaction_Log'!$K$2:$K1000,'主表 Stock_Transaction_Log'!$C$2:$C1000,"Prepared",'主表 Stock_Transaction_Log'!$L$2:$L1000,$B922,'主表 Stock_Transaction_Log'!$F$2:$F1000,$C922,'主表 Stock_Transaction_Log'!$G$2:$G1000,$D922,'主表 Stock_Transaction_Log'!$P$2:$P1000,$L922)))</f>
        <v/>
      </c>
    </row>
    <row r="923">
      <c r="A923" s="173" t="str">
        <f>IF('主表 Stock_Transaction_Log'!$T923="","",IF(COUNTIF('主表 Stock_Transaction_Log'!$T$2:$T923,'主表 Stock_Transaction_Log'!$T923)=1,ROW('主表 Stock_Transaction_Log'!$T923),""))</f>
        <v/>
      </c>
      <c r="B923" s="173" t="str">
        <f t="array" ref="B923">IF($A923="","",INDEX('主表 Stock_Transaction_Log'!$Q:$Q,$A923))</f>
        <v/>
      </c>
      <c r="C923" s="173" t="str">
        <f t="array" ref="C923">IF($A923="","",IF(INDEX('主表 Stock_Transaction_Log'!$F:$F,$A923)=0,"",INDEX('主表 Stock_Transaction_Log'!$F:$F,$A923)))</f>
        <v/>
      </c>
      <c r="D923" s="173" t="str">
        <f t="array" ref="D923">IF($A923="","",INDEX('主表 Stock_Transaction_Log'!$G:$G,$A923))</f>
        <v/>
      </c>
      <c r="E923" s="173" t="str">
        <f t="array" ref="E923">IF($A923="","",INDEX('主表 Stock_Transaction_Log'!$H:$H,$A923))</f>
        <v/>
      </c>
      <c r="F923" s="173" t="str">
        <f t="array" ref="F923">IF($A923="","",INDEX('主表 Stock_Transaction_Log'!$I:$I,$A923))</f>
        <v/>
      </c>
      <c r="G923" s="173" t="str">
        <f t="array" ref="G923">IF($A923="","",IF(INDEX('主表 Stock_Transaction_Log'!$R:$R,$A923)=0,"",INDEX('主表 Stock_Transaction_Log'!$R:$R,$A923)))</f>
        <v/>
      </c>
      <c r="H923" s="173" t="str">
        <f t="array" ref="H923">IF($A923="","",SUMIF('主表 Stock_Transaction_Log'!$T:$T,INDEX('主表 Stock_Transaction_Log'!$T:$T,$A923),'主表 Stock_Transaction_Log'!$S:$S)+SUMIF('主表 Stock_Transaction_Log'!$AB:$AB,INDEX('主表 Stock_Transaction_Log'!$T:$T,$A923),'主表 Stock_Transaction_Log'!$AC:$AC))</f>
        <v/>
      </c>
      <c r="I923" s="173" t="str">
        <f t="shared" si="1"/>
        <v/>
      </c>
      <c r="J923" s="173" t="str">
        <f t="shared" si="2"/>
        <v/>
      </c>
      <c r="K923" s="173" t="str">
        <f t="shared" si="3"/>
        <v/>
      </c>
      <c r="L923" s="173" t="str">
        <f t="array" ref="L923">IF($A923="","",INDEX('主表 Stock_Transaction_Log'!$P:$P,$A923))</f>
        <v/>
      </c>
      <c r="M923" s="174" t="str">
        <f>IF($A923="","",IF($H923&lt;=0,0,SUMIFS('主表 Stock_Transaction_Log'!$K$2:$K1000,'主表 Stock_Transaction_Log'!$C$2:$C1000,"Prepared",'主表 Stock_Transaction_Log'!$L$2:$L1000,$B923,'主表 Stock_Transaction_Log'!$F$2:$F1000,$C923,'主表 Stock_Transaction_Log'!$G$2:$G1000,$D923,'主表 Stock_Transaction_Log'!$P$2:$P1000,$L923)))</f>
        <v/>
      </c>
    </row>
    <row r="924">
      <c r="A924" s="173" t="str">
        <f>IF('主表 Stock_Transaction_Log'!$T924="","",IF(COUNTIF('主表 Stock_Transaction_Log'!$T$2:$T924,'主表 Stock_Transaction_Log'!$T924)=1,ROW('主表 Stock_Transaction_Log'!$T924),""))</f>
        <v/>
      </c>
      <c r="B924" s="173" t="str">
        <f t="array" ref="B924">IF($A924="","",INDEX('主表 Stock_Transaction_Log'!$Q:$Q,$A924))</f>
        <v/>
      </c>
      <c r="C924" s="173" t="str">
        <f t="array" ref="C924">IF($A924="","",IF(INDEX('主表 Stock_Transaction_Log'!$F:$F,$A924)=0,"",INDEX('主表 Stock_Transaction_Log'!$F:$F,$A924)))</f>
        <v/>
      </c>
      <c r="D924" s="173" t="str">
        <f t="array" ref="D924">IF($A924="","",INDEX('主表 Stock_Transaction_Log'!$G:$G,$A924))</f>
        <v/>
      </c>
      <c r="E924" s="173" t="str">
        <f t="array" ref="E924">IF($A924="","",INDEX('主表 Stock_Transaction_Log'!$H:$H,$A924))</f>
        <v/>
      </c>
      <c r="F924" s="173" t="str">
        <f t="array" ref="F924">IF($A924="","",INDEX('主表 Stock_Transaction_Log'!$I:$I,$A924))</f>
        <v/>
      </c>
      <c r="G924" s="173" t="str">
        <f t="array" ref="G924">IF($A924="","",IF(INDEX('主表 Stock_Transaction_Log'!$R:$R,$A924)=0,"",INDEX('主表 Stock_Transaction_Log'!$R:$R,$A924)))</f>
        <v/>
      </c>
      <c r="H924" s="173" t="str">
        <f t="array" ref="H924">IF($A924="","",SUMIF('主表 Stock_Transaction_Log'!$T:$T,INDEX('主表 Stock_Transaction_Log'!$T:$T,$A924),'主表 Stock_Transaction_Log'!$S:$S)+SUMIF('主表 Stock_Transaction_Log'!$AB:$AB,INDEX('主表 Stock_Transaction_Log'!$T:$T,$A924),'主表 Stock_Transaction_Log'!$AC:$AC))</f>
        <v/>
      </c>
      <c r="I924" s="173" t="str">
        <f t="shared" si="1"/>
        <v/>
      </c>
      <c r="J924" s="173" t="str">
        <f t="shared" si="2"/>
        <v/>
      </c>
      <c r="K924" s="173" t="str">
        <f t="shared" si="3"/>
        <v/>
      </c>
      <c r="L924" s="173" t="str">
        <f t="array" ref="L924">IF($A924="","",INDEX('主表 Stock_Transaction_Log'!$P:$P,$A924))</f>
        <v/>
      </c>
      <c r="M924" s="174" t="str">
        <f>IF($A924="","",IF($H924&lt;=0,0,SUMIFS('主表 Stock_Transaction_Log'!$K$2:$K1000,'主表 Stock_Transaction_Log'!$C$2:$C1000,"Prepared",'主表 Stock_Transaction_Log'!$L$2:$L1000,$B924,'主表 Stock_Transaction_Log'!$F$2:$F1000,$C924,'主表 Stock_Transaction_Log'!$G$2:$G1000,$D924,'主表 Stock_Transaction_Log'!$P$2:$P1000,$L924)))</f>
        <v/>
      </c>
    </row>
    <row r="925">
      <c r="A925" s="173" t="str">
        <f>IF('主表 Stock_Transaction_Log'!$T925="","",IF(COUNTIF('主表 Stock_Transaction_Log'!$T$2:$T925,'主表 Stock_Transaction_Log'!$T925)=1,ROW('主表 Stock_Transaction_Log'!$T925),""))</f>
        <v/>
      </c>
      <c r="B925" s="173" t="str">
        <f t="array" ref="B925">IF($A925="","",INDEX('主表 Stock_Transaction_Log'!$Q:$Q,$A925))</f>
        <v/>
      </c>
      <c r="C925" s="173" t="str">
        <f t="array" ref="C925">IF($A925="","",IF(INDEX('主表 Stock_Transaction_Log'!$F:$F,$A925)=0,"",INDEX('主表 Stock_Transaction_Log'!$F:$F,$A925)))</f>
        <v/>
      </c>
      <c r="D925" s="173" t="str">
        <f t="array" ref="D925">IF($A925="","",INDEX('主表 Stock_Transaction_Log'!$G:$G,$A925))</f>
        <v/>
      </c>
      <c r="E925" s="173" t="str">
        <f t="array" ref="E925">IF($A925="","",INDEX('主表 Stock_Transaction_Log'!$H:$H,$A925))</f>
        <v/>
      </c>
      <c r="F925" s="173" t="str">
        <f t="array" ref="F925">IF($A925="","",INDEX('主表 Stock_Transaction_Log'!$I:$I,$A925))</f>
        <v/>
      </c>
      <c r="G925" s="173" t="str">
        <f t="array" ref="G925">IF($A925="","",IF(INDEX('主表 Stock_Transaction_Log'!$R:$R,$A925)=0,"",INDEX('主表 Stock_Transaction_Log'!$R:$R,$A925)))</f>
        <v/>
      </c>
      <c r="H925" s="173" t="str">
        <f t="array" ref="H925">IF($A925="","",SUMIF('主表 Stock_Transaction_Log'!$T:$T,INDEX('主表 Stock_Transaction_Log'!$T:$T,$A925),'主表 Stock_Transaction_Log'!$S:$S)+SUMIF('主表 Stock_Transaction_Log'!$AB:$AB,INDEX('主表 Stock_Transaction_Log'!$T:$T,$A925),'主表 Stock_Transaction_Log'!$AC:$AC))</f>
        <v/>
      </c>
      <c r="I925" s="173" t="str">
        <f t="shared" si="1"/>
        <v/>
      </c>
      <c r="J925" s="173" t="str">
        <f t="shared" si="2"/>
        <v/>
      </c>
      <c r="K925" s="173" t="str">
        <f t="shared" si="3"/>
        <v/>
      </c>
      <c r="L925" s="173" t="str">
        <f t="array" ref="L925">IF($A925="","",INDEX('主表 Stock_Transaction_Log'!$P:$P,$A925))</f>
        <v/>
      </c>
      <c r="M925" s="174" t="str">
        <f>IF($A925="","",IF($H925&lt;=0,0,SUMIFS('主表 Stock_Transaction_Log'!$K$2:$K1000,'主表 Stock_Transaction_Log'!$C$2:$C1000,"Prepared",'主表 Stock_Transaction_Log'!$L$2:$L1000,$B925,'主表 Stock_Transaction_Log'!$F$2:$F1000,$C925,'主表 Stock_Transaction_Log'!$G$2:$G1000,$D925,'主表 Stock_Transaction_Log'!$P$2:$P1000,$L925)))</f>
        <v/>
      </c>
    </row>
    <row r="926">
      <c r="A926" s="173" t="str">
        <f>IF('主表 Stock_Transaction_Log'!$T926="","",IF(COUNTIF('主表 Stock_Transaction_Log'!$T$2:$T926,'主表 Stock_Transaction_Log'!$T926)=1,ROW('主表 Stock_Transaction_Log'!$T926),""))</f>
        <v/>
      </c>
      <c r="B926" s="173" t="str">
        <f t="array" ref="B926">IF($A926="","",INDEX('主表 Stock_Transaction_Log'!$Q:$Q,$A926))</f>
        <v/>
      </c>
      <c r="C926" s="173" t="str">
        <f t="array" ref="C926">IF($A926="","",IF(INDEX('主表 Stock_Transaction_Log'!$F:$F,$A926)=0,"",INDEX('主表 Stock_Transaction_Log'!$F:$F,$A926)))</f>
        <v/>
      </c>
      <c r="D926" s="173" t="str">
        <f t="array" ref="D926">IF($A926="","",INDEX('主表 Stock_Transaction_Log'!$G:$G,$A926))</f>
        <v/>
      </c>
      <c r="E926" s="173" t="str">
        <f t="array" ref="E926">IF($A926="","",INDEX('主表 Stock_Transaction_Log'!$H:$H,$A926))</f>
        <v/>
      </c>
      <c r="F926" s="173" t="str">
        <f t="array" ref="F926">IF($A926="","",INDEX('主表 Stock_Transaction_Log'!$I:$I,$A926))</f>
        <v/>
      </c>
      <c r="G926" s="173" t="str">
        <f t="array" ref="G926">IF($A926="","",IF(INDEX('主表 Stock_Transaction_Log'!$R:$R,$A926)=0,"",INDEX('主表 Stock_Transaction_Log'!$R:$R,$A926)))</f>
        <v/>
      </c>
      <c r="H926" s="173" t="str">
        <f t="array" ref="H926">IF($A926="","",SUMIF('主表 Stock_Transaction_Log'!$T:$T,INDEX('主表 Stock_Transaction_Log'!$T:$T,$A926),'主表 Stock_Transaction_Log'!$S:$S)+SUMIF('主表 Stock_Transaction_Log'!$AB:$AB,INDEX('主表 Stock_Transaction_Log'!$T:$T,$A926),'主表 Stock_Transaction_Log'!$AC:$AC))</f>
        <v/>
      </c>
      <c r="I926" s="173" t="str">
        <f t="shared" si="1"/>
        <v/>
      </c>
      <c r="J926" s="173" t="str">
        <f t="shared" si="2"/>
        <v/>
      </c>
      <c r="K926" s="173" t="str">
        <f t="shared" si="3"/>
        <v/>
      </c>
      <c r="L926" s="173" t="str">
        <f t="array" ref="L926">IF($A926="","",INDEX('主表 Stock_Transaction_Log'!$P:$P,$A926))</f>
        <v/>
      </c>
      <c r="M926" s="174" t="str">
        <f>IF($A926="","",IF($H926&lt;=0,0,SUMIFS('主表 Stock_Transaction_Log'!$K$2:$K1000,'主表 Stock_Transaction_Log'!$C$2:$C1000,"Prepared",'主表 Stock_Transaction_Log'!$L$2:$L1000,$B926,'主表 Stock_Transaction_Log'!$F$2:$F1000,$C926,'主表 Stock_Transaction_Log'!$G$2:$G1000,$D926,'主表 Stock_Transaction_Log'!$P$2:$P1000,$L926)))</f>
        <v/>
      </c>
    </row>
    <row r="927">
      <c r="A927" s="173" t="str">
        <f>IF('主表 Stock_Transaction_Log'!$T927="","",IF(COUNTIF('主表 Stock_Transaction_Log'!$T$2:$T927,'主表 Stock_Transaction_Log'!$T927)=1,ROW('主表 Stock_Transaction_Log'!$T927),""))</f>
        <v/>
      </c>
      <c r="B927" s="173" t="str">
        <f t="array" ref="B927">IF($A927="","",INDEX('主表 Stock_Transaction_Log'!$Q:$Q,$A927))</f>
        <v/>
      </c>
      <c r="C927" s="173" t="str">
        <f t="array" ref="C927">IF($A927="","",IF(INDEX('主表 Stock_Transaction_Log'!$F:$F,$A927)=0,"",INDEX('主表 Stock_Transaction_Log'!$F:$F,$A927)))</f>
        <v/>
      </c>
      <c r="D927" s="173" t="str">
        <f t="array" ref="D927">IF($A927="","",INDEX('主表 Stock_Transaction_Log'!$G:$G,$A927))</f>
        <v/>
      </c>
      <c r="E927" s="173" t="str">
        <f t="array" ref="E927">IF($A927="","",INDEX('主表 Stock_Transaction_Log'!$H:$H,$A927))</f>
        <v/>
      </c>
      <c r="F927" s="173" t="str">
        <f t="array" ref="F927">IF($A927="","",INDEX('主表 Stock_Transaction_Log'!$I:$I,$A927))</f>
        <v/>
      </c>
      <c r="G927" s="173" t="str">
        <f t="array" ref="G927">IF($A927="","",IF(INDEX('主表 Stock_Transaction_Log'!$R:$R,$A927)=0,"",INDEX('主表 Stock_Transaction_Log'!$R:$R,$A927)))</f>
        <v/>
      </c>
      <c r="H927" s="173" t="str">
        <f t="array" ref="H927">IF($A927="","",SUMIF('主表 Stock_Transaction_Log'!$T:$T,INDEX('主表 Stock_Transaction_Log'!$T:$T,$A927),'主表 Stock_Transaction_Log'!$S:$S)+SUMIF('主表 Stock_Transaction_Log'!$AB:$AB,INDEX('主表 Stock_Transaction_Log'!$T:$T,$A927),'主表 Stock_Transaction_Log'!$AC:$AC))</f>
        <v/>
      </c>
      <c r="I927" s="173" t="str">
        <f t="shared" si="1"/>
        <v/>
      </c>
      <c r="J927" s="173" t="str">
        <f t="shared" si="2"/>
        <v/>
      </c>
      <c r="K927" s="173" t="str">
        <f t="shared" si="3"/>
        <v/>
      </c>
      <c r="L927" s="173" t="str">
        <f t="array" ref="L927">IF($A927="","",INDEX('主表 Stock_Transaction_Log'!$P:$P,$A927))</f>
        <v/>
      </c>
      <c r="M927" s="174" t="str">
        <f>IF($A927="","",IF($H927&lt;=0,0,SUMIFS('主表 Stock_Transaction_Log'!$K$2:$K1000,'主表 Stock_Transaction_Log'!$C$2:$C1000,"Prepared",'主表 Stock_Transaction_Log'!$L$2:$L1000,$B927,'主表 Stock_Transaction_Log'!$F$2:$F1000,$C927,'主表 Stock_Transaction_Log'!$G$2:$G1000,$D927,'主表 Stock_Transaction_Log'!$P$2:$P1000,$L927)))</f>
        <v/>
      </c>
    </row>
    <row r="928">
      <c r="A928" s="173" t="str">
        <f>IF('主表 Stock_Transaction_Log'!$T928="","",IF(COUNTIF('主表 Stock_Transaction_Log'!$T$2:$T928,'主表 Stock_Transaction_Log'!$T928)=1,ROW('主表 Stock_Transaction_Log'!$T928),""))</f>
        <v/>
      </c>
      <c r="B928" s="173" t="str">
        <f t="array" ref="B928">IF($A928="","",INDEX('主表 Stock_Transaction_Log'!$Q:$Q,$A928))</f>
        <v/>
      </c>
      <c r="C928" s="173" t="str">
        <f t="array" ref="C928">IF($A928="","",IF(INDEX('主表 Stock_Transaction_Log'!$F:$F,$A928)=0,"",INDEX('主表 Stock_Transaction_Log'!$F:$F,$A928)))</f>
        <v/>
      </c>
      <c r="D928" s="173" t="str">
        <f t="array" ref="D928">IF($A928="","",INDEX('主表 Stock_Transaction_Log'!$G:$G,$A928))</f>
        <v/>
      </c>
      <c r="E928" s="173" t="str">
        <f t="array" ref="E928">IF($A928="","",INDEX('主表 Stock_Transaction_Log'!$H:$H,$A928))</f>
        <v/>
      </c>
      <c r="F928" s="173" t="str">
        <f t="array" ref="F928">IF($A928="","",INDEX('主表 Stock_Transaction_Log'!$I:$I,$A928))</f>
        <v/>
      </c>
      <c r="G928" s="173" t="str">
        <f t="array" ref="G928">IF($A928="","",IF(INDEX('主表 Stock_Transaction_Log'!$R:$R,$A928)=0,"",INDEX('主表 Stock_Transaction_Log'!$R:$R,$A928)))</f>
        <v/>
      </c>
      <c r="H928" s="173" t="str">
        <f t="array" ref="H928">IF($A928="","",SUMIF('主表 Stock_Transaction_Log'!$T:$T,INDEX('主表 Stock_Transaction_Log'!$T:$T,$A928),'主表 Stock_Transaction_Log'!$S:$S)+SUMIF('主表 Stock_Transaction_Log'!$AB:$AB,INDEX('主表 Stock_Transaction_Log'!$T:$T,$A928),'主表 Stock_Transaction_Log'!$AC:$AC))</f>
        <v/>
      </c>
      <c r="I928" s="173" t="str">
        <f t="shared" si="1"/>
        <v/>
      </c>
      <c r="J928" s="173" t="str">
        <f t="shared" si="2"/>
        <v/>
      </c>
      <c r="K928" s="173" t="str">
        <f t="shared" si="3"/>
        <v/>
      </c>
      <c r="L928" s="173" t="str">
        <f t="array" ref="L928">IF($A928="","",INDEX('主表 Stock_Transaction_Log'!$P:$P,$A928))</f>
        <v/>
      </c>
      <c r="M928" s="174" t="str">
        <f>IF($A928="","",IF($H928&lt;=0,0,SUMIFS('主表 Stock_Transaction_Log'!$K$2:$K1000,'主表 Stock_Transaction_Log'!$C$2:$C1000,"Prepared",'主表 Stock_Transaction_Log'!$L$2:$L1000,$B928,'主表 Stock_Transaction_Log'!$F$2:$F1000,$C928,'主表 Stock_Transaction_Log'!$G$2:$G1000,$D928,'主表 Stock_Transaction_Log'!$P$2:$P1000,$L928)))</f>
        <v/>
      </c>
    </row>
    <row r="929">
      <c r="A929" s="173" t="str">
        <f>IF('主表 Stock_Transaction_Log'!$T929="","",IF(COUNTIF('主表 Stock_Transaction_Log'!$T$2:$T929,'主表 Stock_Transaction_Log'!$T929)=1,ROW('主表 Stock_Transaction_Log'!$T929),""))</f>
        <v/>
      </c>
      <c r="B929" s="173" t="str">
        <f t="array" ref="B929">IF($A929="","",INDEX('主表 Stock_Transaction_Log'!$Q:$Q,$A929))</f>
        <v/>
      </c>
      <c r="C929" s="173" t="str">
        <f t="array" ref="C929">IF($A929="","",IF(INDEX('主表 Stock_Transaction_Log'!$F:$F,$A929)=0,"",INDEX('主表 Stock_Transaction_Log'!$F:$F,$A929)))</f>
        <v/>
      </c>
      <c r="D929" s="173" t="str">
        <f t="array" ref="D929">IF($A929="","",INDEX('主表 Stock_Transaction_Log'!$G:$G,$A929))</f>
        <v/>
      </c>
      <c r="E929" s="173" t="str">
        <f t="array" ref="E929">IF($A929="","",INDEX('主表 Stock_Transaction_Log'!$H:$H,$A929))</f>
        <v/>
      </c>
      <c r="F929" s="173" t="str">
        <f t="array" ref="F929">IF($A929="","",INDEX('主表 Stock_Transaction_Log'!$I:$I,$A929))</f>
        <v/>
      </c>
      <c r="G929" s="173" t="str">
        <f t="array" ref="G929">IF($A929="","",IF(INDEX('主表 Stock_Transaction_Log'!$R:$R,$A929)=0,"",INDEX('主表 Stock_Transaction_Log'!$R:$R,$A929)))</f>
        <v/>
      </c>
      <c r="H929" s="173" t="str">
        <f t="array" ref="H929">IF($A929="","",SUMIF('主表 Stock_Transaction_Log'!$T:$T,INDEX('主表 Stock_Transaction_Log'!$T:$T,$A929),'主表 Stock_Transaction_Log'!$S:$S)+SUMIF('主表 Stock_Transaction_Log'!$AB:$AB,INDEX('主表 Stock_Transaction_Log'!$T:$T,$A929),'主表 Stock_Transaction_Log'!$AC:$AC))</f>
        <v/>
      </c>
      <c r="I929" s="173" t="str">
        <f t="shared" si="1"/>
        <v/>
      </c>
      <c r="J929" s="173" t="str">
        <f t="shared" si="2"/>
        <v/>
      </c>
      <c r="K929" s="173" t="str">
        <f t="shared" si="3"/>
        <v/>
      </c>
      <c r="L929" s="173" t="str">
        <f t="array" ref="L929">IF($A929="","",INDEX('主表 Stock_Transaction_Log'!$P:$P,$A929))</f>
        <v/>
      </c>
      <c r="M929" s="174" t="str">
        <f>IF($A929="","",IF($H929&lt;=0,0,SUMIFS('主表 Stock_Transaction_Log'!$K$2:$K1000,'主表 Stock_Transaction_Log'!$C$2:$C1000,"Prepared",'主表 Stock_Transaction_Log'!$L$2:$L1000,$B929,'主表 Stock_Transaction_Log'!$F$2:$F1000,$C929,'主表 Stock_Transaction_Log'!$G$2:$G1000,$D929,'主表 Stock_Transaction_Log'!$P$2:$P1000,$L929)))</f>
        <v/>
      </c>
    </row>
    <row r="930">
      <c r="A930" s="173" t="str">
        <f>IF('主表 Stock_Transaction_Log'!$T930="","",IF(COUNTIF('主表 Stock_Transaction_Log'!$T$2:$T930,'主表 Stock_Transaction_Log'!$T930)=1,ROW('主表 Stock_Transaction_Log'!$T930),""))</f>
        <v/>
      </c>
      <c r="B930" s="173" t="str">
        <f t="array" ref="B930">IF($A930="","",INDEX('主表 Stock_Transaction_Log'!$Q:$Q,$A930))</f>
        <v/>
      </c>
      <c r="C930" s="173" t="str">
        <f t="array" ref="C930">IF($A930="","",IF(INDEX('主表 Stock_Transaction_Log'!$F:$F,$A930)=0,"",INDEX('主表 Stock_Transaction_Log'!$F:$F,$A930)))</f>
        <v/>
      </c>
      <c r="D930" s="173" t="str">
        <f t="array" ref="D930">IF($A930="","",INDEX('主表 Stock_Transaction_Log'!$G:$G,$A930))</f>
        <v/>
      </c>
      <c r="E930" s="173" t="str">
        <f t="array" ref="E930">IF($A930="","",INDEX('主表 Stock_Transaction_Log'!$H:$H,$A930))</f>
        <v/>
      </c>
      <c r="F930" s="173" t="str">
        <f t="array" ref="F930">IF($A930="","",INDEX('主表 Stock_Transaction_Log'!$I:$I,$A930))</f>
        <v/>
      </c>
      <c r="G930" s="173" t="str">
        <f t="array" ref="G930">IF($A930="","",IF(INDEX('主表 Stock_Transaction_Log'!$R:$R,$A930)=0,"",INDEX('主表 Stock_Transaction_Log'!$R:$R,$A930)))</f>
        <v/>
      </c>
      <c r="H930" s="173" t="str">
        <f t="array" ref="H930">IF($A930="","",SUMIF('主表 Stock_Transaction_Log'!$T:$T,INDEX('主表 Stock_Transaction_Log'!$T:$T,$A930),'主表 Stock_Transaction_Log'!$S:$S)+SUMIF('主表 Stock_Transaction_Log'!$AB:$AB,INDEX('主表 Stock_Transaction_Log'!$T:$T,$A930),'主表 Stock_Transaction_Log'!$AC:$AC))</f>
        <v/>
      </c>
      <c r="I930" s="173" t="str">
        <f t="shared" si="1"/>
        <v/>
      </c>
      <c r="J930" s="173" t="str">
        <f t="shared" si="2"/>
        <v/>
      </c>
      <c r="K930" s="173" t="str">
        <f t="shared" si="3"/>
        <v/>
      </c>
      <c r="L930" s="173" t="str">
        <f t="array" ref="L930">IF($A930="","",INDEX('主表 Stock_Transaction_Log'!$P:$P,$A930))</f>
        <v/>
      </c>
      <c r="M930" s="174" t="str">
        <f>IF($A930="","",IF($H930&lt;=0,0,SUMIFS('主表 Stock_Transaction_Log'!$K$2:$K1000,'主表 Stock_Transaction_Log'!$C$2:$C1000,"Prepared",'主表 Stock_Transaction_Log'!$L$2:$L1000,$B930,'主表 Stock_Transaction_Log'!$F$2:$F1000,$C930,'主表 Stock_Transaction_Log'!$G$2:$G1000,$D930,'主表 Stock_Transaction_Log'!$P$2:$P1000,$L930)))</f>
        <v/>
      </c>
    </row>
    <row r="931">
      <c r="A931" s="173" t="str">
        <f>IF('主表 Stock_Transaction_Log'!$T931="","",IF(COUNTIF('主表 Stock_Transaction_Log'!$T$2:$T931,'主表 Stock_Transaction_Log'!$T931)=1,ROW('主表 Stock_Transaction_Log'!$T931),""))</f>
        <v/>
      </c>
      <c r="B931" s="173" t="str">
        <f t="array" ref="B931">IF($A931="","",INDEX('主表 Stock_Transaction_Log'!$Q:$Q,$A931))</f>
        <v/>
      </c>
      <c r="C931" s="173" t="str">
        <f t="array" ref="C931">IF($A931="","",IF(INDEX('主表 Stock_Transaction_Log'!$F:$F,$A931)=0,"",INDEX('主表 Stock_Transaction_Log'!$F:$F,$A931)))</f>
        <v/>
      </c>
      <c r="D931" s="173" t="str">
        <f t="array" ref="D931">IF($A931="","",INDEX('主表 Stock_Transaction_Log'!$G:$G,$A931))</f>
        <v/>
      </c>
      <c r="E931" s="173" t="str">
        <f t="array" ref="E931">IF($A931="","",INDEX('主表 Stock_Transaction_Log'!$H:$H,$A931))</f>
        <v/>
      </c>
      <c r="F931" s="173" t="str">
        <f t="array" ref="F931">IF($A931="","",INDEX('主表 Stock_Transaction_Log'!$I:$I,$A931))</f>
        <v/>
      </c>
      <c r="G931" s="173" t="str">
        <f t="array" ref="G931">IF($A931="","",IF(INDEX('主表 Stock_Transaction_Log'!$R:$R,$A931)=0,"",INDEX('主表 Stock_Transaction_Log'!$R:$R,$A931)))</f>
        <v/>
      </c>
      <c r="H931" s="173" t="str">
        <f t="array" ref="H931">IF($A931="","",SUMIF('主表 Stock_Transaction_Log'!$T:$T,INDEX('主表 Stock_Transaction_Log'!$T:$T,$A931),'主表 Stock_Transaction_Log'!$S:$S)+SUMIF('主表 Stock_Transaction_Log'!$AB:$AB,INDEX('主表 Stock_Transaction_Log'!$T:$T,$A931),'主表 Stock_Transaction_Log'!$AC:$AC))</f>
        <v/>
      </c>
      <c r="I931" s="173" t="str">
        <f t="shared" si="1"/>
        <v/>
      </c>
      <c r="J931" s="173" t="str">
        <f t="shared" si="2"/>
        <v/>
      </c>
      <c r="K931" s="173" t="str">
        <f t="shared" si="3"/>
        <v/>
      </c>
      <c r="L931" s="173" t="str">
        <f t="array" ref="L931">IF($A931="","",INDEX('主表 Stock_Transaction_Log'!$P:$P,$A931))</f>
        <v/>
      </c>
      <c r="M931" s="174" t="str">
        <f>IF($A931="","",IF($H931&lt;=0,0,SUMIFS('主表 Stock_Transaction_Log'!$K$2:$K1000,'主表 Stock_Transaction_Log'!$C$2:$C1000,"Prepared",'主表 Stock_Transaction_Log'!$L$2:$L1000,$B931,'主表 Stock_Transaction_Log'!$F$2:$F1000,$C931,'主表 Stock_Transaction_Log'!$G$2:$G1000,$D931,'主表 Stock_Transaction_Log'!$P$2:$P1000,$L931)))</f>
        <v/>
      </c>
    </row>
    <row r="932">
      <c r="A932" s="173" t="str">
        <f>IF('主表 Stock_Transaction_Log'!$T932="","",IF(COUNTIF('主表 Stock_Transaction_Log'!$T$2:$T932,'主表 Stock_Transaction_Log'!$T932)=1,ROW('主表 Stock_Transaction_Log'!$T932),""))</f>
        <v/>
      </c>
      <c r="B932" s="173" t="str">
        <f t="array" ref="B932">IF($A932="","",INDEX('主表 Stock_Transaction_Log'!$Q:$Q,$A932))</f>
        <v/>
      </c>
      <c r="C932" s="173" t="str">
        <f t="array" ref="C932">IF($A932="","",IF(INDEX('主表 Stock_Transaction_Log'!$F:$F,$A932)=0,"",INDEX('主表 Stock_Transaction_Log'!$F:$F,$A932)))</f>
        <v/>
      </c>
      <c r="D932" s="173" t="str">
        <f t="array" ref="D932">IF($A932="","",INDEX('主表 Stock_Transaction_Log'!$G:$G,$A932))</f>
        <v/>
      </c>
      <c r="E932" s="173" t="str">
        <f t="array" ref="E932">IF($A932="","",INDEX('主表 Stock_Transaction_Log'!$H:$H,$A932))</f>
        <v/>
      </c>
      <c r="F932" s="173" t="str">
        <f t="array" ref="F932">IF($A932="","",INDEX('主表 Stock_Transaction_Log'!$I:$I,$A932))</f>
        <v/>
      </c>
      <c r="G932" s="173" t="str">
        <f t="array" ref="G932">IF($A932="","",IF(INDEX('主表 Stock_Transaction_Log'!$R:$R,$A932)=0,"",INDEX('主表 Stock_Transaction_Log'!$R:$R,$A932)))</f>
        <v/>
      </c>
      <c r="H932" s="173" t="str">
        <f t="array" ref="H932">IF($A932="","",SUMIF('主表 Stock_Transaction_Log'!$T:$T,INDEX('主表 Stock_Transaction_Log'!$T:$T,$A932),'主表 Stock_Transaction_Log'!$S:$S)+SUMIF('主表 Stock_Transaction_Log'!$AB:$AB,INDEX('主表 Stock_Transaction_Log'!$T:$T,$A932),'主表 Stock_Transaction_Log'!$AC:$AC))</f>
        <v/>
      </c>
      <c r="I932" s="173" t="str">
        <f t="shared" si="1"/>
        <v/>
      </c>
      <c r="J932" s="173" t="str">
        <f t="shared" si="2"/>
        <v/>
      </c>
      <c r="K932" s="173" t="str">
        <f t="shared" si="3"/>
        <v/>
      </c>
      <c r="L932" s="173" t="str">
        <f t="array" ref="L932">IF($A932="","",INDEX('主表 Stock_Transaction_Log'!$P:$P,$A932))</f>
        <v/>
      </c>
      <c r="M932" s="174" t="str">
        <f>IF($A932="","",IF($H932&lt;=0,0,SUMIFS('主表 Stock_Transaction_Log'!$K$2:$K1000,'主表 Stock_Transaction_Log'!$C$2:$C1000,"Prepared",'主表 Stock_Transaction_Log'!$L$2:$L1000,$B932,'主表 Stock_Transaction_Log'!$F$2:$F1000,$C932,'主表 Stock_Transaction_Log'!$G$2:$G1000,$D932,'主表 Stock_Transaction_Log'!$P$2:$P1000,$L932)))</f>
        <v/>
      </c>
    </row>
    <row r="933">
      <c r="A933" s="173" t="str">
        <f>IF('主表 Stock_Transaction_Log'!$T933="","",IF(COUNTIF('主表 Stock_Transaction_Log'!$T$2:$T933,'主表 Stock_Transaction_Log'!$T933)=1,ROW('主表 Stock_Transaction_Log'!$T933),""))</f>
        <v/>
      </c>
      <c r="B933" s="173" t="str">
        <f t="array" ref="B933">IF($A933="","",INDEX('主表 Stock_Transaction_Log'!$Q:$Q,$A933))</f>
        <v/>
      </c>
      <c r="C933" s="173" t="str">
        <f t="array" ref="C933">IF($A933="","",IF(INDEX('主表 Stock_Transaction_Log'!$F:$F,$A933)=0,"",INDEX('主表 Stock_Transaction_Log'!$F:$F,$A933)))</f>
        <v/>
      </c>
      <c r="D933" s="173" t="str">
        <f t="array" ref="D933">IF($A933="","",INDEX('主表 Stock_Transaction_Log'!$G:$G,$A933))</f>
        <v/>
      </c>
      <c r="E933" s="173" t="str">
        <f t="array" ref="E933">IF($A933="","",INDEX('主表 Stock_Transaction_Log'!$H:$H,$A933))</f>
        <v/>
      </c>
      <c r="F933" s="173" t="str">
        <f t="array" ref="F933">IF($A933="","",INDEX('主表 Stock_Transaction_Log'!$I:$I,$A933))</f>
        <v/>
      </c>
      <c r="G933" s="173" t="str">
        <f t="array" ref="G933">IF($A933="","",IF(INDEX('主表 Stock_Transaction_Log'!$R:$R,$A933)=0,"",INDEX('主表 Stock_Transaction_Log'!$R:$R,$A933)))</f>
        <v/>
      </c>
      <c r="H933" s="173" t="str">
        <f t="array" ref="H933">IF($A933="","",SUMIF('主表 Stock_Transaction_Log'!$T:$T,INDEX('主表 Stock_Transaction_Log'!$T:$T,$A933),'主表 Stock_Transaction_Log'!$S:$S)+SUMIF('主表 Stock_Transaction_Log'!$AB:$AB,INDEX('主表 Stock_Transaction_Log'!$T:$T,$A933),'主表 Stock_Transaction_Log'!$AC:$AC))</f>
        <v/>
      </c>
      <c r="I933" s="173" t="str">
        <f t="shared" si="1"/>
        <v/>
      </c>
      <c r="J933" s="173" t="str">
        <f t="shared" si="2"/>
        <v/>
      </c>
      <c r="K933" s="173" t="str">
        <f t="shared" si="3"/>
        <v/>
      </c>
      <c r="L933" s="173" t="str">
        <f t="array" ref="L933">IF($A933="","",INDEX('主表 Stock_Transaction_Log'!$P:$P,$A933))</f>
        <v/>
      </c>
      <c r="M933" s="174" t="str">
        <f>IF($A933="","",IF($H933&lt;=0,0,SUMIFS('主表 Stock_Transaction_Log'!$K$2:$K1000,'主表 Stock_Transaction_Log'!$C$2:$C1000,"Prepared",'主表 Stock_Transaction_Log'!$L$2:$L1000,$B933,'主表 Stock_Transaction_Log'!$F$2:$F1000,$C933,'主表 Stock_Transaction_Log'!$G$2:$G1000,$D933,'主表 Stock_Transaction_Log'!$P$2:$P1000,$L933)))</f>
        <v/>
      </c>
    </row>
    <row r="934">
      <c r="A934" s="173" t="str">
        <f>IF('主表 Stock_Transaction_Log'!$T934="","",IF(COUNTIF('主表 Stock_Transaction_Log'!$T$2:$T934,'主表 Stock_Transaction_Log'!$T934)=1,ROW('主表 Stock_Transaction_Log'!$T934),""))</f>
        <v/>
      </c>
      <c r="B934" s="173" t="str">
        <f t="array" ref="B934">IF($A934="","",INDEX('主表 Stock_Transaction_Log'!$Q:$Q,$A934))</f>
        <v/>
      </c>
      <c r="C934" s="173" t="str">
        <f t="array" ref="C934">IF($A934="","",IF(INDEX('主表 Stock_Transaction_Log'!$F:$F,$A934)=0,"",INDEX('主表 Stock_Transaction_Log'!$F:$F,$A934)))</f>
        <v/>
      </c>
      <c r="D934" s="173" t="str">
        <f t="array" ref="D934">IF($A934="","",INDEX('主表 Stock_Transaction_Log'!$G:$G,$A934))</f>
        <v/>
      </c>
      <c r="E934" s="173" t="str">
        <f t="array" ref="E934">IF($A934="","",INDEX('主表 Stock_Transaction_Log'!$H:$H,$A934))</f>
        <v/>
      </c>
      <c r="F934" s="173" t="str">
        <f t="array" ref="F934">IF($A934="","",INDEX('主表 Stock_Transaction_Log'!$I:$I,$A934))</f>
        <v/>
      </c>
      <c r="G934" s="173" t="str">
        <f t="array" ref="G934">IF($A934="","",IF(INDEX('主表 Stock_Transaction_Log'!$R:$R,$A934)=0,"",INDEX('主表 Stock_Transaction_Log'!$R:$R,$A934)))</f>
        <v/>
      </c>
      <c r="H934" s="173" t="str">
        <f t="array" ref="H934">IF($A934="","",SUMIF('主表 Stock_Transaction_Log'!$T:$T,INDEX('主表 Stock_Transaction_Log'!$T:$T,$A934),'主表 Stock_Transaction_Log'!$S:$S)+SUMIF('主表 Stock_Transaction_Log'!$AB:$AB,INDEX('主表 Stock_Transaction_Log'!$T:$T,$A934),'主表 Stock_Transaction_Log'!$AC:$AC))</f>
        <v/>
      </c>
      <c r="I934" s="173" t="str">
        <f t="shared" si="1"/>
        <v/>
      </c>
      <c r="J934" s="173" t="str">
        <f t="shared" si="2"/>
        <v/>
      </c>
      <c r="K934" s="173" t="str">
        <f t="shared" si="3"/>
        <v/>
      </c>
      <c r="L934" s="173" t="str">
        <f t="array" ref="L934">IF($A934="","",INDEX('主表 Stock_Transaction_Log'!$P:$P,$A934))</f>
        <v/>
      </c>
      <c r="M934" s="174" t="str">
        <f>IF($A934="","",IF($H934&lt;=0,0,SUMIFS('主表 Stock_Transaction_Log'!$K$2:$K1000,'主表 Stock_Transaction_Log'!$C$2:$C1000,"Prepared",'主表 Stock_Transaction_Log'!$L$2:$L1000,$B934,'主表 Stock_Transaction_Log'!$F$2:$F1000,$C934,'主表 Stock_Transaction_Log'!$G$2:$G1000,$D934,'主表 Stock_Transaction_Log'!$P$2:$P1000,$L934)))</f>
        <v/>
      </c>
    </row>
    <row r="935">
      <c r="A935" s="173" t="str">
        <f>IF('主表 Stock_Transaction_Log'!$T935="","",IF(COUNTIF('主表 Stock_Transaction_Log'!$T$2:$T935,'主表 Stock_Transaction_Log'!$T935)=1,ROW('主表 Stock_Transaction_Log'!$T935),""))</f>
        <v/>
      </c>
      <c r="B935" s="173" t="str">
        <f t="array" ref="B935">IF($A935="","",INDEX('主表 Stock_Transaction_Log'!$Q:$Q,$A935))</f>
        <v/>
      </c>
      <c r="C935" s="173" t="str">
        <f t="array" ref="C935">IF($A935="","",IF(INDEX('主表 Stock_Transaction_Log'!$F:$F,$A935)=0,"",INDEX('主表 Stock_Transaction_Log'!$F:$F,$A935)))</f>
        <v/>
      </c>
      <c r="D935" s="173" t="str">
        <f t="array" ref="D935">IF($A935="","",INDEX('主表 Stock_Transaction_Log'!$G:$G,$A935))</f>
        <v/>
      </c>
      <c r="E935" s="173" t="str">
        <f t="array" ref="E935">IF($A935="","",INDEX('主表 Stock_Transaction_Log'!$H:$H,$A935))</f>
        <v/>
      </c>
      <c r="F935" s="173" t="str">
        <f t="array" ref="F935">IF($A935="","",INDEX('主表 Stock_Transaction_Log'!$I:$I,$A935))</f>
        <v/>
      </c>
      <c r="G935" s="173" t="str">
        <f t="array" ref="G935">IF($A935="","",IF(INDEX('主表 Stock_Transaction_Log'!$R:$R,$A935)=0,"",INDEX('主表 Stock_Transaction_Log'!$R:$R,$A935)))</f>
        <v/>
      </c>
      <c r="H935" s="173" t="str">
        <f t="array" ref="H935">IF($A935="","",SUMIF('主表 Stock_Transaction_Log'!$T:$T,INDEX('主表 Stock_Transaction_Log'!$T:$T,$A935),'主表 Stock_Transaction_Log'!$S:$S)+SUMIF('主表 Stock_Transaction_Log'!$AB:$AB,INDEX('主表 Stock_Transaction_Log'!$T:$T,$A935),'主表 Stock_Transaction_Log'!$AC:$AC))</f>
        <v/>
      </c>
      <c r="I935" s="173" t="str">
        <f t="shared" si="1"/>
        <v/>
      </c>
      <c r="J935" s="173" t="str">
        <f t="shared" si="2"/>
        <v/>
      </c>
      <c r="K935" s="173" t="str">
        <f t="shared" si="3"/>
        <v/>
      </c>
      <c r="L935" s="173" t="str">
        <f t="array" ref="L935">IF($A935="","",INDEX('主表 Stock_Transaction_Log'!$P:$P,$A935))</f>
        <v/>
      </c>
      <c r="M935" s="174" t="str">
        <f>IF($A935="","",IF($H935&lt;=0,0,SUMIFS('主表 Stock_Transaction_Log'!$K$2:$K1000,'主表 Stock_Transaction_Log'!$C$2:$C1000,"Prepared",'主表 Stock_Transaction_Log'!$L$2:$L1000,$B935,'主表 Stock_Transaction_Log'!$F$2:$F1000,$C935,'主表 Stock_Transaction_Log'!$G$2:$G1000,$D935,'主表 Stock_Transaction_Log'!$P$2:$P1000,$L935)))</f>
        <v/>
      </c>
    </row>
    <row r="936">
      <c r="A936" s="173" t="str">
        <f>IF('主表 Stock_Transaction_Log'!$T936="","",IF(COUNTIF('主表 Stock_Transaction_Log'!$T$2:$T936,'主表 Stock_Transaction_Log'!$T936)=1,ROW('主表 Stock_Transaction_Log'!$T936),""))</f>
        <v/>
      </c>
      <c r="B936" s="173" t="str">
        <f t="array" ref="B936">IF($A936="","",INDEX('主表 Stock_Transaction_Log'!$Q:$Q,$A936))</f>
        <v/>
      </c>
      <c r="C936" s="173" t="str">
        <f t="array" ref="C936">IF($A936="","",IF(INDEX('主表 Stock_Transaction_Log'!$F:$F,$A936)=0,"",INDEX('主表 Stock_Transaction_Log'!$F:$F,$A936)))</f>
        <v/>
      </c>
      <c r="D936" s="173" t="str">
        <f t="array" ref="D936">IF($A936="","",INDEX('主表 Stock_Transaction_Log'!$G:$G,$A936))</f>
        <v/>
      </c>
      <c r="E936" s="173" t="str">
        <f t="array" ref="E936">IF($A936="","",INDEX('主表 Stock_Transaction_Log'!$H:$H,$A936))</f>
        <v/>
      </c>
      <c r="F936" s="173" t="str">
        <f t="array" ref="F936">IF($A936="","",INDEX('主表 Stock_Transaction_Log'!$I:$I,$A936))</f>
        <v/>
      </c>
      <c r="G936" s="173" t="str">
        <f t="array" ref="G936">IF($A936="","",IF(INDEX('主表 Stock_Transaction_Log'!$R:$R,$A936)=0,"",INDEX('主表 Stock_Transaction_Log'!$R:$R,$A936)))</f>
        <v/>
      </c>
      <c r="H936" s="173" t="str">
        <f t="array" ref="H936">IF($A936="","",SUMIF('主表 Stock_Transaction_Log'!$T:$T,INDEX('主表 Stock_Transaction_Log'!$T:$T,$A936),'主表 Stock_Transaction_Log'!$S:$S)+SUMIF('主表 Stock_Transaction_Log'!$AB:$AB,INDEX('主表 Stock_Transaction_Log'!$T:$T,$A936),'主表 Stock_Transaction_Log'!$AC:$AC))</f>
        <v/>
      </c>
      <c r="I936" s="173" t="str">
        <f t="shared" si="1"/>
        <v/>
      </c>
      <c r="J936" s="173" t="str">
        <f t="shared" si="2"/>
        <v/>
      </c>
      <c r="K936" s="173" t="str">
        <f t="shared" si="3"/>
        <v/>
      </c>
      <c r="L936" s="173" t="str">
        <f t="array" ref="L936">IF($A936="","",INDEX('主表 Stock_Transaction_Log'!$P:$P,$A936))</f>
        <v/>
      </c>
      <c r="M936" s="174" t="str">
        <f>IF($A936="","",IF($H936&lt;=0,0,SUMIFS('主表 Stock_Transaction_Log'!$K$2:$K1000,'主表 Stock_Transaction_Log'!$C$2:$C1000,"Prepared",'主表 Stock_Transaction_Log'!$L$2:$L1000,$B936,'主表 Stock_Transaction_Log'!$F$2:$F1000,$C936,'主表 Stock_Transaction_Log'!$G$2:$G1000,$D936,'主表 Stock_Transaction_Log'!$P$2:$P1000,$L936)))</f>
        <v/>
      </c>
    </row>
    <row r="937">
      <c r="A937" s="173" t="str">
        <f>IF('主表 Stock_Transaction_Log'!$T937="","",IF(COUNTIF('主表 Stock_Transaction_Log'!$T$2:$T937,'主表 Stock_Transaction_Log'!$T937)=1,ROW('主表 Stock_Transaction_Log'!$T937),""))</f>
        <v/>
      </c>
      <c r="B937" s="173" t="str">
        <f t="array" ref="B937">IF($A937="","",INDEX('主表 Stock_Transaction_Log'!$Q:$Q,$A937))</f>
        <v/>
      </c>
      <c r="C937" s="173" t="str">
        <f t="array" ref="C937">IF($A937="","",IF(INDEX('主表 Stock_Transaction_Log'!$F:$F,$A937)=0,"",INDEX('主表 Stock_Transaction_Log'!$F:$F,$A937)))</f>
        <v/>
      </c>
      <c r="D937" s="173" t="str">
        <f t="array" ref="D937">IF($A937="","",INDEX('主表 Stock_Transaction_Log'!$G:$G,$A937))</f>
        <v/>
      </c>
      <c r="E937" s="173" t="str">
        <f t="array" ref="E937">IF($A937="","",INDEX('主表 Stock_Transaction_Log'!$H:$H,$A937))</f>
        <v/>
      </c>
      <c r="F937" s="173" t="str">
        <f t="array" ref="F937">IF($A937="","",INDEX('主表 Stock_Transaction_Log'!$I:$I,$A937))</f>
        <v/>
      </c>
      <c r="G937" s="173" t="str">
        <f t="array" ref="G937">IF($A937="","",IF(INDEX('主表 Stock_Transaction_Log'!$R:$R,$A937)=0,"",INDEX('主表 Stock_Transaction_Log'!$R:$R,$A937)))</f>
        <v/>
      </c>
      <c r="H937" s="173" t="str">
        <f t="array" ref="H937">IF($A937="","",SUMIF('主表 Stock_Transaction_Log'!$T:$T,INDEX('主表 Stock_Transaction_Log'!$T:$T,$A937),'主表 Stock_Transaction_Log'!$S:$S)+SUMIF('主表 Stock_Transaction_Log'!$AB:$AB,INDEX('主表 Stock_Transaction_Log'!$T:$T,$A937),'主表 Stock_Transaction_Log'!$AC:$AC))</f>
        <v/>
      </c>
      <c r="I937" s="173" t="str">
        <f t="shared" si="1"/>
        <v/>
      </c>
      <c r="J937" s="173" t="str">
        <f t="shared" si="2"/>
        <v/>
      </c>
      <c r="K937" s="173" t="str">
        <f t="shared" si="3"/>
        <v/>
      </c>
      <c r="L937" s="173" t="str">
        <f t="array" ref="L937">IF($A937="","",INDEX('主表 Stock_Transaction_Log'!$P:$P,$A937))</f>
        <v/>
      </c>
      <c r="M937" s="174" t="str">
        <f>IF($A937="","",IF($H937&lt;=0,0,SUMIFS('主表 Stock_Transaction_Log'!$K$2:$K1000,'主表 Stock_Transaction_Log'!$C$2:$C1000,"Prepared",'主表 Stock_Transaction_Log'!$L$2:$L1000,$B937,'主表 Stock_Transaction_Log'!$F$2:$F1000,$C937,'主表 Stock_Transaction_Log'!$G$2:$G1000,$D937,'主表 Stock_Transaction_Log'!$P$2:$P1000,$L937)))</f>
        <v/>
      </c>
    </row>
    <row r="938">
      <c r="A938" s="173" t="str">
        <f>IF('主表 Stock_Transaction_Log'!$T938="","",IF(COUNTIF('主表 Stock_Transaction_Log'!$T$2:$T938,'主表 Stock_Transaction_Log'!$T938)=1,ROW('主表 Stock_Transaction_Log'!$T938),""))</f>
        <v/>
      </c>
      <c r="B938" s="173" t="str">
        <f t="array" ref="B938">IF($A938="","",INDEX('主表 Stock_Transaction_Log'!$Q:$Q,$A938))</f>
        <v/>
      </c>
      <c r="C938" s="173" t="str">
        <f t="array" ref="C938">IF($A938="","",IF(INDEX('主表 Stock_Transaction_Log'!$F:$F,$A938)=0,"",INDEX('主表 Stock_Transaction_Log'!$F:$F,$A938)))</f>
        <v/>
      </c>
      <c r="D938" s="173" t="str">
        <f t="array" ref="D938">IF($A938="","",INDEX('主表 Stock_Transaction_Log'!$G:$G,$A938))</f>
        <v/>
      </c>
      <c r="E938" s="173" t="str">
        <f t="array" ref="E938">IF($A938="","",INDEX('主表 Stock_Transaction_Log'!$H:$H,$A938))</f>
        <v/>
      </c>
      <c r="F938" s="173" t="str">
        <f t="array" ref="F938">IF($A938="","",INDEX('主表 Stock_Transaction_Log'!$I:$I,$A938))</f>
        <v/>
      </c>
      <c r="G938" s="173" t="str">
        <f t="array" ref="G938">IF($A938="","",IF(INDEX('主表 Stock_Transaction_Log'!$R:$R,$A938)=0,"",INDEX('主表 Stock_Transaction_Log'!$R:$R,$A938)))</f>
        <v/>
      </c>
      <c r="H938" s="173" t="str">
        <f t="array" ref="H938">IF($A938="","",SUMIF('主表 Stock_Transaction_Log'!$T:$T,INDEX('主表 Stock_Transaction_Log'!$T:$T,$A938),'主表 Stock_Transaction_Log'!$S:$S)+SUMIF('主表 Stock_Transaction_Log'!$AB:$AB,INDEX('主表 Stock_Transaction_Log'!$T:$T,$A938),'主表 Stock_Transaction_Log'!$AC:$AC))</f>
        <v/>
      </c>
      <c r="I938" s="173" t="str">
        <f t="shared" si="1"/>
        <v/>
      </c>
      <c r="J938" s="173" t="str">
        <f t="shared" si="2"/>
        <v/>
      </c>
      <c r="K938" s="173" t="str">
        <f t="shared" si="3"/>
        <v/>
      </c>
      <c r="L938" s="173" t="str">
        <f t="array" ref="L938">IF($A938="","",INDEX('主表 Stock_Transaction_Log'!$P:$P,$A938))</f>
        <v/>
      </c>
      <c r="M938" s="174" t="str">
        <f>IF($A938="","",IF($H938&lt;=0,0,SUMIFS('主表 Stock_Transaction_Log'!$K$2:$K1000,'主表 Stock_Transaction_Log'!$C$2:$C1000,"Prepared",'主表 Stock_Transaction_Log'!$L$2:$L1000,$B938,'主表 Stock_Transaction_Log'!$F$2:$F1000,$C938,'主表 Stock_Transaction_Log'!$G$2:$G1000,$D938,'主表 Stock_Transaction_Log'!$P$2:$P1000,$L938)))</f>
        <v/>
      </c>
    </row>
    <row r="939">
      <c r="A939" s="173" t="str">
        <f>IF('主表 Stock_Transaction_Log'!$T939="","",IF(COUNTIF('主表 Stock_Transaction_Log'!$T$2:$T939,'主表 Stock_Transaction_Log'!$T939)=1,ROW('主表 Stock_Transaction_Log'!$T939),""))</f>
        <v/>
      </c>
      <c r="B939" s="173" t="str">
        <f t="array" ref="B939">IF($A939="","",INDEX('主表 Stock_Transaction_Log'!$Q:$Q,$A939))</f>
        <v/>
      </c>
      <c r="C939" s="173" t="str">
        <f t="array" ref="C939">IF($A939="","",IF(INDEX('主表 Stock_Transaction_Log'!$F:$F,$A939)=0,"",INDEX('主表 Stock_Transaction_Log'!$F:$F,$A939)))</f>
        <v/>
      </c>
      <c r="D939" s="173" t="str">
        <f t="array" ref="D939">IF($A939="","",INDEX('主表 Stock_Transaction_Log'!$G:$G,$A939))</f>
        <v/>
      </c>
      <c r="E939" s="173" t="str">
        <f t="array" ref="E939">IF($A939="","",INDEX('主表 Stock_Transaction_Log'!$H:$H,$A939))</f>
        <v/>
      </c>
      <c r="F939" s="173" t="str">
        <f t="array" ref="F939">IF($A939="","",INDEX('主表 Stock_Transaction_Log'!$I:$I,$A939))</f>
        <v/>
      </c>
      <c r="G939" s="173" t="str">
        <f t="array" ref="G939">IF($A939="","",IF(INDEX('主表 Stock_Transaction_Log'!$R:$R,$A939)=0,"",INDEX('主表 Stock_Transaction_Log'!$R:$R,$A939)))</f>
        <v/>
      </c>
      <c r="H939" s="173" t="str">
        <f t="array" ref="H939">IF($A939="","",SUMIF('主表 Stock_Transaction_Log'!$T:$T,INDEX('主表 Stock_Transaction_Log'!$T:$T,$A939),'主表 Stock_Transaction_Log'!$S:$S)+SUMIF('主表 Stock_Transaction_Log'!$AB:$AB,INDEX('主表 Stock_Transaction_Log'!$T:$T,$A939),'主表 Stock_Transaction_Log'!$AC:$AC))</f>
        <v/>
      </c>
      <c r="I939" s="173" t="str">
        <f t="shared" si="1"/>
        <v/>
      </c>
      <c r="J939" s="173" t="str">
        <f t="shared" si="2"/>
        <v/>
      </c>
      <c r="K939" s="173" t="str">
        <f t="shared" si="3"/>
        <v/>
      </c>
      <c r="L939" s="173" t="str">
        <f t="array" ref="L939">IF($A939="","",INDEX('主表 Stock_Transaction_Log'!$P:$P,$A939))</f>
        <v/>
      </c>
      <c r="M939" s="174" t="str">
        <f>IF($A939="","",IF($H939&lt;=0,0,SUMIFS('主表 Stock_Transaction_Log'!$K$2:$K1000,'主表 Stock_Transaction_Log'!$C$2:$C1000,"Prepared",'主表 Stock_Transaction_Log'!$L$2:$L1000,$B939,'主表 Stock_Transaction_Log'!$F$2:$F1000,$C939,'主表 Stock_Transaction_Log'!$G$2:$G1000,$D939,'主表 Stock_Transaction_Log'!$P$2:$P1000,$L939)))</f>
        <v/>
      </c>
    </row>
    <row r="940">
      <c r="A940" s="173" t="str">
        <f>IF('主表 Stock_Transaction_Log'!$T940="","",IF(COUNTIF('主表 Stock_Transaction_Log'!$T$2:$T940,'主表 Stock_Transaction_Log'!$T940)=1,ROW('主表 Stock_Transaction_Log'!$T940),""))</f>
        <v/>
      </c>
      <c r="B940" s="173" t="str">
        <f t="array" ref="B940">IF($A940="","",INDEX('主表 Stock_Transaction_Log'!$Q:$Q,$A940))</f>
        <v/>
      </c>
      <c r="C940" s="173" t="str">
        <f t="array" ref="C940">IF($A940="","",IF(INDEX('主表 Stock_Transaction_Log'!$F:$F,$A940)=0,"",INDEX('主表 Stock_Transaction_Log'!$F:$F,$A940)))</f>
        <v/>
      </c>
      <c r="D940" s="173" t="str">
        <f t="array" ref="D940">IF($A940="","",INDEX('主表 Stock_Transaction_Log'!$G:$G,$A940))</f>
        <v/>
      </c>
      <c r="E940" s="173" t="str">
        <f t="array" ref="E940">IF($A940="","",INDEX('主表 Stock_Transaction_Log'!$H:$H,$A940))</f>
        <v/>
      </c>
      <c r="F940" s="173" t="str">
        <f t="array" ref="F940">IF($A940="","",INDEX('主表 Stock_Transaction_Log'!$I:$I,$A940))</f>
        <v/>
      </c>
      <c r="G940" s="173" t="str">
        <f t="array" ref="G940">IF($A940="","",IF(INDEX('主表 Stock_Transaction_Log'!$R:$R,$A940)=0,"",INDEX('主表 Stock_Transaction_Log'!$R:$R,$A940)))</f>
        <v/>
      </c>
      <c r="H940" s="173" t="str">
        <f t="array" ref="H940">IF($A940="","",SUMIF('主表 Stock_Transaction_Log'!$T:$T,INDEX('主表 Stock_Transaction_Log'!$T:$T,$A940),'主表 Stock_Transaction_Log'!$S:$S)+SUMIF('主表 Stock_Transaction_Log'!$AB:$AB,INDEX('主表 Stock_Transaction_Log'!$T:$T,$A940),'主表 Stock_Transaction_Log'!$AC:$AC))</f>
        <v/>
      </c>
      <c r="I940" s="173" t="str">
        <f t="shared" si="1"/>
        <v/>
      </c>
      <c r="J940" s="173" t="str">
        <f t="shared" si="2"/>
        <v/>
      </c>
      <c r="K940" s="173" t="str">
        <f t="shared" si="3"/>
        <v/>
      </c>
      <c r="L940" s="173" t="str">
        <f t="array" ref="L940">IF($A940="","",INDEX('主表 Stock_Transaction_Log'!$P:$P,$A940))</f>
        <v/>
      </c>
      <c r="M940" s="174" t="str">
        <f>IF($A940="","",IF($H940&lt;=0,0,SUMIFS('主表 Stock_Transaction_Log'!$K$2:$K1000,'主表 Stock_Transaction_Log'!$C$2:$C1000,"Prepared",'主表 Stock_Transaction_Log'!$L$2:$L1000,$B940,'主表 Stock_Transaction_Log'!$F$2:$F1000,$C940,'主表 Stock_Transaction_Log'!$G$2:$G1000,$D940,'主表 Stock_Transaction_Log'!$P$2:$P1000,$L940)))</f>
        <v/>
      </c>
    </row>
    <row r="941">
      <c r="A941" s="173" t="str">
        <f>IF('主表 Stock_Transaction_Log'!$T941="","",IF(COUNTIF('主表 Stock_Transaction_Log'!$T$2:$T941,'主表 Stock_Transaction_Log'!$T941)=1,ROW('主表 Stock_Transaction_Log'!$T941),""))</f>
        <v/>
      </c>
      <c r="B941" s="173" t="str">
        <f t="array" ref="B941">IF($A941="","",INDEX('主表 Stock_Transaction_Log'!$Q:$Q,$A941))</f>
        <v/>
      </c>
      <c r="C941" s="173" t="str">
        <f t="array" ref="C941">IF($A941="","",IF(INDEX('主表 Stock_Transaction_Log'!$F:$F,$A941)=0,"",INDEX('主表 Stock_Transaction_Log'!$F:$F,$A941)))</f>
        <v/>
      </c>
      <c r="D941" s="173" t="str">
        <f t="array" ref="D941">IF($A941="","",INDEX('主表 Stock_Transaction_Log'!$G:$G,$A941))</f>
        <v/>
      </c>
      <c r="E941" s="173" t="str">
        <f t="array" ref="E941">IF($A941="","",INDEX('主表 Stock_Transaction_Log'!$H:$H,$A941))</f>
        <v/>
      </c>
      <c r="F941" s="173" t="str">
        <f t="array" ref="F941">IF($A941="","",INDEX('主表 Stock_Transaction_Log'!$I:$I,$A941))</f>
        <v/>
      </c>
      <c r="G941" s="173" t="str">
        <f t="array" ref="G941">IF($A941="","",IF(INDEX('主表 Stock_Transaction_Log'!$R:$R,$A941)=0,"",INDEX('主表 Stock_Transaction_Log'!$R:$R,$A941)))</f>
        <v/>
      </c>
      <c r="H941" s="173" t="str">
        <f t="array" ref="H941">IF($A941="","",SUMIF('主表 Stock_Transaction_Log'!$T:$T,INDEX('主表 Stock_Transaction_Log'!$T:$T,$A941),'主表 Stock_Transaction_Log'!$S:$S)+SUMIF('主表 Stock_Transaction_Log'!$AB:$AB,INDEX('主表 Stock_Transaction_Log'!$T:$T,$A941),'主表 Stock_Transaction_Log'!$AC:$AC))</f>
        <v/>
      </c>
      <c r="I941" s="173" t="str">
        <f t="shared" si="1"/>
        <v/>
      </c>
      <c r="J941" s="173" t="str">
        <f t="shared" si="2"/>
        <v/>
      </c>
      <c r="K941" s="173" t="str">
        <f t="shared" si="3"/>
        <v/>
      </c>
      <c r="L941" s="173" t="str">
        <f t="array" ref="L941">IF($A941="","",INDEX('主表 Stock_Transaction_Log'!$P:$P,$A941))</f>
        <v/>
      </c>
      <c r="M941" s="174" t="str">
        <f>IF($A941="","",IF($H941&lt;=0,0,SUMIFS('主表 Stock_Transaction_Log'!$K$2:$K1000,'主表 Stock_Transaction_Log'!$C$2:$C1000,"Prepared",'主表 Stock_Transaction_Log'!$L$2:$L1000,$B941,'主表 Stock_Transaction_Log'!$F$2:$F1000,$C941,'主表 Stock_Transaction_Log'!$G$2:$G1000,$D941,'主表 Stock_Transaction_Log'!$P$2:$P1000,$L941)))</f>
        <v/>
      </c>
    </row>
    <row r="942">
      <c r="A942" s="173" t="str">
        <f>IF('主表 Stock_Transaction_Log'!$T942="","",IF(COUNTIF('主表 Stock_Transaction_Log'!$T$2:$T942,'主表 Stock_Transaction_Log'!$T942)=1,ROW('主表 Stock_Transaction_Log'!$T942),""))</f>
        <v/>
      </c>
      <c r="B942" s="173" t="str">
        <f t="array" ref="B942">IF($A942="","",INDEX('主表 Stock_Transaction_Log'!$Q:$Q,$A942))</f>
        <v/>
      </c>
      <c r="C942" s="173" t="str">
        <f t="array" ref="C942">IF($A942="","",IF(INDEX('主表 Stock_Transaction_Log'!$F:$F,$A942)=0,"",INDEX('主表 Stock_Transaction_Log'!$F:$F,$A942)))</f>
        <v/>
      </c>
      <c r="D942" s="173" t="str">
        <f t="array" ref="D942">IF($A942="","",INDEX('主表 Stock_Transaction_Log'!$G:$G,$A942))</f>
        <v/>
      </c>
      <c r="E942" s="173" t="str">
        <f t="array" ref="E942">IF($A942="","",INDEX('主表 Stock_Transaction_Log'!$H:$H,$A942))</f>
        <v/>
      </c>
      <c r="F942" s="173" t="str">
        <f t="array" ref="F942">IF($A942="","",INDEX('主表 Stock_Transaction_Log'!$I:$I,$A942))</f>
        <v/>
      </c>
      <c r="G942" s="173" t="str">
        <f t="array" ref="G942">IF($A942="","",IF(INDEX('主表 Stock_Transaction_Log'!$R:$R,$A942)=0,"",INDEX('主表 Stock_Transaction_Log'!$R:$R,$A942)))</f>
        <v/>
      </c>
      <c r="H942" s="173" t="str">
        <f t="array" ref="H942">IF($A942="","",SUMIF('主表 Stock_Transaction_Log'!$T:$T,INDEX('主表 Stock_Transaction_Log'!$T:$T,$A942),'主表 Stock_Transaction_Log'!$S:$S)+SUMIF('主表 Stock_Transaction_Log'!$AB:$AB,INDEX('主表 Stock_Transaction_Log'!$T:$T,$A942),'主表 Stock_Transaction_Log'!$AC:$AC))</f>
        <v/>
      </c>
      <c r="I942" s="173" t="str">
        <f t="shared" si="1"/>
        <v/>
      </c>
      <c r="J942" s="173" t="str">
        <f t="shared" si="2"/>
        <v/>
      </c>
      <c r="K942" s="173" t="str">
        <f t="shared" si="3"/>
        <v/>
      </c>
      <c r="L942" s="173" t="str">
        <f t="array" ref="L942">IF($A942="","",INDEX('主表 Stock_Transaction_Log'!$P:$P,$A942))</f>
        <v/>
      </c>
      <c r="M942" s="174" t="str">
        <f>IF($A942="","",IF($H942&lt;=0,0,SUMIFS('主表 Stock_Transaction_Log'!$K$2:$K1000,'主表 Stock_Transaction_Log'!$C$2:$C1000,"Prepared",'主表 Stock_Transaction_Log'!$L$2:$L1000,$B942,'主表 Stock_Transaction_Log'!$F$2:$F1000,$C942,'主表 Stock_Transaction_Log'!$G$2:$G1000,$D942,'主表 Stock_Transaction_Log'!$P$2:$P1000,$L942)))</f>
        <v/>
      </c>
    </row>
    <row r="943">
      <c r="A943" s="173" t="str">
        <f>IF('主表 Stock_Transaction_Log'!$T943="","",IF(COUNTIF('主表 Stock_Transaction_Log'!$T$2:$T943,'主表 Stock_Transaction_Log'!$T943)=1,ROW('主表 Stock_Transaction_Log'!$T943),""))</f>
        <v/>
      </c>
      <c r="B943" s="173" t="str">
        <f t="array" ref="B943">IF($A943="","",INDEX('主表 Stock_Transaction_Log'!$Q:$Q,$A943))</f>
        <v/>
      </c>
      <c r="C943" s="173" t="str">
        <f t="array" ref="C943">IF($A943="","",IF(INDEX('主表 Stock_Transaction_Log'!$F:$F,$A943)=0,"",INDEX('主表 Stock_Transaction_Log'!$F:$F,$A943)))</f>
        <v/>
      </c>
      <c r="D943" s="173" t="str">
        <f t="array" ref="D943">IF($A943="","",INDEX('主表 Stock_Transaction_Log'!$G:$G,$A943))</f>
        <v/>
      </c>
      <c r="E943" s="173" t="str">
        <f t="array" ref="E943">IF($A943="","",INDEX('主表 Stock_Transaction_Log'!$H:$H,$A943))</f>
        <v/>
      </c>
      <c r="F943" s="173" t="str">
        <f t="array" ref="F943">IF($A943="","",INDEX('主表 Stock_Transaction_Log'!$I:$I,$A943))</f>
        <v/>
      </c>
      <c r="G943" s="173" t="str">
        <f t="array" ref="G943">IF($A943="","",IF(INDEX('主表 Stock_Transaction_Log'!$R:$R,$A943)=0,"",INDEX('主表 Stock_Transaction_Log'!$R:$R,$A943)))</f>
        <v/>
      </c>
      <c r="H943" s="173" t="str">
        <f t="array" ref="H943">IF($A943="","",SUMIF('主表 Stock_Transaction_Log'!$T:$T,INDEX('主表 Stock_Transaction_Log'!$T:$T,$A943),'主表 Stock_Transaction_Log'!$S:$S)+SUMIF('主表 Stock_Transaction_Log'!$AB:$AB,INDEX('主表 Stock_Transaction_Log'!$T:$T,$A943),'主表 Stock_Transaction_Log'!$AC:$AC))</f>
        <v/>
      </c>
      <c r="I943" s="173" t="str">
        <f t="shared" si="1"/>
        <v/>
      </c>
      <c r="J943" s="173" t="str">
        <f t="shared" si="2"/>
        <v/>
      </c>
      <c r="K943" s="173" t="str">
        <f t="shared" si="3"/>
        <v/>
      </c>
      <c r="L943" s="173" t="str">
        <f t="array" ref="L943">IF($A943="","",INDEX('主表 Stock_Transaction_Log'!$P:$P,$A943))</f>
        <v/>
      </c>
      <c r="M943" s="174" t="str">
        <f>IF($A943="","",IF($H943&lt;=0,0,SUMIFS('主表 Stock_Transaction_Log'!$K$2:$K1000,'主表 Stock_Transaction_Log'!$C$2:$C1000,"Prepared",'主表 Stock_Transaction_Log'!$L$2:$L1000,$B943,'主表 Stock_Transaction_Log'!$F$2:$F1000,$C943,'主表 Stock_Transaction_Log'!$G$2:$G1000,$D943,'主表 Stock_Transaction_Log'!$P$2:$P1000,$L943)))</f>
        <v/>
      </c>
    </row>
    <row r="944">
      <c r="A944" s="173" t="str">
        <f>IF('主表 Stock_Transaction_Log'!$T944="","",IF(COUNTIF('主表 Stock_Transaction_Log'!$T$2:$T944,'主表 Stock_Transaction_Log'!$T944)=1,ROW('主表 Stock_Transaction_Log'!$T944),""))</f>
        <v/>
      </c>
      <c r="B944" s="173" t="str">
        <f t="array" ref="B944">IF($A944="","",INDEX('主表 Stock_Transaction_Log'!$Q:$Q,$A944))</f>
        <v/>
      </c>
      <c r="C944" s="173" t="str">
        <f t="array" ref="C944">IF($A944="","",IF(INDEX('主表 Stock_Transaction_Log'!$F:$F,$A944)=0,"",INDEX('主表 Stock_Transaction_Log'!$F:$F,$A944)))</f>
        <v/>
      </c>
      <c r="D944" s="173" t="str">
        <f t="array" ref="D944">IF($A944="","",INDEX('主表 Stock_Transaction_Log'!$G:$G,$A944))</f>
        <v/>
      </c>
      <c r="E944" s="173" t="str">
        <f t="array" ref="E944">IF($A944="","",INDEX('主表 Stock_Transaction_Log'!$H:$H,$A944))</f>
        <v/>
      </c>
      <c r="F944" s="173" t="str">
        <f t="array" ref="F944">IF($A944="","",INDEX('主表 Stock_Transaction_Log'!$I:$I,$A944))</f>
        <v/>
      </c>
      <c r="G944" s="173" t="str">
        <f t="array" ref="G944">IF($A944="","",IF(INDEX('主表 Stock_Transaction_Log'!$R:$R,$A944)=0,"",INDEX('主表 Stock_Transaction_Log'!$R:$R,$A944)))</f>
        <v/>
      </c>
      <c r="H944" s="173" t="str">
        <f t="array" ref="H944">IF($A944="","",SUMIF('主表 Stock_Transaction_Log'!$T:$T,INDEX('主表 Stock_Transaction_Log'!$T:$T,$A944),'主表 Stock_Transaction_Log'!$S:$S)+SUMIF('主表 Stock_Transaction_Log'!$AB:$AB,INDEX('主表 Stock_Transaction_Log'!$T:$T,$A944),'主表 Stock_Transaction_Log'!$AC:$AC))</f>
        <v/>
      </c>
      <c r="I944" s="173" t="str">
        <f t="shared" si="1"/>
        <v/>
      </c>
      <c r="J944" s="173" t="str">
        <f t="shared" si="2"/>
        <v/>
      </c>
      <c r="K944" s="173" t="str">
        <f t="shared" si="3"/>
        <v/>
      </c>
      <c r="L944" s="173" t="str">
        <f t="array" ref="L944">IF($A944="","",INDEX('主表 Stock_Transaction_Log'!$P:$P,$A944))</f>
        <v/>
      </c>
      <c r="M944" s="174" t="str">
        <f>IF($A944="","",IF($H944&lt;=0,0,SUMIFS('主表 Stock_Transaction_Log'!$K$2:$K1000,'主表 Stock_Transaction_Log'!$C$2:$C1000,"Prepared",'主表 Stock_Transaction_Log'!$L$2:$L1000,$B944,'主表 Stock_Transaction_Log'!$F$2:$F1000,$C944,'主表 Stock_Transaction_Log'!$G$2:$G1000,$D944,'主表 Stock_Transaction_Log'!$P$2:$P1000,$L944)))</f>
        <v/>
      </c>
    </row>
    <row r="945">
      <c r="A945" s="173" t="str">
        <f>IF('主表 Stock_Transaction_Log'!$T945="","",IF(COUNTIF('主表 Stock_Transaction_Log'!$T$2:$T945,'主表 Stock_Transaction_Log'!$T945)=1,ROW('主表 Stock_Transaction_Log'!$T945),""))</f>
        <v/>
      </c>
      <c r="B945" s="173" t="str">
        <f t="array" ref="B945">IF($A945="","",INDEX('主表 Stock_Transaction_Log'!$Q:$Q,$A945))</f>
        <v/>
      </c>
      <c r="C945" s="173" t="str">
        <f t="array" ref="C945">IF($A945="","",IF(INDEX('主表 Stock_Transaction_Log'!$F:$F,$A945)=0,"",INDEX('主表 Stock_Transaction_Log'!$F:$F,$A945)))</f>
        <v/>
      </c>
      <c r="D945" s="173" t="str">
        <f t="array" ref="D945">IF($A945="","",INDEX('主表 Stock_Transaction_Log'!$G:$G,$A945))</f>
        <v/>
      </c>
      <c r="E945" s="173" t="str">
        <f t="array" ref="E945">IF($A945="","",INDEX('主表 Stock_Transaction_Log'!$H:$H,$A945))</f>
        <v/>
      </c>
      <c r="F945" s="173" t="str">
        <f t="array" ref="F945">IF($A945="","",INDEX('主表 Stock_Transaction_Log'!$I:$I,$A945))</f>
        <v/>
      </c>
      <c r="G945" s="173" t="str">
        <f t="array" ref="G945">IF($A945="","",IF(INDEX('主表 Stock_Transaction_Log'!$R:$R,$A945)=0,"",INDEX('主表 Stock_Transaction_Log'!$R:$R,$A945)))</f>
        <v/>
      </c>
      <c r="H945" s="173" t="str">
        <f t="array" ref="H945">IF($A945="","",SUMIF('主表 Stock_Transaction_Log'!$T:$T,INDEX('主表 Stock_Transaction_Log'!$T:$T,$A945),'主表 Stock_Transaction_Log'!$S:$S)+SUMIF('主表 Stock_Transaction_Log'!$AB:$AB,INDEX('主表 Stock_Transaction_Log'!$T:$T,$A945),'主表 Stock_Transaction_Log'!$AC:$AC))</f>
        <v/>
      </c>
      <c r="I945" s="173" t="str">
        <f t="shared" si="1"/>
        <v/>
      </c>
      <c r="J945" s="173" t="str">
        <f t="shared" si="2"/>
        <v/>
      </c>
      <c r="K945" s="173" t="str">
        <f t="shared" si="3"/>
        <v/>
      </c>
      <c r="L945" s="173" t="str">
        <f t="array" ref="L945">IF($A945="","",INDEX('主表 Stock_Transaction_Log'!$P:$P,$A945))</f>
        <v/>
      </c>
      <c r="M945" s="174" t="str">
        <f>IF($A945="","",IF($H945&lt;=0,0,SUMIFS('主表 Stock_Transaction_Log'!$K$2:$K1000,'主表 Stock_Transaction_Log'!$C$2:$C1000,"Prepared",'主表 Stock_Transaction_Log'!$L$2:$L1000,$B945,'主表 Stock_Transaction_Log'!$F$2:$F1000,$C945,'主表 Stock_Transaction_Log'!$G$2:$G1000,$D945,'主表 Stock_Transaction_Log'!$P$2:$P1000,$L945)))</f>
        <v/>
      </c>
    </row>
    <row r="946">
      <c r="A946" s="173" t="str">
        <f>IF('主表 Stock_Transaction_Log'!$T946="","",IF(COUNTIF('主表 Stock_Transaction_Log'!$T$2:$T946,'主表 Stock_Transaction_Log'!$T946)=1,ROW('主表 Stock_Transaction_Log'!$T946),""))</f>
        <v/>
      </c>
      <c r="B946" s="173" t="str">
        <f t="array" ref="B946">IF($A946="","",INDEX('主表 Stock_Transaction_Log'!$Q:$Q,$A946))</f>
        <v/>
      </c>
      <c r="C946" s="173" t="str">
        <f t="array" ref="C946">IF($A946="","",IF(INDEX('主表 Stock_Transaction_Log'!$F:$F,$A946)=0,"",INDEX('主表 Stock_Transaction_Log'!$F:$F,$A946)))</f>
        <v/>
      </c>
      <c r="D946" s="173" t="str">
        <f t="array" ref="D946">IF($A946="","",INDEX('主表 Stock_Transaction_Log'!$G:$G,$A946))</f>
        <v/>
      </c>
      <c r="E946" s="173" t="str">
        <f t="array" ref="E946">IF($A946="","",INDEX('主表 Stock_Transaction_Log'!$H:$H,$A946))</f>
        <v/>
      </c>
      <c r="F946" s="173" t="str">
        <f t="array" ref="F946">IF($A946="","",INDEX('主表 Stock_Transaction_Log'!$I:$I,$A946))</f>
        <v/>
      </c>
      <c r="G946" s="173" t="str">
        <f t="array" ref="G946">IF($A946="","",IF(INDEX('主表 Stock_Transaction_Log'!$R:$R,$A946)=0,"",INDEX('主表 Stock_Transaction_Log'!$R:$R,$A946)))</f>
        <v/>
      </c>
      <c r="H946" s="173" t="str">
        <f t="array" ref="H946">IF($A946="","",SUMIF('主表 Stock_Transaction_Log'!$T:$T,INDEX('主表 Stock_Transaction_Log'!$T:$T,$A946),'主表 Stock_Transaction_Log'!$S:$S)+SUMIF('主表 Stock_Transaction_Log'!$AB:$AB,INDEX('主表 Stock_Transaction_Log'!$T:$T,$A946),'主表 Stock_Transaction_Log'!$AC:$AC))</f>
        <v/>
      </c>
      <c r="I946" s="173" t="str">
        <f t="shared" si="1"/>
        <v/>
      </c>
      <c r="J946" s="173" t="str">
        <f t="shared" si="2"/>
        <v/>
      </c>
      <c r="K946" s="173" t="str">
        <f t="shared" si="3"/>
        <v/>
      </c>
      <c r="L946" s="173" t="str">
        <f t="array" ref="L946">IF($A946="","",INDEX('主表 Stock_Transaction_Log'!$P:$P,$A946))</f>
        <v/>
      </c>
      <c r="M946" s="174" t="str">
        <f>IF($A946="","",IF($H946&lt;=0,0,SUMIFS('主表 Stock_Transaction_Log'!$K$2:$K1000,'主表 Stock_Transaction_Log'!$C$2:$C1000,"Prepared",'主表 Stock_Transaction_Log'!$L$2:$L1000,$B946,'主表 Stock_Transaction_Log'!$F$2:$F1000,$C946,'主表 Stock_Transaction_Log'!$G$2:$G1000,$D946,'主表 Stock_Transaction_Log'!$P$2:$P1000,$L946)))</f>
        <v/>
      </c>
    </row>
    <row r="947">
      <c r="A947" s="173" t="str">
        <f>IF('主表 Stock_Transaction_Log'!$T947="","",IF(COUNTIF('主表 Stock_Transaction_Log'!$T$2:$T947,'主表 Stock_Transaction_Log'!$T947)=1,ROW('主表 Stock_Transaction_Log'!$T947),""))</f>
        <v/>
      </c>
      <c r="B947" s="173" t="str">
        <f t="array" ref="B947">IF($A947="","",INDEX('主表 Stock_Transaction_Log'!$Q:$Q,$A947))</f>
        <v/>
      </c>
      <c r="C947" s="173" t="str">
        <f t="array" ref="C947">IF($A947="","",IF(INDEX('主表 Stock_Transaction_Log'!$F:$F,$A947)=0,"",INDEX('主表 Stock_Transaction_Log'!$F:$F,$A947)))</f>
        <v/>
      </c>
      <c r="D947" s="173" t="str">
        <f t="array" ref="D947">IF($A947="","",INDEX('主表 Stock_Transaction_Log'!$G:$G,$A947))</f>
        <v/>
      </c>
      <c r="E947" s="173" t="str">
        <f t="array" ref="E947">IF($A947="","",INDEX('主表 Stock_Transaction_Log'!$H:$H,$A947))</f>
        <v/>
      </c>
      <c r="F947" s="173" t="str">
        <f t="array" ref="F947">IF($A947="","",INDEX('主表 Stock_Transaction_Log'!$I:$I,$A947))</f>
        <v/>
      </c>
      <c r="G947" s="173" t="str">
        <f t="array" ref="G947">IF($A947="","",IF(INDEX('主表 Stock_Transaction_Log'!$R:$R,$A947)=0,"",INDEX('主表 Stock_Transaction_Log'!$R:$R,$A947)))</f>
        <v/>
      </c>
      <c r="H947" s="173" t="str">
        <f t="array" ref="H947">IF($A947="","",SUMIF('主表 Stock_Transaction_Log'!$T:$T,INDEX('主表 Stock_Transaction_Log'!$T:$T,$A947),'主表 Stock_Transaction_Log'!$S:$S)+SUMIF('主表 Stock_Transaction_Log'!$AB:$AB,INDEX('主表 Stock_Transaction_Log'!$T:$T,$A947),'主表 Stock_Transaction_Log'!$AC:$AC))</f>
        <v/>
      </c>
      <c r="I947" s="173" t="str">
        <f t="shared" si="1"/>
        <v/>
      </c>
      <c r="J947" s="173" t="str">
        <f t="shared" si="2"/>
        <v/>
      </c>
      <c r="K947" s="173" t="str">
        <f t="shared" si="3"/>
        <v/>
      </c>
      <c r="L947" s="173" t="str">
        <f t="array" ref="L947">IF($A947="","",INDEX('主表 Stock_Transaction_Log'!$P:$P,$A947))</f>
        <v/>
      </c>
      <c r="M947" s="174" t="str">
        <f>IF($A947="","",IF($H947&lt;=0,0,SUMIFS('主表 Stock_Transaction_Log'!$K$2:$K1000,'主表 Stock_Transaction_Log'!$C$2:$C1000,"Prepared",'主表 Stock_Transaction_Log'!$L$2:$L1000,$B947,'主表 Stock_Transaction_Log'!$F$2:$F1000,$C947,'主表 Stock_Transaction_Log'!$G$2:$G1000,$D947,'主表 Stock_Transaction_Log'!$P$2:$P1000,$L947)))</f>
        <v/>
      </c>
    </row>
    <row r="948">
      <c r="A948" s="173" t="str">
        <f>IF('主表 Stock_Transaction_Log'!$T948="","",IF(COUNTIF('主表 Stock_Transaction_Log'!$T$2:$T948,'主表 Stock_Transaction_Log'!$T948)=1,ROW('主表 Stock_Transaction_Log'!$T948),""))</f>
        <v/>
      </c>
      <c r="B948" s="173" t="str">
        <f t="array" ref="B948">IF($A948="","",INDEX('主表 Stock_Transaction_Log'!$Q:$Q,$A948))</f>
        <v/>
      </c>
      <c r="C948" s="173" t="str">
        <f t="array" ref="C948">IF($A948="","",IF(INDEX('主表 Stock_Transaction_Log'!$F:$F,$A948)=0,"",INDEX('主表 Stock_Transaction_Log'!$F:$F,$A948)))</f>
        <v/>
      </c>
      <c r="D948" s="173" t="str">
        <f t="array" ref="D948">IF($A948="","",INDEX('主表 Stock_Transaction_Log'!$G:$G,$A948))</f>
        <v/>
      </c>
      <c r="E948" s="173" t="str">
        <f t="array" ref="E948">IF($A948="","",INDEX('主表 Stock_Transaction_Log'!$H:$H,$A948))</f>
        <v/>
      </c>
      <c r="F948" s="173" t="str">
        <f t="array" ref="F948">IF($A948="","",INDEX('主表 Stock_Transaction_Log'!$I:$I,$A948))</f>
        <v/>
      </c>
      <c r="G948" s="173" t="str">
        <f t="array" ref="G948">IF($A948="","",IF(INDEX('主表 Stock_Transaction_Log'!$R:$R,$A948)=0,"",INDEX('主表 Stock_Transaction_Log'!$R:$R,$A948)))</f>
        <v/>
      </c>
      <c r="H948" s="173" t="str">
        <f t="array" ref="H948">IF($A948="","",SUMIF('主表 Stock_Transaction_Log'!$T:$T,INDEX('主表 Stock_Transaction_Log'!$T:$T,$A948),'主表 Stock_Transaction_Log'!$S:$S)+SUMIF('主表 Stock_Transaction_Log'!$AB:$AB,INDEX('主表 Stock_Transaction_Log'!$T:$T,$A948),'主表 Stock_Transaction_Log'!$AC:$AC))</f>
        <v/>
      </c>
      <c r="I948" s="173" t="str">
        <f t="shared" si="1"/>
        <v/>
      </c>
      <c r="J948" s="173" t="str">
        <f t="shared" si="2"/>
        <v/>
      </c>
      <c r="K948" s="173" t="str">
        <f t="shared" si="3"/>
        <v/>
      </c>
      <c r="L948" s="173" t="str">
        <f t="array" ref="L948">IF($A948="","",INDEX('主表 Stock_Transaction_Log'!$P:$P,$A948))</f>
        <v/>
      </c>
      <c r="M948" s="174" t="str">
        <f>IF($A948="","",IF($H948&lt;=0,0,SUMIFS('主表 Stock_Transaction_Log'!$K$2:$K1000,'主表 Stock_Transaction_Log'!$C$2:$C1000,"Prepared",'主表 Stock_Transaction_Log'!$L$2:$L1000,$B948,'主表 Stock_Transaction_Log'!$F$2:$F1000,$C948,'主表 Stock_Transaction_Log'!$G$2:$G1000,$D948,'主表 Stock_Transaction_Log'!$P$2:$P1000,$L948)))</f>
        <v/>
      </c>
    </row>
    <row r="949">
      <c r="A949" s="173" t="str">
        <f>IF('主表 Stock_Transaction_Log'!$T949="","",IF(COUNTIF('主表 Stock_Transaction_Log'!$T$2:$T949,'主表 Stock_Transaction_Log'!$T949)=1,ROW('主表 Stock_Transaction_Log'!$T949),""))</f>
        <v/>
      </c>
      <c r="B949" s="173" t="str">
        <f t="array" ref="B949">IF($A949="","",INDEX('主表 Stock_Transaction_Log'!$Q:$Q,$A949))</f>
        <v/>
      </c>
      <c r="C949" s="173" t="str">
        <f t="array" ref="C949">IF($A949="","",IF(INDEX('主表 Stock_Transaction_Log'!$F:$F,$A949)=0,"",INDEX('主表 Stock_Transaction_Log'!$F:$F,$A949)))</f>
        <v/>
      </c>
      <c r="D949" s="173" t="str">
        <f t="array" ref="D949">IF($A949="","",INDEX('主表 Stock_Transaction_Log'!$G:$G,$A949))</f>
        <v/>
      </c>
      <c r="E949" s="173" t="str">
        <f t="array" ref="E949">IF($A949="","",INDEX('主表 Stock_Transaction_Log'!$H:$H,$A949))</f>
        <v/>
      </c>
      <c r="F949" s="173" t="str">
        <f t="array" ref="F949">IF($A949="","",INDEX('主表 Stock_Transaction_Log'!$I:$I,$A949))</f>
        <v/>
      </c>
      <c r="G949" s="173" t="str">
        <f t="array" ref="G949">IF($A949="","",IF(INDEX('主表 Stock_Transaction_Log'!$R:$R,$A949)=0,"",INDEX('主表 Stock_Transaction_Log'!$R:$R,$A949)))</f>
        <v/>
      </c>
      <c r="H949" s="173" t="str">
        <f t="array" ref="H949">IF($A949="","",SUMIF('主表 Stock_Transaction_Log'!$T:$T,INDEX('主表 Stock_Transaction_Log'!$T:$T,$A949),'主表 Stock_Transaction_Log'!$S:$S)+SUMIF('主表 Stock_Transaction_Log'!$AB:$AB,INDEX('主表 Stock_Transaction_Log'!$T:$T,$A949),'主表 Stock_Transaction_Log'!$AC:$AC))</f>
        <v/>
      </c>
      <c r="I949" s="173" t="str">
        <f t="shared" si="1"/>
        <v/>
      </c>
      <c r="J949" s="173" t="str">
        <f t="shared" si="2"/>
        <v/>
      </c>
      <c r="K949" s="173" t="str">
        <f t="shared" si="3"/>
        <v/>
      </c>
      <c r="L949" s="173" t="str">
        <f t="array" ref="L949">IF($A949="","",INDEX('主表 Stock_Transaction_Log'!$P:$P,$A949))</f>
        <v/>
      </c>
      <c r="M949" s="174" t="str">
        <f>IF($A949="","",IF($H949&lt;=0,0,SUMIFS('主表 Stock_Transaction_Log'!$K$2:$K1000,'主表 Stock_Transaction_Log'!$C$2:$C1000,"Prepared",'主表 Stock_Transaction_Log'!$L$2:$L1000,$B949,'主表 Stock_Transaction_Log'!$F$2:$F1000,$C949,'主表 Stock_Transaction_Log'!$G$2:$G1000,$D949,'主表 Stock_Transaction_Log'!$P$2:$P1000,$L949)))</f>
        <v/>
      </c>
    </row>
    <row r="950">
      <c r="A950" s="173" t="str">
        <f>IF('主表 Stock_Transaction_Log'!$T950="","",IF(COUNTIF('主表 Stock_Transaction_Log'!$T$2:$T950,'主表 Stock_Transaction_Log'!$T950)=1,ROW('主表 Stock_Transaction_Log'!$T950),""))</f>
        <v/>
      </c>
      <c r="B950" s="173" t="str">
        <f t="array" ref="B950">IF($A950="","",INDEX('主表 Stock_Transaction_Log'!$Q:$Q,$A950))</f>
        <v/>
      </c>
      <c r="C950" s="173" t="str">
        <f t="array" ref="C950">IF($A950="","",IF(INDEX('主表 Stock_Transaction_Log'!$F:$F,$A950)=0,"",INDEX('主表 Stock_Transaction_Log'!$F:$F,$A950)))</f>
        <v/>
      </c>
      <c r="D950" s="173" t="str">
        <f t="array" ref="D950">IF($A950="","",INDEX('主表 Stock_Transaction_Log'!$G:$G,$A950))</f>
        <v/>
      </c>
      <c r="E950" s="173" t="str">
        <f t="array" ref="E950">IF($A950="","",INDEX('主表 Stock_Transaction_Log'!$H:$H,$A950))</f>
        <v/>
      </c>
      <c r="F950" s="173" t="str">
        <f t="array" ref="F950">IF($A950="","",INDEX('主表 Stock_Transaction_Log'!$I:$I,$A950))</f>
        <v/>
      </c>
      <c r="G950" s="173" t="str">
        <f t="array" ref="G950">IF($A950="","",IF(INDEX('主表 Stock_Transaction_Log'!$R:$R,$A950)=0,"",INDEX('主表 Stock_Transaction_Log'!$R:$R,$A950)))</f>
        <v/>
      </c>
      <c r="H950" s="173" t="str">
        <f t="array" ref="H950">IF($A950="","",SUMIF('主表 Stock_Transaction_Log'!$T:$T,INDEX('主表 Stock_Transaction_Log'!$T:$T,$A950),'主表 Stock_Transaction_Log'!$S:$S)+SUMIF('主表 Stock_Transaction_Log'!$AB:$AB,INDEX('主表 Stock_Transaction_Log'!$T:$T,$A950),'主表 Stock_Transaction_Log'!$AC:$AC))</f>
        <v/>
      </c>
      <c r="I950" s="173" t="str">
        <f t="shared" si="1"/>
        <v/>
      </c>
      <c r="J950" s="173" t="str">
        <f t="shared" si="2"/>
        <v/>
      </c>
      <c r="K950" s="173" t="str">
        <f t="shared" si="3"/>
        <v/>
      </c>
      <c r="L950" s="173" t="str">
        <f t="array" ref="L950">IF($A950="","",INDEX('主表 Stock_Transaction_Log'!$P:$P,$A950))</f>
        <v/>
      </c>
      <c r="M950" s="174" t="str">
        <f>IF($A950="","",IF($H950&lt;=0,0,SUMIFS('主表 Stock_Transaction_Log'!$K$2:$K1000,'主表 Stock_Transaction_Log'!$C$2:$C1000,"Prepared",'主表 Stock_Transaction_Log'!$L$2:$L1000,$B950,'主表 Stock_Transaction_Log'!$F$2:$F1000,$C950,'主表 Stock_Transaction_Log'!$G$2:$G1000,$D950,'主表 Stock_Transaction_Log'!$P$2:$P1000,$L950)))</f>
        <v/>
      </c>
    </row>
    <row r="951">
      <c r="A951" s="173" t="str">
        <f>IF('主表 Stock_Transaction_Log'!$T951="","",IF(COUNTIF('主表 Stock_Transaction_Log'!$T$2:$T951,'主表 Stock_Transaction_Log'!$T951)=1,ROW('主表 Stock_Transaction_Log'!$T951),""))</f>
        <v/>
      </c>
      <c r="B951" s="173" t="str">
        <f t="array" ref="B951">IF($A951="","",INDEX('主表 Stock_Transaction_Log'!$Q:$Q,$A951))</f>
        <v/>
      </c>
      <c r="C951" s="173" t="str">
        <f t="array" ref="C951">IF($A951="","",IF(INDEX('主表 Stock_Transaction_Log'!$F:$F,$A951)=0,"",INDEX('主表 Stock_Transaction_Log'!$F:$F,$A951)))</f>
        <v/>
      </c>
      <c r="D951" s="173" t="str">
        <f t="array" ref="D951">IF($A951="","",INDEX('主表 Stock_Transaction_Log'!$G:$G,$A951))</f>
        <v/>
      </c>
      <c r="E951" s="173" t="str">
        <f t="array" ref="E951">IF($A951="","",INDEX('主表 Stock_Transaction_Log'!$H:$H,$A951))</f>
        <v/>
      </c>
      <c r="F951" s="173" t="str">
        <f t="array" ref="F951">IF($A951="","",INDEX('主表 Stock_Transaction_Log'!$I:$I,$A951))</f>
        <v/>
      </c>
      <c r="G951" s="173" t="str">
        <f t="array" ref="G951">IF($A951="","",IF(INDEX('主表 Stock_Transaction_Log'!$R:$R,$A951)=0,"",INDEX('主表 Stock_Transaction_Log'!$R:$R,$A951)))</f>
        <v/>
      </c>
      <c r="H951" s="173" t="str">
        <f t="array" ref="H951">IF($A951="","",SUMIF('主表 Stock_Transaction_Log'!$T:$T,INDEX('主表 Stock_Transaction_Log'!$T:$T,$A951),'主表 Stock_Transaction_Log'!$S:$S)+SUMIF('主表 Stock_Transaction_Log'!$AB:$AB,INDEX('主表 Stock_Transaction_Log'!$T:$T,$A951),'主表 Stock_Transaction_Log'!$AC:$AC))</f>
        <v/>
      </c>
      <c r="I951" s="173" t="str">
        <f t="shared" si="1"/>
        <v/>
      </c>
      <c r="J951" s="173" t="str">
        <f t="shared" si="2"/>
        <v/>
      </c>
      <c r="K951" s="173" t="str">
        <f t="shared" si="3"/>
        <v/>
      </c>
      <c r="L951" s="173" t="str">
        <f t="array" ref="L951">IF($A951="","",INDEX('主表 Stock_Transaction_Log'!$P:$P,$A951))</f>
        <v/>
      </c>
      <c r="M951" s="174" t="str">
        <f>IF($A951="","",IF($H951&lt;=0,0,SUMIFS('主表 Stock_Transaction_Log'!$K$2:$K1000,'主表 Stock_Transaction_Log'!$C$2:$C1000,"Prepared",'主表 Stock_Transaction_Log'!$L$2:$L1000,$B951,'主表 Stock_Transaction_Log'!$F$2:$F1000,$C951,'主表 Stock_Transaction_Log'!$G$2:$G1000,$D951,'主表 Stock_Transaction_Log'!$P$2:$P1000,$L951)))</f>
        <v/>
      </c>
    </row>
    <row r="952">
      <c r="A952" s="173" t="str">
        <f>IF('主表 Stock_Transaction_Log'!$T952="","",IF(COUNTIF('主表 Stock_Transaction_Log'!$T$2:$T952,'主表 Stock_Transaction_Log'!$T952)=1,ROW('主表 Stock_Transaction_Log'!$T952),""))</f>
        <v/>
      </c>
      <c r="B952" s="173" t="str">
        <f t="array" ref="B952">IF($A952="","",INDEX('主表 Stock_Transaction_Log'!$Q:$Q,$A952))</f>
        <v/>
      </c>
      <c r="C952" s="173" t="str">
        <f t="array" ref="C952">IF($A952="","",IF(INDEX('主表 Stock_Transaction_Log'!$F:$F,$A952)=0,"",INDEX('主表 Stock_Transaction_Log'!$F:$F,$A952)))</f>
        <v/>
      </c>
      <c r="D952" s="173" t="str">
        <f t="array" ref="D952">IF($A952="","",INDEX('主表 Stock_Transaction_Log'!$G:$G,$A952))</f>
        <v/>
      </c>
      <c r="E952" s="173" t="str">
        <f t="array" ref="E952">IF($A952="","",INDEX('主表 Stock_Transaction_Log'!$H:$H,$A952))</f>
        <v/>
      </c>
      <c r="F952" s="173" t="str">
        <f t="array" ref="F952">IF($A952="","",INDEX('主表 Stock_Transaction_Log'!$I:$I,$A952))</f>
        <v/>
      </c>
      <c r="G952" s="173" t="str">
        <f t="array" ref="G952">IF($A952="","",IF(INDEX('主表 Stock_Transaction_Log'!$R:$R,$A952)=0,"",INDEX('主表 Stock_Transaction_Log'!$R:$R,$A952)))</f>
        <v/>
      </c>
      <c r="H952" s="173" t="str">
        <f t="array" ref="H952">IF($A952="","",SUMIF('主表 Stock_Transaction_Log'!$T:$T,INDEX('主表 Stock_Transaction_Log'!$T:$T,$A952),'主表 Stock_Transaction_Log'!$S:$S)+SUMIF('主表 Stock_Transaction_Log'!$AB:$AB,INDEX('主表 Stock_Transaction_Log'!$T:$T,$A952),'主表 Stock_Transaction_Log'!$AC:$AC))</f>
        <v/>
      </c>
      <c r="I952" s="173" t="str">
        <f t="shared" si="1"/>
        <v/>
      </c>
      <c r="J952" s="173" t="str">
        <f t="shared" si="2"/>
        <v/>
      </c>
      <c r="K952" s="173" t="str">
        <f t="shared" si="3"/>
        <v/>
      </c>
      <c r="L952" s="173" t="str">
        <f t="array" ref="L952">IF($A952="","",INDEX('主表 Stock_Transaction_Log'!$P:$P,$A952))</f>
        <v/>
      </c>
      <c r="M952" s="174" t="str">
        <f>IF($A952="","",IF($H952&lt;=0,0,SUMIFS('主表 Stock_Transaction_Log'!$K$2:$K1000,'主表 Stock_Transaction_Log'!$C$2:$C1000,"Prepared",'主表 Stock_Transaction_Log'!$L$2:$L1000,$B952,'主表 Stock_Transaction_Log'!$F$2:$F1000,$C952,'主表 Stock_Transaction_Log'!$G$2:$G1000,$D952,'主表 Stock_Transaction_Log'!$P$2:$P1000,$L952)))</f>
        <v/>
      </c>
    </row>
    <row r="953">
      <c r="A953" s="173" t="str">
        <f>IF('主表 Stock_Transaction_Log'!$T953="","",IF(COUNTIF('主表 Stock_Transaction_Log'!$T$2:$T953,'主表 Stock_Transaction_Log'!$T953)=1,ROW('主表 Stock_Transaction_Log'!$T953),""))</f>
        <v/>
      </c>
      <c r="B953" s="173" t="str">
        <f t="array" ref="B953">IF($A953="","",INDEX('主表 Stock_Transaction_Log'!$Q:$Q,$A953))</f>
        <v/>
      </c>
      <c r="C953" s="173" t="str">
        <f t="array" ref="C953">IF($A953="","",IF(INDEX('主表 Stock_Transaction_Log'!$F:$F,$A953)=0,"",INDEX('主表 Stock_Transaction_Log'!$F:$F,$A953)))</f>
        <v/>
      </c>
      <c r="D953" s="173" t="str">
        <f t="array" ref="D953">IF($A953="","",INDEX('主表 Stock_Transaction_Log'!$G:$G,$A953))</f>
        <v/>
      </c>
      <c r="E953" s="173" t="str">
        <f t="array" ref="E953">IF($A953="","",INDEX('主表 Stock_Transaction_Log'!$H:$H,$A953))</f>
        <v/>
      </c>
      <c r="F953" s="173" t="str">
        <f t="array" ref="F953">IF($A953="","",INDEX('主表 Stock_Transaction_Log'!$I:$I,$A953))</f>
        <v/>
      </c>
      <c r="G953" s="173" t="str">
        <f t="array" ref="G953">IF($A953="","",IF(INDEX('主表 Stock_Transaction_Log'!$R:$R,$A953)=0,"",INDEX('主表 Stock_Transaction_Log'!$R:$R,$A953)))</f>
        <v/>
      </c>
      <c r="H953" s="173" t="str">
        <f t="array" ref="H953">IF($A953="","",SUMIF('主表 Stock_Transaction_Log'!$T:$T,INDEX('主表 Stock_Transaction_Log'!$T:$T,$A953),'主表 Stock_Transaction_Log'!$S:$S)+SUMIF('主表 Stock_Transaction_Log'!$AB:$AB,INDEX('主表 Stock_Transaction_Log'!$T:$T,$A953),'主表 Stock_Transaction_Log'!$AC:$AC))</f>
        <v/>
      </c>
      <c r="I953" s="173" t="str">
        <f t="shared" si="1"/>
        <v/>
      </c>
      <c r="J953" s="173" t="str">
        <f t="shared" si="2"/>
        <v/>
      </c>
      <c r="K953" s="173" t="str">
        <f t="shared" si="3"/>
        <v/>
      </c>
      <c r="L953" s="173" t="str">
        <f t="array" ref="L953">IF($A953="","",INDEX('主表 Stock_Transaction_Log'!$P:$P,$A953))</f>
        <v/>
      </c>
      <c r="M953" s="174" t="str">
        <f>IF($A953="","",IF($H953&lt;=0,0,SUMIFS('主表 Stock_Transaction_Log'!$K$2:$K1000,'主表 Stock_Transaction_Log'!$C$2:$C1000,"Prepared",'主表 Stock_Transaction_Log'!$L$2:$L1000,$B953,'主表 Stock_Transaction_Log'!$F$2:$F1000,$C953,'主表 Stock_Transaction_Log'!$G$2:$G1000,$D953,'主表 Stock_Transaction_Log'!$P$2:$P1000,$L953)))</f>
        <v/>
      </c>
    </row>
    <row r="954">
      <c r="A954" s="173" t="str">
        <f>IF('主表 Stock_Transaction_Log'!$T954="","",IF(COUNTIF('主表 Stock_Transaction_Log'!$T$2:$T954,'主表 Stock_Transaction_Log'!$T954)=1,ROW('主表 Stock_Transaction_Log'!$T954),""))</f>
        <v/>
      </c>
      <c r="B954" s="173" t="str">
        <f t="array" ref="B954">IF($A954="","",INDEX('主表 Stock_Transaction_Log'!$Q:$Q,$A954))</f>
        <v/>
      </c>
      <c r="C954" s="173" t="str">
        <f t="array" ref="C954">IF($A954="","",IF(INDEX('主表 Stock_Transaction_Log'!$F:$F,$A954)=0,"",INDEX('主表 Stock_Transaction_Log'!$F:$F,$A954)))</f>
        <v/>
      </c>
      <c r="D954" s="173" t="str">
        <f t="array" ref="D954">IF($A954="","",INDEX('主表 Stock_Transaction_Log'!$G:$G,$A954))</f>
        <v/>
      </c>
      <c r="E954" s="173" t="str">
        <f t="array" ref="E954">IF($A954="","",INDEX('主表 Stock_Transaction_Log'!$H:$H,$A954))</f>
        <v/>
      </c>
      <c r="F954" s="173" t="str">
        <f t="array" ref="F954">IF($A954="","",INDEX('主表 Stock_Transaction_Log'!$I:$I,$A954))</f>
        <v/>
      </c>
      <c r="G954" s="173" t="str">
        <f t="array" ref="G954">IF($A954="","",IF(INDEX('主表 Stock_Transaction_Log'!$R:$R,$A954)=0,"",INDEX('主表 Stock_Transaction_Log'!$R:$R,$A954)))</f>
        <v/>
      </c>
      <c r="H954" s="173" t="str">
        <f t="array" ref="H954">IF($A954="","",SUMIF('主表 Stock_Transaction_Log'!$T:$T,INDEX('主表 Stock_Transaction_Log'!$T:$T,$A954),'主表 Stock_Transaction_Log'!$S:$S)+SUMIF('主表 Stock_Transaction_Log'!$AB:$AB,INDEX('主表 Stock_Transaction_Log'!$T:$T,$A954),'主表 Stock_Transaction_Log'!$AC:$AC))</f>
        <v/>
      </c>
      <c r="I954" s="173" t="str">
        <f t="shared" si="1"/>
        <v/>
      </c>
      <c r="J954" s="173" t="str">
        <f t="shared" si="2"/>
        <v/>
      </c>
      <c r="K954" s="173" t="str">
        <f t="shared" si="3"/>
        <v/>
      </c>
      <c r="L954" s="173" t="str">
        <f t="array" ref="L954">IF($A954="","",INDEX('主表 Stock_Transaction_Log'!$P:$P,$A954))</f>
        <v/>
      </c>
      <c r="M954" s="174" t="str">
        <f>IF($A954="","",IF($H954&lt;=0,0,SUMIFS('主表 Stock_Transaction_Log'!$K$2:$K1000,'主表 Stock_Transaction_Log'!$C$2:$C1000,"Prepared",'主表 Stock_Transaction_Log'!$L$2:$L1000,$B954,'主表 Stock_Transaction_Log'!$F$2:$F1000,$C954,'主表 Stock_Transaction_Log'!$G$2:$G1000,$D954,'主表 Stock_Transaction_Log'!$P$2:$P1000,$L954)))</f>
        <v/>
      </c>
    </row>
    <row r="955">
      <c r="A955" s="173" t="str">
        <f>IF('主表 Stock_Transaction_Log'!$T955="","",IF(COUNTIF('主表 Stock_Transaction_Log'!$T$2:$T955,'主表 Stock_Transaction_Log'!$T955)=1,ROW('主表 Stock_Transaction_Log'!$T955),""))</f>
        <v/>
      </c>
      <c r="B955" s="173" t="str">
        <f t="array" ref="B955">IF($A955="","",INDEX('主表 Stock_Transaction_Log'!$Q:$Q,$A955))</f>
        <v/>
      </c>
      <c r="C955" s="173" t="str">
        <f t="array" ref="C955">IF($A955="","",IF(INDEX('主表 Stock_Transaction_Log'!$F:$F,$A955)=0,"",INDEX('主表 Stock_Transaction_Log'!$F:$F,$A955)))</f>
        <v/>
      </c>
      <c r="D955" s="173" t="str">
        <f t="array" ref="D955">IF($A955="","",INDEX('主表 Stock_Transaction_Log'!$G:$G,$A955))</f>
        <v/>
      </c>
      <c r="E955" s="173" t="str">
        <f t="array" ref="E955">IF($A955="","",INDEX('主表 Stock_Transaction_Log'!$H:$H,$A955))</f>
        <v/>
      </c>
      <c r="F955" s="173" t="str">
        <f t="array" ref="F955">IF($A955="","",INDEX('主表 Stock_Transaction_Log'!$I:$I,$A955))</f>
        <v/>
      </c>
      <c r="G955" s="173" t="str">
        <f t="array" ref="G955">IF($A955="","",IF(INDEX('主表 Stock_Transaction_Log'!$R:$R,$A955)=0,"",INDEX('主表 Stock_Transaction_Log'!$R:$R,$A955)))</f>
        <v/>
      </c>
      <c r="H955" s="173" t="str">
        <f t="array" ref="H955">IF($A955="","",SUMIF('主表 Stock_Transaction_Log'!$T:$T,INDEX('主表 Stock_Transaction_Log'!$T:$T,$A955),'主表 Stock_Transaction_Log'!$S:$S)+SUMIF('主表 Stock_Transaction_Log'!$AB:$AB,INDEX('主表 Stock_Transaction_Log'!$T:$T,$A955),'主表 Stock_Transaction_Log'!$AC:$AC))</f>
        <v/>
      </c>
      <c r="I955" s="173" t="str">
        <f t="shared" si="1"/>
        <v/>
      </c>
      <c r="J955" s="173" t="str">
        <f t="shared" si="2"/>
        <v/>
      </c>
      <c r="K955" s="173" t="str">
        <f t="shared" si="3"/>
        <v/>
      </c>
      <c r="L955" s="173" t="str">
        <f t="array" ref="L955">IF($A955="","",INDEX('主表 Stock_Transaction_Log'!$P:$P,$A955))</f>
        <v/>
      </c>
      <c r="M955" s="174" t="str">
        <f>IF($A955="","",IF($H955&lt;=0,0,SUMIFS('主表 Stock_Transaction_Log'!$K$2:$K1000,'主表 Stock_Transaction_Log'!$C$2:$C1000,"Prepared",'主表 Stock_Transaction_Log'!$L$2:$L1000,$B955,'主表 Stock_Transaction_Log'!$F$2:$F1000,$C955,'主表 Stock_Transaction_Log'!$G$2:$G1000,$D955,'主表 Stock_Transaction_Log'!$P$2:$P1000,$L955)))</f>
        <v/>
      </c>
    </row>
    <row r="956">
      <c r="A956" s="173" t="str">
        <f>IF('主表 Stock_Transaction_Log'!$T956="","",IF(COUNTIF('主表 Stock_Transaction_Log'!$T$2:$T956,'主表 Stock_Transaction_Log'!$T956)=1,ROW('主表 Stock_Transaction_Log'!$T956),""))</f>
        <v/>
      </c>
      <c r="B956" s="173" t="str">
        <f t="array" ref="B956">IF($A956="","",INDEX('主表 Stock_Transaction_Log'!$Q:$Q,$A956))</f>
        <v/>
      </c>
      <c r="C956" s="173" t="str">
        <f t="array" ref="C956">IF($A956="","",IF(INDEX('主表 Stock_Transaction_Log'!$F:$F,$A956)=0,"",INDEX('主表 Stock_Transaction_Log'!$F:$F,$A956)))</f>
        <v/>
      </c>
      <c r="D956" s="173" t="str">
        <f t="array" ref="D956">IF($A956="","",INDEX('主表 Stock_Transaction_Log'!$G:$G,$A956))</f>
        <v/>
      </c>
      <c r="E956" s="173" t="str">
        <f t="array" ref="E956">IF($A956="","",INDEX('主表 Stock_Transaction_Log'!$H:$H,$A956))</f>
        <v/>
      </c>
      <c r="F956" s="173" t="str">
        <f t="array" ref="F956">IF($A956="","",INDEX('主表 Stock_Transaction_Log'!$I:$I,$A956))</f>
        <v/>
      </c>
      <c r="G956" s="173" t="str">
        <f t="array" ref="G956">IF($A956="","",IF(INDEX('主表 Stock_Transaction_Log'!$R:$R,$A956)=0,"",INDEX('主表 Stock_Transaction_Log'!$R:$R,$A956)))</f>
        <v/>
      </c>
      <c r="H956" s="173" t="str">
        <f t="array" ref="H956">IF($A956="","",SUMIF('主表 Stock_Transaction_Log'!$T:$T,INDEX('主表 Stock_Transaction_Log'!$T:$T,$A956),'主表 Stock_Transaction_Log'!$S:$S)+SUMIF('主表 Stock_Transaction_Log'!$AB:$AB,INDEX('主表 Stock_Transaction_Log'!$T:$T,$A956),'主表 Stock_Transaction_Log'!$AC:$AC))</f>
        <v/>
      </c>
      <c r="I956" s="173" t="str">
        <f t="shared" si="1"/>
        <v/>
      </c>
      <c r="J956" s="173" t="str">
        <f t="shared" si="2"/>
        <v/>
      </c>
      <c r="K956" s="173" t="str">
        <f t="shared" si="3"/>
        <v/>
      </c>
      <c r="L956" s="173" t="str">
        <f t="array" ref="L956">IF($A956="","",INDEX('主表 Stock_Transaction_Log'!$P:$P,$A956))</f>
        <v/>
      </c>
      <c r="M956" s="174" t="str">
        <f>IF($A956="","",IF($H956&lt;=0,0,SUMIFS('主表 Stock_Transaction_Log'!$K$2:$K1000,'主表 Stock_Transaction_Log'!$C$2:$C1000,"Prepared",'主表 Stock_Transaction_Log'!$L$2:$L1000,$B956,'主表 Stock_Transaction_Log'!$F$2:$F1000,$C956,'主表 Stock_Transaction_Log'!$G$2:$G1000,$D956,'主表 Stock_Transaction_Log'!$P$2:$P1000,$L956)))</f>
        <v/>
      </c>
    </row>
    <row r="957">
      <c r="A957" s="173" t="str">
        <f>IF('主表 Stock_Transaction_Log'!$T957="","",IF(COUNTIF('主表 Stock_Transaction_Log'!$T$2:$T957,'主表 Stock_Transaction_Log'!$T957)=1,ROW('主表 Stock_Transaction_Log'!$T957),""))</f>
        <v/>
      </c>
      <c r="B957" s="173" t="str">
        <f t="array" ref="B957">IF($A957="","",INDEX('主表 Stock_Transaction_Log'!$Q:$Q,$A957))</f>
        <v/>
      </c>
      <c r="C957" s="173" t="str">
        <f t="array" ref="C957">IF($A957="","",IF(INDEX('主表 Stock_Transaction_Log'!$F:$F,$A957)=0,"",INDEX('主表 Stock_Transaction_Log'!$F:$F,$A957)))</f>
        <v/>
      </c>
      <c r="D957" s="173" t="str">
        <f t="array" ref="D957">IF($A957="","",INDEX('主表 Stock_Transaction_Log'!$G:$G,$A957))</f>
        <v/>
      </c>
      <c r="E957" s="173" t="str">
        <f t="array" ref="E957">IF($A957="","",INDEX('主表 Stock_Transaction_Log'!$H:$H,$A957))</f>
        <v/>
      </c>
      <c r="F957" s="173" t="str">
        <f t="array" ref="F957">IF($A957="","",INDEX('主表 Stock_Transaction_Log'!$I:$I,$A957))</f>
        <v/>
      </c>
      <c r="G957" s="173" t="str">
        <f t="array" ref="G957">IF($A957="","",IF(INDEX('主表 Stock_Transaction_Log'!$R:$R,$A957)=0,"",INDEX('主表 Stock_Transaction_Log'!$R:$R,$A957)))</f>
        <v/>
      </c>
      <c r="H957" s="173" t="str">
        <f t="array" ref="H957">IF($A957="","",SUMIF('主表 Stock_Transaction_Log'!$T:$T,INDEX('主表 Stock_Transaction_Log'!$T:$T,$A957),'主表 Stock_Transaction_Log'!$S:$S)+SUMIF('主表 Stock_Transaction_Log'!$AB:$AB,INDEX('主表 Stock_Transaction_Log'!$T:$T,$A957),'主表 Stock_Transaction_Log'!$AC:$AC))</f>
        <v/>
      </c>
      <c r="I957" s="173" t="str">
        <f t="shared" si="1"/>
        <v/>
      </c>
      <c r="J957" s="173" t="str">
        <f t="shared" si="2"/>
        <v/>
      </c>
      <c r="K957" s="173" t="str">
        <f t="shared" si="3"/>
        <v/>
      </c>
      <c r="L957" s="173" t="str">
        <f t="array" ref="L957">IF($A957="","",INDEX('主表 Stock_Transaction_Log'!$P:$P,$A957))</f>
        <v/>
      </c>
      <c r="M957" s="174" t="str">
        <f>IF($A957="","",IF($H957&lt;=0,0,SUMIFS('主表 Stock_Transaction_Log'!$K$2:$K1000,'主表 Stock_Transaction_Log'!$C$2:$C1000,"Prepared",'主表 Stock_Transaction_Log'!$L$2:$L1000,$B957,'主表 Stock_Transaction_Log'!$F$2:$F1000,$C957,'主表 Stock_Transaction_Log'!$G$2:$G1000,$D957,'主表 Stock_Transaction_Log'!$P$2:$P1000,$L957)))</f>
        <v/>
      </c>
    </row>
    <row r="958">
      <c r="A958" s="173" t="str">
        <f>IF('主表 Stock_Transaction_Log'!$T958="","",IF(COUNTIF('主表 Stock_Transaction_Log'!$T$2:$T958,'主表 Stock_Transaction_Log'!$T958)=1,ROW('主表 Stock_Transaction_Log'!$T958),""))</f>
        <v/>
      </c>
      <c r="B958" s="173" t="str">
        <f t="array" ref="B958">IF($A958="","",INDEX('主表 Stock_Transaction_Log'!$Q:$Q,$A958))</f>
        <v/>
      </c>
      <c r="C958" s="173" t="str">
        <f t="array" ref="C958">IF($A958="","",IF(INDEX('主表 Stock_Transaction_Log'!$F:$F,$A958)=0,"",INDEX('主表 Stock_Transaction_Log'!$F:$F,$A958)))</f>
        <v/>
      </c>
      <c r="D958" s="173" t="str">
        <f t="array" ref="D958">IF($A958="","",INDEX('主表 Stock_Transaction_Log'!$G:$G,$A958))</f>
        <v/>
      </c>
      <c r="E958" s="173" t="str">
        <f t="array" ref="E958">IF($A958="","",INDEX('主表 Stock_Transaction_Log'!$H:$H,$A958))</f>
        <v/>
      </c>
      <c r="F958" s="173" t="str">
        <f t="array" ref="F958">IF($A958="","",INDEX('主表 Stock_Transaction_Log'!$I:$I,$A958))</f>
        <v/>
      </c>
      <c r="G958" s="173" t="str">
        <f t="array" ref="G958">IF($A958="","",IF(INDEX('主表 Stock_Transaction_Log'!$R:$R,$A958)=0,"",INDEX('主表 Stock_Transaction_Log'!$R:$R,$A958)))</f>
        <v/>
      </c>
      <c r="H958" s="173" t="str">
        <f t="array" ref="H958">IF($A958="","",SUMIF('主表 Stock_Transaction_Log'!$T:$T,INDEX('主表 Stock_Transaction_Log'!$T:$T,$A958),'主表 Stock_Transaction_Log'!$S:$S)+SUMIF('主表 Stock_Transaction_Log'!$AB:$AB,INDEX('主表 Stock_Transaction_Log'!$T:$T,$A958),'主表 Stock_Transaction_Log'!$AC:$AC))</f>
        <v/>
      </c>
      <c r="I958" s="173" t="str">
        <f t="shared" si="1"/>
        <v/>
      </c>
      <c r="J958" s="173" t="str">
        <f t="shared" si="2"/>
        <v/>
      </c>
      <c r="K958" s="173" t="str">
        <f t="shared" si="3"/>
        <v/>
      </c>
      <c r="L958" s="173" t="str">
        <f t="array" ref="L958">IF($A958="","",INDEX('主表 Stock_Transaction_Log'!$P:$P,$A958))</f>
        <v/>
      </c>
      <c r="M958" s="174" t="str">
        <f>IF($A958="","",IF($H958&lt;=0,0,SUMIFS('主表 Stock_Transaction_Log'!$K$2:$K1000,'主表 Stock_Transaction_Log'!$C$2:$C1000,"Prepared",'主表 Stock_Transaction_Log'!$L$2:$L1000,$B958,'主表 Stock_Transaction_Log'!$F$2:$F1000,$C958,'主表 Stock_Transaction_Log'!$G$2:$G1000,$D958,'主表 Stock_Transaction_Log'!$P$2:$P1000,$L958)))</f>
        <v/>
      </c>
    </row>
    <row r="959">
      <c r="A959" s="173" t="str">
        <f>IF('主表 Stock_Transaction_Log'!$T959="","",IF(COUNTIF('主表 Stock_Transaction_Log'!$T$2:$T959,'主表 Stock_Transaction_Log'!$T959)=1,ROW('主表 Stock_Transaction_Log'!$T959),""))</f>
        <v/>
      </c>
      <c r="B959" s="173" t="str">
        <f t="array" ref="B959">IF($A959="","",INDEX('主表 Stock_Transaction_Log'!$Q:$Q,$A959))</f>
        <v/>
      </c>
      <c r="C959" s="173" t="str">
        <f t="array" ref="C959">IF($A959="","",IF(INDEX('主表 Stock_Transaction_Log'!$F:$F,$A959)=0,"",INDEX('主表 Stock_Transaction_Log'!$F:$F,$A959)))</f>
        <v/>
      </c>
      <c r="D959" s="173" t="str">
        <f t="array" ref="D959">IF($A959="","",INDEX('主表 Stock_Transaction_Log'!$G:$G,$A959))</f>
        <v/>
      </c>
      <c r="E959" s="173" t="str">
        <f t="array" ref="E959">IF($A959="","",INDEX('主表 Stock_Transaction_Log'!$H:$H,$A959))</f>
        <v/>
      </c>
      <c r="F959" s="173" t="str">
        <f t="array" ref="F959">IF($A959="","",INDEX('主表 Stock_Transaction_Log'!$I:$I,$A959))</f>
        <v/>
      </c>
      <c r="G959" s="173" t="str">
        <f t="array" ref="G959">IF($A959="","",IF(INDEX('主表 Stock_Transaction_Log'!$R:$R,$A959)=0,"",INDEX('主表 Stock_Transaction_Log'!$R:$R,$A959)))</f>
        <v/>
      </c>
      <c r="H959" s="173" t="str">
        <f t="array" ref="H959">IF($A959="","",SUMIF('主表 Stock_Transaction_Log'!$T:$T,INDEX('主表 Stock_Transaction_Log'!$T:$T,$A959),'主表 Stock_Transaction_Log'!$S:$S)+SUMIF('主表 Stock_Transaction_Log'!$AB:$AB,INDEX('主表 Stock_Transaction_Log'!$T:$T,$A959),'主表 Stock_Transaction_Log'!$AC:$AC))</f>
        <v/>
      </c>
      <c r="I959" s="173" t="str">
        <f t="shared" si="1"/>
        <v/>
      </c>
      <c r="J959" s="173" t="str">
        <f t="shared" si="2"/>
        <v/>
      </c>
      <c r="K959" s="173" t="str">
        <f t="shared" si="3"/>
        <v/>
      </c>
      <c r="L959" s="173" t="str">
        <f t="array" ref="L959">IF($A959="","",INDEX('主表 Stock_Transaction_Log'!$P:$P,$A959))</f>
        <v/>
      </c>
      <c r="M959" s="174" t="str">
        <f>IF($A959="","",IF($H959&lt;=0,0,SUMIFS('主表 Stock_Transaction_Log'!$K$2:$K1000,'主表 Stock_Transaction_Log'!$C$2:$C1000,"Prepared",'主表 Stock_Transaction_Log'!$L$2:$L1000,$B959,'主表 Stock_Transaction_Log'!$F$2:$F1000,$C959,'主表 Stock_Transaction_Log'!$G$2:$G1000,$D959,'主表 Stock_Transaction_Log'!$P$2:$P1000,$L959)))</f>
        <v/>
      </c>
    </row>
    <row r="960">
      <c r="A960" s="173" t="str">
        <f>IF('主表 Stock_Transaction_Log'!$T960="","",IF(COUNTIF('主表 Stock_Transaction_Log'!$T$2:$T960,'主表 Stock_Transaction_Log'!$T960)=1,ROW('主表 Stock_Transaction_Log'!$T960),""))</f>
        <v/>
      </c>
      <c r="B960" s="173" t="str">
        <f t="array" ref="B960">IF($A960="","",INDEX('主表 Stock_Transaction_Log'!$Q:$Q,$A960))</f>
        <v/>
      </c>
      <c r="C960" s="173" t="str">
        <f t="array" ref="C960">IF($A960="","",IF(INDEX('主表 Stock_Transaction_Log'!$F:$F,$A960)=0,"",INDEX('主表 Stock_Transaction_Log'!$F:$F,$A960)))</f>
        <v/>
      </c>
      <c r="D960" s="173" t="str">
        <f t="array" ref="D960">IF($A960="","",INDEX('主表 Stock_Transaction_Log'!$G:$G,$A960))</f>
        <v/>
      </c>
      <c r="E960" s="173" t="str">
        <f t="array" ref="E960">IF($A960="","",INDEX('主表 Stock_Transaction_Log'!$H:$H,$A960))</f>
        <v/>
      </c>
      <c r="F960" s="173" t="str">
        <f t="array" ref="F960">IF($A960="","",INDEX('主表 Stock_Transaction_Log'!$I:$I,$A960))</f>
        <v/>
      </c>
      <c r="G960" s="173" t="str">
        <f t="array" ref="G960">IF($A960="","",IF(INDEX('主表 Stock_Transaction_Log'!$R:$R,$A960)=0,"",INDEX('主表 Stock_Transaction_Log'!$R:$R,$A960)))</f>
        <v/>
      </c>
      <c r="H960" s="173" t="str">
        <f t="array" ref="H960">IF($A960="","",SUMIF('主表 Stock_Transaction_Log'!$T:$T,INDEX('主表 Stock_Transaction_Log'!$T:$T,$A960),'主表 Stock_Transaction_Log'!$S:$S)+SUMIF('主表 Stock_Transaction_Log'!$AB:$AB,INDEX('主表 Stock_Transaction_Log'!$T:$T,$A960),'主表 Stock_Transaction_Log'!$AC:$AC))</f>
        <v/>
      </c>
      <c r="I960" s="173" t="str">
        <f t="shared" si="1"/>
        <v/>
      </c>
      <c r="J960" s="173" t="str">
        <f t="shared" si="2"/>
        <v/>
      </c>
      <c r="K960" s="173" t="str">
        <f t="shared" si="3"/>
        <v/>
      </c>
      <c r="L960" s="173" t="str">
        <f t="array" ref="L960">IF($A960="","",INDEX('主表 Stock_Transaction_Log'!$P:$P,$A960))</f>
        <v/>
      </c>
      <c r="M960" s="174" t="str">
        <f>IF($A960="","",IF($H960&lt;=0,0,SUMIFS('主表 Stock_Transaction_Log'!$K$2:$K1000,'主表 Stock_Transaction_Log'!$C$2:$C1000,"Prepared",'主表 Stock_Transaction_Log'!$L$2:$L1000,$B960,'主表 Stock_Transaction_Log'!$F$2:$F1000,$C960,'主表 Stock_Transaction_Log'!$G$2:$G1000,$D960,'主表 Stock_Transaction_Log'!$P$2:$P1000,$L960)))</f>
        <v/>
      </c>
    </row>
    <row r="961">
      <c r="A961" s="173" t="str">
        <f>IF('主表 Stock_Transaction_Log'!$T961="","",IF(COUNTIF('主表 Stock_Transaction_Log'!$T$2:$T961,'主表 Stock_Transaction_Log'!$T961)=1,ROW('主表 Stock_Transaction_Log'!$T961),""))</f>
        <v/>
      </c>
      <c r="B961" s="173" t="str">
        <f t="array" ref="B961">IF($A961="","",INDEX('主表 Stock_Transaction_Log'!$Q:$Q,$A961))</f>
        <v/>
      </c>
      <c r="C961" s="173" t="str">
        <f t="array" ref="C961">IF($A961="","",IF(INDEX('主表 Stock_Transaction_Log'!$F:$F,$A961)=0,"",INDEX('主表 Stock_Transaction_Log'!$F:$F,$A961)))</f>
        <v/>
      </c>
      <c r="D961" s="173" t="str">
        <f t="array" ref="D961">IF($A961="","",INDEX('主表 Stock_Transaction_Log'!$G:$G,$A961))</f>
        <v/>
      </c>
      <c r="E961" s="173" t="str">
        <f t="array" ref="E961">IF($A961="","",INDEX('主表 Stock_Transaction_Log'!$H:$H,$A961))</f>
        <v/>
      </c>
      <c r="F961" s="173" t="str">
        <f t="array" ref="F961">IF($A961="","",INDEX('主表 Stock_Transaction_Log'!$I:$I,$A961))</f>
        <v/>
      </c>
      <c r="G961" s="173" t="str">
        <f t="array" ref="G961">IF($A961="","",IF(INDEX('主表 Stock_Transaction_Log'!$R:$R,$A961)=0,"",INDEX('主表 Stock_Transaction_Log'!$R:$R,$A961)))</f>
        <v/>
      </c>
      <c r="H961" s="173" t="str">
        <f t="array" ref="H961">IF($A961="","",SUMIF('主表 Stock_Transaction_Log'!$T:$T,INDEX('主表 Stock_Transaction_Log'!$T:$T,$A961),'主表 Stock_Transaction_Log'!$S:$S)+SUMIF('主表 Stock_Transaction_Log'!$AB:$AB,INDEX('主表 Stock_Transaction_Log'!$T:$T,$A961),'主表 Stock_Transaction_Log'!$AC:$AC))</f>
        <v/>
      </c>
      <c r="I961" s="173" t="str">
        <f t="shared" si="1"/>
        <v/>
      </c>
      <c r="J961" s="173" t="str">
        <f t="shared" si="2"/>
        <v/>
      </c>
      <c r="K961" s="173" t="str">
        <f t="shared" si="3"/>
        <v/>
      </c>
      <c r="L961" s="173" t="str">
        <f t="array" ref="L961">IF($A961="","",INDEX('主表 Stock_Transaction_Log'!$P:$P,$A961))</f>
        <v/>
      </c>
      <c r="M961" s="174" t="str">
        <f>IF($A961="","",IF($H961&lt;=0,0,SUMIFS('主表 Stock_Transaction_Log'!$K$2:$K1000,'主表 Stock_Transaction_Log'!$C$2:$C1000,"Prepared",'主表 Stock_Transaction_Log'!$L$2:$L1000,$B961,'主表 Stock_Transaction_Log'!$F$2:$F1000,$C961,'主表 Stock_Transaction_Log'!$G$2:$G1000,$D961,'主表 Stock_Transaction_Log'!$P$2:$P1000,$L961)))</f>
        <v/>
      </c>
    </row>
    <row r="962">
      <c r="A962" s="173" t="str">
        <f>IF('主表 Stock_Transaction_Log'!$T962="","",IF(COUNTIF('主表 Stock_Transaction_Log'!$T$2:$T962,'主表 Stock_Transaction_Log'!$T962)=1,ROW('主表 Stock_Transaction_Log'!$T962),""))</f>
        <v/>
      </c>
      <c r="B962" s="173" t="str">
        <f t="array" ref="B962">IF($A962="","",INDEX('主表 Stock_Transaction_Log'!$Q:$Q,$A962))</f>
        <v/>
      </c>
      <c r="C962" s="173" t="str">
        <f t="array" ref="C962">IF($A962="","",IF(INDEX('主表 Stock_Transaction_Log'!$F:$F,$A962)=0,"",INDEX('主表 Stock_Transaction_Log'!$F:$F,$A962)))</f>
        <v/>
      </c>
      <c r="D962" s="173" t="str">
        <f t="array" ref="D962">IF($A962="","",INDEX('主表 Stock_Transaction_Log'!$G:$G,$A962))</f>
        <v/>
      </c>
      <c r="E962" s="173" t="str">
        <f t="array" ref="E962">IF($A962="","",INDEX('主表 Stock_Transaction_Log'!$H:$H,$A962))</f>
        <v/>
      </c>
      <c r="F962" s="173" t="str">
        <f t="array" ref="F962">IF($A962="","",INDEX('主表 Stock_Transaction_Log'!$I:$I,$A962))</f>
        <v/>
      </c>
      <c r="G962" s="173" t="str">
        <f t="array" ref="G962">IF($A962="","",IF(INDEX('主表 Stock_Transaction_Log'!$R:$R,$A962)=0,"",INDEX('主表 Stock_Transaction_Log'!$R:$R,$A962)))</f>
        <v/>
      </c>
      <c r="H962" s="173" t="str">
        <f t="array" ref="H962">IF($A962="","",SUMIF('主表 Stock_Transaction_Log'!$T:$T,INDEX('主表 Stock_Transaction_Log'!$T:$T,$A962),'主表 Stock_Transaction_Log'!$S:$S)+SUMIF('主表 Stock_Transaction_Log'!$AB:$AB,INDEX('主表 Stock_Transaction_Log'!$T:$T,$A962),'主表 Stock_Transaction_Log'!$AC:$AC))</f>
        <v/>
      </c>
      <c r="I962" s="173" t="str">
        <f t="shared" si="1"/>
        <v/>
      </c>
      <c r="J962" s="173" t="str">
        <f t="shared" si="2"/>
        <v/>
      </c>
      <c r="K962" s="173" t="str">
        <f t="shared" si="3"/>
        <v/>
      </c>
      <c r="L962" s="173" t="str">
        <f t="array" ref="L962">IF($A962="","",INDEX('主表 Stock_Transaction_Log'!$P:$P,$A962))</f>
        <v/>
      </c>
      <c r="M962" s="174" t="str">
        <f>IF($A962="","",IF($H962&lt;=0,0,SUMIFS('主表 Stock_Transaction_Log'!$K$2:$K1000,'主表 Stock_Transaction_Log'!$C$2:$C1000,"Prepared",'主表 Stock_Transaction_Log'!$L$2:$L1000,$B962,'主表 Stock_Transaction_Log'!$F$2:$F1000,$C962,'主表 Stock_Transaction_Log'!$G$2:$G1000,$D962,'主表 Stock_Transaction_Log'!$P$2:$P1000,$L962)))</f>
        <v/>
      </c>
    </row>
    <row r="963">
      <c r="A963" s="173" t="str">
        <f>IF('主表 Stock_Transaction_Log'!$T963="","",IF(COUNTIF('主表 Stock_Transaction_Log'!$T$2:$T963,'主表 Stock_Transaction_Log'!$T963)=1,ROW('主表 Stock_Transaction_Log'!$T963),""))</f>
        <v/>
      </c>
      <c r="B963" s="173" t="str">
        <f t="array" ref="B963">IF($A963="","",INDEX('主表 Stock_Transaction_Log'!$Q:$Q,$A963))</f>
        <v/>
      </c>
      <c r="C963" s="173" t="str">
        <f t="array" ref="C963">IF($A963="","",IF(INDEX('主表 Stock_Transaction_Log'!$F:$F,$A963)=0,"",INDEX('主表 Stock_Transaction_Log'!$F:$F,$A963)))</f>
        <v/>
      </c>
      <c r="D963" s="173" t="str">
        <f t="array" ref="D963">IF($A963="","",INDEX('主表 Stock_Transaction_Log'!$G:$G,$A963))</f>
        <v/>
      </c>
      <c r="E963" s="173" t="str">
        <f t="array" ref="E963">IF($A963="","",INDEX('主表 Stock_Transaction_Log'!$H:$H,$A963))</f>
        <v/>
      </c>
      <c r="F963" s="173" t="str">
        <f t="array" ref="F963">IF($A963="","",INDEX('主表 Stock_Transaction_Log'!$I:$I,$A963))</f>
        <v/>
      </c>
      <c r="G963" s="173" t="str">
        <f t="array" ref="G963">IF($A963="","",IF(INDEX('主表 Stock_Transaction_Log'!$R:$R,$A963)=0,"",INDEX('主表 Stock_Transaction_Log'!$R:$R,$A963)))</f>
        <v/>
      </c>
      <c r="H963" s="173" t="str">
        <f t="array" ref="H963">IF($A963="","",SUMIF('主表 Stock_Transaction_Log'!$T:$T,INDEX('主表 Stock_Transaction_Log'!$T:$T,$A963),'主表 Stock_Transaction_Log'!$S:$S)+SUMIF('主表 Stock_Transaction_Log'!$AB:$AB,INDEX('主表 Stock_Transaction_Log'!$T:$T,$A963),'主表 Stock_Transaction_Log'!$AC:$AC))</f>
        <v/>
      </c>
      <c r="I963" s="173" t="str">
        <f t="shared" si="1"/>
        <v/>
      </c>
      <c r="J963" s="173" t="str">
        <f t="shared" si="2"/>
        <v/>
      </c>
      <c r="K963" s="173" t="str">
        <f t="shared" si="3"/>
        <v/>
      </c>
      <c r="L963" s="173" t="str">
        <f t="array" ref="L963">IF($A963="","",INDEX('主表 Stock_Transaction_Log'!$P:$P,$A963))</f>
        <v/>
      </c>
      <c r="M963" s="174" t="str">
        <f>IF($A963="","",IF($H963&lt;=0,0,SUMIFS('主表 Stock_Transaction_Log'!$K$2:$K1000,'主表 Stock_Transaction_Log'!$C$2:$C1000,"Prepared",'主表 Stock_Transaction_Log'!$L$2:$L1000,$B963,'主表 Stock_Transaction_Log'!$F$2:$F1000,$C963,'主表 Stock_Transaction_Log'!$G$2:$G1000,$D963,'主表 Stock_Transaction_Log'!$P$2:$P1000,$L963)))</f>
        <v/>
      </c>
    </row>
    <row r="964">
      <c r="A964" s="173" t="str">
        <f>IF('主表 Stock_Transaction_Log'!$T964="","",IF(COUNTIF('主表 Stock_Transaction_Log'!$T$2:$T964,'主表 Stock_Transaction_Log'!$T964)=1,ROW('主表 Stock_Transaction_Log'!$T964),""))</f>
        <v/>
      </c>
      <c r="B964" s="173" t="str">
        <f t="array" ref="B964">IF($A964="","",INDEX('主表 Stock_Transaction_Log'!$Q:$Q,$A964))</f>
        <v/>
      </c>
      <c r="C964" s="173" t="str">
        <f t="array" ref="C964">IF($A964="","",IF(INDEX('主表 Stock_Transaction_Log'!$F:$F,$A964)=0,"",INDEX('主表 Stock_Transaction_Log'!$F:$F,$A964)))</f>
        <v/>
      </c>
      <c r="D964" s="173" t="str">
        <f t="array" ref="D964">IF($A964="","",INDEX('主表 Stock_Transaction_Log'!$G:$G,$A964))</f>
        <v/>
      </c>
      <c r="E964" s="173" t="str">
        <f t="array" ref="E964">IF($A964="","",INDEX('主表 Stock_Transaction_Log'!$H:$H,$A964))</f>
        <v/>
      </c>
      <c r="F964" s="173" t="str">
        <f t="array" ref="F964">IF($A964="","",INDEX('主表 Stock_Transaction_Log'!$I:$I,$A964))</f>
        <v/>
      </c>
      <c r="G964" s="173" t="str">
        <f t="array" ref="G964">IF($A964="","",IF(INDEX('主表 Stock_Transaction_Log'!$R:$R,$A964)=0,"",INDEX('主表 Stock_Transaction_Log'!$R:$R,$A964)))</f>
        <v/>
      </c>
      <c r="H964" s="173" t="str">
        <f t="array" ref="H964">IF($A964="","",SUMIF('主表 Stock_Transaction_Log'!$T:$T,INDEX('主表 Stock_Transaction_Log'!$T:$T,$A964),'主表 Stock_Transaction_Log'!$S:$S)+SUMIF('主表 Stock_Transaction_Log'!$AB:$AB,INDEX('主表 Stock_Transaction_Log'!$T:$T,$A964),'主表 Stock_Transaction_Log'!$AC:$AC))</f>
        <v/>
      </c>
      <c r="I964" s="173" t="str">
        <f t="shared" si="1"/>
        <v/>
      </c>
      <c r="J964" s="173" t="str">
        <f t="shared" si="2"/>
        <v/>
      </c>
      <c r="K964" s="173" t="str">
        <f t="shared" si="3"/>
        <v/>
      </c>
      <c r="L964" s="173" t="str">
        <f t="array" ref="L964">IF($A964="","",INDEX('主表 Stock_Transaction_Log'!$P:$P,$A964))</f>
        <v/>
      </c>
      <c r="M964" s="174" t="str">
        <f>IF($A964="","",IF($H964&lt;=0,0,SUMIFS('主表 Stock_Transaction_Log'!$K$2:$K1000,'主表 Stock_Transaction_Log'!$C$2:$C1000,"Prepared",'主表 Stock_Transaction_Log'!$L$2:$L1000,$B964,'主表 Stock_Transaction_Log'!$F$2:$F1000,$C964,'主表 Stock_Transaction_Log'!$G$2:$G1000,$D964,'主表 Stock_Transaction_Log'!$P$2:$P1000,$L964)))</f>
        <v/>
      </c>
    </row>
    <row r="965">
      <c r="A965" s="173" t="str">
        <f>IF('主表 Stock_Transaction_Log'!$T965="","",IF(COUNTIF('主表 Stock_Transaction_Log'!$T$2:$T965,'主表 Stock_Transaction_Log'!$T965)=1,ROW('主表 Stock_Transaction_Log'!$T965),""))</f>
        <v/>
      </c>
      <c r="B965" s="173" t="str">
        <f t="array" ref="B965">IF($A965="","",INDEX('主表 Stock_Transaction_Log'!$Q:$Q,$A965))</f>
        <v/>
      </c>
      <c r="C965" s="173" t="str">
        <f t="array" ref="C965">IF($A965="","",IF(INDEX('主表 Stock_Transaction_Log'!$F:$F,$A965)=0,"",INDEX('主表 Stock_Transaction_Log'!$F:$F,$A965)))</f>
        <v/>
      </c>
      <c r="D965" s="173" t="str">
        <f t="array" ref="D965">IF($A965="","",INDEX('主表 Stock_Transaction_Log'!$G:$G,$A965))</f>
        <v/>
      </c>
      <c r="E965" s="173" t="str">
        <f t="array" ref="E965">IF($A965="","",INDEX('主表 Stock_Transaction_Log'!$H:$H,$A965))</f>
        <v/>
      </c>
      <c r="F965" s="173" t="str">
        <f t="array" ref="F965">IF($A965="","",INDEX('主表 Stock_Transaction_Log'!$I:$I,$A965))</f>
        <v/>
      </c>
      <c r="G965" s="173" t="str">
        <f t="array" ref="G965">IF($A965="","",IF(INDEX('主表 Stock_Transaction_Log'!$R:$R,$A965)=0,"",INDEX('主表 Stock_Transaction_Log'!$R:$R,$A965)))</f>
        <v/>
      </c>
      <c r="H965" s="173" t="str">
        <f t="array" ref="H965">IF($A965="","",SUMIF('主表 Stock_Transaction_Log'!$T:$T,INDEX('主表 Stock_Transaction_Log'!$T:$T,$A965),'主表 Stock_Transaction_Log'!$S:$S)+SUMIF('主表 Stock_Transaction_Log'!$AB:$AB,INDEX('主表 Stock_Transaction_Log'!$T:$T,$A965),'主表 Stock_Transaction_Log'!$AC:$AC))</f>
        <v/>
      </c>
      <c r="I965" s="173" t="str">
        <f t="shared" si="1"/>
        <v/>
      </c>
      <c r="J965" s="173" t="str">
        <f t="shared" si="2"/>
        <v/>
      </c>
      <c r="K965" s="173" t="str">
        <f t="shared" si="3"/>
        <v/>
      </c>
      <c r="L965" s="173" t="str">
        <f t="array" ref="L965">IF($A965="","",INDEX('主表 Stock_Transaction_Log'!$P:$P,$A965))</f>
        <v/>
      </c>
      <c r="M965" s="174" t="str">
        <f>IF($A965="","",IF($H965&lt;=0,0,SUMIFS('主表 Stock_Transaction_Log'!$K$2:$K1000,'主表 Stock_Transaction_Log'!$C$2:$C1000,"Prepared",'主表 Stock_Transaction_Log'!$L$2:$L1000,$B965,'主表 Stock_Transaction_Log'!$F$2:$F1000,$C965,'主表 Stock_Transaction_Log'!$G$2:$G1000,$D965,'主表 Stock_Transaction_Log'!$P$2:$P1000,$L965)))</f>
        <v/>
      </c>
    </row>
    <row r="966">
      <c r="A966" s="173" t="str">
        <f>IF('主表 Stock_Transaction_Log'!$T966="","",IF(COUNTIF('主表 Stock_Transaction_Log'!$T$2:$T966,'主表 Stock_Transaction_Log'!$T966)=1,ROW('主表 Stock_Transaction_Log'!$T966),""))</f>
        <v/>
      </c>
      <c r="B966" s="173" t="str">
        <f t="array" ref="B966">IF($A966="","",INDEX('主表 Stock_Transaction_Log'!$Q:$Q,$A966))</f>
        <v/>
      </c>
      <c r="C966" s="173" t="str">
        <f t="array" ref="C966">IF($A966="","",IF(INDEX('主表 Stock_Transaction_Log'!$F:$F,$A966)=0,"",INDEX('主表 Stock_Transaction_Log'!$F:$F,$A966)))</f>
        <v/>
      </c>
      <c r="D966" s="173" t="str">
        <f t="array" ref="D966">IF($A966="","",INDEX('主表 Stock_Transaction_Log'!$G:$G,$A966))</f>
        <v/>
      </c>
      <c r="E966" s="173" t="str">
        <f t="array" ref="E966">IF($A966="","",INDEX('主表 Stock_Transaction_Log'!$H:$H,$A966))</f>
        <v/>
      </c>
      <c r="F966" s="173" t="str">
        <f t="array" ref="F966">IF($A966="","",INDEX('主表 Stock_Transaction_Log'!$I:$I,$A966))</f>
        <v/>
      </c>
      <c r="G966" s="173" t="str">
        <f t="array" ref="G966">IF($A966="","",IF(INDEX('主表 Stock_Transaction_Log'!$R:$R,$A966)=0,"",INDEX('主表 Stock_Transaction_Log'!$R:$R,$A966)))</f>
        <v/>
      </c>
      <c r="H966" s="173" t="str">
        <f t="array" ref="H966">IF($A966="","",SUMIF('主表 Stock_Transaction_Log'!$T:$T,INDEX('主表 Stock_Transaction_Log'!$T:$T,$A966),'主表 Stock_Transaction_Log'!$S:$S)+SUMIF('主表 Stock_Transaction_Log'!$AB:$AB,INDEX('主表 Stock_Transaction_Log'!$T:$T,$A966),'主表 Stock_Transaction_Log'!$AC:$AC))</f>
        <v/>
      </c>
      <c r="I966" s="173" t="str">
        <f t="shared" si="1"/>
        <v/>
      </c>
      <c r="J966" s="173" t="str">
        <f t="shared" si="2"/>
        <v/>
      </c>
      <c r="K966" s="173" t="str">
        <f t="shared" si="3"/>
        <v/>
      </c>
      <c r="L966" s="173" t="str">
        <f t="array" ref="L966">IF($A966="","",INDEX('主表 Stock_Transaction_Log'!$P:$P,$A966))</f>
        <v/>
      </c>
      <c r="M966" s="174" t="str">
        <f>IF($A966="","",IF($H966&lt;=0,0,SUMIFS('主表 Stock_Transaction_Log'!$K$2:$K1000,'主表 Stock_Transaction_Log'!$C$2:$C1000,"Prepared",'主表 Stock_Transaction_Log'!$L$2:$L1000,$B966,'主表 Stock_Transaction_Log'!$F$2:$F1000,$C966,'主表 Stock_Transaction_Log'!$G$2:$G1000,$D966,'主表 Stock_Transaction_Log'!$P$2:$P1000,$L966)))</f>
        <v/>
      </c>
    </row>
    <row r="967">
      <c r="A967" s="173" t="str">
        <f>IF('主表 Stock_Transaction_Log'!$T967="","",IF(COUNTIF('主表 Stock_Transaction_Log'!$T$2:$T967,'主表 Stock_Transaction_Log'!$T967)=1,ROW('主表 Stock_Transaction_Log'!$T967),""))</f>
        <v/>
      </c>
      <c r="B967" s="173" t="str">
        <f t="array" ref="B967">IF($A967="","",INDEX('主表 Stock_Transaction_Log'!$Q:$Q,$A967))</f>
        <v/>
      </c>
      <c r="C967" s="173" t="str">
        <f t="array" ref="C967">IF($A967="","",IF(INDEX('主表 Stock_Transaction_Log'!$F:$F,$A967)=0,"",INDEX('主表 Stock_Transaction_Log'!$F:$F,$A967)))</f>
        <v/>
      </c>
      <c r="D967" s="173" t="str">
        <f t="array" ref="D967">IF($A967="","",INDEX('主表 Stock_Transaction_Log'!$G:$G,$A967))</f>
        <v/>
      </c>
      <c r="E967" s="173" t="str">
        <f t="array" ref="E967">IF($A967="","",INDEX('主表 Stock_Transaction_Log'!$H:$H,$A967))</f>
        <v/>
      </c>
      <c r="F967" s="173" t="str">
        <f t="array" ref="F967">IF($A967="","",INDEX('主表 Stock_Transaction_Log'!$I:$I,$A967))</f>
        <v/>
      </c>
      <c r="G967" s="173" t="str">
        <f t="array" ref="G967">IF($A967="","",IF(INDEX('主表 Stock_Transaction_Log'!$R:$R,$A967)=0,"",INDEX('主表 Stock_Transaction_Log'!$R:$R,$A967)))</f>
        <v/>
      </c>
      <c r="H967" s="173" t="str">
        <f t="array" ref="H967">IF($A967="","",SUMIF('主表 Stock_Transaction_Log'!$T:$T,INDEX('主表 Stock_Transaction_Log'!$T:$T,$A967),'主表 Stock_Transaction_Log'!$S:$S)+SUMIF('主表 Stock_Transaction_Log'!$AB:$AB,INDEX('主表 Stock_Transaction_Log'!$T:$T,$A967),'主表 Stock_Transaction_Log'!$AC:$AC))</f>
        <v/>
      </c>
      <c r="I967" s="173" t="str">
        <f t="shared" si="1"/>
        <v/>
      </c>
      <c r="J967" s="173" t="str">
        <f t="shared" si="2"/>
        <v/>
      </c>
      <c r="K967" s="173" t="str">
        <f t="shared" si="3"/>
        <v/>
      </c>
      <c r="L967" s="173" t="str">
        <f t="array" ref="L967">IF($A967="","",INDEX('主表 Stock_Transaction_Log'!$P:$P,$A967))</f>
        <v/>
      </c>
      <c r="M967" s="174" t="str">
        <f>IF($A967="","",IF($H967&lt;=0,0,SUMIFS('主表 Stock_Transaction_Log'!$K$2:$K1000,'主表 Stock_Transaction_Log'!$C$2:$C1000,"Prepared",'主表 Stock_Transaction_Log'!$L$2:$L1000,$B967,'主表 Stock_Transaction_Log'!$F$2:$F1000,$C967,'主表 Stock_Transaction_Log'!$G$2:$G1000,$D967,'主表 Stock_Transaction_Log'!$P$2:$P1000,$L967)))</f>
        <v/>
      </c>
    </row>
    <row r="968">
      <c r="A968" s="173" t="str">
        <f>IF('主表 Stock_Transaction_Log'!$T968="","",IF(COUNTIF('主表 Stock_Transaction_Log'!$T$2:$T968,'主表 Stock_Transaction_Log'!$T968)=1,ROW('主表 Stock_Transaction_Log'!$T968),""))</f>
        <v/>
      </c>
      <c r="B968" s="173" t="str">
        <f t="array" ref="B968">IF($A968="","",INDEX('主表 Stock_Transaction_Log'!$Q:$Q,$A968))</f>
        <v/>
      </c>
      <c r="C968" s="173" t="str">
        <f t="array" ref="C968">IF($A968="","",IF(INDEX('主表 Stock_Transaction_Log'!$F:$F,$A968)=0,"",INDEX('主表 Stock_Transaction_Log'!$F:$F,$A968)))</f>
        <v/>
      </c>
      <c r="D968" s="173" t="str">
        <f t="array" ref="D968">IF($A968="","",INDEX('主表 Stock_Transaction_Log'!$G:$G,$A968))</f>
        <v/>
      </c>
      <c r="E968" s="173" t="str">
        <f t="array" ref="E968">IF($A968="","",INDEX('主表 Stock_Transaction_Log'!$H:$H,$A968))</f>
        <v/>
      </c>
      <c r="F968" s="173" t="str">
        <f t="array" ref="F968">IF($A968="","",INDEX('主表 Stock_Transaction_Log'!$I:$I,$A968))</f>
        <v/>
      </c>
      <c r="G968" s="173" t="str">
        <f t="array" ref="G968">IF($A968="","",IF(INDEX('主表 Stock_Transaction_Log'!$R:$R,$A968)=0,"",INDEX('主表 Stock_Transaction_Log'!$R:$R,$A968)))</f>
        <v/>
      </c>
      <c r="H968" s="173" t="str">
        <f t="array" ref="H968">IF($A968="","",SUMIF('主表 Stock_Transaction_Log'!$T:$T,INDEX('主表 Stock_Transaction_Log'!$T:$T,$A968),'主表 Stock_Transaction_Log'!$S:$S)+SUMIF('主表 Stock_Transaction_Log'!$AB:$AB,INDEX('主表 Stock_Transaction_Log'!$T:$T,$A968),'主表 Stock_Transaction_Log'!$AC:$AC))</f>
        <v/>
      </c>
      <c r="I968" s="173" t="str">
        <f t="shared" si="1"/>
        <v/>
      </c>
      <c r="J968" s="173" t="str">
        <f t="shared" si="2"/>
        <v/>
      </c>
      <c r="K968" s="173" t="str">
        <f t="shared" si="3"/>
        <v/>
      </c>
      <c r="L968" s="173" t="str">
        <f t="array" ref="L968">IF($A968="","",INDEX('主表 Stock_Transaction_Log'!$P:$P,$A968))</f>
        <v/>
      </c>
      <c r="M968" s="174" t="str">
        <f>IF($A968="","",IF($H968&lt;=0,0,SUMIFS('主表 Stock_Transaction_Log'!$K$2:$K1000,'主表 Stock_Transaction_Log'!$C$2:$C1000,"Prepared",'主表 Stock_Transaction_Log'!$L$2:$L1000,$B968,'主表 Stock_Transaction_Log'!$F$2:$F1000,$C968,'主表 Stock_Transaction_Log'!$G$2:$G1000,$D968,'主表 Stock_Transaction_Log'!$P$2:$P1000,$L968)))</f>
        <v/>
      </c>
    </row>
    <row r="969">
      <c r="A969" s="173" t="str">
        <f>IF('主表 Stock_Transaction_Log'!$T969="","",IF(COUNTIF('主表 Stock_Transaction_Log'!$T$2:$T969,'主表 Stock_Transaction_Log'!$T969)=1,ROW('主表 Stock_Transaction_Log'!$T969),""))</f>
        <v/>
      </c>
      <c r="B969" s="173" t="str">
        <f t="array" ref="B969">IF($A969="","",INDEX('主表 Stock_Transaction_Log'!$Q:$Q,$A969))</f>
        <v/>
      </c>
      <c r="C969" s="173" t="str">
        <f t="array" ref="C969">IF($A969="","",IF(INDEX('主表 Stock_Transaction_Log'!$F:$F,$A969)=0,"",INDEX('主表 Stock_Transaction_Log'!$F:$F,$A969)))</f>
        <v/>
      </c>
      <c r="D969" s="173" t="str">
        <f t="array" ref="D969">IF($A969="","",INDEX('主表 Stock_Transaction_Log'!$G:$G,$A969))</f>
        <v/>
      </c>
      <c r="E969" s="173" t="str">
        <f t="array" ref="E969">IF($A969="","",INDEX('主表 Stock_Transaction_Log'!$H:$H,$A969))</f>
        <v/>
      </c>
      <c r="F969" s="173" t="str">
        <f t="array" ref="F969">IF($A969="","",INDEX('主表 Stock_Transaction_Log'!$I:$I,$A969))</f>
        <v/>
      </c>
      <c r="G969" s="173" t="str">
        <f t="array" ref="G969">IF($A969="","",IF(INDEX('主表 Stock_Transaction_Log'!$R:$R,$A969)=0,"",INDEX('主表 Stock_Transaction_Log'!$R:$R,$A969)))</f>
        <v/>
      </c>
      <c r="H969" s="173" t="str">
        <f t="array" ref="H969">IF($A969="","",SUMIF('主表 Stock_Transaction_Log'!$T:$T,INDEX('主表 Stock_Transaction_Log'!$T:$T,$A969),'主表 Stock_Transaction_Log'!$S:$S)+SUMIF('主表 Stock_Transaction_Log'!$AB:$AB,INDEX('主表 Stock_Transaction_Log'!$T:$T,$A969),'主表 Stock_Transaction_Log'!$AC:$AC))</f>
        <v/>
      </c>
      <c r="I969" s="173" t="str">
        <f t="shared" si="1"/>
        <v/>
      </c>
      <c r="J969" s="173" t="str">
        <f t="shared" si="2"/>
        <v/>
      </c>
      <c r="K969" s="173" t="str">
        <f t="shared" si="3"/>
        <v/>
      </c>
      <c r="L969" s="173" t="str">
        <f t="array" ref="L969">IF($A969="","",INDEX('主表 Stock_Transaction_Log'!$P:$P,$A969))</f>
        <v/>
      </c>
      <c r="M969" s="174" t="str">
        <f>IF($A969="","",IF($H969&lt;=0,0,SUMIFS('主表 Stock_Transaction_Log'!$K$2:$K1000,'主表 Stock_Transaction_Log'!$C$2:$C1000,"Prepared",'主表 Stock_Transaction_Log'!$L$2:$L1000,$B969,'主表 Stock_Transaction_Log'!$F$2:$F1000,$C969,'主表 Stock_Transaction_Log'!$G$2:$G1000,$D969,'主表 Stock_Transaction_Log'!$P$2:$P1000,$L969)))</f>
        <v/>
      </c>
    </row>
    <row r="970">
      <c r="A970" s="173" t="str">
        <f>IF('主表 Stock_Transaction_Log'!$T970="","",IF(COUNTIF('主表 Stock_Transaction_Log'!$T$2:$T970,'主表 Stock_Transaction_Log'!$T970)=1,ROW('主表 Stock_Transaction_Log'!$T970),""))</f>
        <v/>
      </c>
      <c r="B970" s="173" t="str">
        <f t="array" ref="B970">IF($A970="","",INDEX('主表 Stock_Transaction_Log'!$Q:$Q,$A970))</f>
        <v/>
      </c>
      <c r="C970" s="173" t="str">
        <f t="array" ref="C970">IF($A970="","",IF(INDEX('主表 Stock_Transaction_Log'!$F:$F,$A970)=0,"",INDEX('主表 Stock_Transaction_Log'!$F:$F,$A970)))</f>
        <v/>
      </c>
      <c r="D970" s="173" t="str">
        <f t="array" ref="D970">IF($A970="","",INDEX('主表 Stock_Transaction_Log'!$G:$G,$A970))</f>
        <v/>
      </c>
      <c r="E970" s="173" t="str">
        <f t="array" ref="E970">IF($A970="","",INDEX('主表 Stock_Transaction_Log'!$H:$H,$A970))</f>
        <v/>
      </c>
      <c r="F970" s="173" t="str">
        <f t="array" ref="F970">IF($A970="","",INDEX('主表 Stock_Transaction_Log'!$I:$I,$A970))</f>
        <v/>
      </c>
      <c r="G970" s="173" t="str">
        <f t="array" ref="G970">IF($A970="","",IF(INDEX('主表 Stock_Transaction_Log'!$R:$R,$A970)=0,"",INDEX('主表 Stock_Transaction_Log'!$R:$R,$A970)))</f>
        <v/>
      </c>
      <c r="H970" s="173" t="str">
        <f t="array" ref="H970">IF($A970="","",SUMIF('主表 Stock_Transaction_Log'!$T:$T,INDEX('主表 Stock_Transaction_Log'!$T:$T,$A970),'主表 Stock_Transaction_Log'!$S:$S)+SUMIF('主表 Stock_Transaction_Log'!$AB:$AB,INDEX('主表 Stock_Transaction_Log'!$T:$T,$A970),'主表 Stock_Transaction_Log'!$AC:$AC))</f>
        <v/>
      </c>
      <c r="I970" s="173" t="str">
        <f t="shared" si="1"/>
        <v/>
      </c>
      <c r="J970" s="173" t="str">
        <f t="shared" si="2"/>
        <v/>
      </c>
      <c r="K970" s="173" t="str">
        <f t="shared" si="3"/>
        <v/>
      </c>
      <c r="L970" s="173" t="str">
        <f t="array" ref="L970">IF($A970="","",INDEX('主表 Stock_Transaction_Log'!$P:$P,$A970))</f>
        <v/>
      </c>
      <c r="M970" s="174" t="str">
        <f>IF($A970="","",IF($H970&lt;=0,0,SUMIFS('主表 Stock_Transaction_Log'!$K$2:$K1000,'主表 Stock_Transaction_Log'!$C$2:$C1000,"Prepared",'主表 Stock_Transaction_Log'!$L$2:$L1000,$B970,'主表 Stock_Transaction_Log'!$F$2:$F1000,$C970,'主表 Stock_Transaction_Log'!$G$2:$G1000,$D970,'主表 Stock_Transaction_Log'!$P$2:$P1000,$L970)))</f>
        <v/>
      </c>
    </row>
    <row r="971">
      <c r="A971" s="173" t="str">
        <f>IF('主表 Stock_Transaction_Log'!$T971="","",IF(COUNTIF('主表 Stock_Transaction_Log'!$T$2:$T971,'主表 Stock_Transaction_Log'!$T971)=1,ROW('主表 Stock_Transaction_Log'!$T971),""))</f>
        <v/>
      </c>
      <c r="B971" s="173" t="str">
        <f t="array" ref="B971">IF($A971="","",INDEX('主表 Stock_Transaction_Log'!$Q:$Q,$A971))</f>
        <v/>
      </c>
      <c r="C971" s="173" t="str">
        <f t="array" ref="C971">IF($A971="","",IF(INDEX('主表 Stock_Transaction_Log'!$F:$F,$A971)=0,"",INDEX('主表 Stock_Transaction_Log'!$F:$F,$A971)))</f>
        <v/>
      </c>
      <c r="D971" s="173" t="str">
        <f t="array" ref="D971">IF($A971="","",INDEX('主表 Stock_Transaction_Log'!$G:$G,$A971))</f>
        <v/>
      </c>
      <c r="E971" s="173" t="str">
        <f t="array" ref="E971">IF($A971="","",INDEX('主表 Stock_Transaction_Log'!$H:$H,$A971))</f>
        <v/>
      </c>
      <c r="F971" s="173" t="str">
        <f t="array" ref="F971">IF($A971="","",INDEX('主表 Stock_Transaction_Log'!$I:$I,$A971))</f>
        <v/>
      </c>
      <c r="G971" s="173" t="str">
        <f t="array" ref="G971">IF($A971="","",IF(INDEX('主表 Stock_Transaction_Log'!$R:$R,$A971)=0,"",INDEX('主表 Stock_Transaction_Log'!$R:$R,$A971)))</f>
        <v/>
      </c>
      <c r="H971" s="173" t="str">
        <f t="array" ref="H971">IF($A971="","",SUMIF('主表 Stock_Transaction_Log'!$T:$T,INDEX('主表 Stock_Transaction_Log'!$T:$T,$A971),'主表 Stock_Transaction_Log'!$S:$S)+SUMIF('主表 Stock_Transaction_Log'!$AB:$AB,INDEX('主表 Stock_Transaction_Log'!$T:$T,$A971),'主表 Stock_Transaction_Log'!$AC:$AC))</f>
        <v/>
      </c>
      <c r="I971" s="173" t="str">
        <f t="shared" si="1"/>
        <v/>
      </c>
      <c r="J971" s="173" t="str">
        <f t="shared" si="2"/>
        <v/>
      </c>
      <c r="K971" s="173" t="str">
        <f t="shared" si="3"/>
        <v/>
      </c>
      <c r="L971" s="173" t="str">
        <f t="array" ref="L971">IF($A971="","",INDEX('主表 Stock_Transaction_Log'!$P:$P,$A971))</f>
        <v/>
      </c>
      <c r="M971" s="174" t="str">
        <f>IF($A971="","",IF($H971&lt;=0,0,SUMIFS('主表 Stock_Transaction_Log'!$K$2:$K1000,'主表 Stock_Transaction_Log'!$C$2:$C1000,"Prepared",'主表 Stock_Transaction_Log'!$L$2:$L1000,$B971,'主表 Stock_Transaction_Log'!$F$2:$F1000,$C971,'主表 Stock_Transaction_Log'!$G$2:$G1000,$D971,'主表 Stock_Transaction_Log'!$P$2:$P1000,$L971)))</f>
        <v/>
      </c>
    </row>
    <row r="972">
      <c r="A972" s="173" t="str">
        <f>IF('主表 Stock_Transaction_Log'!$T972="","",IF(COUNTIF('主表 Stock_Transaction_Log'!$T$2:$T972,'主表 Stock_Transaction_Log'!$T972)=1,ROW('主表 Stock_Transaction_Log'!$T972),""))</f>
        <v/>
      </c>
      <c r="B972" s="173" t="str">
        <f t="array" ref="B972">IF($A972="","",INDEX('主表 Stock_Transaction_Log'!$Q:$Q,$A972))</f>
        <v/>
      </c>
      <c r="C972" s="173" t="str">
        <f t="array" ref="C972">IF($A972="","",IF(INDEX('主表 Stock_Transaction_Log'!$F:$F,$A972)=0,"",INDEX('主表 Stock_Transaction_Log'!$F:$F,$A972)))</f>
        <v/>
      </c>
      <c r="D972" s="173" t="str">
        <f t="array" ref="D972">IF($A972="","",INDEX('主表 Stock_Transaction_Log'!$G:$G,$A972))</f>
        <v/>
      </c>
      <c r="E972" s="173" t="str">
        <f t="array" ref="E972">IF($A972="","",INDEX('主表 Stock_Transaction_Log'!$H:$H,$A972))</f>
        <v/>
      </c>
      <c r="F972" s="173" t="str">
        <f t="array" ref="F972">IF($A972="","",INDEX('主表 Stock_Transaction_Log'!$I:$I,$A972))</f>
        <v/>
      </c>
      <c r="G972" s="173" t="str">
        <f t="array" ref="G972">IF($A972="","",IF(INDEX('主表 Stock_Transaction_Log'!$R:$R,$A972)=0,"",INDEX('主表 Stock_Transaction_Log'!$R:$R,$A972)))</f>
        <v/>
      </c>
      <c r="H972" s="173" t="str">
        <f t="array" ref="H972">IF($A972="","",SUMIF('主表 Stock_Transaction_Log'!$T:$T,INDEX('主表 Stock_Transaction_Log'!$T:$T,$A972),'主表 Stock_Transaction_Log'!$S:$S)+SUMIF('主表 Stock_Transaction_Log'!$AB:$AB,INDEX('主表 Stock_Transaction_Log'!$T:$T,$A972),'主表 Stock_Transaction_Log'!$AC:$AC))</f>
        <v/>
      </c>
      <c r="I972" s="173" t="str">
        <f t="shared" si="1"/>
        <v/>
      </c>
      <c r="J972" s="173" t="str">
        <f t="shared" si="2"/>
        <v/>
      </c>
      <c r="K972" s="173" t="str">
        <f t="shared" si="3"/>
        <v/>
      </c>
      <c r="L972" s="173" t="str">
        <f t="array" ref="L972">IF($A972="","",INDEX('主表 Stock_Transaction_Log'!$P:$P,$A972))</f>
        <v/>
      </c>
      <c r="M972" s="174" t="str">
        <f>IF($A972="","",IF($H972&lt;=0,0,SUMIFS('主表 Stock_Transaction_Log'!$K$2:$K1000,'主表 Stock_Transaction_Log'!$C$2:$C1000,"Prepared",'主表 Stock_Transaction_Log'!$L$2:$L1000,$B972,'主表 Stock_Transaction_Log'!$F$2:$F1000,$C972,'主表 Stock_Transaction_Log'!$G$2:$G1000,$D972,'主表 Stock_Transaction_Log'!$P$2:$P1000,$L972)))</f>
        <v/>
      </c>
    </row>
    <row r="973">
      <c r="A973" s="173" t="str">
        <f>IF('主表 Stock_Transaction_Log'!$T973="","",IF(COUNTIF('主表 Stock_Transaction_Log'!$T$2:$T973,'主表 Stock_Transaction_Log'!$T973)=1,ROW('主表 Stock_Transaction_Log'!$T973),""))</f>
        <v/>
      </c>
      <c r="B973" s="173" t="str">
        <f t="array" ref="B973">IF($A973="","",INDEX('主表 Stock_Transaction_Log'!$Q:$Q,$A973))</f>
        <v/>
      </c>
      <c r="C973" s="173" t="str">
        <f t="array" ref="C973">IF($A973="","",IF(INDEX('主表 Stock_Transaction_Log'!$F:$F,$A973)=0,"",INDEX('主表 Stock_Transaction_Log'!$F:$F,$A973)))</f>
        <v/>
      </c>
      <c r="D973" s="173" t="str">
        <f t="array" ref="D973">IF($A973="","",INDEX('主表 Stock_Transaction_Log'!$G:$G,$A973))</f>
        <v/>
      </c>
      <c r="E973" s="173" t="str">
        <f t="array" ref="E973">IF($A973="","",INDEX('主表 Stock_Transaction_Log'!$H:$H,$A973))</f>
        <v/>
      </c>
      <c r="F973" s="173" t="str">
        <f t="array" ref="F973">IF($A973="","",INDEX('主表 Stock_Transaction_Log'!$I:$I,$A973))</f>
        <v/>
      </c>
      <c r="G973" s="173" t="str">
        <f t="array" ref="G973">IF($A973="","",IF(INDEX('主表 Stock_Transaction_Log'!$R:$R,$A973)=0,"",INDEX('主表 Stock_Transaction_Log'!$R:$R,$A973)))</f>
        <v/>
      </c>
      <c r="H973" s="173" t="str">
        <f t="array" ref="H973">IF($A973="","",SUMIF('主表 Stock_Transaction_Log'!$T:$T,INDEX('主表 Stock_Transaction_Log'!$T:$T,$A973),'主表 Stock_Transaction_Log'!$S:$S)+SUMIF('主表 Stock_Transaction_Log'!$AB:$AB,INDEX('主表 Stock_Transaction_Log'!$T:$T,$A973),'主表 Stock_Transaction_Log'!$AC:$AC))</f>
        <v/>
      </c>
      <c r="I973" s="173" t="str">
        <f t="shared" si="1"/>
        <v/>
      </c>
      <c r="J973" s="173" t="str">
        <f t="shared" si="2"/>
        <v/>
      </c>
      <c r="K973" s="173" t="str">
        <f t="shared" si="3"/>
        <v/>
      </c>
      <c r="L973" s="173" t="str">
        <f t="array" ref="L973">IF($A973="","",INDEX('主表 Stock_Transaction_Log'!$P:$P,$A973))</f>
        <v/>
      </c>
      <c r="M973" s="174" t="str">
        <f>IF($A973="","",IF($H973&lt;=0,0,SUMIFS('主表 Stock_Transaction_Log'!$K$2:$K1000,'主表 Stock_Transaction_Log'!$C$2:$C1000,"Prepared",'主表 Stock_Transaction_Log'!$L$2:$L1000,$B973,'主表 Stock_Transaction_Log'!$F$2:$F1000,$C973,'主表 Stock_Transaction_Log'!$G$2:$G1000,$D973,'主表 Stock_Transaction_Log'!$P$2:$P1000,$L973)))</f>
        <v/>
      </c>
    </row>
    <row r="974">
      <c r="A974" s="173" t="str">
        <f>IF('主表 Stock_Transaction_Log'!$T974="","",IF(COUNTIF('主表 Stock_Transaction_Log'!$T$2:$T974,'主表 Stock_Transaction_Log'!$T974)=1,ROW('主表 Stock_Transaction_Log'!$T974),""))</f>
        <v/>
      </c>
      <c r="B974" s="173" t="str">
        <f t="array" ref="B974">IF($A974="","",INDEX('主表 Stock_Transaction_Log'!$Q:$Q,$A974))</f>
        <v/>
      </c>
      <c r="C974" s="173" t="str">
        <f t="array" ref="C974">IF($A974="","",IF(INDEX('主表 Stock_Transaction_Log'!$F:$F,$A974)=0,"",INDEX('主表 Stock_Transaction_Log'!$F:$F,$A974)))</f>
        <v/>
      </c>
      <c r="D974" s="173" t="str">
        <f t="array" ref="D974">IF($A974="","",INDEX('主表 Stock_Transaction_Log'!$G:$G,$A974))</f>
        <v/>
      </c>
      <c r="E974" s="173" t="str">
        <f t="array" ref="E974">IF($A974="","",INDEX('主表 Stock_Transaction_Log'!$H:$H,$A974))</f>
        <v/>
      </c>
      <c r="F974" s="173" t="str">
        <f t="array" ref="F974">IF($A974="","",INDEX('主表 Stock_Transaction_Log'!$I:$I,$A974))</f>
        <v/>
      </c>
      <c r="G974" s="173" t="str">
        <f t="array" ref="G974">IF($A974="","",IF(INDEX('主表 Stock_Transaction_Log'!$R:$R,$A974)=0,"",INDEX('主表 Stock_Transaction_Log'!$R:$R,$A974)))</f>
        <v/>
      </c>
      <c r="H974" s="173" t="str">
        <f t="array" ref="H974">IF($A974="","",SUMIF('主表 Stock_Transaction_Log'!$T:$T,INDEX('主表 Stock_Transaction_Log'!$T:$T,$A974),'主表 Stock_Transaction_Log'!$S:$S)+SUMIF('主表 Stock_Transaction_Log'!$AB:$AB,INDEX('主表 Stock_Transaction_Log'!$T:$T,$A974),'主表 Stock_Transaction_Log'!$AC:$AC))</f>
        <v/>
      </c>
      <c r="I974" s="173" t="str">
        <f t="shared" si="1"/>
        <v/>
      </c>
      <c r="J974" s="173" t="str">
        <f t="shared" si="2"/>
        <v/>
      </c>
      <c r="K974" s="173" t="str">
        <f t="shared" si="3"/>
        <v/>
      </c>
      <c r="L974" s="173" t="str">
        <f t="array" ref="L974">IF($A974="","",INDEX('主表 Stock_Transaction_Log'!$P:$P,$A974))</f>
        <v/>
      </c>
      <c r="M974" s="174" t="str">
        <f>IF($A974="","",IF($H974&lt;=0,0,SUMIFS('主表 Stock_Transaction_Log'!$K$2:$K1000,'主表 Stock_Transaction_Log'!$C$2:$C1000,"Prepared",'主表 Stock_Transaction_Log'!$L$2:$L1000,$B974,'主表 Stock_Transaction_Log'!$F$2:$F1000,$C974,'主表 Stock_Transaction_Log'!$G$2:$G1000,$D974,'主表 Stock_Transaction_Log'!$P$2:$P1000,$L974)))</f>
        <v/>
      </c>
    </row>
    <row r="975">
      <c r="A975" s="173" t="str">
        <f>IF('主表 Stock_Transaction_Log'!$T975="","",IF(COUNTIF('主表 Stock_Transaction_Log'!$T$2:$T975,'主表 Stock_Transaction_Log'!$T975)=1,ROW('主表 Stock_Transaction_Log'!$T975),""))</f>
        <v/>
      </c>
      <c r="B975" s="173" t="str">
        <f t="array" ref="B975">IF($A975="","",INDEX('主表 Stock_Transaction_Log'!$Q:$Q,$A975))</f>
        <v/>
      </c>
      <c r="C975" s="173" t="str">
        <f t="array" ref="C975">IF($A975="","",IF(INDEX('主表 Stock_Transaction_Log'!$F:$F,$A975)=0,"",INDEX('主表 Stock_Transaction_Log'!$F:$F,$A975)))</f>
        <v/>
      </c>
      <c r="D975" s="173" t="str">
        <f t="array" ref="D975">IF($A975="","",INDEX('主表 Stock_Transaction_Log'!$G:$G,$A975))</f>
        <v/>
      </c>
      <c r="E975" s="173" t="str">
        <f t="array" ref="E975">IF($A975="","",INDEX('主表 Stock_Transaction_Log'!$H:$H,$A975))</f>
        <v/>
      </c>
      <c r="F975" s="173" t="str">
        <f t="array" ref="F975">IF($A975="","",INDEX('主表 Stock_Transaction_Log'!$I:$I,$A975))</f>
        <v/>
      </c>
      <c r="G975" s="173" t="str">
        <f t="array" ref="G975">IF($A975="","",IF(INDEX('主表 Stock_Transaction_Log'!$R:$R,$A975)=0,"",INDEX('主表 Stock_Transaction_Log'!$R:$R,$A975)))</f>
        <v/>
      </c>
      <c r="H975" s="173" t="str">
        <f t="array" ref="H975">IF($A975="","",SUMIF('主表 Stock_Transaction_Log'!$T:$T,INDEX('主表 Stock_Transaction_Log'!$T:$T,$A975),'主表 Stock_Transaction_Log'!$S:$S)+SUMIF('主表 Stock_Transaction_Log'!$AB:$AB,INDEX('主表 Stock_Transaction_Log'!$T:$T,$A975),'主表 Stock_Transaction_Log'!$AC:$AC))</f>
        <v/>
      </c>
      <c r="I975" s="173" t="str">
        <f t="shared" si="1"/>
        <v/>
      </c>
      <c r="J975" s="173" t="str">
        <f t="shared" si="2"/>
        <v/>
      </c>
      <c r="K975" s="173" t="str">
        <f t="shared" si="3"/>
        <v/>
      </c>
      <c r="L975" s="173" t="str">
        <f t="array" ref="L975">IF($A975="","",INDEX('主表 Stock_Transaction_Log'!$P:$P,$A975))</f>
        <v/>
      </c>
      <c r="M975" s="174" t="str">
        <f>IF($A975="","",IF($H975&lt;=0,0,SUMIFS('主表 Stock_Transaction_Log'!$K$2:$K1000,'主表 Stock_Transaction_Log'!$C$2:$C1000,"Prepared",'主表 Stock_Transaction_Log'!$L$2:$L1000,$B975,'主表 Stock_Transaction_Log'!$F$2:$F1000,$C975,'主表 Stock_Transaction_Log'!$G$2:$G1000,$D975,'主表 Stock_Transaction_Log'!$P$2:$P1000,$L975)))</f>
        <v/>
      </c>
    </row>
    <row r="976">
      <c r="A976" s="173" t="str">
        <f>IF('主表 Stock_Transaction_Log'!$T976="","",IF(COUNTIF('主表 Stock_Transaction_Log'!$T$2:$T976,'主表 Stock_Transaction_Log'!$T976)=1,ROW('主表 Stock_Transaction_Log'!$T976),""))</f>
        <v/>
      </c>
      <c r="B976" s="173" t="str">
        <f t="array" ref="B976">IF($A976="","",INDEX('主表 Stock_Transaction_Log'!$Q:$Q,$A976))</f>
        <v/>
      </c>
      <c r="C976" s="173" t="str">
        <f t="array" ref="C976">IF($A976="","",IF(INDEX('主表 Stock_Transaction_Log'!$F:$F,$A976)=0,"",INDEX('主表 Stock_Transaction_Log'!$F:$F,$A976)))</f>
        <v/>
      </c>
      <c r="D976" s="173" t="str">
        <f t="array" ref="D976">IF($A976="","",INDEX('主表 Stock_Transaction_Log'!$G:$G,$A976))</f>
        <v/>
      </c>
      <c r="E976" s="173" t="str">
        <f t="array" ref="E976">IF($A976="","",INDEX('主表 Stock_Transaction_Log'!$H:$H,$A976))</f>
        <v/>
      </c>
      <c r="F976" s="173" t="str">
        <f t="array" ref="F976">IF($A976="","",INDEX('主表 Stock_Transaction_Log'!$I:$I,$A976))</f>
        <v/>
      </c>
      <c r="G976" s="173" t="str">
        <f t="array" ref="G976">IF($A976="","",IF(INDEX('主表 Stock_Transaction_Log'!$R:$R,$A976)=0,"",INDEX('主表 Stock_Transaction_Log'!$R:$R,$A976)))</f>
        <v/>
      </c>
      <c r="H976" s="173" t="str">
        <f t="array" ref="H976">IF($A976="","",SUMIF('主表 Stock_Transaction_Log'!$T:$T,INDEX('主表 Stock_Transaction_Log'!$T:$T,$A976),'主表 Stock_Transaction_Log'!$S:$S)+SUMIF('主表 Stock_Transaction_Log'!$AB:$AB,INDEX('主表 Stock_Transaction_Log'!$T:$T,$A976),'主表 Stock_Transaction_Log'!$AC:$AC))</f>
        <v/>
      </c>
      <c r="I976" s="173" t="str">
        <f t="shared" si="1"/>
        <v/>
      </c>
      <c r="J976" s="173" t="str">
        <f t="shared" si="2"/>
        <v/>
      </c>
      <c r="K976" s="173" t="str">
        <f t="shared" si="3"/>
        <v/>
      </c>
      <c r="L976" s="173" t="str">
        <f t="array" ref="L976">IF($A976="","",INDEX('主表 Stock_Transaction_Log'!$P:$P,$A976))</f>
        <v/>
      </c>
      <c r="M976" s="174" t="str">
        <f>IF($A976="","",IF($H976&lt;=0,0,SUMIFS('主表 Stock_Transaction_Log'!$K$2:$K1000,'主表 Stock_Transaction_Log'!$C$2:$C1000,"Prepared",'主表 Stock_Transaction_Log'!$L$2:$L1000,$B976,'主表 Stock_Transaction_Log'!$F$2:$F1000,$C976,'主表 Stock_Transaction_Log'!$G$2:$G1000,$D976,'主表 Stock_Transaction_Log'!$P$2:$P1000,$L976)))</f>
        <v/>
      </c>
    </row>
    <row r="977">
      <c r="A977" s="173" t="str">
        <f>IF('主表 Stock_Transaction_Log'!$T977="","",IF(COUNTIF('主表 Stock_Transaction_Log'!$T$2:$T977,'主表 Stock_Transaction_Log'!$T977)=1,ROW('主表 Stock_Transaction_Log'!$T977),""))</f>
        <v/>
      </c>
      <c r="B977" s="173" t="str">
        <f t="array" ref="B977">IF($A977="","",INDEX('主表 Stock_Transaction_Log'!$Q:$Q,$A977))</f>
        <v/>
      </c>
      <c r="C977" s="173" t="str">
        <f t="array" ref="C977">IF($A977="","",IF(INDEX('主表 Stock_Transaction_Log'!$F:$F,$A977)=0,"",INDEX('主表 Stock_Transaction_Log'!$F:$F,$A977)))</f>
        <v/>
      </c>
      <c r="D977" s="173" t="str">
        <f t="array" ref="D977">IF($A977="","",INDEX('主表 Stock_Transaction_Log'!$G:$G,$A977))</f>
        <v/>
      </c>
      <c r="E977" s="173" t="str">
        <f t="array" ref="E977">IF($A977="","",INDEX('主表 Stock_Transaction_Log'!$H:$H,$A977))</f>
        <v/>
      </c>
      <c r="F977" s="173" t="str">
        <f t="array" ref="F977">IF($A977="","",INDEX('主表 Stock_Transaction_Log'!$I:$I,$A977))</f>
        <v/>
      </c>
      <c r="G977" s="173" t="str">
        <f t="array" ref="G977">IF($A977="","",IF(INDEX('主表 Stock_Transaction_Log'!$R:$R,$A977)=0,"",INDEX('主表 Stock_Transaction_Log'!$R:$R,$A977)))</f>
        <v/>
      </c>
      <c r="H977" s="173" t="str">
        <f t="array" ref="H977">IF($A977="","",SUMIF('主表 Stock_Transaction_Log'!$T:$T,INDEX('主表 Stock_Transaction_Log'!$T:$T,$A977),'主表 Stock_Transaction_Log'!$S:$S)+SUMIF('主表 Stock_Transaction_Log'!$AB:$AB,INDEX('主表 Stock_Transaction_Log'!$T:$T,$A977),'主表 Stock_Transaction_Log'!$AC:$AC))</f>
        <v/>
      </c>
      <c r="I977" s="173" t="str">
        <f t="shared" si="1"/>
        <v/>
      </c>
      <c r="J977" s="173" t="str">
        <f t="shared" si="2"/>
        <v/>
      </c>
      <c r="K977" s="173" t="str">
        <f t="shared" si="3"/>
        <v/>
      </c>
      <c r="L977" s="173" t="str">
        <f t="array" ref="L977">IF($A977="","",INDEX('主表 Stock_Transaction_Log'!$P:$P,$A977))</f>
        <v/>
      </c>
      <c r="M977" s="174" t="str">
        <f>IF($A977="","",IF($H977&lt;=0,0,SUMIFS('主表 Stock_Transaction_Log'!$K$2:$K1000,'主表 Stock_Transaction_Log'!$C$2:$C1000,"Prepared",'主表 Stock_Transaction_Log'!$L$2:$L1000,$B977,'主表 Stock_Transaction_Log'!$F$2:$F1000,$C977,'主表 Stock_Transaction_Log'!$G$2:$G1000,$D977,'主表 Stock_Transaction_Log'!$P$2:$P1000,$L977)))</f>
        <v/>
      </c>
    </row>
    <row r="978">
      <c r="A978" s="173" t="str">
        <f>IF('主表 Stock_Transaction_Log'!$T978="","",IF(COUNTIF('主表 Stock_Transaction_Log'!$T$2:$T978,'主表 Stock_Transaction_Log'!$T978)=1,ROW('主表 Stock_Transaction_Log'!$T978),""))</f>
        <v/>
      </c>
      <c r="B978" s="173" t="str">
        <f t="array" ref="B978">IF($A978="","",INDEX('主表 Stock_Transaction_Log'!$Q:$Q,$A978))</f>
        <v/>
      </c>
      <c r="C978" s="173" t="str">
        <f t="array" ref="C978">IF($A978="","",IF(INDEX('主表 Stock_Transaction_Log'!$F:$F,$A978)=0,"",INDEX('主表 Stock_Transaction_Log'!$F:$F,$A978)))</f>
        <v/>
      </c>
      <c r="D978" s="173" t="str">
        <f t="array" ref="D978">IF($A978="","",INDEX('主表 Stock_Transaction_Log'!$G:$G,$A978))</f>
        <v/>
      </c>
      <c r="E978" s="173" t="str">
        <f t="array" ref="E978">IF($A978="","",INDEX('主表 Stock_Transaction_Log'!$H:$H,$A978))</f>
        <v/>
      </c>
      <c r="F978" s="173" t="str">
        <f t="array" ref="F978">IF($A978="","",INDEX('主表 Stock_Transaction_Log'!$I:$I,$A978))</f>
        <v/>
      </c>
      <c r="G978" s="173" t="str">
        <f t="array" ref="G978">IF($A978="","",IF(INDEX('主表 Stock_Transaction_Log'!$R:$R,$A978)=0,"",INDEX('主表 Stock_Transaction_Log'!$R:$R,$A978)))</f>
        <v/>
      </c>
      <c r="H978" s="173" t="str">
        <f t="array" ref="H978">IF($A978="","",SUMIF('主表 Stock_Transaction_Log'!$T:$T,INDEX('主表 Stock_Transaction_Log'!$T:$T,$A978),'主表 Stock_Transaction_Log'!$S:$S)+SUMIF('主表 Stock_Transaction_Log'!$AB:$AB,INDEX('主表 Stock_Transaction_Log'!$T:$T,$A978),'主表 Stock_Transaction_Log'!$AC:$AC))</f>
        <v/>
      </c>
      <c r="I978" s="173" t="str">
        <f t="shared" si="1"/>
        <v/>
      </c>
      <c r="J978" s="173" t="str">
        <f t="shared" si="2"/>
        <v/>
      </c>
      <c r="K978" s="173" t="str">
        <f t="shared" si="3"/>
        <v/>
      </c>
      <c r="L978" s="173" t="str">
        <f t="array" ref="L978">IF($A978="","",INDEX('主表 Stock_Transaction_Log'!$P:$P,$A978))</f>
        <v/>
      </c>
      <c r="M978" s="174" t="str">
        <f>IF($A978="","",IF($H978&lt;=0,0,SUMIFS('主表 Stock_Transaction_Log'!$K$2:$K1000,'主表 Stock_Transaction_Log'!$C$2:$C1000,"Prepared",'主表 Stock_Transaction_Log'!$L$2:$L1000,$B978,'主表 Stock_Transaction_Log'!$F$2:$F1000,$C978,'主表 Stock_Transaction_Log'!$G$2:$G1000,$D978,'主表 Stock_Transaction_Log'!$P$2:$P1000,$L978)))</f>
        <v/>
      </c>
    </row>
    <row r="979">
      <c r="A979" s="173" t="str">
        <f>IF('主表 Stock_Transaction_Log'!$T979="","",IF(COUNTIF('主表 Stock_Transaction_Log'!$T$2:$T979,'主表 Stock_Transaction_Log'!$T979)=1,ROW('主表 Stock_Transaction_Log'!$T979),""))</f>
        <v/>
      </c>
      <c r="B979" s="173" t="str">
        <f t="array" ref="B979">IF($A979="","",INDEX('主表 Stock_Transaction_Log'!$Q:$Q,$A979))</f>
        <v/>
      </c>
      <c r="C979" s="173" t="str">
        <f t="array" ref="C979">IF($A979="","",IF(INDEX('主表 Stock_Transaction_Log'!$F:$F,$A979)=0,"",INDEX('主表 Stock_Transaction_Log'!$F:$F,$A979)))</f>
        <v/>
      </c>
      <c r="D979" s="173" t="str">
        <f t="array" ref="D979">IF($A979="","",INDEX('主表 Stock_Transaction_Log'!$G:$G,$A979))</f>
        <v/>
      </c>
      <c r="E979" s="173" t="str">
        <f t="array" ref="E979">IF($A979="","",INDEX('主表 Stock_Transaction_Log'!$H:$H,$A979))</f>
        <v/>
      </c>
      <c r="F979" s="173" t="str">
        <f t="array" ref="F979">IF($A979="","",INDEX('主表 Stock_Transaction_Log'!$I:$I,$A979))</f>
        <v/>
      </c>
      <c r="G979" s="173" t="str">
        <f t="array" ref="G979">IF($A979="","",IF(INDEX('主表 Stock_Transaction_Log'!$R:$R,$A979)=0,"",INDEX('主表 Stock_Transaction_Log'!$R:$R,$A979)))</f>
        <v/>
      </c>
      <c r="H979" s="173" t="str">
        <f t="array" ref="H979">IF($A979="","",SUMIF('主表 Stock_Transaction_Log'!$T:$T,INDEX('主表 Stock_Transaction_Log'!$T:$T,$A979),'主表 Stock_Transaction_Log'!$S:$S)+SUMIF('主表 Stock_Transaction_Log'!$AB:$AB,INDEX('主表 Stock_Transaction_Log'!$T:$T,$A979),'主表 Stock_Transaction_Log'!$AC:$AC))</f>
        <v/>
      </c>
      <c r="I979" s="173" t="str">
        <f t="shared" si="1"/>
        <v/>
      </c>
      <c r="J979" s="173" t="str">
        <f t="shared" si="2"/>
        <v/>
      </c>
      <c r="K979" s="173" t="str">
        <f t="shared" si="3"/>
        <v/>
      </c>
      <c r="L979" s="173" t="str">
        <f t="array" ref="L979">IF($A979="","",INDEX('主表 Stock_Transaction_Log'!$P:$P,$A979))</f>
        <v/>
      </c>
      <c r="M979" s="174" t="str">
        <f>IF($A979="","",IF($H979&lt;=0,0,SUMIFS('主表 Stock_Transaction_Log'!$K$2:$K1000,'主表 Stock_Transaction_Log'!$C$2:$C1000,"Prepared",'主表 Stock_Transaction_Log'!$L$2:$L1000,$B979,'主表 Stock_Transaction_Log'!$F$2:$F1000,$C979,'主表 Stock_Transaction_Log'!$G$2:$G1000,$D979,'主表 Stock_Transaction_Log'!$P$2:$P1000,$L979)))</f>
        <v/>
      </c>
    </row>
    <row r="980">
      <c r="A980" s="173" t="str">
        <f>IF('主表 Stock_Transaction_Log'!$T980="","",IF(COUNTIF('主表 Stock_Transaction_Log'!$T$2:$T980,'主表 Stock_Transaction_Log'!$T980)=1,ROW('主表 Stock_Transaction_Log'!$T980),""))</f>
        <v/>
      </c>
      <c r="B980" s="173" t="str">
        <f t="array" ref="B980">IF($A980="","",INDEX('主表 Stock_Transaction_Log'!$Q:$Q,$A980))</f>
        <v/>
      </c>
      <c r="C980" s="173" t="str">
        <f t="array" ref="C980">IF($A980="","",IF(INDEX('主表 Stock_Transaction_Log'!$F:$F,$A980)=0,"",INDEX('主表 Stock_Transaction_Log'!$F:$F,$A980)))</f>
        <v/>
      </c>
      <c r="D980" s="173" t="str">
        <f t="array" ref="D980">IF($A980="","",INDEX('主表 Stock_Transaction_Log'!$G:$G,$A980))</f>
        <v/>
      </c>
      <c r="E980" s="173" t="str">
        <f t="array" ref="E980">IF($A980="","",INDEX('主表 Stock_Transaction_Log'!$H:$H,$A980))</f>
        <v/>
      </c>
      <c r="F980" s="173" t="str">
        <f t="array" ref="F980">IF($A980="","",INDEX('主表 Stock_Transaction_Log'!$I:$I,$A980))</f>
        <v/>
      </c>
      <c r="G980" s="173" t="str">
        <f t="array" ref="G980">IF($A980="","",IF(INDEX('主表 Stock_Transaction_Log'!$R:$R,$A980)=0,"",INDEX('主表 Stock_Transaction_Log'!$R:$R,$A980)))</f>
        <v/>
      </c>
      <c r="H980" s="173" t="str">
        <f t="array" ref="H980">IF($A980="","",SUMIF('主表 Stock_Transaction_Log'!$T:$T,INDEX('主表 Stock_Transaction_Log'!$T:$T,$A980),'主表 Stock_Transaction_Log'!$S:$S)+SUMIF('主表 Stock_Transaction_Log'!$AB:$AB,INDEX('主表 Stock_Transaction_Log'!$T:$T,$A980),'主表 Stock_Transaction_Log'!$AC:$AC))</f>
        <v/>
      </c>
      <c r="I980" s="173" t="str">
        <f t="shared" si="1"/>
        <v/>
      </c>
      <c r="J980" s="173" t="str">
        <f t="shared" si="2"/>
        <v/>
      </c>
      <c r="K980" s="173" t="str">
        <f t="shared" si="3"/>
        <v/>
      </c>
      <c r="L980" s="173" t="str">
        <f t="array" ref="L980">IF($A980="","",INDEX('主表 Stock_Transaction_Log'!$P:$P,$A980))</f>
        <v/>
      </c>
      <c r="M980" s="174" t="str">
        <f>IF($A980="","",IF($H980&lt;=0,0,SUMIFS('主表 Stock_Transaction_Log'!$K$2:$K1000,'主表 Stock_Transaction_Log'!$C$2:$C1000,"Prepared",'主表 Stock_Transaction_Log'!$L$2:$L1000,$B980,'主表 Stock_Transaction_Log'!$F$2:$F1000,$C980,'主表 Stock_Transaction_Log'!$G$2:$G1000,$D980,'主表 Stock_Transaction_Log'!$P$2:$P1000,$L980)))</f>
        <v/>
      </c>
    </row>
    <row r="981">
      <c r="A981" s="173" t="str">
        <f>IF('主表 Stock_Transaction_Log'!$T981="","",IF(COUNTIF('主表 Stock_Transaction_Log'!$T$2:$T981,'主表 Stock_Transaction_Log'!$T981)=1,ROW('主表 Stock_Transaction_Log'!$T981),""))</f>
        <v/>
      </c>
      <c r="B981" s="173" t="str">
        <f t="array" ref="B981">IF($A981="","",INDEX('主表 Stock_Transaction_Log'!$Q:$Q,$A981))</f>
        <v/>
      </c>
      <c r="C981" s="173" t="str">
        <f t="array" ref="C981">IF($A981="","",IF(INDEX('主表 Stock_Transaction_Log'!$F:$F,$A981)=0,"",INDEX('主表 Stock_Transaction_Log'!$F:$F,$A981)))</f>
        <v/>
      </c>
      <c r="D981" s="173" t="str">
        <f t="array" ref="D981">IF($A981="","",INDEX('主表 Stock_Transaction_Log'!$G:$G,$A981))</f>
        <v/>
      </c>
      <c r="E981" s="173" t="str">
        <f t="array" ref="E981">IF($A981="","",INDEX('主表 Stock_Transaction_Log'!$H:$H,$A981))</f>
        <v/>
      </c>
      <c r="F981" s="173" t="str">
        <f t="array" ref="F981">IF($A981="","",INDEX('主表 Stock_Transaction_Log'!$I:$I,$A981))</f>
        <v/>
      </c>
      <c r="G981" s="173" t="str">
        <f t="array" ref="G981">IF($A981="","",IF(INDEX('主表 Stock_Transaction_Log'!$R:$R,$A981)=0,"",INDEX('主表 Stock_Transaction_Log'!$R:$R,$A981)))</f>
        <v/>
      </c>
      <c r="H981" s="173" t="str">
        <f t="array" ref="H981">IF($A981="","",SUMIF('主表 Stock_Transaction_Log'!$T:$T,INDEX('主表 Stock_Transaction_Log'!$T:$T,$A981),'主表 Stock_Transaction_Log'!$S:$S)+SUMIF('主表 Stock_Transaction_Log'!$AB:$AB,INDEX('主表 Stock_Transaction_Log'!$T:$T,$A981),'主表 Stock_Transaction_Log'!$AC:$AC))</f>
        <v/>
      </c>
      <c r="I981" s="173" t="str">
        <f t="shared" si="1"/>
        <v/>
      </c>
      <c r="J981" s="173" t="str">
        <f t="shared" si="2"/>
        <v/>
      </c>
      <c r="K981" s="173" t="str">
        <f t="shared" si="3"/>
        <v/>
      </c>
      <c r="L981" s="173" t="str">
        <f t="array" ref="L981">IF($A981="","",INDEX('主表 Stock_Transaction_Log'!$P:$P,$A981))</f>
        <v/>
      </c>
      <c r="M981" s="174" t="str">
        <f>IF($A981="","",IF($H981&lt;=0,0,SUMIFS('主表 Stock_Transaction_Log'!$K$2:$K1000,'主表 Stock_Transaction_Log'!$C$2:$C1000,"Prepared",'主表 Stock_Transaction_Log'!$L$2:$L1000,$B981,'主表 Stock_Transaction_Log'!$F$2:$F1000,$C981,'主表 Stock_Transaction_Log'!$G$2:$G1000,$D981,'主表 Stock_Transaction_Log'!$P$2:$P1000,$L981)))</f>
        <v/>
      </c>
    </row>
    <row r="982">
      <c r="A982" s="173" t="str">
        <f>IF('主表 Stock_Transaction_Log'!$T982="","",IF(COUNTIF('主表 Stock_Transaction_Log'!$T$2:$T982,'主表 Stock_Transaction_Log'!$T982)=1,ROW('主表 Stock_Transaction_Log'!$T982),""))</f>
        <v/>
      </c>
      <c r="B982" s="173" t="str">
        <f t="array" ref="B982">IF($A982="","",INDEX('主表 Stock_Transaction_Log'!$Q:$Q,$A982))</f>
        <v/>
      </c>
      <c r="C982" s="173" t="str">
        <f t="array" ref="C982">IF($A982="","",IF(INDEX('主表 Stock_Transaction_Log'!$F:$F,$A982)=0,"",INDEX('主表 Stock_Transaction_Log'!$F:$F,$A982)))</f>
        <v/>
      </c>
      <c r="D982" s="173" t="str">
        <f t="array" ref="D982">IF($A982="","",INDEX('主表 Stock_Transaction_Log'!$G:$G,$A982))</f>
        <v/>
      </c>
      <c r="E982" s="173" t="str">
        <f t="array" ref="E982">IF($A982="","",INDEX('主表 Stock_Transaction_Log'!$H:$H,$A982))</f>
        <v/>
      </c>
      <c r="F982" s="173" t="str">
        <f t="array" ref="F982">IF($A982="","",INDEX('主表 Stock_Transaction_Log'!$I:$I,$A982))</f>
        <v/>
      </c>
      <c r="G982" s="173" t="str">
        <f t="array" ref="G982">IF($A982="","",IF(INDEX('主表 Stock_Transaction_Log'!$R:$R,$A982)=0,"",INDEX('主表 Stock_Transaction_Log'!$R:$R,$A982)))</f>
        <v/>
      </c>
      <c r="H982" s="173" t="str">
        <f t="array" ref="H982">IF($A982="","",SUMIF('主表 Stock_Transaction_Log'!$T:$T,INDEX('主表 Stock_Transaction_Log'!$T:$T,$A982),'主表 Stock_Transaction_Log'!$S:$S)+SUMIF('主表 Stock_Transaction_Log'!$AB:$AB,INDEX('主表 Stock_Transaction_Log'!$T:$T,$A982),'主表 Stock_Transaction_Log'!$AC:$AC))</f>
        <v/>
      </c>
      <c r="I982" s="173" t="str">
        <f t="shared" si="1"/>
        <v/>
      </c>
      <c r="J982" s="173" t="str">
        <f t="shared" si="2"/>
        <v/>
      </c>
      <c r="K982" s="173" t="str">
        <f t="shared" si="3"/>
        <v/>
      </c>
      <c r="L982" s="173" t="str">
        <f t="array" ref="L982">IF($A982="","",INDEX('主表 Stock_Transaction_Log'!$P:$P,$A982))</f>
        <v/>
      </c>
      <c r="M982" s="174" t="str">
        <f>IF($A982="","",IF($H982&lt;=0,0,SUMIFS('主表 Stock_Transaction_Log'!$K$2:$K1000,'主表 Stock_Transaction_Log'!$C$2:$C1000,"Prepared",'主表 Stock_Transaction_Log'!$L$2:$L1000,$B982,'主表 Stock_Transaction_Log'!$F$2:$F1000,$C982,'主表 Stock_Transaction_Log'!$G$2:$G1000,$D982,'主表 Stock_Transaction_Log'!$P$2:$P1000,$L982)))</f>
        <v/>
      </c>
    </row>
    <row r="983">
      <c r="A983" s="173" t="str">
        <f>IF('主表 Stock_Transaction_Log'!$T983="","",IF(COUNTIF('主表 Stock_Transaction_Log'!$T$2:$T983,'主表 Stock_Transaction_Log'!$T983)=1,ROW('主表 Stock_Transaction_Log'!$T983),""))</f>
        <v/>
      </c>
      <c r="B983" s="173" t="str">
        <f t="array" ref="B983">IF($A983="","",INDEX('主表 Stock_Transaction_Log'!$Q:$Q,$A983))</f>
        <v/>
      </c>
      <c r="C983" s="173" t="str">
        <f t="array" ref="C983">IF($A983="","",IF(INDEX('主表 Stock_Transaction_Log'!$F:$F,$A983)=0,"",INDEX('主表 Stock_Transaction_Log'!$F:$F,$A983)))</f>
        <v/>
      </c>
      <c r="D983" s="173" t="str">
        <f t="array" ref="D983">IF($A983="","",INDEX('主表 Stock_Transaction_Log'!$G:$G,$A983))</f>
        <v/>
      </c>
      <c r="E983" s="173" t="str">
        <f t="array" ref="E983">IF($A983="","",INDEX('主表 Stock_Transaction_Log'!$H:$H,$A983))</f>
        <v/>
      </c>
      <c r="F983" s="173" t="str">
        <f t="array" ref="F983">IF($A983="","",INDEX('主表 Stock_Transaction_Log'!$I:$I,$A983))</f>
        <v/>
      </c>
      <c r="G983" s="173" t="str">
        <f t="array" ref="G983">IF($A983="","",IF(INDEX('主表 Stock_Transaction_Log'!$R:$R,$A983)=0,"",INDEX('主表 Stock_Transaction_Log'!$R:$R,$A983)))</f>
        <v/>
      </c>
      <c r="H983" s="173" t="str">
        <f t="array" ref="H983">IF($A983="","",SUMIF('主表 Stock_Transaction_Log'!$T:$T,INDEX('主表 Stock_Transaction_Log'!$T:$T,$A983),'主表 Stock_Transaction_Log'!$S:$S)+SUMIF('主表 Stock_Transaction_Log'!$AB:$AB,INDEX('主表 Stock_Transaction_Log'!$T:$T,$A983),'主表 Stock_Transaction_Log'!$AC:$AC))</f>
        <v/>
      </c>
      <c r="I983" s="173" t="str">
        <f t="shared" si="1"/>
        <v/>
      </c>
      <c r="J983" s="173" t="str">
        <f t="shared" si="2"/>
        <v/>
      </c>
      <c r="K983" s="173" t="str">
        <f t="shared" si="3"/>
        <v/>
      </c>
      <c r="L983" s="173" t="str">
        <f t="array" ref="L983">IF($A983="","",INDEX('主表 Stock_Transaction_Log'!$P:$P,$A983))</f>
        <v/>
      </c>
      <c r="M983" s="174" t="str">
        <f>IF($A983="","",IF($H983&lt;=0,0,SUMIFS('主表 Stock_Transaction_Log'!$K$2:$K1000,'主表 Stock_Transaction_Log'!$C$2:$C1000,"Prepared",'主表 Stock_Transaction_Log'!$L$2:$L1000,$B983,'主表 Stock_Transaction_Log'!$F$2:$F1000,$C983,'主表 Stock_Transaction_Log'!$G$2:$G1000,$D983,'主表 Stock_Transaction_Log'!$P$2:$P1000,$L983)))</f>
        <v/>
      </c>
    </row>
    <row r="984">
      <c r="A984" s="173" t="str">
        <f>IF('主表 Stock_Transaction_Log'!$T984="","",IF(COUNTIF('主表 Stock_Transaction_Log'!$T$2:$T984,'主表 Stock_Transaction_Log'!$T984)=1,ROW('主表 Stock_Transaction_Log'!$T984),""))</f>
        <v/>
      </c>
      <c r="B984" s="173" t="str">
        <f t="array" ref="B984">IF($A984="","",INDEX('主表 Stock_Transaction_Log'!$Q:$Q,$A984))</f>
        <v/>
      </c>
      <c r="C984" s="173" t="str">
        <f t="array" ref="C984">IF($A984="","",IF(INDEX('主表 Stock_Transaction_Log'!$F:$F,$A984)=0,"",INDEX('主表 Stock_Transaction_Log'!$F:$F,$A984)))</f>
        <v/>
      </c>
      <c r="D984" s="173" t="str">
        <f t="array" ref="D984">IF($A984="","",INDEX('主表 Stock_Transaction_Log'!$G:$G,$A984))</f>
        <v/>
      </c>
      <c r="E984" s="173" t="str">
        <f t="array" ref="E984">IF($A984="","",INDEX('主表 Stock_Transaction_Log'!$H:$H,$A984))</f>
        <v/>
      </c>
      <c r="F984" s="173" t="str">
        <f t="array" ref="F984">IF($A984="","",INDEX('主表 Stock_Transaction_Log'!$I:$I,$A984))</f>
        <v/>
      </c>
      <c r="G984" s="173" t="str">
        <f t="array" ref="G984">IF($A984="","",IF(INDEX('主表 Stock_Transaction_Log'!$R:$R,$A984)=0,"",INDEX('主表 Stock_Transaction_Log'!$R:$R,$A984)))</f>
        <v/>
      </c>
      <c r="H984" s="173" t="str">
        <f t="array" ref="H984">IF($A984="","",SUMIF('主表 Stock_Transaction_Log'!$T:$T,INDEX('主表 Stock_Transaction_Log'!$T:$T,$A984),'主表 Stock_Transaction_Log'!$S:$S)+SUMIF('主表 Stock_Transaction_Log'!$AB:$AB,INDEX('主表 Stock_Transaction_Log'!$T:$T,$A984),'主表 Stock_Transaction_Log'!$AC:$AC))</f>
        <v/>
      </c>
      <c r="I984" s="173" t="str">
        <f t="shared" si="1"/>
        <v/>
      </c>
      <c r="J984" s="173" t="str">
        <f t="shared" si="2"/>
        <v/>
      </c>
      <c r="K984" s="173" t="str">
        <f t="shared" si="3"/>
        <v/>
      </c>
      <c r="L984" s="173" t="str">
        <f t="array" ref="L984">IF($A984="","",INDEX('主表 Stock_Transaction_Log'!$P:$P,$A984))</f>
        <v/>
      </c>
      <c r="M984" s="174" t="str">
        <f>IF($A984="","",IF($H984&lt;=0,0,SUMIFS('主表 Stock_Transaction_Log'!$K$2:$K1000,'主表 Stock_Transaction_Log'!$C$2:$C1000,"Prepared",'主表 Stock_Transaction_Log'!$L$2:$L1000,$B984,'主表 Stock_Transaction_Log'!$F$2:$F1000,$C984,'主表 Stock_Transaction_Log'!$G$2:$G1000,$D984,'主表 Stock_Transaction_Log'!$P$2:$P1000,$L984)))</f>
        <v/>
      </c>
    </row>
    <row r="985">
      <c r="A985" s="173" t="str">
        <f>IF('主表 Stock_Transaction_Log'!$T985="","",IF(COUNTIF('主表 Stock_Transaction_Log'!$T$2:$T985,'主表 Stock_Transaction_Log'!$T985)=1,ROW('主表 Stock_Transaction_Log'!$T985),""))</f>
        <v/>
      </c>
      <c r="B985" s="173" t="str">
        <f t="array" ref="B985">IF($A985="","",INDEX('主表 Stock_Transaction_Log'!$Q:$Q,$A985))</f>
        <v/>
      </c>
      <c r="C985" s="173" t="str">
        <f t="array" ref="C985">IF($A985="","",IF(INDEX('主表 Stock_Transaction_Log'!$F:$F,$A985)=0,"",INDEX('主表 Stock_Transaction_Log'!$F:$F,$A985)))</f>
        <v/>
      </c>
      <c r="D985" s="173" t="str">
        <f t="array" ref="D985">IF($A985="","",INDEX('主表 Stock_Transaction_Log'!$G:$G,$A985))</f>
        <v/>
      </c>
      <c r="E985" s="173" t="str">
        <f t="array" ref="E985">IF($A985="","",INDEX('主表 Stock_Transaction_Log'!$H:$H,$A985))</f>
        <v/>
      </c>
      <c r="F985" s="173" t="str">
        <f t="array" ref="F985">IF($A985="","",INDEX('主表 Stock_Transaction_Log'!$I:$I,$A985))</f>
        <v/>
      </c>
      <c r="G985" s="173" t="str">
        <f t="array" ref="G985">IF($A985="","",IF(INDEX('主表 Stock_Transaction_Log'!$R:$R,$A985)=0,"",INDEX('主表 Stock_Transaction_Log'!$R:$R,$A985)))</f>
        <v/>
      </c>
      <c r="H985" s="173" t="str">
        <f t="array" ref="H985">IF($A985="","",SUMIF('主表 Stock_Transaction_Log'!$T:$T,INDEX('主表 Stock_Transaction_Log'!$T:$T,$A985),'主表 Stock_Transaction_Log'!$S:$S)+SUMIF('主表 Stock_Transaction_Log'!$AB:$AB,INDEX('主表 Stock_Transaction_Log'!$T:$T,$A985),'主表 Stock_Transaction_Log'!$AC:$AC))</f>
        <v/>
      </c>
      <c r="I985" s="173" t="str">
        <f t="shared" si="1"/>
        <v/>
      </c>
      <c r="J985" s="173" t="str">
        <f t="shared" si="2"/>
        <v/>
      </c>
      <c r="K985" s="173" t="str">
        <f t="shared" si="3"/>
        <v/>
      </c>
      <c r="L985" s="173" t="str">
        <f t="array" ref="L985">IF($A985="","",INDEX('主表 Stock_Transaction_Log'!$P:$P,$A985))</f>
        <v/>
      </c>
      <c r="M985" s="174" t="str">
        <f>IF($A985="","",IF($H985&lt;=0,0,SUMIFS('主表 Stock_Transaction_Log'!$K$2:$K1000,'主表 Stock_Transaction_Log'!$C$2:$C1000,"Prepared",'主表 Stock_Transaction_Log'!$L$2:$L1000,$B985,'主表 Stock_Transaction_Log'!$F$2:$F1000,$C985,'主表 Stock_Transaction_Log'!$G$2:$G1000,$D985,'主表 Stock_Transaction_Log'!$P$2:$P1000,$L985)))</f>
        <v/>
      </c>
    </row>
    <row r="986">
      <c r="A986" s="173" t="str">
        <f>IF('主表 Stock_Transaction_Log'!$T986="","",IF(COUNTIF('主表 Stock_Transaction_Log'!$T$2:$T986,'主表 Stock_Transaction_Log'!$T986)=1,ROW('主表 Stock_Transaction_Log'!$T986),""))</f>
        <v/>
      </c>
      <c r="B986" s="173" t="str">
        <f t="array" ref="B986">IF($A986="","",INDEX('主表 Stock_Transaction_Log'!$Q:$Q,$A986))</f>
        <v/>
      </c>
      <c r="C986" s="173" t="str">
        <f t="array" ref="C986">IF($A986="","",IF(INDEX('主表 Stock_Transaction_Log'!$F:$F,$A986)=0,"",INDEX('主表 Stock_Transaction_Log'!$F:$F,$A986)))</f>
        <v/>
      </c>
      <c r="D986" s="173" t="str">
        <f t="array" ref="D986">IF($A986="","",INDEX('主表 Stock_Transaction_Log'!$G:$G,$A986))</f>
        <v/>
      </c>
      <c r="E986" s="173" t="str">
        <f t="array" ref="E986">IF($A986="","",INDEX('主表 Stock_Transaction_Log'!$H:$H,$A986))</f>
        <v/>
      </c>
      <c r="F986" s="173" t="str">
        <f t="array" ref="F986">IF($A986="","",INDEX('主表 Stock_Transaction_Log'!$I:$I,$A986))</f>
        <v/>
      </c>
      <c r="G986" s="173" t="str">
        <f t="array" ref="G986">IF($A986="","",IF(INDEX('主表 Stock_Transaction_Log'!$R:$R,$A986)=0,"",INDEX('主表 Stock_Transaction_Log'!$R:$R,$A986)))</f>
        <v/>
      </c>
      <c r="H986" s="173" t="str">
        <f t="array" ref="H986">IF($A986="","",SUMIF('主表 Stock_Transaction_Log'!$T:$T,INDEX('主表 Stock_Transaction_Log'!$T:$T,$A986),'主表 Stock_Transaction_Log'!$S:$S)+SUMIF('主表 Stock_Transaction_Log'!$AB:$AB,INDEX('主表 Stock_Transaction_Log'!$T:$T,$A986),'主表 Stock_Transaction_Log'!$AC:$AC))</f>
        <v/>
      </c>
      <c r="I986" s="173" t="str">
        <f t="shared" si="1"/>
        <v/>
      </c>
      <c r="J986" s="173" t="str">
        <f t="shared" si="2"/>
        <v/>
      </c>
      <c r="K986" s="173" t="str">
        <f t="shared" si="3"/>
        <v/>
      </c>
      <c r="L986" s="173" t="str">
        <f t="array" ref="L986">IF($A986="","",INDEX('主表 Stock_Transaction_Log'!$P:$P,$A986))</f>
        <v/>
      </c>
      <c r="M986" s="174" t="str">
        <f>IF($A986="","",IF($H986&lt;=0,0,SUMIFS('主表 Stock_Transaction_Log'!$K$2:$K1000,'主表 Stock_Transaction_Log'!$C$2:$C1000,"Prepared",'主表 Stock_Transaction_Log'!$L$2:$L1000,$B986,'主表 Stock_Transaction_Log'!$F$2:$F1000,$C986,'主表 Stock_Transaction_Log'!$G$2:$G1000,$D986,'主表 Stock_Transaction_Log'!$P$2:$P1000,$L986)))</f>
        <v/>
      </c>
    </row>
    <row r="987">
      <c r="A987" s="173" t="str">
        <f>IF('主表 Stock_Transaction_Log'!$T987="","",IF(COUNTIF('主表 Stock_Transaction_Log'!$T$2:$T987,'主表 Stock_Transaction_Log'!$T987)=1,ROW('主表 Stock_Transaction_Log'!$T987),""))</f>
        <v/>
      </c>
      <c r="B987" s="173" t="str">
        <f t="array" ref="B987">IF($A987="","",INDEX('主表 Stock_Transaction_Log'!$Q:$Q,$A987))</f>
        <v/>
      </c>
      <c r="C987" s="173" t="str">
        <f t="array" ref="C987">IF($A987="","",IF(INDEX('主表 Stock_Transaction_Log'!$F:$F,$A987)=0,"",INDEX('主表 Stock_Transaction_Log'!$F:$F,$A987)))</f>
        <v/>
      </c>
      <c r="D987" s="173" t="str">
        <f t="array" ref="D987">IF($A987="","",INDEX('主表 Stock_Transaction_Log'!$G:$G,$A987))</f>
        <v/>
      </c>
      <c r="E987" s="173" t="str">
        <f t="array" ref="E987">IF($A987="","",INDEX('主表 Stock_Transaction_Log'!$H:$H,$A987))</f>
        <v/>
      </c>
      <c r="F987" s="173" t="str">
        <f t="array" ref="F987">IF($A987="","",INDEX('主表 Stock_Transaction_Log'!$I:$I,$A987))</f>
        <v/>
      </c>
      <c r="G987" s="173" t="str">
        <f t="array" ref="G987">IF($A987="","",IF(INDEX('主表 Stock_Transaction_Log'!$R:$R,$A987)=0,"",INDEX('主表 Stock_Transaction_Log'!$R:$R,$A987)))</f>
        <v/>
      </c>
      <c r="H987" s="173" t="str">
        <f t="array" ref="H987">IF($A987="","",SUMIF('主表 Stock_Transaction_Log'!$T:$T,INDEX('主表 Stock_Transaction_Log'!$T:$T,$A987),'主表 Stock_Transaction_Log'!$S:$S)+SUMIF('主表 Stock_Transaction_Log'!$AB:$AB,INDEX('主表 Stock_Transaction_Log'!$T:$T,$A987),'主表 Stock_Transaction_Log'!$AC:$AC))</f>
        <v/>
      </c>
      <c r="I987" s="173" t="str">
        <f t="shared" si="1"/>
        <v/>
      </c>
      <c r="J987" s="173" t="str">
        <f t="shared" si="2"/>
        <v/>
      </c>
      <c r="K987" s="173" t="str">
        <f t="shared" si="3"/>
        <v/>
      </c>
      <c r="L987" s="173" t="str">
        <f t="array" ref="L987">IF($A987="","",INDEX('主表 Stock_Transaction_Log'!$P:$P,$A987))</f>
        <v/>
      </c>
      <c r="M987" s="174" t="str">
        <f>IF($A987="","",IF($H987&lt;=0,0,SUMIFS('主表 Stock_Transaction_Log'!$K$2:$K1000,'主表 Stock_Transaction_Log'!$C$2:$C1000,"Prepared",'主表 Stock_Transaction_Log'!$L$2:$L1000,$B987,'主表 Stock_Transaction_Log'!$F$2:$F1000,$C987,'主表 Stock_Transaction_Log'!$G$2:$G1000,$D987,'主表 Stock_Transaction_Log'!$P$2:$P1000,$L987)))</f>
        <v/>
      </c>
    </row>
    <row r="988">
      <c r="A988" s="173" t="str">
        <f>IF('主表 Stock_Transaction_Log'!$T988="","",IF(COUNTIF('主表 Stock_Transaction_Log'!$T$2:$T988,'主表 Stock_Transaction_Log'!$T988)=1,ROW('主表 Stock_Transaction_Log'!$T988),""))</f>
        <v/>
      </c>
      <c r="B988" s="173" t="str">
        <f t="array" ref="B988">IF($A988="","",INDEX('主表 Stock_Transaction_Log'!$Q:$Q,$A988))</f>
        <v/>
      </c>
      <c r="C988" s="173" t="str">
        <f t="array" ref="C988">IF($A988="","",IF(INDEX('主表 Stock_Transaction_Log'!$F:$F,$A988)=0,"",INDEX('主表 Stock_Transaction_Log'!$F:$F,$A988)))</f>
        <v/>
      </c>
      <c r="D988" s="173" t="str">
        <f t="array" ref="D988">IF($A988="","",INDEX('主表 Stock_Transaction_Log'!$G:$G,$A988))</f>
        <v/>
      </c>
      <c r="E988" s="173" t="str">
        <f t="array" ref="E988">IF($A988="","",INDEX('主表 Stock_Transaction_Log'!$H:$H,$A988))</f>
        <v/>
      </c>
      <c r="F988" s="173" t="str">
        <f t="array" ref="F988">IF($A988="","",INDEX('主表 Stock_Transaction_Log'!$I:$I,$A988))</f>
        <v/>
      </c>
      <c r="G988" s="173" t="str">
        <f t="array" ref="G988">IF($A988="","",IF(INDEX('主表 Stock_Transaction_Log'!$R:$R,$A988)=0,"",INDEX('主表 Stock_Transaction_Log'!$R:$R,$A988)))</f>
        <v/>
      </c>
      <c r="H988" s="173" t="str">
        <f t="array" ref="H988">IF($A988="","",SUMIF('主表 Stock_Transaction_Log'!$T:$T,INDEX('主表 Stock_Transaction_Log'!$T:$T,$A988),'主表 Stock_Transaction_Log'!$S:$S)+SUMIF('主表 Stock_Transaction_Log'!$AB:$AB,INDEX('主表 Stock_Transaction_Log'!$T:$T,$A988),'主表 Stock_Transaction_Log'!$AC:$AC))</f>
        <v/>
      </c>
      <c r="I988" s="173" t="str">
        <f t="shared" si="1"/>
        <v/>
      </c>
      <c r="J988" s="173" t="str">
        <f t="shared" si="2"/>
        <v/>
      </c>
      <c r="K988" s="173" t="str">
        <f t="shared" si="3"/>
        <v/>
      </c>
      <c r="L988" s="173" t="str">
        <f t="array" ref="L988">IF($A988="","",INDEX('主表 Stock_Transaction_Log'!$P:$P,$A988))</f>
        <v/>
      </c>
      <c r="M988" s="174" t="str">
        <f>IF($A988="","",IF($H988&lt;=0,0,SUMIFS('主表 Stock_Transaction_Log'!$K$2:$K1000,'主表 Stock_Transaction_Log'!$C$2:$C1000,"Prepared",'主表 Stock_Transaction_Log'!$L$2:$L1000,$B988,'主表 Stock_Transaction_Log'!$F$2:$F1000,$C988,'主表 Stock_Transaction_Log'!$G$2:$G1000,$D988,'主表 Stock_Transaction_Log'!$P$2:$P1000,$L988)))</f>
        <v/>
      </c>
    </row>
    <row r="989">
      <c r="A989" s="173" t="str">
        <f>IF('主表 Stock_Transaction_Log'!$T989="","",IF(COUNTIF('主表 Stock_Transaction_Log'!$T$2:$T989,'主表 Stock_Transaction_Log'!$T989)=1,ROW('主表 Stock_Transaction_Log'!$T989),""))</f>
        <v/>
      </c>
      <c r="B989" s="173" t="str">
        <f t="array" ref="B989">IF($A989="","",INDEX('主表 Stock_Transaction_Log'!$Q:$Q,$A989))</f>
        <v/>
      </c>
      <c r="C989" s="173" t="str">
        <f t="array" ref="C989">IF($A989="","",IF(INDEX('主表 Stock_Transaction_Log'!$F:$F,$A989)=0,"",INDEX('主表 Stock_Transaction_Log'!$F:$F,$A989)))</f>
        <v/>
      </c>
      <c r="D989" s="173" t="str">
        <f t="array" ref="D989">IF($A989="","",INDEX('主表 Stock_Transaction_Log'!$G:$G,$A989))</f>
        <v/>
      </c>
      <c r="E989" s="173" t="str">
        <f t="array" ref="E989">IF($A989="","",INDEX('主表 Stock_Transaction_Log'!$H:$H,$A989))</f>
        <v/>
      </c>
      <c r="F989" s="173" t="str">
        <f t="array" ref="F989">IF($A989="","",INDEX('主表 Stock_Transaction_Log'!$I:$I,$A989))</f>
        <v/>
      </c>
      <c r="G989" s="173" t="str">
        <f t="array" ref="G989">IF($A989="","",IF(INDEX('主表 Stock_Transaction_Log'!$R:$R,$A989)=0,"",INDEX('主表 Stock_Transaction_Log'!$R:$R,$A989)))</f>
        <v/>
      </c>
      <c r="H989" s="173" t="str">
        <f t="array" ref="H989">IF($A989="","",SUMIF('主表 Stock_Transaction_Log'!$T:$T,INDEX('主表 Stock_Transaction_Log'!$T:$T,$A989),'主表 Stock_Transaction_Log'!$S:$S)+SUMIF('主表 Stock_Transaction_Log'!$AB:$AB,INDEX('主表 Stock_Transaction_Log'!$T:$T,$A989),'主表 Stock_Transaction_Log'!$AC:$AC))</f>
        <v/>
      </c>
      <c r="I989" s="173" t="str">
        <f t="shared" si="1"/>
        <v/>
      </c>
      <c r="J989" s="173" t="str">
        <f t="shared" si="2"/>
        <v/>
      </c>
      <c r="K989" s="173" t="str">
        <f t="shared" si="3"/>
        <v/>
      </c>
      <c r="L989" s="173" t="str">
        <f t="array" ref="L989">IF($A989="","",INDEX('主表 Stock_Transaction_Log'!$P:$P,$A989))</f>
        <v/>
      </c>
      <c r="M989" s="174" t="str">
        <f>IF($A989="","",IF($H989&lt;=0,0,SUMIFS('主表 Stock_Transaction_Log'!$K$2:$K1000,'主表 Stock_Transaction_Log'!$C$2:$C1000,"Prepared",'主表 Stock_Transaction_Log'!$L$2:$L1000,$B989,'主表 Stock_Transaction_Log'!$F$2:$F1000,$C989,'主表 Stock_Transaction_Log'!$G$2:$G1000,$D989,'主表 Stock_Transaction_Log'!$P$2:$P1000,$L989)))</f>
        <v/>
      </c>
    </row>
    <row r="990">
      <c r="A990" s="173" t="str">
        <f>IF('主表 Stock_Transaction_Log'!$T990="","",IF(COUNTIF('主表 Stock_Transaction_Log'!$T$2:$T990,'主表 Stock_Transaction_Log'!$T990)=1,ROW('主表 Stock_Transaction_Log'!$T990),""))</f>
        <v/>
      </c>
      <c r="B990" s="173" t="str">
        <f t="array" ref="B990">IF($A990="","",INDEX('主表 Stock_Transaction_Log'!$Q:$Q,$A990))</f>
        <v/>
      </c>
      <c r="C990" s="173" t="str">
        <f t="array" ref="C990">IF($A990="","",IF(INDEX('主表 Stock_Transaction_Log'!$F:$F,$A990)=0,"",INDEX('主表 Stock_Transaction_Log'!$F:$F,$A990)))</f>
        <v/>
      </c>
      <c r="D990" s="173" t="str">
        <f t="array" ref="D990">IF($A990="","",INDEX('主表 Stock_Transaction_Log'!$G:$G,$A990))</f>
        <v/>
      </c>
      <c r="E990" s="173" t="str">
        <f t="array" ref="E990">IF($A990="","",INDEX('主表 Stock_Transaction_Log'!$H:$H,$A990))</f>
        <v/>
      </c>
      <c r="F990" s="173" t="str">
        <f t="array" ref="F990">IF($A990="","",INDEX('主表 Stock_Transaction_Log'!$I:$I,$A990))</f>
        <v/>
      </c>
      <c r="G990" s="173" t="str">
        <f t="array" ref="G990">IF($A990="","",IF(INDEX('主表 Stock_Transaction_Log'!$R:$R,$A990)=0,"",INDEX('主表 Stock_Transaction_Log'!$R:$R,$A990)))</f>
        <v/>
      </c>
      <c r="H990" s="173" t="str">
        <f t="array" ref="H990">IF($A990="","",SUMIF('主表 Stock_Transaction_Log'!$T:$T,INDEX('主表 Stock_Transaction_Log'!$T:$T,$A990),'主表 Stock_Transaction_Log'!$S:$S)+SUMIF('主表 Stock_Transaction_Log'!$AB:$AB,INDEX('主表 Stock_Transaction_Log'!$T:$T,$A990),'主表 Stock_Transaction_Log'!$AC:$AC))</f>
        <v/>
      </c>
      <c r="I990" s="173" t="str">
        <f t="shared" si="1"/>
        <v/>
      </c>
      <c r="J990" s="173" t="str">
        <f t="shared" si="2"/>
        <v/>
      </c>
      <c r="K990" s="173" t="str">
        <f t="shared" si="3"/>
        <v/>
      </c>
      <c r="L990" s="173" t="str">
        <f t="array" ref="L990">IF($A990="","",INDEX('主表 Stock_Transaction_Log'!$P:$P,$A990))</f>
        <v/>
      </c>
      <c r="M990" s="174" t="str">
        <f>IF($A990="","",IF($H990&lt;=0,0,SUMIFS('主表 Stock_Transaction_Log'!$K$2:$K1000,'主表 Stock_Transaction_Log'!$C$2:$C1000,"Prepared",'主表 Stock_Transaction_Log'!$L$2:$L1000,$B990,'主表 Stock_Transaction_Log'!$F$2:$F1000,$C990,'主表 Stock_Transaction_Log'!$G$2:$G1000,$D990,'主表 Stock_Transaction_Log'!$P$2:$P1000,$L990)))</f>
        <v/>
      </c>
    </row>
    <row r="991">
      <c r="A991" s="173" t="str">
        <f>IF('主表 Stock_Transaction_Log'!$T991="","",IF(COUNTIF('主表 Stock_Transaction_Log'!$T$2:$T991,'主表 Stock_Transaction_Log'!$T991)=1,ROW('主表 Stock_Transaction_Log'!$T991),""))</f>
        <v/>
      </c>
      <c r="B991" s="173" t="str">
        <f t="array" ref="B991">IF($A991="","",INDEX('主表 Stock_Transaction_Log'!$Q:$Q,$A991))</f>
        <v/>
      </c>
      <c r="C991" s="173" t="str">
        <f t="array" ref="C991">IF($A991="","",IF(INDEX('主表 Stock_Transaction_Log'!$F:$F,$A991)=0,"",INDEX('主表 Stock_Transaction_Log'!$F:$F,$A991)))</f>
        <v/>
      </c>
      <c r="D991" s="173" t="str">
        <f t="array" ref="D991">IF($A991="","",INDEX('主表 Stock_Transaction_Log'!$G:$G,$A991))</f>
        <v/>
      </c>
      <c r="E991" s="173" t="str">
        <f t="array" ref="E991">IF($A991="","",INDEX('主表 Stock_Transaction_Log'!$H:$H,$A991))</f>
        <v/>
      </c>
      <c r="F991" s="173" t="str">
        <f t="array" ref="F991">IF($A991="","",INDEX('主表 Stock_Transaction_Log'!$I:$I,$A991))</f>
        <v/>
      </c>
      <c r="G991" s="173" t="str">
        <f t="array" ref="G991">IF($A991="","",IF(INDEX('主表 Stock_Transaction_Log'!$R:$R,$A991)=0,"",INDEX('主表 Stock_Transaction_Log'!$R:$R,$A991)))</f>
        <v/>
      </c>
      <c r="H991" s="173" t="str">
        <f t="array" ref="H991">IF($A991="","",SUMIF('主表 Stock_Transaction_Log'!$T:$T,INDEX('主表 Stock_Transaction_Log'!$T:$T,$A991),'主表 Stock_Transaction_Log'!$S:$S)+SUMIF('主表 Stock_Transaction_Log'!$AB:$AB,INDEX('主表 Stock_Transaction_Log'!$T:$T,$A991),'主表 Stock_Transaction_Log'!$AC:$AC))</f>
        <v/>
      </c>
      <c r="I991" s="173" t="str">
        <f t="shared" si="1"/>
        <v/>
      </c>
      <c r="J991" s="173" t="str">
        <f t="shared" si="2"/>
        <v/>
      </c>
      <c r="K991" s="173" t="str">
        <f t="shared" si="3"/>
        <v/>
      </c>
      <c r="L991" s="173" t="str">
        <f t="array" ref="L991">IF($A991="","",INDEX('主表 Stock_Transaction_Log'!$P:$P,$A991))</f>
        <v/>
      </c>
      <c r="M991" s="174" t="str">
        <f>IF($A991="","",IF($H991&lt;=0,0,SUMIFS('主表 Stock_Transaction_Log'!$K$2:$K1000,'主表 Stock_Transaction_Log'!$C$2:$C1000,"Prepared",'主表 Stock_Transaction_Log'!$L$2:$L1000,$B991,'主表 Stock_Transaction_Log'!$F$2:$F1000,$C991,'主表 Stock_Transaction_Log'!$G$2:$G1000,$D991,'主表 Stock_Transaction_Log'!$P$2:$P1000,$L991)))</f>
        <v/>
      </c>
    </row>
    <row r="992">
      <c r="A992" s="173" t="str">
        <f>IF('主表 Stock_Transaction_Log'!$T992="","",IF(COUNTIF('主表 Stock_Transaction_Log'!$T$2:$T992,'主表 Stock_Transaction_Log'!$T992)=1,ROW('主表 Stock_Transaction_Log'!$T992),""))</f>
        <v/>
      </c>
      <c r="B992" s="173" t="str">
        <f t="array" ref="B992">IF($A992="","",INDEX('主表 Stock_Transaction_Log'!$Q:$Q,$A992))</f>
        <v/>
      </c>
      <c r="C992" s="173" t="str">
        <f t="array" ref="C992">IF($A992="","",IF(INDEX('主表 Stock_Transaction_Log'!$F:$F,$A992)=0,"",INDEX('主表 Stock_Transaction_Log'!$F:$F,$A992)))</f>
        <v/>
      </c>
      <c r="D992" s="173" t="str">
        <f t="array" ref="D992">IF($A992="","",INDEX('主表 Stock_Transaction_Log'!$G:$G,$A992))</f>
        <v/>
      </c>
      <c r="E992" s="173" t="str">
        <f t="array" ref="E992">IF($A992="","",INDEX('主表 Stock_Transaction_Log'!$H:$H,$A992))</f>
        <v/>
      </c>
      <c r="F992" s="173" t="str">
        <f t="array" ref="F992">IF($A992="","",INDEX('主表 Stock_Transaction_Log'!$I:$I,$A992))</f>
        <v/>
      </c>
      <c r="G992" s="173" t="str">
        <f t="array" ref="G992">IF($A992="","",IF(INDEX('主表 Stock_Transaction_Log'!$R:$R,$A992)=0,"",INDEX('主表 Stock_Transaction_Log'!$R:$R,$A992)))</f>
        <v/>
      </c>
      <c r="H992" s="173" t="str">
        <f t="array" ref="H992">IF($A992="","",SUMIF('主表 Stock_Transaction_Log'!$T:$T,INDEX('主表 Stock_Transaction_Log'!$T:$T,$A992),'主表 Stock_Transaction_Log'!$S:$S)+SUMIF('主表 Stock_Transaction_Log'!$AB:$AB,INDEX('主表 Stock_Transaction_Log'!$T:$T,$A992),'主表 Stock_Transaction_Log'!$AC:$AC))</f>
        <v/>
      </c>
      <c r="I992" s="173" t="str">
        <f t="shared" si="1"/>
        <v/>
      </c>
      <c r="J992" s="173" t="str">
        <f t="shared" si="2"/>
        <v/>
      </c>
      <c r="K992" s="173" t="str">
        <f t="shared" si="3"/>
        <v/>
      </c>
      <c r="L992" s="173" t="str">
        <f t="array" ref="L992">IF($A992="","",INDEX('主表 Stock_Transaction_Log'!$P:$P,$A992))</f>
        <v/>
      </c>
      <c r="M992" s="174" t="str">
        <f>IF($A992="","",IF($H992&lt;=0,0,SUMIFS('主表 Stock_Transaction_Log'!$K$2:$K1000,'主表 Stock_Transaction_Log'!$C$2:$C1000,"Prepared",'主表 Stock_Transaction_Log'!$L$2:$L1000,$B992,'主表 Stock_Transaction_Log'!$F$2:$F1000,$C992,'主表 Stock_Transaction_Log'!$G$2:$G1000,$D992,'主表 Stock_Transaction_Log'!$P$2:$P1000,$L992)))</f>
        <v/>
      </c>
    </row>
    <row r="993">
      <c r="H993" s="173" t="str">
        <f t="array" ref="H993">IF($A993="","",SUMIF('主表 Stock_Transaction_Log'!$T:$T,INDEX('主表 Stock_Transaction_Log'!$T:$T,$A993),'主表 Stock_Transaction_Log'!$S:$S)+SUMIF('主表 Stock_Transaction_Log'!$AB:$AB,INDEX('主表 Stock_Transaction_Log'!$T:$T,$A993),'主表 Stock_Transaction_Log'!$AC:$AC))</f>
        <v/>
      </c>
      <c r="M993" s="174"/>
    </row>
    <row r="994">
      <c r="H994" s="173" t="str">
        <f t="array" ref="H994">IF($A994="","",SUMIF('主表 Stock_Transaction_Log'!$T:$T,INDEX('主表 Stock_Transaction_Log'!$T:$T,$A994),'主表 Stock_Transaction_Log'!$S:$S)+SUMIF('主表 Stock_Transaction_Log'!$AB:$AB,INDEX('主表 Stock_Transaction_Log'!$T:$T,$A994),'主表 Stock_Transaction_Log'!$AC:$AC))</f>
        <v/>
      </c>
      <c r="M994" s="174"/>
    </row>
    <row r="995">
      <c r="H995" s="173" t="str">
        <f t="array" ref="H995">IF($A995="","",SUMIF('主表 Stock_Transaction_Log'!$T:$T,INDEX('主表 Stock_Transaction_Log'!$T:$T,$A995),'主表 Stock_Transaction_Log'!$S:$S)+SUMIF('主表 Stock_Transaction_Log'!$AB:$AB,INDEX('主表 Stock_Transaction_Log'!$T:$T,$A995),'主表 Stock_Transaction_Log'!$AC:$AC))</f>
        <v/>
      </c>
      <c r="M995" s="174"/>
    </row>
    <row r="996">
      <c r="H996" s="173" t="str">
        <f t="array" ref="H996">IF($A996="","",SUMIF('主表 Stock_Transaction_Log'!$T:$T,INDEX('主表 Stock_Transaction_Log'!$T:$T,$A996),'主表 Stock_Transaction_Log'!$S:$S)+SUMIF('主表 Stock_Transaction_Log'!$AB:$AB,INDEX('主表 Stock_Transaction_Log'!$T:$T,$A996),'主表 Stock_Transaction_Log'!$AC:$AC))</f>
        <v/>
      </c>
      <c r="M996" s="174"/>
    </row>
    <row r="997">
      <c r="H997" s="173" t="str">
        <f t="array" ref="H997">IF($A997="","",SUMIF('主表 Stock_Transaction_Log'!$T:$T,INDEX('主表 Stock_Transaction_Log'!$T:$T,$A997),'主表 Stock_Transaction_Log'!$S:$S)+SUMIF('主表 Stock_Transaction_Log'!$AB:$AB,INDEX('主表 Stock_Transaction_Log'!$T:$T,$A997),'主表 Stock_Transaction_Log'!$AC:$AC))</f>
        <v/>
      </c>
      <c r="M997" s="174"/>
    </row>
    <row r="998">
      <c r="H998" s="173" t="str">
        <f t="array" ref="H998">IF($A998="","",SUMIF('主表 Stock_Transaction_Log'!$T:$T,INDEX('主表 Stock_Transaction_Log'!$T:$T,$A998),'主表 Stock_Transaction_Log'!$S:$S)+SUMIF('主表 Stock_Transaction_Log'!$AB:$AB,INDEX('主表 Stock_Transaction_Log'!$T:$T,$A998),'主表 Stock_Transaction_Log'!$AC:$AC))</f>
        <v/>
      </c>
      <c r="M998" s="174"/>
    </row>
    <row r="999">
      <c r="H999" s="173" t="str">
        <f t="array" ref="H999">IF($A999="","",SUMIF('主表 Stock_Transaction_Log'!$T:$T,INDEX('主表 Stock_Transaction_Log'!$T:$T,$A999),'主表 Stock_Transaction_Log'!$S:$S)+SUMIF('主表 Stock_Transaction_Log'!$AB:$AB,INDEX('主表 Stock_Transaction_Log'!$T:$T,$A999),'主表 Stock_Transaction_Log'!$AC:$AC))</f>
        <v/>
      </c>
      <c r="M999" s="174"/>
    </row>
    <row r="1000">
      <c r="H1000" s="173" t="str">
        <f t="array" ref="H1000">IF($A1000="","",SUMIF('主表 Stock_Transaction_Log'!$T:$T,INDEX('主表 Stock_Transaction_Log'!$T:$T,$A1000),'主表 Stock_Transaction_Log'!$S:$S)+SUMIF('主表 Stock_Transaction_Log'!$AB:$AB,INDEX('主表 Stock_Transaction_Log'!$T:$T,$A1000),'主表 Stock_Transaction_Log'!$AC:$AC))</f>
        <v/>
      </c>
      <c r="M1000" s="174"/>
    </row>
  </sheetData>
  <conditionalFormatting sqref="T2:T140">
    <cfRule type="expression" dxfId="5" priority="1" stopIfTrue="1">
      <formula>$T2="New / 新机"</formula>
    </cfRule>
  </conditionalFormatting>
  <conditionalFormatting sqref="T2:T140">
    <cfRule type="expression" dxfId="6" priority="2" stopIfTrue="1">
      <formula>$T2="Repair_Good / 维修良品"</formula>
    </cfRule>
  </conditionalFormatting>
  <conditionalFormatting sqref="T2:T140">
    <cfRule type="expression" dxfId="7" priority="3" stopIfTrue="1">
      <formula>$T2="Repair / 待修"</formula>
    </cfRule>
  </conditionalFormatting>
  <conditionalFormatting sqref="T2:T140">
    <cfRule type="expression" dxfId="8" priority="4" stopIfTrue="1">
      <formula>$T2="Material / 物料"</formula>
    </cfRule>
  </conditionalFormatting>
  <conditionalFormatting sqref="T2:T140">
    <cfRule type="expression" dxfId="9" priority="5" stopIfTrue="1">
      <formula>REGEXMATCH($T2,"^Mixed / 混放:")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2.78"/>
    <col customWidth="1" min="2" max="2" width="11.11"/>
    <col customWidth="1" min="3" max="3" width="11.56"/>
    <col customWidth="1" min="4" max="4" width="10.33"/>
    <col customWidth="1" min="5" max="5" width="8.0"/>
    <col customWidth="1" min="6" max="6" width="13.56"/>
    <col customWidth="1" min="7" max="7" width="11.33"/>
    <col customWidth="1" min="8" max="8" width="11.56"/>
    <col customWidth="1" min="9" max="9" width="8.44"/>
    <col customWidth="1" min="10" max="11" width="11.11"/>
    <col customWidth="1" min="12" max="12" width="9.33"/>
    <col customWidth="1" min="13" max="15" width="8.0"/>
    <col customWidth="1" min="16" max="16" width="11.56"/>
    <col customWidth="1" min="17" max="17" width="8.0"/>
    <col customWidth="1" min="18" max="30" width="12.56"/>
  </cols>
  <sheetData>
    <row r="1" ht="27.0" customHeight="1">
      <c r="A1" s="66" t="s">
        <v>458</v>
      </c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ht="29.25" customHeight="1">
      <c r="A2" s="68" t="s">
        <v>460</v>
      </c>
      <c r="B2" s="69">
        <f>TODAY()</f>
        <v>46231</v>
      </c>
      <c r="C2" s="68" t="s">
        <v>462</v>
      </c>
      <c r="D2" s="69">
        <f>B2-WEEKDAY(B2,2)+1</f>
        <v>46230</v>
      </c>
      <c r="E2" s="68" t="s">
        <v>463</v>
      </c>
      <c r="F2" s="70" t="str">
        <f>TEXT(D2,"yyyy-mm-dd")&amp;" ~ "&amp;TEXT(D2+6,"yyyy-mm-dd")</f>
        <v>2026-07-27 ~ 2026-08-02</v>
      </c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</row>
    <row r="4" ht="22.5" customHeight="1">
      <c r="A4" s="72" t="s">
        <v>466</v>
      </c>
      <c r="C4" s="71"/>
      <c r="D4" s="73" t="s">
        <v>467</v>
      </c>
      <c r="F4" s="71"/>
      <c r="G4" s="74" t="s">
        <v>468</v>
      </c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 ht="19.5" customHeight="1">
      <c r="A5" s="75" t="s">
        <v>469</v>
      </c>
      <c r="B5" s="76">
        <f>SUMIFS('主表 Stock_Transaction_Log'!$K$2:$K$992,'主表 Stock_Transaction_Log'!$C$2:$C$992,"Return_to_Repair",'主表 Stock_Transaction_Log'!$Z$2:$Z$992,"Yes",'主表 Stock_Transaction_Log'!$A$2:$A$992,"&gt;="&amp;$D$2,'主表 Stock_Transaction_Log'!$A$2:$A$992,"&lt;"&amp;($D$2+7))</f>
        <v>0</v>
      </c>
      <c r="C5" s="71"/>
      <c r="D5" s="77" t="s">
        <v>472</v>
      </c>
      <c r="E5" s="78">
        <f>SUMIFS('主表 Stock_Transaction_Log'!$K$2:$K$992,'主表 Stock_Transaction_Log'!$C$2:$C$992,"Inbound",'主表 Stock_Transaction_Log'!$Z$2:$Z$992,"Yes",'主表 Stock_Transaction_Log'!$P$2:$P$992,"New / 新机",'主表 Stock_Transaction_Log'!$A$2:$A$992,"&gt;="&amp;$D$2,'主表 Stock_Transaction_Log'!$A$2:$A$992,"&lt;"&amp;($D$2+7))</f>
        <v>0</v>
      </c>
      <c r="F5" s="71"/>
      <c r="G5" s="79" t="s">
        <v>476</v>
      </c>
      <c r="H5" s="79" t="s">
        <v>478</v>
      </c>
      <c r="I5" s="79" t="s">
        <v>480</v>
      </c>
      <c r="J5" s="79" t="s">
        <v>481</v>
      </c>
      <c r="K5" s="79" t="s">
        <v>482</v>
      </c>
      <c r="L5" s="80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</row>
    <row r="6" ht="19.5" customHeight="1">
      <c r="A6" s="75" t="s">
        <v>483</v>
      </c>
      <c r="B6" s="76" t="str">
        <f t="array" ref="B6">IFERROR(INDEX('Repair_Weekly_Input 维修周数据'!$C$3:$C$160,MATCH($D$2,'Repair_Weekly_Input 维修周数据'!$A$3:$A$160,0)),0)</f>
        <v/>
      </c>
      <c r="C6" s="71"/>
      <c r="D6" s="77" t="s">
        <v>480</v>
      </c>
      <c r="E6" s="78">
        <f>SUMIFS('主表 Stock_Transaction_Log'!$K$2:$K$992,'主表 Stock_Transaction_Log'!$C$2:$C$992,"Outbound",'主表 Stock_Transaction_Log'!$Z$2:$Z$992,"Yes",'主表 Stock_Transaction_Log'!$P$2:$P$992,"New / 新机",'主表 Stock_Transaction_Log'!$A$2:$A$992,"&gt;="&amp;$D$2,'主表 Stock_Transaction_Log'!$A$2:$A$992,"&lt;"&amp;($D$2+7))</f>
        <v>0</v>
      </c>
      <c r="F6" s="71"/>
      <c r="G6" s="88" t="str">
        <f>IFERROR(__xludf.DUMMYFUNCTION("IFERROR(INDEX(UNIQUE(FILTER('Product_Stock_Master产品维护'!$B$2:$B$500,'Product_Stock_Master产品维护'!$C$2:$C$500=""Product"",'Product_Stock_Master产品维护'!$B$2:$B$500&lt;&gt;"""")),ROW()-5),"""")"),"KH8")</f>
        <v>KH8</v>
      </c>
      <c r="H6" s="88" t="str">
        <f>IFERROR(__xludf.DUMMYFUNCTION("IF(G6="""","""",IFERROR(REGEXREPLACE(INDEX(FILTER('Product_Stock_Master产品维护'!$L$2:$L$500,'Product_Stock_Master产品维护'!$B$2:$B$500=G6,'Product_Stock_Master产品维护'!$C$2:$C$500=""Product""),1),""^.* / "",""""),""""))"),"逆变器")</f>
        <v>逆变器</v>
      </c>
      <c r="I6" s="91">
        <f>IFERROR(__xludf.DUMMYFUNCTION("IF(G6="""","""",IFERROR(SUM(SUMIFS('主表 Stock_Transaction_Log'!$K$2:$K$992,'主表 Stock_Transaction_Log'!$G$2:$G$992,FILTER('Product_Stock_Master产品维护'!$A$2:$A$500,'Product_Stock_Master产品维护'!$B$2:$B$500=G6,'Product_Stock_Master产品维护'!$C$2:$C$500=""Product""),'主"&amp;"表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6" s="91">
        <f>IFERROR(__xludf.DUMMYFUNCTION("IF(G6="""","""",IFERROR(SUM(SUMIFS('主表 Stock_Transaction_Log'!$K$2:$K$992,'主表 Stock_Transaction_Log'!$G$2:$G$992,FILTER('Product_Stock_Master产品维护'!$A$2:$A$500,'Product_Stock_Master产品维护'!$B$2:$B$500=G6,'Product_Stock_Master产品维护'!$C$2:$C$500=""Product""),'主"&amp;"表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6" s="92">
        <f>IFERROR(__xludf.DUMMYFUNCTION("IF(G6="""","""",IFERROR(SUM(FILTER('Product_Stock_Master产品维护'!$G$2:$G$500,'Product_Stock_Master产品维护'!$B$2:$B$500=G6,'Product_Stock_Master产品维护'!$C$2:$C$500=""Product"")),0))"),6.0)</f>
        <v>6</v>
      </c>
      <c r="L6" s="93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</row>
    <row r="7" ht="19.5" customHeight="1">
      <c r="A7" s="75" t="s">
        <v>487</v>
      </c>
      <c r="B7" s="76" t="str">
        <f t="array" ref="B7">IFERROR(INDEX('Repair_Weekly_Input 维修周数据'!$D$3:$D$160,MATCH($D$2,'Repair_Weekly_Input 维修周数据'!$A$3:$A$160,0)),0)</f>
        <v/>
      </c>
      <c r="C7" s="71"/>
      <c r="D7" s="77" t="s">
        <v>493</v>
      </c>
      <c r="E7" s="78">
        <f>SUMIFS('主表 Stock_Transaction_Log'!$S$2:$S$992,'主表 Stock_Transaction_Log'!$Z$2:$Z$992,"Yes",'主表 Stock_Transaction_Log'!$P$2:$P$992,"New / 新机")</f>
        <v>205</v>
      </c>
      <c r="F7" s="71"/>
      <c r="G7" s="95" t="str">
        <f>IFERROR(__xludf.DUMMYFUNCTION("IFERROR(INDEX(UNIQUE(FILTER('Product_Stock_Master产品维护'!$B$2:$B$500,'Product_Stock_Master产品维护'!$C$2:$C$500=""Product"",'Product_Stock_Master产品维护'!$B$2:$B$500&lt;&gt;"""")),ROW()-5),"""")"),"KH10")</f>
        <v>KH10</v>
      </c>
      <c r="H7" s="95" t="str">
        <f>IFERROR(__xludf.DUMMYFUNCTION("IF(G7="""","""",IFERROR(REGEXREPLACE(INDEX(FILTER('Product_Stock_Master产品维护'!$L$2:$L$500,'Product_Stock_Master产品维护'!$B$2:$B$500=G7,'Product_Stock_Master产品维护'!$C$2:$C$500=""Product""),1),""^.* / "",""""),""""))"),"逆变器")</f>
        <v>逆变器</v>
      </c>
      <c r="I7" s="96">
        <f>IFERROR(__xludf.DUMMYFUNCTION("IF(G7="""","""",IFERROR(SUM(SUMIFS('主表 Stock_Transaction_Log'!$K$2:$K$992,'主表 Stock_Transaction_Log'!$G$2:$G$992,FILTER('Product_Stock_Master产品维护'!$A$2:$A$500,'Product_Stock_Master产品维护'!$B$2:$B$500=G7,'Product_Stock_Master产品维护'!$C$2:$C$500=""Product""),'主"&amp;"表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7" s="96">
        <f>IFERROR(__xludf.DUMMYFUNCTION("IF(G7="""","""",IFERROR(SUM(SUMIFS('主表 Stock_Transaction_Log'!$K$2:$K$992,'主表 Stock_Transaction_Log'!$G$2:$G$992,FILTER('Product_Stock_Master产品维护'!$A$2:$A$500,'Product_Stock_Master产品维护'!$B$2:$B$500=G7,'Product_Stock_Master产品维护'!$C$2:$C$500=""Product""),'主"&amp;"表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7" s="92">
        <f>IFERROR(__xludf.DUMMYFUNCTION("IF(G7="""","""",IFERROR(SUM(FILTER('Product_Stock_Master产品维护'!$G$2:$G$500,'Product_Stock_Master产品维护'!$B$2:$B$500=G7,'Product_Stock_Master产品维护'!$C$2:$C$500=""Product"")),0))"),12.0)</f>
        <v>12</v>
      </c>
      <c r="L7" s="93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 ht="19.5" customHeight="1">
      <c r="A8" s="75" t="s">
        <v>481</v>
      </c>
      <c r="B8" s="76">
        <f>SUMIFS('主表 Stock_Transaction_Log'!$K$2:$K$992,'主表 Stock_Transaction_Log'!$C$2:$C$992,"Outbound",'主表 Stock_Transaction_Log'!$Z$2:$Z$992,"Yes",'主表 Stock_Transaction_Log'!$P$2:$P$992,"Repair_Good / 维修良品",'主表 Stock_Transaction_Log'!$A$2:$A$992,"&gt;="&amp;$D$2,'主表 Stock_Transaction_Log'!$A$2:$A$992,"&lt;"&amp;($D$2+7))</f>
        <v>0</v>
      </c>
      <c r="C8" s="71"/>
      <c r="D8" s="77" t="s">
        <v>494</v>
      </c>
      <c r="E8" s="78">
        <f>SUMIFS('主表 Stock_Transaction_Log'!$X$2:$X$992,'主表 Stock_Transaction_Log'!$C$2:$C$992,"Prepared",'主表 Stock_Transaction_Log'!$A$2:$A$992,"&gt;="&amp;$D$2,'主表 Stock_Transaction_Log'!$A$2:$A$992,"&lt;"&amp;($D$2+7))</f>
        <v>2</v>
      </c>
      <c r="F8" s="71"/>
      <c r="G8" s="88" t="str">
        <f>IFERROR(__xludf.DUMMYFUNCTION("IFERROR(INDEX(UNIQUE(FILTER('Product_Stock_Master产品维护'!$B$2:$B$500,'Product_Stock_Master产品维护'!$C$2:$C$500=""Product"",'Product_Stock_Master产品维护'!$B$2:$B$500&lt;&gt;"""")),ROW()-5),"""")"),"H3-10.0-Smart")</f>
        <v>H3-10.0-Smart</v>
      </c>
      <c r="H8" s="88" t="str">
        <f>IFERROR(__xludf.DUMMYFUNCTION("IF(G8="""","""",IFERROR(REGEXREPLACE(INDEX(FILTER('Product_Stock_Master产品维护'!$L$2:$L$500,'Product_Stock_Master产品维护'!$B$2:$B$500=G8,'Product_Stock_Master产品维护'!$C$2:$C$500=""Product""),1),""^.* / "",""""),""""))"),"逆变器")</f>
        <v>逆变器</v>
      </c>
      <c r="I8" s="91">
        <f>IFERROR(__xludf.DUMMYFUNCTION("IF(G8="""","""",IFERROR(SUM(SUMIFS('主表 Stock_Transaction_Log'!$K$2:$K$992,'主表 Stock_Transaction_Log'!$G$2:$G$992,FILTER('Product_Stock_Master产品维护'!$A$2:$A$500,'Product_Stock_Master产品维护'!$B$2:$B$500=G8,'Product_Stock_Master产品维护'!$C$2:$C$500=""Product""),'主"&amp;"表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8" s="91">
        <f>IFERROR(__xludf.DUMMYFUNCTION("IF(G8="""","""",IFERROR(SUM(SUMIFS('主表 Stock_Transaction_Log'!$K$2:$K$992,'主表 Stock_Transaction_Log'!$G$2:$G$992,FILTER('Product_Stock_Master产品维护'!$A$2:$A$500,'Product_Stock_Master产品维护'!$B$2:$B$500=G8,'Product_Stock_Master产品维护'!$C$2:$C$500=""Product""),'主"&amp;"表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8" s="92">
        <f>IFERROR(__xludf.DUMMYFUNCTION("IF(G8="""","""",IFERROR(SUM(FILTER('Product_Stock_Master产品维护'!$G$2:$G$500,'Product_Stock_Master产品维护'!$B$2:$B$500=G8,'Product_Stock_Master产品维护'!$C$2:$C$500=""Product"")),0))"),5.0)</f>
        <v>5</v>
      </c>
      <c r="L8" s="93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ht="19.5" customHeight="1">
      <c r="A9" s="75" t="s">
        <v>488</v>
      </c>
      <c r="B9" s="76" t="str">
        <f t="array" ref="B9">IFERROR(INDEX('Repair_Weekly_Input 维修周数据'!$E$3:$E$160,MATCH($D$2,'Repair_Weekly_Input 维修周数据'!$A$3:$A$160,0)),0)</f>
        <v/>
      </c>
      <c r="C9" s="71"/>
      <c r="D9" s="77" t="s">
        <v>495</v>
      </c>
      <c r="E9" s="78">
        <f>SUMIFS('主表 Stock_Transaction_Log'!$X$2:$X$992,'主表 Stock_Transaction_Log'!$C$2:$C$992,"Outbound",'主表 Stock_Transaction_Log'!$A$2:$A$992,"&gt;="&amp;$D$2,'主表 Stock_Transaction_Log'!$A$2:$A$992,"&lt;"&amp;($D$2+7))</f>
        <v>0</v>
      </c>
      <c r="F9" s="71"/>
      <c r="G9" s="95" t="str">
        <f>IFERROR(__xludf.DUMMYFUNCTION("IFERROR(INDEX(UNIQUE(FILTER('Product_Stock_Master产品维护'!$B$2:$B$500,'Product_Stock_Master产品维护'!$C$2:$C$500=""Product"",'Product_Stock_Master产品维护'!$B$2:$B$500&lt;&gt;"""")),ROW()-5),"""")"),"H3-15.0-Smart")</f>
        <v>H3-15.0-Smart</v>
      </c>
      <c r="H9" s="95" t="str">
        <f>IFERROR(__xludf.DUMMYFUNCTION("IF(G9="""","""",IFERROR(REGEXREPLACE(INDEX(FILTER('Product_Stock_Master产品维护'!$L$2:$L$500,'Product_Stock_Master产品维护'!$B$2:$B$500=G9,'Product_Stock_Master产品维护'!$C$2:$C$500=""Product""),1),""^.* / "",""""),""""))"),"逆变器")</f>
        <v>逆变器</v>
      </c>
      <c r="I9" s="96">
        <f>IFERROR(__xludf.DUMMYFUNCTION("IF(G9="""","""",IFERROR(SUM(SUMIFS('主表 Stock_Transaction_Log'!$K$2:$K$992,'主表 Stock_Transaction_Log'!$G$2:$G$992,FILTER('Product_Stock_Master产品维护'!$A$2:$A$500,'Product_Stock_Master产品维护'!$B$2:$B$500=G9,'Product_Stock_Master产品维护'!$C$2:$C$500=""Product""),'主"&amp;"表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9" s="96">
        <f>IFERROR(__xludf.DUMMYFUNCTION("IF(G9="""","""",IFERROR(SUM(SUMIFS('主表 Stock_Transaction_Log'!$K$2:$K$992,'主表 Stock_Transaction_Log'!$G$2:$G$992,FILTER('Product_Stock_Master产品维护'!$A$2:$A$500,'Product_Stock_Master产品维护'!$B$2:$B$500=G9,'Product_Stock_Master产品维护'!$C$2:$C$500=""Product""),'主"&amp;"表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9" s="92">
        <f>IFERROR(__xludf.DUMMYFUNCTION("IF(G9="""","""",IFERROR(SUM(FILTER('Product_Stock_Master产品维护'!$G$2:$G$500,'Product_Stock_Master产品维护'!$B$2:$B$500=G9,'Product_Stock_Master产品维护'!$C$2:$C$500=""Product"")),0))"),8.0)</f>
        <v>8</v>
      </c>
      <c r="L9" s="93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 ht="19.5" customHeight="1">
      <c r="A10" s="75" t="s">
        <v>490</v>
      </c>
      <c r="B10" s="76" t="str">
        <f t="array" ref="B10">IFERROR(INDEX('Repair_Weekly_Input 维修周数据'!$F$3:$F$160,MATCH($D$2,'Repair_Weekly_Input 维修周数据'!$A$3:$A$160,0)),0)</f>
        <v/>
      </c>
      <c r="C10" s="71"/>
      <c r="D10" s="77" t="s">
        <v>508</v>
      </c>
      <c r="E10" s="78">
        <f>SUMIFS('主表 Stock_Transaction_Log'!$Y$2:$Y$992,'主表 Stock_Transaction_Log'!$A$2:$A$992,"&gt;="&amp;$D$2,'主表 Stock_Transaction_Log'!$A$2:$A$992,"&lt;"&amp;($D$2+7))</f>
        <v>0</v>
      </c>
      <c r="F10" s="71"/>
      <c r="G10" s="88" t="str">
        <f>IFERROR(__xludf.DUMMYFUNCTION("IFERROR(INDEX(UNIQUE(FILTER('Product_Stock_Master产品维护'!$B$2:$B$500,'Product_Stock_Master产品维护'!$C$2:$C$500=""Product"",'Product_Stock_Master产品维护'!$B$2:$B$500&lt;&gt;"""")),ROW()-5),"""")"),"EQ4800-M")</f>
        <v>EQ4800-M</v>
      </c>
      <c r="H10" s="88" t="str">
        <f>IFERROR(__xludf.DUMMYFUNCTION("IF(G10="""","""",IFERROR(REGEXREPLACE(INDEX(FILTER('Product_Stock_Master产品维护'!$L$2:$L$500,'Product_Stock_Master产品维护'!$B$2:$B$500=G10,'Product_Stock_Master产品维护'!$C$2:$C$500=""Product""),1),""^.* / "",""""),""""))"),"电池")</f>
        <v>电池</v>
      </c>
      <c r="I10" s="91">
        <f>IFERROR(__xludf.DUMMYFUNCTION("IF(G10="""","""",IFERROR(SUM(SUMIFS('主表 Stock_Transaction_Log'!$K$2:$K$992,'主表 Stock_Transaction_Log'!$G$2:$G$992,FILTER('Product_Stock_Master产品维护'!$A$2:$A$500,'Product_Stock_Master产品维护'!$B$2:$B$500=G10,'Product_Stock_Master产品维护'!$C$2:$C$500=""Product""),"&amp;"'主表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10" s="91">
        <f>IFERROR(__xludf.DUMMYFUNCTION("IF(G10="""","""",IFERROR(SUM(SUMIFS('主表 Stock_Transaction_Log'!$K$2:$K$992,'主表 Stock_Transaction_Log'!$G$2:$G$992,FILTER('Product_Stock_Master产品维护'!$A$2:$A$500,'Product_Stock_Master产品维护'!$B$2:$B$500=G10,'Product_Stock_Master产品维护'!$C$2:$C$500=""Product""),"&amp;"'主表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10" s="92">
        <f>IFERROR(__xludf.DUMMYFUNCTION("IF(G10="""","""",IFERROR(SUM(FILTER('Product_Stock_Master产品维护'!$G$2:$G$500,'Product_Stock_Master产品维护'!$B$2:$B$500=G10,'Product_Stock_Master产品维护'!$C$2:$C$500=""Product"")),0))"),50.0)</f>
        <v>50</v>
      </c>
      <c r="L10" s="93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 ht="19.5" customHeight="1">
      <c r="A11" s="75" t="s">
        <v>489</v>
      </c>
      <c r="B11" s="76" t="str">
        <f t="array" ref="B11">IFERROR(INDEX('Repair_Weekly_Input 维修周数据'!$G$3:$G$160,MATCH($D$2,'Repair_Weekly_Input 维修周数据'!$A$3:$A$160,0)),0)</f>
        <v/>
      </c>
      <c r="C11" s="71"/>
      <c r="D11" s="77" t="s">
        <v>510</v>
      </c>
      <c r="E11" s="78" t="str">
        <f>IF(COUNTIFS('主表 Stock_Transaction_Log'!$A$2:$A$992,"&gt;="&amp;$D$2,'主表 Stock_Transaction_Log'!$A$2:$A$992,"&lt;"&amp;($D$2+7),'主表 Stock_Transaction_Log'!$O$2:$O$992,"&lt;&gt;OK",'主表 Stock_Transaction_Log'!$A$2:$A$992,"&lt;&gt;")+COUNTIFS('主表 Stock_Transaction_Log'!$A$2:$A$992,"&gt;="&amp;$D$2,'主表 Stock_Transaction_Log'!$A$2:$A$992,"&lt;"&amp;($D$2+7),'主表 Stock_Transaction_Log'!$W$2:$W$992,"&lt;&gt;OK",'主表 Stock_Transaction_Log'!$A$2:$A$992,"&lt;&gt;")=0,"通过","检查")</f>
        <v>检查</v>
      </c>
      <c r="F11" s="71"/>
      <c r="G11" s="95" t="str">
        <f>IFERROR(__xludf.DUMMYFUNCTION("IFERROR(INDEX(UNIQUE(FILTER('Product_Stock_Master产品维护'!$B$2:$B$500,'Product_Stock_Master产品维护'!$C$2:$C$500=""Product"",'Product_Stock_Master产品维护'!$B$2:$B$500&lt;&gt;"""")),ROW()-5),"""")"),"EQ4800-S")</f>
        <v>EQ4800-S</v>
      </c>
      <c r="H11" s="95" t="str">
        <f>IFERROR(__xludf.DUMMYFUNCTION("IF(G11="""","""",IFERROR(REGEXREPLACE(INDEX(FILTER('Product_Stock_Master产品维护'!$L$2:$L$500,'Product_Stock_Master产品维护'!$B$2:$B$500=G11,'Product_Stock_Master产品维护'!$C$2:$C$500=""Product""),1),""^.* / "",""""),""""))"),"电池")</f>
        <v>电池</v>
      </c>
      <c r="I11" s="96">
        <f>IFERROR(__xludf.DUMMYFUNCTION("IF(G11="""","""",IFERROR(SUM(SUMIFS('主表 Stock_Transaction_Log'!$K$2:$K$992,'主表 Stock_Transaction_Log'!$G$2:$G$992,FILTER('Product_Stock_Master产品维护'!$A$2:$A$500,'Product_Stock_Master产品维护'!$B$2:$B$500=G11,'Product_Stock_Master产品维护'!$C$2:$C$500=""Product""),"&amp;"'主表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11" s="96">
        <f>IFERROR(__xludf.DUMMYFUNCTION("IF(G11="""","""",IFERROR(SUM(SUMIFS('主表 Stock_Transaction_Log'!$K$2:$K$992,'主表 Stock_Transaction_Log'!$G$2:$G$992,FILTER('Product_Stock_Master产品维护'!$A$2:$A$500,'Product_Stock_Master产品维护'!$B$2:$B$500=G11,'Product_Stock_Master产品维护'!$C$2:$C$500=""Product""),"&amp;"'主表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11" s="92">
        <f>IFERROR(__xludf.DUMMYFUNCTION("IF(G11="""","""",IFERROR(SUM(FILTER('Product_Stock_Master产品维护'!$G$2:$G$500,'Product_Stock_Master产品维护'!$B$2:$B$500=G11,'Product_Stock_Master产品维护'!$C$2:$C$500=""Product"")),0))"),121.0)</f>
        <v>121</v>
      </c>
      <c r="L11" s="93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</row>
    <row r="12" ht="19.5" customHeight="1">
      <c r="A12" s="75" t="s">
        <v>491</v>
      </c>
      <c r="B12" s="76" t="str">
        <f t="array" ref="B12">IFERROR(INDEX('Repair_Weekly_Input 维修周数据'!$H$3:$H$160,MATCH($D$2,'Repair_Weekly_Input 维修周数据'!$A$3:$A$160,0)),0)</f>
        <v/>
      </c>
      <c r="C12" s="71"/>
      <c r="D12" s="71"/>
      <c r="E12" s="71"/>
      <c r="F12" s="71"/>
      <c r="G12" s="88" t="str">
        <f>IFERROR(__xludf.DUMMYFUNCTION("IFERROR(INDEX(UNIQUE(FILTER('Product_Stock_Master产品维护'!$B$2:$B$500,'Product_Stock_Master产品维护'!$C$2:$C$500=""Product"",'Product_Stock_Master产品维护'!$B$2:$B$500&lt;&gt;"""")),ROW()-5),"""")"),"CQ6-S")</f>
        <v>CQ6-S</v>
      </c>
      <c r="H12" s="88" t="str">
        <f>IFERROR(__xludf.DUMMYFUNCTION("IF(G12="""","""",IFERROR(REGEXREPLACE(INDEX(FILTER('Product_Stock_Master产品维护'!$L$2:$L$500,'Product_Stock_Master产品维护'!$B$2:$B$500=G12,'Product_Stock_Master产品维护'!$C$2:$C$500=""Product""),1),""^.* / "",""""),""""))"),"电池")</f>
        <v>电池</v>
      </c>
      <c r="I12" s="91">
        <f>IFERROR(__xludf.DUMMYFUNCTION("IF(G12="""","""",IFERROR(SUM(SUMIFS('主表 Stock_Transaction_Log'!$K$2:$K$992,'主表 Stock_Transaction_Log'!$G$2:$G$992,FILTER('Product_Stock_Master产品维护'!$A$2:$A$500,'Product_Stock_Master产品维护'!$B$2:$B$500=G12,'Product_Stock_Master产品维护'!$C$2:$C$500=""Product""),"&amp;"'主表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12" s="91">
        <f>IFERROR(__xludf.DUMMYFUNCTION("IF(G12="""","""",IFERROR(SUM(SUMIFS('主表 Stock_Transaction_Log'!$K$2:$K$992,'主表 Stock_Transaction_Log'!$G$2:$G$992,FILTER('Product_Stock_Master产品维护'!$A$2:$A$500,'Product_Stock_Master产品维护'!$B$2:$B$500=G12,'Product_Stock_Master产品维护'!$C$2:$C$500=""Product""),"&amp;"'主表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12" s="92">
        <f>IFERROR(__xludf.DUMMYFUNCTION("IF(G12="""","""",IFERROR(SUM(FILTER('Product_Stock_Master产品维护'!$G$2:$G$500,'Product_Stock_Master产品维护'!$B$2:$B$500=G12,'Product_Stock_Master产品维护'!$C$2:$C$500=""Product"")),0))"),64.0)</f>
        <v>64</v>
      </c>
      <c r="L12" s="93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</row>
    <row r="13" ht="19.5" customHeight="1">
      <c r="A13" s="75" t="s">
        <v>492</v>
      </c>
      <c r="B13" s="76" t="str">
        <f t="array" ref="B13">IFERROR(INDEX('Repair_Weekly_Input 维修周数据'!$I$3:$I$160,MATCH($D$2,'Repair_Weekly_Input 维修周数据'!$A$3:$A$160,0)),SUMIFS('主表 Stock_Transaction_Log'!$S$2:$S$992,'主表 Stock_Transaction_Log'!$Z$2:$Z$992,"Yes",'主表 Stock_Transaction_Log'!$P$2:$P$992,"Repair / 待修"))</f>
        <v/>
      </c>
      <c r="C13" s="71"/>
      <c r="D13" s="71"/>
      <c r="E13" s="71"/>
      <c r="F13" s="71"/>
      <c r="G13" s="95" t="str">
        <f>IFERROR(__xludf.DUMMYFUNCTION("IFERROR(INDEX(UNIQUE(FILTER('Product_Stock_Master产品维护'!$B$2:$B$500,'Product_Stock_Master产品维护'!$C$2:$C$500=""Product"",'Product_Stock_Master产品维护'!$B$2:$B$500&lt;&gt;"""")),ROW()-5),"""")"),"CQ6-M")</f>
        <v>CQ6-M</v>
      </c>
      <c r="H13" s="95" t="str">
        <f>IFERROR(__xludf.DUMMYFUNCTION("IF(G13="""","""",IFERROR(REGEXREPLACE(INDEX(FILTER('Product_Stock_Master产品维护'!$L$2:$L$500,'Product_Stock_Master产品维护'!$B$2:$B$500=G13,'Product_Stock_Master产品维护'!$C$2:$C$500=""Product""),1),""^.* / "",""""),""""))"),"电池")</f>
        <v>电池</v>
      </c>
      <c r="I13" s="96">
        <f>IFERROR(__xludf.DUMMYFUNCTION("IF(G13="""","""",IFERROR(SUM(SUMIFS('主表 Stock_Transaction_Log'!$K$2:$K$992,'主表 Stock_Transaction_Log'!$G$2:$G$992,FILTER('Product_Stock_Master产品维护'!$A$2:$A$500,'Product_Stock_Master产品维护'!$B$2:$B$500=G13,'Product_Stock_Master产品维护'!$C$2:$C$500=""Product""),"&amp;"'主表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13" s="96">
        <f>IFERROR(__xludf.DUMMYFUNCTION("IF(G13="""","""",IFERROR(SUM(SUMIFS('主表 Stock_Transaction_Log'!$K$2:$K$992,'主表 Stock_Transaction_Log'!$G$2:$G$992,FILTER('Product_Stock_Master产品维护'!$A$2:$A$500,'Product_Stock_Master产品维护'!$B$2:$B$500=G13,'Product_Stock_Master产品维护'!$C$2:$C$500=""Product""),"&amp;"'主表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13" s="92">
        <f>IFERROR(__xludf.DUMMYFUNCTION("IF(G13="""","""",IFERROR(SUM(FILTER('Product_Stock_Master产品维护'!$G$2:$G$500,'Product_Stock_Master产品维护'!$B$2:$B$500=G13,'Product_Stock_Master产品维护'!$C$2:$C$500=""Product"")),0))"),40.0)</f>
        <v>40</v>
      </c>
      <c r="L13" s="93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</row>
    <row r="14" ht="19.5" customHeight="1">
      <c r="A14" s="71"/>
      <c r="B14" s="71"/>
      <c r="C14" s="71"/>
      <c r="D14" s="71"/>
      <c r="E14" s="71"/>
      <c r="F14" s="71"/>
      <c r="G14" s="88" t="str">
        <f>IFERROR(__xludf.DUMMYFUNCTION("IFERROR(INDEX(UNIQUE(FILTER('Product_Stock_Master产品维护'!$B$2:$B$500,'Product_Stock_Master产品维护'!$C$2:$C$500=""Product"",'Product_Stock_Master产品维护'!$B$2:$B$500&lt;&gt;"""")),ROW()-5),"""")"),"EQ4800")</f>
        <v>EQ4800</v>
      </c>
      <c r="H14" s="88" t="str">
        <f>IFERROR(__xludf.DUMMYFUNCTION("IF(G14="""","""",IFERROR(REGEXREPLACE(INDEX(FILTER('Product_Stock_Master产品维护'!$L$2:$L$500,'Product_Stock_Master产品维护'!$B$2:$B$500=G14,'Product_Stock_Master产品维护'!$C$2:$C$500=""Product""),1),""^.* / "",""""),""""))"),"电池")</f>
        <v>电池</v>
      </c>
      <c r="I14" s="91">
        <f>IFERROR(__xludf.DUMMYFUNCTION("IF(G14="""","""",IFERROR(SUM(SUMIFS('主表 Stock_Transaction_Log'!$K$2:$K$992,'主表 Stock_Transaction_Log'!$G$2:$G$992,FILTER('Product_Stock_Master产品维护'!$A$2:$A$500,'Product_Stock_Master产品维护'!$B$2:$B$500=G14,'Product_Stock_Master产品维护'!$C$2:$C$500=""Product""),"&amp;"'主表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14" s="91">
        <f>IFERROR(__xludf.DUMMYFUNCTION("IF(G14="""","""",IFERROR(SUM(SUMIFS('主表 Stock_Transaction_Log'!$K$2:$K$992,'主表 Stock_Transaction_Log'!$G$2:$G$992,FILTER('Product_Stock_Master产品维护'!$A$2:$A$500,'Product_Stock_Master产品维护'!$B$2:$B$500=G14,'Product_Stock_Master产品维护'!$C$2:$C$500=""Product""),"&amp;"'主表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14" s="92">
        <f>IFERROR(__xludf.DUMMYFUNCTION("IF(G14="""","""",IFERROR(SUM(FILTER('Product_Stock_Master产品维护'!$G$2:$G$500,'Product_Stock_Master产品维护'!$B$2:$B$500=G14,'Product_Stock_Master产品维护'!$C$2:$C$500=""Product"")),0))"),1.0)</f>
        <v>1</v>
      </c>
      <c r="L14" s="93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</row>
    <row r="15" hidden="1">
      <c r="A15" s="71"/>
      <c r="B15" s="71"/>
      <c r="C15" s="71"/>
      <c r="D15" s="71"/>
      <c r="E15" s="71"/>
      <c r="F15" s="71"/>
      <c r="G15" s="99" t="str">
        <f>IFERROR(__xludf.DUMMYFUNCTION("IFERROR(INDEX(UNIQUE(FILTER('Product_Stock_Master产品维护'!$B$2:$B$500,'Product_Stock_Master产品维护'!$C$2:$C$500=""Product"",'Product_Stock_Master产品维护'!$B$2:$B$500&lt;&gt;"""")),ROW()-5),"""")"),"CQ7-S")</f>
        <v>CQ7-S</v>
      </c>
      <c r="H15" s="99" t="str">
        <f>IFERROR(__xludf.DUMMYFUNCTION("IF(G15="""","""",IFERROR(INDEX(FILTER('Product_Stock_Master产品维护'!$L$2:$L$500,'Product_Stock_Master产品维护'!$B$2:$B$500=G15,'Product_Stock_Master产品维护'!$C$2:$C$500=""Product""),1),""""))"),"Battery / 电池")</f>
        <v>Battery / 电池</v>
      </c>
      <c r="I15" s="93">
        <f>IFERROR(__xludf.DUMMYFUNCTION("IF(G15="""","""",IFERROR(SUM(SUMIFS('主表 Stock_Transaction_Log'!$K$2:$K$992,'主表 Stock_Transaction_Log'!$G$2:$G$992,FILTER('Product_Stock_Master产品维护'!$A$2:$A$500,'Product_Stock_Master产品维护'!$B$2:$B$500=G15,'Product_Stock_Master产品维护'!$C$2:$C$500=""Product""),"&amp;"'主表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15" s="93">
        <f>IFERROR(__xludf.DUMMYFUNCTION("IF(G15="""","""",IFERROR(SUM(SUMIFS('主表 Stock_Transaction_Log'!$K$2:$K$992,'主表 Stock_Transaction_Log'!$G$2:$G$992,FILTER('Product_Stock_Master产品维护'!$A$2:$A$500,'Product_Stock_Master产品维护'!$B$2:$B$500=G15,'Product_Stock_Master产品维护'!$C$2:$C$500=""Product""),"&amp;"'主表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15" s="93">
        <f>IFERROR(__xludf.DUMMYFUNCTION("IF(G15="""","""",IFERROR(SUM(FILTER('Product_Stock_Master产品维护'!$G$2:$G$500,'Product_Stock_Master产品维护'!$B$2:$B$500=G15,'Product_Stock_Master产品维护'!$C$2:$C$500=""Product"")),0))"),3.0)</f>
        <v>3</v>
      </c>
      <c r="L15" s="93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</row>
    <row r="16" hidden="1">
      <c r="A16" s="71"/>
      <c r="B16" s="71"/>
      <c r="C16" s="71"/>
      <c r="D16" s="71"/>
      <c r="E16" s="71"/>
      <c r="F16" s="71"/>
      <c r="G16" s="99" t="str">
        <f>IFERROR(__xludf.DUMMYFUNCTION("IFERROR(INDEX(UNIQUE(FILTER('Product_Stock_Master产品维护'!$B$2:$B$500,'Product_Stock_Master产品维护'!$C$2:$C$500=""Product"",'Product_Stock_Master产品维护'!$B$2:$B$500&lt;&gt;"""")),ROW()-5),"""")"),"CQ7-M")</f>
        <v>CQ7-M</v>
      </c>
      <c r="H16" s="99" t="str">
        <f>IFERROR(__xludf.DUMMYFUNCTION("IF(G16="""","""",IFERROR(INDEX(FILTER('Product_Stock_Master产品维护'!$L$2:$L$500,'Product_Stock_Master产品维护'!$B$2:$B$500=G16,'Product_Stock_Master产品维护'!$C$2:$C$500=""Product""),1),""""))"),"Battery / 电池")</f>
        <v>Battery / 电池</v>
      </c>
      <c r="I16" s="93">
        <f>IFERROR(__xludf.DUMMYFUNCTION("IF(G16="""","""",IFERROR(SUM(SUMIFS('主表 Stock_Transaction_Log'!$K$2:$K$992,'主表 Stock_Transaction_Log'!$G$2:$G$992,FILTER('Product_Stock_Master产品维护'!$A$2:$A$500,'Product_Stock_Master产品维护'!$B$2:$B$500=G16,'Product_Stock_Master产品维护'!$C$2:$C$500=""Product""),"&amp;"'主表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Stock_Transaction_Log'!$A$2:$A$992,""&lt;""&amp;($D$2+7))),0))"),0.0)</f>
        <v>0</v>
      </c>
      <c r="J16" s="93">
        <f>IFERROR(__xludf.DUMMYFUNCTION("IF(G16="""","""",IFERROR(SUM(SUMIFS('主表 Stock_Transaction_Log'!$K$2:$K$992,'主表 Stock_Transaction_Log'!$G$2:$G$992,FILTER('Product_Stock_Master产品维护'!$A$2:$A$500,'Product_Stock_Master产品维护'!$B$2:$B$500=G16,'Product_Stock_Master产品维护'!$C$2:$C$500=""Product""),"&amp;"'主表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Stock_Transaction_Log'!$A$2:$A$992,""&lt;""&amp;($D$2+7))),0))"),0.0)</f>
        <v>0</v>
      </c>
      <c r="K16" s="93">
        <f>IFERROR(__xludf.DUMMYFUNCTION("IF(G16="""","""",IFERROR(SUM(FILTER('Product_Stock_Master产品维护'!$G$2:$G$500,'Product_Stock_Master产品维护'!$B$2:$B$500=G16,'Product_Stock_Master产品维护'!$C$2:$C$500=""Product"")),0))"),1.0)</f>
        <v>1</v>
      </c>
      <c r="L16" s="93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</row>
    <row r="17" hidden="1">
      <c r="A17" s="71"/>
      <c r="B17" s="71"/>
      <c r="C17" s="71"/>
      <c r="D17" s="71"/>
      <c r="E17" s="71"/>
      <c r="F17" s="71"/>
      <c r="G17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17" s="99" t="str">
        <f>IFERROR(__xludf.DUMMYFUNCTION("IF(G17="""","""",IFERROR(INDEX(FILTER('Product_Stock_Master产品维护'!$L$2:$L$500,'Product_Stock_Master产品维护'!$B$2:$B$500=G17,'Product_Stock_Master产品维护'!$C$2:$C$500=""Product""),1),""""))"),"")</f>
        <v/>
      </c>
      <c r="I17" s="93" t="str">
        <f>IFERROR(__xludf.DUMMYFUNCTION("IF(G17="""","""",IFERROR(SUM(SUMIFS('主表 Stock_Transaction_Log'!$K$2:$K$992,'主表 Stock_Transaction_Log'!$G$2:$G$992,FILTER('Product_Stock_Master产品维护'!$A$2:$A$500,'Product_Stock_Master产品维护'!$B$2:$B$500=G17,'Product_Stock_Master产品维护'!$C$2:$C$500=""Product""),"&amp;"'主表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17" s="93" t="str">
        <f>IFERROR(__xludf.DUMMYFUNCTION("IF(G17="""","""",IFERROR(SUM(SUMIFS('主表 Stock_Transaction_Log'!$K$2:$K$992,'主表 Stock_Transaction_Log'!$G$2:$G$992,FILTER('Product_Stock_Master产品维护'!$A$2:$A$500,'Product_Stock_Master产品维护'!$B$2:$B$500=G17,'Product_Stock_Master产品维护'!$C$2:$C$500=""Product""),"&amp;"'主表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17" s="93" t="str">
        <f>IFERROR(__xludf.DUMMYFUNCTION("IF(G17="""","""",IFERROR(SUM(FILTER('Product_Stock_Master产品维护'!$G$2:$G$500,'Product_Stock_Master产品维护'!$B$2:$B$500=G17,'Product_Stock_Master产品维护'!$C$2:$C$500=""Product"")),0))"),"")</f>
        <v/>
      </c>
      <c r="L17" s="93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</row>
    <row r="18" hidden="1">
      <c r="A18" s="71"/>
      <c r="B18" s="71"/>
      <c r="C18" s="71"/>
      <c r="D18" s="71"/>
      <c r="E18" s="71"/>
      <c r="F18" s="71"/>
      <c r="G18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18" s="99" t="str">
        <f>IFERROR(__xludf.DUMMYFUNCTION("IF(G18="""","""",IFERROR(INDEX(FILTER('Product_Stock_Master产品维护'!$L$2:$L$500,'Product_Stock_Master产品维护'!$B$2:$B$500=G18,'Product_Stock_Master产品维护'!$C$2:$C$500=""Product""),1),""""))"),"")</f>
        <v/>
      </c>
      <c r="I18" s="93" t="str">
        <f>IFERROR(__xludf.DUMMYFUNCTION("IF(G18="""","""",IFERROR(SUM(SUMIFS('主表 Stock_Transaction_Log'!$K$2:$K$992,'主表 Stock_Transaction_Log'!$G$2:$G$992,FILTER('Product_Stock_Master产品维护'!$A$2:$A$500,'Product_Stock_Master产品维护'!$B$2:$B$500=G18,'Product_Stock_Master产品维护'!$C$2:$C$500=""Product""),"&amp;"'主表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18" s="93" t="str">
        <f>IFERROR(__xludf.DUMMYFUNCTION("IF(G18="""","""",IFERROR(SUM(SUMIFS('主表 Stock_Transaction_Log'!$K$2:$K$992,'主表 Stock_Transaction_Log'!$G$2:$G$992,FILTER('Product_Stock_Master产品维护'!$A$2:$A$500,'Product_Stock_Master产品维护'!$B$2:$B$500=G18,'Product_Stock_Master产品维护'!$C$2:$C$500=""Product""),"&amp;"'主表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18" s="93" t="str">
        <f>IFERROR(__xludf.DUMMYFUNCTION("IF(G18="""","""",IFERROR(SUM(FILTER('Product_Stock_Master产品维护'!$G$2:$G$500,'Product_Stock_Master产品维护'!$B$2:$B$500=G18,'Product_Stock_Master产品维护'!$C$2:$C$500=""Product"")),0))"),"")</f>
        <v/>
      </c>
      <c r="L18" s="93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</row>
    <row r="19" hidden="1">
      <c r="A19" s="71"/>
      <c r="B19" s="71"/>
      <c r="C19" s="71"/>
      <c r="D19" s="71"/>
      <c r="E19" s="71"/>
      <c r="F19" s="71"/>
      <c r="G19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19" s="99" t="str">
        <f>IFERROR(__xludf.DUMMYFUNCTION("IF(G19="""","""",IFERROR(INDEX(FILTER('Product_Stock_Master产品维护'!$L$2:$L$500,'Product_Stock_Master产品维护'!$B$2:$B$500=G19,'Product_Stock_Master产品维护'!$C$2:$C$500=""Product""),1),""""))"),"")</f>
        <v/>
      </c>
      <c r="I19" s="93" t="str">
        <f>IFERROR(__xludf.DUMMYFUNCTION("IF(G19="""","""",IFERROR(SUM(SUMIFS('主表 Stock_Transaction_Log'!$K$2:$K$992,'主表 Stock_Transaction_Log'!$G$2:$G$992,FILTER('Product_Stock_Master产品维护'!$A$2:$A$500,'Product_Stock_Master产品维护'!$B$2:$B$500=G19,'Product_Stock_Master产品维护'!$C$2:$C$500=""Product""),"&amp;"'主表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19" s="93" t="str">
        <f>IFERROR(__xludf.DUMMYFUNCTION("IF(G19="""","""",IFERROR(SUM(SUMIFS('主表 Stock_Transaction_Log'!$K$2:$K$992,'主表 Stock_Transaction_Log'!$G$2:$G$992,FILTER('Product_Stock_Master产品维护'!$A$2:$A$500,'Product_Stock_Master产品维护'!$B$2:$B$500=G19,'Product_Stock_Master产品维护'!$C$2:$C$500=""Product""),"&amp;"'主表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19" s="93" t="str">
        <f>IFERROR(__xludf.DUMMYFUNCTION("IF(G19="""","""",IFERROR(SUM(FILTER('Product_Stock_Master产品维护'!$G$2:$G$500,'Product_Stock_Master产品维护'!$B$2:$B$500=G19,'Product_Stock_Master产品维护'!$C$2:$C$500=""Product"")),0))"),"")</f>
        <v/>
      </c>
      <c r="L19" s="93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 hidden="1">
      <c r="A20" s="71"/>
      <c r="B20" s="71"/>
      <c r="C20" s="71"/>
      <c r="D20" s="71"/>
      <c r="E20" s="71"/>
      <c r="F20" s="71"/>
      <c r="G20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0" s="99" t="str">
        <f>IFERROR(__xludf.DUMMYFUNCTION("IF(G20="""","""",IFERROR(INDEX(FILTER('Product_Stock_Master产品维护'!$L$2:$L$500,'Product_Stock_Master产品维护'!$B$2:$B$500=G20,'Product_Stock_Master产品维护'!$C$2:$C$500=""Product""),1),""""))"),"")</f>
        <v/>
      </c>
      <c r="I20" s="93" t="str">
        <f>IFERROR(__xludf.DUMMYFUNCTION("IF(G20="""","""",IFERROR(SUM(SUMIFS('主表 Stock_Transaction_Log'!$K$2:$K$992,'主表 Stock_Transaction_Log'!$G$2:$G$992,FILTER('Product_Stock_Master产品维护'!$A$2:$A$500,'Product_Stock_Master产品维护'!$B$2:$B$500=G20,'Product_Stock_Master产品维护'!$C$2:$C$500=""Product""),"&amp;"'主表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0" s="93" t="str">
        <f>IFERROR(__xludf.DUMMYFUNCTION("IF(G20="""","""",IFERROR(SUM(SUMIFS('主表 Stock_Transaction_Log'!$K$2:$K$992,'主表 Stock_Transaction_Log'!$G$2:$G$992,FILTER('Product_Stock_Master产品维护'!$A$2:$A$500,'Product_Stock_Master产品维护'!$B$2:$B$500=G20,'Product_Stock_Master产品维护'!$C$2:$C$500=""Product""),"&amp;"'主表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0" s="93" t="str">
        <f>IFERROR(__xludf.DUMMYFUNCTION("IF(G20="""","""",IFERROR(SUM(FILTER('Product_Stock_Master产品维护'!$G$2:$G$500,'Product_Stock_Master产品维护'!$B$2:$B$500=G20,'Product_Stock_Master产品维护'!$C$2:$C$500=""Product"")),0))"),"")</f>
        <v/>
      </c>
      <c r="L20" s="93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</row>
    <row r="21" hidden="1">
      <c r="A21" s="71"/>
      <c r="B21" s="71"/>
      <c r="C21" s="71"/>
      <c r="D21" s="71"/>
      <c r="E21" s="71"/>
      <c r="F21" s="71"/>
      <c r="G21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1" s="99" t="str">
        <f>IFERROR(__xludf.DUMMYFUNCTION("IF(G21="""","""",IFERROR(INDEX(FILTER('Product_Stock_Master产品维护'!$L$2:$L$500,'Product_Stock_Master产品维护'!$B$2:$B$500=G21,'Product_Stock_Master产品维护'!$C$2:$C$500=""Product""),1),""""))"),"")</f>
        <v/>
      </c>
      <c r="I21" s="93" t="str">
        <f>IFERROR(__xludf.DUMMYFUNCTION("IF(G21="""","""",IFERROR(SUM(SUMIFS('主表 Stock_Transaction_Log'!$K$2:$K$992,'主表 Stock_Transaction_Log'!$G$2:$G$992,FILTER('Product_Stock_Master产品维护'!$A$2:$A$500,'Product_Stock_Master产品维护'!$B$2:$B$500=G21,'Product_Stock_Master产品维护'!$C$2:$C$500=""Product""),"&amp;"'主表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1" s="93" t="str">
        <f>IFERROR(__xludf.DUMMYFUNCTION("IF(G21="""","""",IFERROR(SUM(SUMIFS('主表 Stock_Transaction_Log'!$K$2:$K$992,'主表 Stock_Transaction_Log'!$G$2:$G$992,FILTER('Product_Stock_Master产品维护'!$A$2:$A$500,'Product_Stock_Master产品维护'!$B$2:$B$500=G21,'Product_Stock_Master产品维护'!$C$2:$C$500=""Product""),"&amp;"'主表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1" s="93" t="str">
        <f>IFERROR(__xludf.DUMMYFUNCTION("IF(G21="""","""",IFERROR(SUM(FILTER('Product_Stock_Master产品维护'!$G$2:$G$500,'Product_Stock_Master产品维护'!$B$2:$B$500=G21,'Product_Stock_Master产品维护'!$C$2:$C$500=""Product"")),0))"),"")</f>
        <v/>
      </c>
      <c r="L21" s="93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</row>
    <row r="22" hidden="1">
      <c r="A22" s="71"/>
      <c r="B22" s="71"/>
      <c r="C22" s="71"/>
      <c r="D22" s="71"/>
      <c r="E22" s="71"/>
      <c r="F22" s="71"/>
      <c r="G22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2" s="99" t="str">
        <f>IFERROR(__xludf.DUMMYFUNCTION("IF(G22="""","""",IFERROR(INDEX(FILTER('Product_Stock_Master产品维护'!$L$2:$L$500,'Product_Stock_Master产品维护'!$B$2:$B$500=G22,'Product_Stock_Master产品维护'!$C$2:$C$500=""Product""),1),""""))"),"")</f>
        <v/>
      </c>
      <c r="I22" s="93" t="str">
        <f>IFERROR(__xludf.DUMMYFUNCTION("IF(G22="""","""",IFERROR(SUM(SUMIFS('主表 Stock_Transaction_Log'!$K$2:$K$992,'主表 Stock_Transaction_Log'!$G$2:$G$992,FILTER('Product_Stock_Master产品维护'!$A$2:$A$500,'Product_Stock_Master产品维护'!$B$2:$B$500=G22,'Product_Stock_Master产品维护'!$C$2:$C$500=""Product""),"&amp;"'主表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2" s="93" t="str">
        <f>IFERROR(__xludf.DUMMYFUNCTION("IF(G22="""","""",IFERROR(SUM(SUMIFS('主表 Stock_Transaction_Log'!$K$2:$K$992,'主表 Stock_Transaction_Log'!$G$2:$G$992,FILTER('Product_Stock_Master产品维护'!$A$2:$A$500,'Product_Stock_Master产品维护'!$B$2:$B$500=G22,'Product_Stock_Master产品维护'!$C$2:$C$500=""Product""),"&amp;"'主表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2" s="93" t="str">
        <f>IFERROR(__xludf.DUMMYFUNCTION("IF(G22="""","""",IFERROR(SUM(FILTER('Product_Stock_Master产品维护'!$G$2:$G$500,'Product_Stock_Master产品维护'!$B$2:$B$500=G22,'Product_Stock_Master产品维护'!$C$2:$C$500=""Product"")),0))"),"")</f>
        <v/>
      </c>
      <c r="L22" s="93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 hidden="1">
      <c r="A23" s="71"/>
      <c r="B23" s="71"/>
      <c r="C23" s="71"/>
      <c r="D23" s="71"/>
      <c r="E23" s="71"/>
      <c r="F23" s="71"/>
      <c r="G23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3" s="99" t="str">
        <f>IFERROR(__xludf.DUMMYFUNCTION("IF(G23="""","""",IFERROR(INDEX(FILTER('Product_Stock_Master产品维护'!$L$2:$L$500,'Product_Stock_Master产品维护'!$B$2:$B$500=G23,'Product_Stock_Master产品维护'!$C$2:$C$500=""Product""),1),""""))"),"")</f>
        <v/>
      </c>
      <c r="I23" s="93" t="str">
        <f>IFERROR(__xludf.DUMMYFUNCTION("IF(G23="""","""",IFERROR(SUM(SUMIFS('主表 Stock_Transaction_Log'!$K$2:$K$992,'主表 Stock_Transaction_Log'!$G$2:$G$992,FILTER('Product_Stock_Master产品维护'!$A$2:$A$500,'Product_Stock_Master产品维护'!$B$2:$B$500=G23,'Product_Stock_Master产品维护'!$C$2:$C$500=""Product""),"&amp;"'主表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3" s="93" t="str">
        <f>IFERROR(__xludf.DUMMYFUNCTION("IF(G23="""","""",IFERROR(SUM(SUMIFS('主表 Stock_Transaction_Log'!$K$2:$K$992,'主表 Stock_Transaction_Log'!$G$2:$G$992,FILTER('Product_Stock_Master产品维护'!$A$2:$A$500,'Product_Stock_Master产品维护'!$B$2:$B$500=G23,'Product_Stock_Master产品维护'!$C$2:$C$500=""Product""),"&amp;"'主表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3" s="93" t="str">
        <f>IFERROR(__xludf.DUMMYFUNCTION("IF(G23="""","""",IFERROR(SUM(FILTER('Product_Stock_Master产品维护'!$G$2:$G$500,'Product_Stock_Master产品维护'!$B$2:$B$500=G23,'Product_Stock_Master产品维护'!$C$2:$C$500=""Product"")),0))"),"")</f>
        <v/>
      </c>
      <c r="L23" s="93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 hidden="1">
      <c r="A24" s="71"/>
      <c r="B24" s="71"/>
      <c r="C24" s="71"/>
      <c r="D24" s="71"/>
      <c r="E24" s="71"/>
      <c r="F24" s="71"/>
      <c r="G24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4" s="99" t="str">
        <f>IFERROR(__xludf.DUMMYFUNCTION("IF(G24="""","""",IFERROR(INDEX(FILTER('Product_Stock_Master产品维护'!$L$2:$L$500,'Product_Stock_Master产品维护'!$B$2:$B$500=G24,'Product_Stock_Master产品维护'!$C$2:$C$500=""Product""),1),""""))"),"")</f>
        <v/>
      </c>
      <c r="I24" s="93" t="str">
        <f>IFERROR(__xludf.DUMMYFUNCTION("IF(G24="""","""",IFERROR(SUM(SUMIFS('主表 Stock_Transaction_Log'!$K$2:$K$992,'主表 Stock_Transaction_Log'!$G$2:$G$992,FILTER('Product_Stock_Master产品维护'!$A$2:$A$500,'Product_Stock_Master产品维护'!$B$2:$B$500=G24,'Product_Stock_Master产品维护'!$C$2:$C$500=""Product""),"&amp;"'主表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4" s="93" t="str">
        <f>IFERROR(__xludf.DUMMYFUNCTION("IF(G24="""","""",IFERROR(SUM(SUMIFS('主表 Stock_Transaction_Log'!$K$2:$K$992,'主表 Stock_Transaction_Log'!$G$2:$G$992,FILTER('Product_Stock_Master产品维护'!$A$2:$A$500,'Product_Stock_Master产品维护'!$B$2:$B$500=G24,'Product_Stock_Master产品维护'!$C$2:$C$500=""Product""),"&amp;"'主表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4" s="93" t="str">
        <f>IFERROR(__xludf.DUMMYFUNCTION("IF(G24="""","""",IFERROR(SUM(FILTER('Product_Stock_Master产品维护'!$G$2:$G$500,'Product_Stock_Master产品维护'!$B$2:$B$500=G24,'Product_Stock_Master产品维护'!$C$2:$C$500=""Product"")),0))"),"")</f>
        <v/>
      </c>
      <c r="L24" s="93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hidden="1">
      <c r="A25" s="71"/>
      <c r="B25" s="71"/>
      <c r="C25" s="71"/>
      <c r="D25" s="71"/>
      <c r="E25" s="71"/>
      <c r="F25" s="71"/>
      <c r="G25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5" s="99" t="str">
        <f>IFERROR(__xludf.DUMMYFUNCTION("IF(G25="""","""",IFERROR(INDEX(FILTER('Product_Stock_Master产品维护'!$L$2:$L$500,'Product_Stock_Master产品维护'!$B$2:$B$500=G25,'Product_Stock_Master产品维护'!$C$2:$C$500=""Product""),1),""""))"),"")</f>
        <v/>
      </c>
      <c r="I25" s="93" t="str">
        <f>IFERROR(__xludf.DUMMYFUNCTION("IF(G25="""","""",IFERROR(SUM(SUMIFS('主表 Stock_Transaction_Log'!$K$2:$K$992,'主表 Stock_Transaction_Log'!$G$2:$G$992,FILTER('Product_Stock_Master产品维护'!$A$2:$A$500,'Product_Stock_Master产品维护'!$B$2:$B$500=G25,'Product_Stock_Master产品维护'!$C$2:$C$500=""Product""),"&amp;"'主表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5" s="93" t="str">
        <f>IFERROR(__xludf.DUMMYFUNCTION("IF(G25="""","""",IFERROR(SUM(SUMIFS('主表 Stock_Transaction_Log'!$K$2:$K$992,'主表 Stock_Transaction_Log'!$G$2:$G$992,FILTER('Product_Stock_Master产品维护'!$A$2:$A$500,'Product_Stock_Master产品维护'!$B$2:$B$500=G25,'Product_Stock_Master产品维护'!$C$2:$C$500=""Product""),"&amp;"'主表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5" s="93" t="str">
        <f>IFERROR(__xludf.DUMMYFUNCTION("IF(G25="""","""",IFERROR(SUM(FILTER('Product_Stock_Master产品维护'!$G$2:$G$500,'Product_Stock_Master产品维护'!$B$2:$B$500=G25,'Product_Stock_Master产品维护'!$C$2:$C$500=""Product"")),0))"),"")</f>
        <v/>
      </c>
      <c r="L25" s="93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 hidden="1">
      <c r="A26" s="71"/>
      <c r="B26" s="71"/>
      <c r="C26" s="71"/>
      <c r="D26" s="71"/>
      <c r="E26" s="71"/>
      <c r="F26" s="71"/>
      <c r="G26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6" s="99" t="str">
        <f>IFERROR(__xludf.DUMMYFUNCTION("IF(G26="""","""",IFERROR(INDEX(FILTER('Product_Stock_Master产品维护'!$L$2:$L$500,'Product_Stock_Master产品维护'!$B$2:$B$500=G26,'Product_Stock_Master产品维护'!$C$2:$C$500=""Product""),1),""""))"),"")</f>
        <v/>
      </c>
      <c r="I26" s="93" t="str">
        <f>IFERROR(__xludf.DUMMYFUNCTION("IF(G26="""","""",IFERROR(SUM(SUMIFS('主表 Stock_Transaction_Log'!$K$2:$K$992,'主表 Stock_Transaction_Log'!$G$2:$G$992,FILTER('Product_Stock_Master产品维护'!$A$2:$A$500,'Product_Stock_Master产品维护'!$B$2:$B$500=G26,'Product_Stock_Master产品维护'!$C$2:$C$500=""Product""),"&amp;"'主表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6" s="93" t="str">
        <f>IFERROR(__xludf.DUMMYFUNCTION("IF(G26="""","""",IFERROR(SUM(SUMIFS('主表 Stock_Transaction_Log'!$K$2:$K$992,'主表 Stock_Transaction_Log'!$G$2:$G$992,FILTER('Product_Stock_Master产品维护'!$A$2:$A$500,'Product_Stock_Master产品维护'!$B$2:$B$500=G26,'Product_Stock_Master产品维护'!$C$2:$C$500=""Product""),"&amp;"'主表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6" s="93" t="str">
        <f>IFERROR(__xludf.DUMMYFUNCTION("IF(G26="""","""",IFERROR(SUM(FILTER('Product_Stock_Master产品维护'!$G$2:$G$500,'Product_Stock_Master产品维护'!$B$2:$B$500=G26,'Product_Stock_Master产品维护'!$C$2:$C$500=""Product"")),0))"),"")</f>
        <v/>
      </c>
      <c r="L26" s="93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 hidden="1">
      <c r="A27" s="71"/>
      <c r="B27" s="71"/>
      <c r="C27" s="71"/>
      <c r="D27" s="71"/>
      <c r="E27" s="71"/>
      <c r="F27" s="71"/>
      <c r="G27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7" s="99" t="str">
        <f>IFERROR(__xludf.DUMMYFUNCTION("IF(G27="""","""",IFERROR(INDEX(FILTER('Product_Stock_Master产品维护'!$L$2:$L$500,'Product_Stock_Master产品维护'!$B$2:$B$500=G27,'Product_Stock_Master产品维护'!$C$2:$C$500=""Product""),1),""""))"),"")</f>
        <v/>
      </c>
      <c r="I27" s="93" t="str">
        <f>IFERROR(__xludf.DUMMYFUNCTION("IF(G27="""","""",IFERROR(SUM(SUMIFS('主表 Stock_Transaction_Log'!$K$2:$K$992,'主表 Stock_Transaction_Log'!$G$2:$G$992,FILTER('Product_Stock_Master产品维护'!$A$2:$A$500,'Product_Stock_Master产品维护'!$B$2:$B$500=G27,'Product_Stock_Master产品维护'!$C$2:$C$500=""Product""),"&amp;"'主表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7" s="93" t="str">
        <f>IFERROR(__xludf.DUMMYFUNCTION("IF(G27="""","""",IFERROR(SUM(SUMIFS('主表 Stock_Transaction_Log'!$K$2:$K$992,'主表 Stock_Transaction_Log'!$G$2:$G$992,FILTER('Product_Stock_Master产品维护'!$A$2:$A$500,'Product_Stock_Master产品维护'!$B$2:$B$500=G27,'Product_Stock_Master产品维护'!$C$2:$C$500=""Product""),"&amp;"'主表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7" s="93" t="str">
        <f>IFERROR(__xludf.DUMMYFUNCTION("IF(G27="""","""",IFERROR(SUM(FILTER('Product_Stock_Master产品维护'!$G$2:$G$500,'Product_Stock_Master产品维护'!$B$2:$B$500=G27,'Product_Stock_Master产品维护'!$C$2:$C$500=""Product"")),0))"),"")</f>
        <v/>
      </c>
      <c r="L27" s="93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 hidden="1">
      <c r="A28" s="71"/>
      <c r="B28" s="71"/>
      <c r="C28" s="71"/>
      <c r="D28" s="71"/>
      <c r="E28" s="71"/>
      <c r="F28" s="71"/>
      <c r="G28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8" s="99" t="str">
        <f>IFERROR(__xludf.DUMMYFUNCTION("IF(G28="""","""",IFERROR(INDEX(FILTER('Product_Stock_Master产品维护'!$L$2:$L$500,'Product_Stock_Master产品维护'!$B$2:$B$500=G28,'Product_Stock_Master产品维护'!$C$2:$C$500=""Product""),1),""""))"),"")</f>
        <v/>
      </c>
      <c r="I28" s="93" t="str">
        <f>IFERROR(__xludf.DUMMYFUNCTION("IF(G28="""","""",IFERROR(SUM(SUMIFS('主表 Stock_Transaction_Log'!$K$2:$K$992,'主表 Stock_Transaction_Log'!$G$2:$G$992,FILTER('Product_Stock_Master产品维护'!$A$2:$A$500,'Product_Stock_Master产品维护'!$B$2:$B$500=G28,'Product_Stock_Master产品维护'!$C$2:$C$500=""Product""),"&amp;"'主表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8" s="93" t="str">
        <f>IFERROR(__xludf.DUMMYFUNCTION("IF(G28="""","""",IFERROR(SUM(SUMIFS('主表 Stock_Transaction_Log'!$K$2:$K$992,'主表 Stock_Transaction_Log'!$G$2:$G$992,FILTER('Product_Stock_Master产品维护'!$A$2:$A$500,'Product_Stock_Master产品维护'!$B$2:$B$500=G28,'Product_Stock_Master产品维护'!$C$2:$C$500=""Product""),"&amp;"'主表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8" s="93" t="str">
        <f>IFERROR(__xludf.DUMMYFUNCTION("IF(G28="""","""",IFERROR(SUM(FILTER('Product_Stock_Master产品维护'!$G$2:$G$500,'Product_Stock_Master产品维护'!$B$2:$B$500=G28,'Product_Stock_Master产品维护'!$C$2:$C$500=""Product"")),0))"),"")</f>
        <v/>
      </c>
      <c r="L28" s="93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hidden="1">
      <c r="A29" s="71"/>
      <c r="B29" s="71"/>
      <c r="C29" s="71"/>
      <c r="D29" s="71"/>
      <c r="E29" s="71"/>
      <c r="F29" s="71"/>
      <c r="G29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29" s="99" t="str">
        <f>IFERROR(__xludf.DUMMYFUNCTION("IF(G29="""","""",IFERROR(INDEX(FILTER('Product_Stock_Master产品维护'!$L$2:$L$500,'Product_Stock_Master产品维护'!$B$2:$B$500=G29,'Product_Stock_Master产品维护'!$C$2:$C$500=""Product""),1),""""))"),"")</f>
        <v/>
      </c>
      <c r="I29" s="93" t="str">
        <f>IFERROR(__xludf.DUMMYFUNCTION("IF(G29="""","""",IFERROR(SUM(SUMIFS('主表 Stock_Transaction_Log'!$K$2:$K$992,'主表 Stock_Transaction_Log'!$G$2:$G$992,FILTER('Product_Stock_Master产品维护'!$A$2:$A$500,'Product_Stock_Master产品维护'!$B$2:$B$500=G29,'Product_Stock_Master产品维护'!$C$2:$C$500=""Product""),"&amp;"'主表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29" s="93" t="str">
        <f>IFERROR(__xludf.DUMMYFUNCTION("IF(G29="""","""",IFERROR(SUM(SUMIFS('主表 Stock_Transaction_Log'!$K$2:$K$992,'主表 Stock_Transaction_Log'!$G$2:$G$992,FILTER('Product_Stock_Master产品维护'!$A$2:$A$500,'Product_Stock_Master产品维护'!$B$2:$B$500=G29,'Product_Stock_Master产品维护'!$C$2:$C$500=""Product""),"&amp;"'主表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29" s="93" t="str">
        <f>IFERROR(__xludf.DUMMYFUNCTION("IF(G29="""","""",IFERROR(SUM(FILTER('Product_Stock_Master产品维护'!$G$2:$G$500,'Product_Stock_Master产品维护'!$B$2:$B$500=G29,'Product_Stock_Master产品维护'!$C$2:$C$500=""Product"")),0))"),"")</f>
        <v/>
      </c>
      <c r="L29" s="93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 hidden="1">
      <c r="A30" s="71"/>
      <c r="B30" s="71"/>
      <c r="C30" s="71"/>
      <c r="D30" s="71"/>
      <c r="E30" s="71"/>
      <c r="F30" s="71"/>
      <c r="G30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0" s="99" t="str">
        <f>IFERROR(__xludf.DUMMYFUNCTION("IF(G30="""","""",IFERROR(INDEX(FILTER('Product_Stock_Master产品维护'!$L$2:$L$500,'Product_Stock_Master产品维护'!$B$2:$B$500=G30,'Product_Stock_Master产品维护'!$C$2:$C$500=""Product""),1),""""))"),"")</f>
        <v/>
      </c>
      <c r="I30" s="93" t="str">
        <f>IFERROR(__xludf.DUMMYFUNCTION("IF(G30="""","""",IFERROR(SUM(SUMIFS('主表 Stock_Transaction_Log'!$K$2:$K$992,'主表 Stock_Transaction_Log'!$G$2:$G$992,FILTER('Product_Stock_Master产品维护'!$A$2:$A$500,'Product_Stock_Master产品维护'!$B$2:$B$500=G30,'Product_Stock_Master产品维护'!$C$2:$C$500=""Product""),"&amp;"'主表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0" s="93" t="str">
        <f>IFERROR(__xludf.DUMMYFUNCTION("IF(G30="""","""",IFERROR(SUM(SUMIFS('主表 Stock_Transaction_Log'!$K$2:$K$992,'主表 Stock_Transaction_Log'!$G$2:$G$992,FILTER('Product_Stock_Master产品维护'!$A$2:$A$500,'Product_Stock_Master产品维护'!$B$2:$B$500=G30,'Product_Stock_Master产品维护'!$C$2:$C$500=""Product""),"&amp;"'主表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0" s="93" t="str">
        <f>IFERROR(__xludf.DUMMYFUNCTION("IF(G30="""","""",IFERROR(SUM(FILTER('Product_Stock_Master产品维护'!$G$2:$G$500,'Product_Stock_Master产品维护'!$B$2:$B$500=G30,'Product_Stock_Master产品维护'!$C$2:$C$500=""Product"")),0))"),"")</f>
        <v/>
      </c>
      <c r="L30" s="93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 hidden="1">
      <c r="A31" s="71"/>
      <c r="B31" s="71"/>
      <c r="C31" s="71"/>
      <c r="D31" s="71"/>
      <c r="E31" s="71"/>
      <c r="F31" s="71"/>
      <c r="G31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1" s="99" t="str">
        <f>IFERROR(__xludf.DUMMYFUNCTION("IF(G31="""","""",IFERROR(INDEX(FILTER('Product_Stock_Master产品维护'!$L$2:$L$500,'Product_Stock_Master产品维护'!$B$2:$B$500=G31,'Product_Stock_Master产品维护'!$C$2:$C$500=""Product""),1),""""))"),"")</f>
        <v/>
      </c>
      <c r="I31" s="93" t="str">
        <f>IFERROR(__xludf.DUMMYFUNCTION("IF(G31="""","""",IFERROR(SUM(SUMIFS('主表 Stock_Transaction_Log'!$K$2:$K$992,'主表 Stock_Transaction_Log'!$G$2:$G$992,FILTER('Product_Stock_Master产品维护'!$A$2:$A$500,'Product_Stock_Master产品维护'!$B$2:$B$500=G31,'Product_Stock_Master产品维护'!$C$2:$C$500=""Product""),"&amp;"'主表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1" s="93" t="str">
        <f>IFERROR(__xludf.DUMMYFUNCTION("IF(G31="""","""",IFERROR(SUM(SUMIFS('主表 Stock_Transaction_Log'!$K$2:$K$992,'主表 Stock_Transaction_Log'!$G$2:$G$992,FILTER('Product_Stock_Master产品维护'!$A$2:$A$500,'Product_Stock_Master产品维护'!$B$2:$B$500=G31,'Product_Stock_Master产品维护'!$C$2:$C$500=""Product""),"&amp;"'主表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1" s="93" t="str">
        <f>IFERROR(__xludf.DUMMYFUNCTION("IF(G31="""","""",IFERROR(SUM(FILTER('Product_Stock_Master产品维护'!$G$2:$G$500,'Product_Stock_Master产品维护'!$B$2:$B$500=G31,'Product_Stock_Master产品维护'!$C$2:$C$500=""Product"")),0))"),"")</f>
        <v/>
      </c>
      <c r="L31" s="93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 hidden="1">
      <c r="A32" s="71"/>
      <c r="B32" s="71"/>
      <c r="C32" s="71"/>
      <c r="D32" s="71"/>
      <c r="E32" s="71"/>
      <c r="F32" s="71"/>
      <c r="G32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2" s="99" t="str">
        <f>IFERROR(__xludf.DUMMYFUNCTION("IF(G32="""","""",IFERROR(INDEX(FILTER('Product_Stock_Master产品维护'!$L$2:$L$500,'Product_Stock_Master产品维护'!$B$2:$B$500=G32,'Product_Stock_Master产品维护'!$C$2:$C$500=""Product""),1),""""))"),"")</f>
        <v/>
      </c>
      <c r="I32" s="93" t="str">
        <f>IFERROR(__xludf.DUMMYFUNCTION("IF(G32="""","""",IFERROR(SUM(SUMIFS('主表 Stock_Transaction_Log'!$K$2:$K$992,'主表 Stock_Transaction_Log'!$G$2:$G$992,FILTER('Product_Stock_Master产品维护'!$A$2:$A$500,'Product_Stock_Master产品维护'!$B$2:$B$500=G32,'Product_Stock_Master产品维护'!$C$2:$C$500=""Product""),"&amp;"'主表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2" s="93" t="str">
        <f>IFERROR(__xludf.DUMMYFUNCTION("IF(G32="""","""",IFERROR(SUM(SUMIFS('主表 Stock_Transaction_Log'!$K$2:$K$992,'主表 Stock_Transaction_Log'!$G$2:$G$992,FILTER('Product_Stock_Master产品维护'!$A$2:$A$500,'Product_Stock_Master产品维护'!$B$2:$B$500=G32,'Product_Stock_Master产品维护'!$C$2:$C$500=""Product""),"&amp;"'主表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2" s="93" t="str">
        <f>IFERROR(__xludf.DUMMYFUNCTION("IF(G32="""","""",IFERROR(SUM(FILTER('Product_Stock_Master产品维护'!$G$2:$G$500,'Product_Stock_Master产品维护'!$B$2:$B$500=G32,'Product_Stock_Master产品维护'!$C$2:$C$500=""Product"")),0))"),"")</f>
        <v/>
      </c>
      <c r="L32" s="93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 hidden="1">
      <c r="A33" s="71"/>
      <c r="B33" s="71"/>
      <c r="C33" s="71"/>
      <c r="D33" s="71"/>
      <c r="E33" s="71"/>
      <c r="F33" s="71"/>
      <c r="G33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3" s="99" t="str">
        <f>IFERROR(__xludf.DUMMYFUNCTION("IF(G33="""","""",IFERROR(INDEX(FILTER('Product_Stock_Master产品维护'!$L$2:$L$500,'Product_Stock_Master产品维护'!$B$2:$B$500=G33,'Product_Stock_Master产品维护'!$C$2:$C$500=""Product""),1),""""))"),"")</f>
        <v/>
      </c>
      <c r="I33" s="93" t="str">
        <f>IFERROR(__xludf.DUMMYFUNCTION("IF(G33="""","""",IFERROR(SUM(SUMIFS('主表 Stock_Transaction_Log'!$K$2:$K$992,'主表 Stock_Transaction_Log'!$G$2:$G$992,FILTER('Product_Stock_Master产品维护'!$A$2:$A$500,'Product_Stock_Master产品维护'!$B$2:$B$500=G33,'Product_Stock_Master产品维护'!$C$2:$C$500=""Product""),"&amp;"'主表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3" s="93" t="str">
        <f>IFERROR(__xludf.DUMMYFUNCTION("IF(G33="""","""",IFERROR(SUM(SUMIFS('主表 Stock_Transaction_Log'!$K$2:$K$992,'主表 Stock_Transaction_Log'!$G$2:$G$992,FILTER('Product_Stock_Master产品维护'!$A$2:$A$500,'Product_Stock_Master产品维护'!$B$2:$B$500=G33,'Product_Stock_Master产品维护'!$C$2:$C$500=""Product""),"&amp;"'主表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3" s="93" t="str">
        <f>IFERROR(__xludf.DUMMYFUNCTION("IF(G33="""","""",IFERROR(SUM(FILTER('Product_Stock_Master产品维护'!$G$2:$G$500,'Product_Stock_Master产品维护'!$B$2:$B$500=G33,'Product_Stock_Master产品维护'!$C$2:$C$500=""Product"")),0))"),"")</f>
        <v/>
      </c>
      <c r="L33" s="93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 hidden="1">
      <c r="A34" s="71"/>
      <c r="B34" s="71"/>
      <c r="C34" s="71"/>
      <c r="D34" s="71"/>
      <c r="E34" s="71"/>
      <c r="F34" s="71"/>
      <c r="G34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4" s="99" t="str">
        <f>IFERROR(__xludf.DUMMYFUNCTION("IF(G34="""","""",IFERROR(INDEX(FILTER('Product_Stock_Master产品维护'!$L$2:$L$500,'Product_Stock_Master产品维护'!$B$2:$B$500=G34,'Product_Stock_Master产品维护'!$C$2:$C$500=""Product""),1),""""))"),"")</f>
        <v/>
      </c>
      <c r="I34" s="93" t="str">
        <f>IFERROR(__xludf.DUMMYFUNCTION("IF(G34="""","""",IFERROR(SUM(SUMIFS('主表 Stock_Transaction_Log'!$K$2:$K$992,'主表 Stock_Transaction_Log'!$G$2:$G$992,FILTER('Product_Stock_Master产品维护'!$A$2:$A$500,'Product_Stock_Master产品维护'!$B$2:$B$500=G34,'Product_Stock_Master产品维护'!$C$2:$C$500=""Product""),"&amp;"'主表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4" s="93" t="str">
        <f>IFERROR(__xludf.DUMMYFUNCTION("IF(G34="""","""",IFERROR(SUM(SUMIFS('主表 Stock_Transaction_Log'!$K$2:$K$992,'主表 Stock_Transaction_Log'!$G$2:$G$992,FILTER('Product_Stock_Master产品维护'!$A$2:$A$500,'Product_Stock_Master产品维护'!$B$2:$B$500=G34,'Product_Stock_Master产品维护'!$C$2:$C$500=""Product""),"&amp;"'主表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4" s="93" t="str">
        <f>IFERROR(__xludf.DUMMYFUNCTION("IF(G34="""","""",IFERROR(SUM(FILTER('Product_Stock_Master产品维护'!$G$2:$G$500,'Product_Stock_Master产品维护'!$B$2:$B$500=G34,'Product_Stock_Master产品维护'!$C$2:$C$500=""Product"")),0))"),"")</f>
        <v/>
      </c>
      <c r="L34" s="93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hidden="1">
      <c r="A35" s="71"/>
      <c r="B35" s="71"/>
      <c r="C35" s="71"/>
      <c r="D35" s="71"/>
      <c r="E35" s="71"/>
      <c r="F35" s="71"/>
      <c r="G35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5" s="99" t="str">
        <f>IFERROR(__xludf.DUMMYFUNCTION("IF(G35="""","""",IFERROR(INDEX(FILTER('Product_Stock_Master产品维护'!$L$2:$L$500,'Product_Stock_Master产品维护'!$B$2:$B$500=G35,'Product_Stock_Master产品维护'!$C$2:$C$500=""Product""),1),""""))"),"")</f>
        <v/>
      </c>
      <c r="I35" s="93" t="str">
        <f>IFERROR(__xludf.DUMMYFUNCTION("IF(G35="""","""",IFERROR(SUM(SUMIFS('主表 Stock_Transaction_Log'!$K$2:$K$992,'主表 Stock_Transaction_Log'!$G$2:$G$992,FILTER('Product_Stock_Master产品维护'!$A$2:$A$500,'Product_Stock_Master产品维护'!$B$2:$B$500=G35,'Product_Stock_Master产品维护'!$C$2:$C$500=""Product""),"&amp;"'主表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5" s="93" t="str">
        <f>IFERROR(__xludf.DUMMYFUNCTION("IF(G35="""","""",IFERROR(SUM(SUMIFS('主表 Stock_Transaction_Log'!$K$2:$K$992,'主表 Stock_Transaction_Log'!$G$2:$G$992,FILTER('Product_Stock_Master产品维护'!$A$2:$A$500,'Product_Stock_Master产品维护'!$B$2:$B$500=G35,'Product_Stock_Master产品维护'!$C$2:$C$500=""Product""),"&amp;"'主表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5" s="93" t="str">
        <f>IFERROR(__xludf.DUMMYFUNCTION("IF(G35="""","""",IFERROR(SUM(FILTER('Product_Stock_Master产品维护'!$G$2:$G$500,'Product_Stock_Master产品维护'!$B$2:$B$500=G35,'Product_Stock_Master产品维护'!$C$2:$C$500=""Product"")),0))"),"")</f>
        <v/>
      </c>
      <c r="L35" s="93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 hidden="1">
      <c r="A36" s="71"/>
      <c r="B36" s="71"/>
      <c r="C36" s="71"/>
      <c r="D36" s="71"/>
      <c r="E36" s="71"/>
      <c r="F36" s="71"/>
      <c r="G36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6" s="99" t="str">
        <f>IFERROR(__xludf.DUMMYFUNCTION("IF(G36="""","""",IFERROR(INDEX(FILTER('Product_Stock_Master产品维护'!$L$2:$L$500,'Product_Stock_Master产品维护'!$B$2:$B$500=G36,'Product_Stock_Master产品维护'!$C$2:$C$500=""Product""),1),""""))"),"")</f>
        <v/>
      </c>
      <c r="I36" s="93" t="str">
        <f>IFERROR(__xludf.DUMMYFUNCTION("IF(G36="""","""",IFERROR(SUM(SUMIFS('主表 Stock_Transaction_Log'!$K$2:$K$992,'主表 Stock_Transaction_Log'!$G$2:$G$992,FILTER('Product_Stock_Master产品维护'!$A$2:$A$500,'Product_Stock_Master产品维护'!$B$2:$B$500=G36,'Product_Stock_Master产品维护'!$C$2:$C$500=""Product""),"&amp;"'主表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6" s="93" t="str">
        <f>IFERROR(__xludf.DUMMYFUNCTION("IF(G36="""","""",IFERROR(SUM(SUMIFS('主表 Stock_Transaction_Log'!$K$2:$K$992,'主表 Stock_Transaction_Log'!$G$2:$G$992,FILTER('Product_Stock_Master产品维护'!$A$2:$A$500,'Product_Stock_Master产品维护'!$B$2:$B$500=G36,'Product_Stock_Master产品维护'!$C$2:$C$500=""Product""),"&amp;"'主表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6" s="93" t="str">
        <f>IFERROR(__xludf.DUMMYFUNCTION("IF(G36="""","""",IFERROR(SUM(FILTER('Product_Stock_Master产品维护'!$G$2:$G$500,'Product_Stock_Master产品维护'!$B$2:$B$500=G36,'Product_Stock_Master产品维护'!$C$2:$C$500=""Product"")),0))"),"")</f>
        <v/>
      </c>
      <c r="L36" s="93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 hidden="1">
      <c r="A37" s="71"/>
      <c r="B37" s="71"/>
      <c r="C37" s="71"/>
      <c r="D37" s="71"/>
      <c r="E37" s="71"/>
      <c r="F37" s="71"/>
      <c r="G37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7" s="99" t="str">
        <f>IFERROR(__xludf.DUMMYFUNCTION("IF(G37="""","""",IFERROR(INDEX(FILTER('Product_Stock_Master产品维护'!$L$2:$L$500,'Product_Stock_Master产品维护'!$B$2:$B$500=G37,'Product_Stock_Master产品维护'!$C$2:$C$500=""Product""),1),""""))"),"")</f>
        <v/>
      </c>
      <c r="I37" s="93" t="str">
        <f>IFERROR(__xludf.DUMMYFUNCTION("IF(G37="""","""",IFERROR(SUM(SUMIFS('主表 Stock_Transaction_Log'!$K$2:$K$992,'主表 Stock_Transaction_Log'!$G$2:$G$992,FILTER('Product_Stock_Master产品维护'!$A$2:$A$500,'Product_Stock_Master产品维护'!$B$2:$B$500=G37,'Product_Stock_Master产品维护'!$C$2:$C$500=""Product""),"&amp;"'主表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7" s="93" t="str">
        <f>IFERROR(__xludf.DUMMYFUNCTION("IF(G37="""","""",IFERROR(SUM(SUMIFS('主表 Stock_Transaction_Log'!$K$2:$K$992,'主表 Stock_Transaction_Log'!$G$2:$G$992,FILTER('Product_Stock_Master产品维护'!$A$2:$A$500,'Product_Stock_Master产品维护'!$B$2:$B$500=G37,'Product_Stock_Master产品维护'!$C$2:$C$500=""Product""),"&amp;"'主表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7" s="93" t="str">
        <f>IFERROR(__xludf.DUMMYFUNCTION("IF(G37="""","""",IFERROR(SUM(FILTER('Product_Stock_Master产品维护'!$G$2:$G$500,'Product_Stock_Master产品维护'!$B$2:$B$500=G37,'Product_Stock_Master产品维护'!$C$2:$C$500=""Product"")),0))"),"")</f>
        <v/>
      </c>
      <c r="L37" s="93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 hidden="1">
      <c r="A38" s="71"/>
      <c r="B38" s="71"/>
      <c r="C38" s="71"/>
      <c r="D38" s="71"/>
      <c r="E38" s="71"/>
      <c r="F38" s="71"/>
      <c r="G38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8" s="99" t="str">
        <f>IFERROR(__xludf.DUMMYFUNCTION("IF(G38="""","""",IFERROR(INDEX(FILTER('Product_Stock_Master产品维护'!$L$2:$L$500,'Product_Stock_Master产品维护'!$B$2:$B$500=G38,'Product_Stock_Master产品维护'!$C$2:$C$500=""Product""),1),""""))"),"")</f>
        <v/>
      </c>
      <c r="I38" s="93" t="str">
        <f>IFERROR(__xludf.DUMMYFUNCTION("IF(G38="""","""",IFERROR(SUM(SUMIFS('主表 Stock_Transaction_Log'!$K$2:$K$992,'主表 Stock_Transaction_Log'!$G$2:$G$992,FILTER('Product_Stock_Master产品维护'!$A$2:$A$500,'Product_Stock_Master产品维护'!$B$2:$B$500=G38,'Product_Stock_Master产品维护'!$C$2:$C$500=""Product""),"&amp;"'主表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8" s="93" t="str">
        <f>IFERROR(__xludf.DUMMYFUNCTION("IF(G38="""","""",IFERROR(SUM(SUMIFS('主表 Stock_Transaction_Log'!$K$2:$K$992,'主表 Stock_Transaction_Log'!$G$2:$G$992,FILTER('Product_Stock_Master产品维护'!$A$2:$A$500,'Product_Stock_Master产品维护'!$B$2:$B$500=G38,'Product_Stock_Master产品维护'!$C$2:$C$500=""Product""),"&amp;"'主表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8" s="93" t="str">
        <f>IFERROR(__xludf.DUMMYFUNCTION("IF(G38="""","""",IFERROR(SUM(FILTER('Product_Stock_Master产品维护'!$G$2:$G$500,'Product_Stock_Master产品维护'!$B$2:$B$500=G38,'Product_Stock_Master产品维护'!$C$2:$C$500=""Product"")),0))"),"")</f>
        <v/>
      </c>
      <c r="L38" s="93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 hidden="1">
      <c r="A39" s="71"/>
      <c r="B39" s="71"/>
      <c r="C39" s="71"/>
      <c r="D39" s="71"/>
      <c r="E39" s="71"/>
      <c r="F39" s="71"/>
      <c r="G39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39" s="99" t="str">
        <f>IFERROR(__xludf.DUMMYFUNCTION("IF(G39="""","""",IFERROR(INDEX(FILTER('Product_Stock_Master产品维护'!$L$2:$L$500,'Product_Stock_Master产品维护'!$B$2:$B$500=G39,'Product_Stock_Master产品维护'!$C$2:$C$500=""Product""),1),""""))"),"")</f>
        <v/>
      </c>
      <c r="I39" s="93" t="str">
        <f>IFERROR(__xludf.DUMMYFUNCTION("IF(G39="""","""",IFERROR(SUM(SUMIFS('主表 Stock_Transaction_Log'!$K$2:$K$992,'主表 Stock_Transaction_Log'!$G$2:$G$992,FILTER('Product_Stock_Master产品维护'!$A$2:$A$500,'Product_Stock_Master产品维护'!$B$2:$B$500=G39,'Product_Stock_Master产品维护'!$C$2:$C$500=""Product""),"&amp;"'主表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39" s="93" t="str">
        <f>IFERROR(__xludf.DUMMYFUNCTION("IF(G39="""","""",IFERROR(SUM(SUMIFS('主表 Stock_Transaction_Log'!$K$2:$K$992,'主表 Stock_Transaction_Log'!$G$2:$G$992,FILTER('Product_Stock_Master产品维护'!$A$2:$A$500,'Product_Stock_Master产品维护'!$B$2:$B$500=G39,'Product_Stock_Master产品维护'!$C$2:$C$500=""Product""),"&amp;"'主表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39" s="93" t="str">
        <f>IFERROR(__xludf.DUMMYFUNCTION("IF(G39="""","""",IFERROR(SUM(FILTER('Product_Stock_Master产品维护'!$G$2:$G$500,'Product_Stock_Master产品维护'!$B$2:$B$500=G39,'Product_Stock_Master产品维护'!$C$2:$C$500=""Product"")),0))"),"")</f>
        <v/>
      </c>
      <c r="L39" s="93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 hidden="1">
      <c r="A40" s="71"/>
      <c r="B40" s="71"/>
      <c r="C40" s="71"/>
      <c r="D40" s="71"/>
      <c r="E40" s="71"/>
      <c r="F40" s="71"/>
      <c r="G40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40" s="99" t="str">
        <f>IFERROR(__xludf.DUMMYFUNCTION("IF(G40="""","""",IFERROR(INDEX(FILTER('Product_Stock_Master产品维护'!$L$2:$L$500,'Product_Stock_Master产品维护'!$B$2:$B$500=G40,'Product_Stock_Master产品维护'!$C$2:$C$500=""Product""),1),""""))"),"")</f>
        <v/>
      </c>
      <c r="I40" s="93" t="str">
        <f>IFERROR(__xludf.DUMMYFUNCTION("IF(G40="""","""",IFERROR(SUM(SUMIFS('主表 Stock_Transaction_Log'!$K$2:$K$992,'主表 Stock_Transaction_Log'!$G$2:$G$992,FILTER('Product_Stock_Master产品维护'!$A$2:$A$500,'Product_Stock_Master产品维护'!$B$2:$B$500=G40,'Product_Stock_Master产品维护'!$C$2:$C$500=""Product""),"&amp;"'主表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40" s="93" t="str">
        <f>IFERROR(__xludf.DUMMYFUNCTION("IF(G40="""","""",IFERROR(SUM(SUMIFS('主表 Stock_Transaction_Log'!$K$2:$K$992,'主表 Stock_Transaction_Log'!$G$2:$G$992,FILTER('Product_Stock_Master产品维护'!$A$2:$A$500,'Product_Stock_Master产品维护'!$B$2:$B$500=G40,'Product_Stock_Master产品维护'!$C$2:$C$500=""Product""),"&amp;"'主表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40" s="93" t="str">
        <f>IFERROR(__xludf.DUMMYFUNCTION("IF(G40="""","""",IFERROR(SUM(FILTER('Product_Stock_Master产品维护'!$G$2:$G$500,'Product_Stock_Master产品维护'!$B$2:$B$500=G40,'Product_Stock_Master产品维护'!$C$2:$C$500=""Product"")),0))"),"")</f>
        <v/>
      </c>
      <c r="L40" s="93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 hidden="1">
      <c r="A41" s="71"/>
      <c r="B41" s="71"/>
      <c r="C41" s="71"/>
      <c r="D41" s="71"/>
      <c r="E41" s="71"/>
      <c r="F41" s="71"/>
      <c r="G41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41" s="99" t="str">
        <f>IFERROR(__xludf.DUMMYFUNCTION("IF(G41="""","""",IFERROR(INDEX(FILTER('Product_Stock_Master产品维护'!$L$2:$L$500,'Product_Stock_Master产品维护'!$B$2:$B$500=G41,'Product_Stock_Master产品维护'!$C$2:$C$500=""Product""),1),""""))"),"")</f>
        <v/>
      </c>
      <c r="I41" s="93" t="str">
        <f>IFERROR(__xludf.DUMMYFUNCTION("IF(G41="""","""",IFERROR(SUM(SUMIFS('主表 Stock_Transaction_Log'!$K$2:$K$992,'主表 Stock_Transaction_Log'!$G$2:$G$992,FILTER('Product_Stock_Master产品维护'!$A$2:$A$500,'Product_Stock_Master产品维护'!$B$2:$B$500=G41,'Product_Stock_Master产品维护'!$C$2:$C$500=""Product""),"&amp;"'主表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41" s="93" t="str">
        <f>IFERROR(__xludf.DUMMYFUNCTION("IF(G41="""","""",IFERROR(SUM(SUMIFS('主表 Stock_Transaction_Log'!$K$2:$K$992,'主表 Stock_Transaction_Log'!$G$2:$G$992,FILTER('Product_Stock_Master产品维护'!$A$2:$A$500,'Product_Stock_Master产品维护'!$B$2:$B$500=G41,'Product_Stock_Master产品维护'!$C$2:$C$500=""Product""),"&amp;"'主表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41" s="93" t="str">
        <f>IFERROR(__xludf.DUMMYFUNCTION("IF(G41="""","""",IFERROR(SUM(FILTER('Product_Stock_Master产品维护'!$G$2:$G$500,'Product_Stock_Master产品维护'!$B$2:$B$500=G41,'Product_Stock_Master产品维护'!$C$2:$C$500=""Product"")),0))"),"")</f>
        <v/>
      </c>
      <c r="L41" s="93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 hidden="1">
      <c r="A42" s="71"/>
      <c r="B42" s="71"/>
      <c r="C42" s="71"/>
      <c r="D42" s="71"/>
      <c r="E42" s="71"/>
      <c r="F42" s="71"/>
      <c r="G42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42" s="99" t="str">
        <f>IFERROR(__xludf.DUMMYFUNCTION("IF(G42="""","""",IFERROR(INDEX(FILTER('Product_Stock_Master产品维护'!$L$2:$L$500,'Product_Stock_Master产品维护'!$B$2:$B$500=G42,'Product_Stock_Master产品维护'!$C$2:$C$500=""Product""),1),""""))"),"")</f>
        <v/>
      </c>
      <c r="I42" s="93" t="str">
        <f>IFERROR(__xludf.DUMMYFUNCTION("IF(G42="""","""",IFERROR(SUM(SUMIFS('主表 Stock_Transaction_Log'!$K$2:$K$992,'主表 Stock_Transaction_Log'!$G$2:$G$992,FILTER('Product_Stock_Master产品维护'!$A$2:$A$500,'Product_Stock_Master产品维护'!$B$2:$B$500=G42,'Product_Stock_Master产品维护'!$C$2:$C$500=""Product""),"&amp;"'主表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42" s="93" t="str">
        <f>IFERROR(__xludf.DUMMYFUNCTION("IF(G42="""","""",IFERROR(SUM(SUMIFS('主表 Stock_Transaction_Log'!$K$2:$K$992,'主表 Stock_Transaction_Log'!$G$2:$G$992,FILTER('Product_Stock_Master产品维护'!$A$2:$A$500,'Product_Stock_Master产品维护'!$B$2:$B$500=G42,'Product_Stock_Master产品维护'!$C$2:$C$500=""Product""),"&amp;"'主表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42" s="93" t="str">
        <f>IFERROR(__xludf.DUMMYFUNCTION("IF(G42="""","""",IFERROR(SUM(FILTER('Product_Stock_Master产品维护'!$G$2:$G$500,'Product_Stock_Master产品维护'!$B$2:$B$500=G42,'Product_Stock_Master产品维护'!$C$2:$C$500=""Product"")),0))"),"")</f>
        <v/>
      </c>
      <c r="L42" s="93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 hidden="1">
      <c r="A43" s="71"/>
      <c r="B43" s="71"/>
      <c r="C43" s="71"/>
      <c r="D43" s="71"/>
      <c r="E43" s="71"/>
      <c r="F43" s="71"/>
      <c r="G43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43" s="99" t="str">
        <f>IFERROR(__xludf.DUMMYFUNCTION("IF(G43="""","""",IFERROR(INDEX(FILTER('Product_Stock_Master产品维护'!$L$2:$L$500,'Product_Stock_Master产品维护'!$B$2:$B$500=G43,'Product_Stock_Master产品维护'!$C$2:$C$500=""Product""),1),""""))"),"")</f>
        <v/>
      </c>
      <c r="I43" s="93" t="str">
        <f>IFERROR(__xludf.DUMMYFUNCTION("IF(G43="""","""",IFERROR(SUM(SUMIFS('主表 Stock_Transaction_Log'!$K$2:$K$992,'主表 Stock_Transaction_Log'!$G$2:$G$992,FILTER('Product_Stock_Master产品维护'!$A$2:$A$500,'Product_Stock_Master产品维护'!$B$2:$B$500=G43,'Product_Stock_Master产品维护'!$C$2:$C$500=""Product""),"&amp;"'主表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43" s="93" t="str">
        <f>IFERROR(__xludf.DUMMYFUNCTION("IF(G43="""","""",IFERROR(SUM(SUMIFS('主表 Stock_Transaction_Log'!$K$2:$K$992,'主表 Stock_Transaction_Log'!$G$2:$G$992,FILTER('Product_Stock_Master产品维护'!$A$2:$A$500,'Product_Stock_Master产品维护'!$B$2:$B$500=G43,'Product_Stock_Master产品维护'!$C$2:$C$500=""Product""),"&amp;"'主表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43" s="93" t="str">
        <f>IFERROR(__xludf.DUMMYFUNCTION("IF(G43="""","""",IFERROR(SUM(FILTER('Product_Stock_Master产品维护'!$G$2:$G$500,'Product_Stock_Master产品维护'!$B$2:$B$500=G43,'Product_Stock_Master产品维护'!$C$2:$C$500=""Product"")),0))"),"")</f>
        <v/>
      </c>
      <c r="L43" s="93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 hidden="1">
      <c r="A44" s="71"/>
      <c r="B44" s="71"/>
      <c r="C44" s="71"/>
      <c r="D44" s="71"/>
      <c r="E44" s="71"/>
      <c r="F44" s="71"/>
      <c r="G44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44" s="99" t="str">
        <f>IFERROR(__xludf.DUMMYFUNCTION("IF(G44="""","""",IFERROR(INDEX(FILTER('Product_Stock_Master产品维护'!$L$2:$L$500,'Product_Stock_Master产品维护'!$B$2:$B$500=G44,'Product_Stock_Master产品维护'!$C$2:$C$500=""Product""),1),""""))"),"")</f>
        <v/>
      </c>
      <c r="I44" s="93" t="str">
        <f>IFERROR(__xludf.DUMMYFUNCTION("IF(G44="""","""",IFERROR(SUM(SUMIFS('主表 Stock_Transaction_Log'!$K$2:$K$992,'主表 Stock_Transaction_Log'!$G$2:$G$992,FILTER('Product_Stock_Master产品维护'!$A$2:$A$500,'Product_Stock_Master产品维护'!$B$2:$B$500=G44,'Product_Stock_Master产品维护'!$C$2:$C$500=""Product""),"&amp;"'主表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44" s="93" t="str">
        <f>IFERROR(__xludf.DUMMYFUNCTION("IF(G44="""","""",IFERROR(SUM(SUMIFS('主表 Stock_Transaction_Log'!$K$2:$K$992,'主表 Stock_Transaction_Log'!$G$2:$G$992,FILTER('Product_Stock_Master产品维护'!$A$2:$A$500,'Product_Stock_Master产品维护'!$B$2:$B$500=G44,'Product_Stock_Master产品维护'!$C$2:$C$500=""Product""),"&amp;"'主表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44" s="93" t="str">
        <f>IFERROR(__xludf.DUMMYFUNCTION("IF(G44="""","""",IFERROR(SUM(FILTER('Product_Stock_Master产品维护'!$G$2:$G$500,'Product_Stock_Master产品维护'!$B$2:$B$500=G44,'Product_Stock_Master产品维护'!$C$2:$C$500=""Product"")),0))"),"")</f>
        <v/>
      </c>
      <c r="L44" s="93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 hidden="1">
      <c r="A45" s="71"/>
      <c r="B45" s="71"/>
      <c r="C45" s="71"/>
      <c r="D45" s="71"/>
      <c r="E45" s="71"/>
      <c r="F45" s="71"/>
      <c r="G45" s="99" t="str">
        <f>IFERROR(__xludf.DUMMYFUNCTION("IFERROR(INDEX(UNIQUE(FILTER('Product_Stock_Master产品维护'!$B$2:$B$500,'Product_Stock_Master产品维护'!$C$2:$C$500=""Product"",'Product_Stock_Master产品维护'!$B$2:$B$500&lt;&gt;"""")),ROW()-5),"""")"),"")</f>
        <v/>
      </c>
      <c r="H45" s="99" t="str">
        <f>IFERROR(__xludf.DUMMYFUNCTION("IF(G45="""","""",IFERROR(INDEX(FILTER('Product_Stock_Master产品维护'!$L$2:$L$500,'Product_Stock_Master产品维护'!$B$2:$B$500=G45,'Product_Stock_Master产品维护'!$C$2:$C$500=""Product""),1),""""))"),"")</f>
        <v/>
      </c>
      <c r="I45" s="93" t="str">
        <f>IFERROR(__xludf.DUMMYFUNCTION("IF(G45="""","""",IFERROR(SUM(SUMIFS('主表 Stock_Transaction_Log'!$K$2:$K$992,'主表 Stock_Transaction_Log'!$G$2:$G$992,FILTER('Product_Stock_Master产品维护'!$A$2:$A$500,'Product_Stock_Master产品维护'!$B$2:$B$500=G45,'Product_Stock_Master产品维护'!$C$2:$C$500=""Product""),"&amp;"'主表 Stock_Transaction_Log'!$C$2:$C$992,""Outbound"",'主表 Stock_Transaction_Log'!$P$2:$P$992,""New / 新机"",'主表 Stock_Transaction_Log'!$A$2:$A$992,""&gt;=""&amp;$D$2,'主表 Stock_Transaction_Log'!$A$2:$A$992,""&lt;""&amp;($D$2+7))),0))"),"")</f>
        <v/>
      </c>
      <c r="J45" s="93" t="str">
        <f>IFERROR(__xludf.DUMMYFUNCTION("IF(G45="""","""",IFERROR(SUM(SUMIFS('主表 Stock_Transaction_Log'!$K$2:$K$992,'主表 Stock_Transaction_Log'!$G$2:$G$992,FILTER('Product_Stock_Master产品维护'!$A$2:$A$500,'Product_Stock_Master产品维护'!$B$2:$B$500=G45,'Product_Stock_Master产品维护'!$C$2:$C$500=""Product""),"&amp;"'主表 Stock_Transaction_Log'!$C$2:$C$992,""Outbound"",'主表 Stock_Transaction_Log'!$P$2:$P$992,""Repair_Good / 维修良品"",'主表 Stock_Transaction_Log'!$A$2:$A$992,""&gt;=""&amp;$D$2,'主表 Stock_Transaction_Log'!$A$2:$A$992,""&lt;""&amp;($D$2+7))),0))"),"")</f>
        <v/>
      </c>
      <c r="K45" s="93" t="str">
        <f>IFERROR(__xludf.DUMMYFUNCTION("IF(G45="""","""",IFERROR(SUM(FILTER('Product_Stock_Master产品维护'!$G$2:$G$500,'Product_Stock_Master产品维护'!$B$2:$B$500=G45,'Product_Stock_Master产品维护'!$C$2:$C$500=""Product"")),0))"),"")</f>
        <v/>
      </c>
      <c r="L45" s="93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 hidden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 hidden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 ht="25.5" customHeight="1">
      <c r="A48" s="105" t="s">
        <v>571</v>
      </c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</row>
    <row r="49" ht="45.75" customHeight="1">
      <c r="A49" s="107" t="s">
        <v>573</v>
      </c>
      <c r="B49" s="107" t="s">
        <v>463</v>
      </c>
      <c r="C49" s="107" t="s">
        <v>469</v>
      </c>
      <c r="D49" s="107" t="s">
        <v>483</v>
      </c>
      <c r="E49" s="107" t="s">
        <v>487</v>
      </c>
      <c r="F49" s="107" t="s">
        <v>481</v>
      </c>
      <c r="G49" s="107" t="s">
        <v>490</v>
      </c>
      <c r="H49" s="107" t="s">
        <v>489</v>
      </c>
      <c r="I49" s="107" t="s">
        <v>491</v>
      </c>
      <c r="J49" s="107" t="s">
        <v>492</v>
      </c>
      <c r="K49" s="107" t="s">
        <v>472</v>
      </c>
      <c r="L49" s="107" t="s">
        <v>480</v>
      </c>
      <c r="M49" s="107" t="s">
        <v>493</v>
      </c>
      <c r="N49" s="107" t="s">
        <v>494</v>
      </c>
      <c r="O49" s="107" t="s">
        <v>495</v>
      </c>
      <c r="P49" s="107" t="s">
        <v>508</v>
      </c>
      <c r="Q49" s="107" t="s">
        <v>497</v>
      </c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</row>
    <row r="50" ht="25.5" customHeight="1">
      <c r="A50" s="109">
        <f>D2</f>
        <v>46230</v>
      </c>
      <c r="B50" s="110" t="str">
        <f>F2</f>
        <v>2026-07-27 ~ 2026-08-02</v>
      </c>
      <c r="C50" s="111">
        <f>B5</f>
        <v>0</v>
      </c>
      <c r="D50" s="111" t="str">
        <f>B6</f>
        <v/>
      </c>
      <c r="E50" s="111" t="str">
        <f>B7</f>
        <v/>
      </c>
      <c r="F50" s="111">
        <f>B8</f>
        <v>0</v>
      </c>
      <c r="G50" s="111" t="str">
        <f>B10</f>
        <v/>
      </c>
      <c r="H50" s="111" t="str">
        <f>B11</f>
        <v/>
      </c>
      <c r="I50" s="111" t="str">
        <f>B12</f>
        <v/>
      </c>
      <c r="J50" s="111" t="str">
        <f>B13</f>
        <v/>
      </c>
      <c r="K50" s="111">
        <f>E5</f>
        <v>0</v>
      </c>
      <c r="L50" s="111">
        <f>E6</f>
        <v>0</v>
      </c>
      <c r="M50" s="111">
        <f>E7</f>
        <v>205</v>
      </c>
      <c r="N50" s="111">
        <f>E8</f>
        <v>2</v>
      </c>
      <c r="O50" s="111">
        <f>E9</f>
        <v>0</v>
      </c>
      <c r="P50" s="111">
        <f>E10</f>
        <v>0</v>
      </c>
      <c r="Q50" s="111" t="str">
        <f>E11</f>
        <v>检查</v>
      </c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</row>
    <row r="55">
      <c r="A55" s="113" t="s">
        <v>577</v>
      </c>
    </row>
    <row r="56" ht="22.5" customHeight="1">
      <c r="A56" s="114" t="s">
        <v>573</v>
      </c>
      <c r="B56" s="114" t="s">
        <v>463</v>
      </c>
      <c r="C56" s="114" t="s">
        <v>469</v>
      </c>
      <c r="D56" s="114" t="s">
        <v>483</v>
      </c>
      <c r="E56" s="114" t="s">
        <v>487</v>
      </c>
      <c r="F56" s="114" t="s">
        <v>481</v>
      </c>
      <c r="G56" s="114" t="s">
        <v>490</v>
      </c>
      <c r="H56" s="114" t="s">
        <v>489</v>
      </c>
      <c r="I56" s="114" t="s">
        <v>491</v>
      </c>
      <c r="J56" s="114" t="s">
        <v>492</v>
      </c>
      <c r="K56" s="114" t="s">
        <v>472</v>
      </c>
      <c r="L56" s="114" t="s">
        <v>480</v>
      </c>
      <c r="M56" s="114" t="s">
        <v>493</v>
      </c>
      <c r="N56" s="114" t="s">
        <v>494</v>
      </c>
      <c r="O56" s="114" t="s">
        <v>495</v>
      </c>
      <c r="P56" s="114" t="s">
        <v>508</v>
      </c>
      <c r="Q56" s="114" t="s">
        <v>497</v>
      </c>
    </row>
    <row r="57" ht="31.5" customHeight="1">
      <c r="A57" s="115">
        <v>46181.0</v>
      </c>
      <c r="B57" s="116" t="s">
        <v>580</v>
      </c>
      <c r="C57" s="117">
        <v>57.0</v>
      </c>
      <c r="D57" s="117">
        <v>0.0</v>
      </c>
      <c r="E57" s="117">
        <v>0.0</v>
      </c>
      <c r="F57" s="117">
        <v>12.0</v>
      </c>
      <c r="G57" s="117">
        <v>0.0</v>
      </c>
      <c r="H57" s="117">
        <v>0.0</v>
      </c>
      <c r="I57" s="117">
        <v>0.0</v>
      </c>
      <c r="J57" s="117">
        <v>0.0</v>
      </c>
      <c r="K57" s="117">
        <v>0.0</v>
      </c>
      <c r="L57" s="117">
        <v>22.0</v>
      </c>
      <c r="M57" s="117">
        <v>244.0</v>
      </c>
      <c r="N57" s="117">
        <v>0.0</v>
      </c>
      <c r="O57" s="117">
        <v>20.0</v>
      </c>
      <c r="P57" s="117">
        <v>8.0</v>
      </c>
      <c r="Q57" s="79" t="s">
        <v>581</v>
      </c>
    </row>
    <row r="58" ht="18.0" customHeight="1">
      <c r="A58" s="118">
        <v>46188.0</v>
      </c>
      <c r="B58" s="119" t="s">
        <v>582</v>
      </c>
      <c r="C58" s="119">
        <v>76.0</v>
      </c>
      <c r="D58" s="119">
        <v>0.0</v>
      </c>
      <c r="E58" s="119">
        <v>0.0</v>
      </c>
      <c r="F58" s="119">
        <v>20.0</v>
      </c>
      <c r="G58" s="119">
        <v>0.0</v>
      </c>
      <c r="H58" s="119">
        <v>0.0</v>
      </c>
      <c r="I58" s="119">
        <v>0.0</v>
      </c>
      <c r="J58" s="119">
        <v>0.0</v>
      </c>
      <c r="K58" s="119">
        <v>0.0</v>
      </c>
      <c r="L58" s="119">
        <v>11.0</v>
      </c>
      <c r="M58" s="119">
        <v>233.0</v>
      </c>
      <c r="N58" s="119">
        <v>0.0</v>
      </c>
      <c r="O58" s="119">
        <v>26.0</v>
      </c>
      <c r="P58" s="119">
        <v>18.0</v>
      </c>
      <c r="Q58" s="120" t="s">
        <v>581</v>
      </c>
    </row>
    <row r="59" ht="18.0" customHeight="1">
      <c r="A59" s="118">
        <v>46195.0</v>
      </c>
      <c r="B59" s="119" t="s">
        <v>585</v>
      </c>
      <c r="C59" s="119">
        <v>16.0</v>
      </c>
      <c r="D59" s="119">
        <v>0.0</v>
      </c>
      <c r="E59" s="119">
        <v>0.0</v>
      </c>
      <c r="F59" s="119">
        <v>16.0</v>
      </c>
      <c r="G59" s="119">
        <v>0.0</v>
      </c>
      <c r="H59" s="119">
        <v>0.0</v>
      </c>
      <c r="I59" s="119">
        <v>0.0</v>
      </c>
      <c r="J59" s="119">
        <v>0.0</v>
      </c>
      <c r="K59" s="119">
        <v>0.0</v>
      </c>
      <c r="L59" s="119">
        <v>14.0</v>
      </c>
      <c r="M59" s="119">
        <v>222.0</v>
      </c>
      <c r="N59" s="119">
        <v>0.0</v>
      </c>
      <c r="O59" s="119">
        <v>23.0</v>
      </c>
      <c r="P59" s="119">
        <v>11.0</v>
      </c>
      <c r="Q59" s="120" t="s">
        <v>581</v>
      </c>
    </row>
    <row r="60" ht="18.0" customHeight="1">
      <c r="A60" s="118">
        <v>46202.0</v>
      </c>
      <c r="B60" s="119" t="s">
        <v>586</v>
      </c>
      <c r="C60" s="119">
        <v>18.0</v>
      </c>
      <c r="D60" s="119">
        <v>0.0</v>
      </c>
      <c r="E60" s="119">
        <v>0.0</v>
      </c>
      <c r="F60" s="119">
        <v>17.0</v>
      </c>
      <c r="G60" s="119">
        <v>0.0</v>
      </c>
      <c r="H60" s="119">
        <v>0.0</v>
      </c>
      <c r="I60" s="119">
        <v>0.0</v>
      </c>
      <c r="J60" s="119">
        <v>0.0</v>
      </c>
      <c r="K60" s="119">
        <v>0.0</v>
      </c>
      <c r="L60" s="119">
        <v>0.0</v>
      </c>
      <c r="M60" s="119">
        <v>221.0</v>
      </c>
      <c r="N60" s="119">
        <v>0.0</v>
      </c>
      <c r="O60" s="119">
        <v>4.0</v>
      </c>
      <c r="P60" s="119">
        <v>7.0</v>
      </c>
      <c r="Q60" s="120" t="s">
        <v>581</v>
      </c>
    </row>
    <row r="61" ht="18.0" customHeight="1">
      <c r="A61" s="118">
        <v>46209.0</v>
      </c>
      <c r="B61" s="119" t="s">
        <v>588</v>
      </c>
      <c r="C61" s="119">
        <v>17.0</v>
      </c>
      <c r="D61" s="119">
        <v>0.0</v>
      </c>
      <c r="E61" s="119">
        <v>0.0</v>
      </c>
      <c r="F61" s="119">
        <v>15.0</v>
      </c>
      <c r="G61" s="119">
        <v>0.0</v>
      </c>
      <c r="H61" s="119">
        <v>0.0</v>
      </c>
      <c r="I61" s="119">
        <v>0.0</v>
      </c>
      <c r="J61" s="119">
        <v>0.0</v>
      </c>
      <c r="K61" s="119">
        <v>0.0</v>
      </c>
      <c r="L61" s="119">
        <v>9.0</v>
      </c>
      <c r="M61" s="119">
        <v>213.0</v>
      </c>
      <c r="N61" s="119">
        <v>0.0</v>
      </c>
      <c r="O61" s="119">
        <v>19.0</v>
      </c>
      <c r="P61" s="119">
        <v>26.0</v>
      </c>
      <c r="Q61" s="120" t="s">
        <v>589</v>
      </c>
    </row>
    <row r="62" ht="18.0" customHeight="1">
      <c r="A62" s="118">
        <v>46216.0</v>
      </c>
      <c r="B62" s="119" t="s">
        <v>590</v>
      </c>
      <c r="C62" s="119">
        <v>35.0</v>
      </c>
      <c r="D62" s="119">
        <v>15.0</v>
      </c>
      <c r="E62" s="119">
        <v>5.0</v>
      </c>
      <c r="F62" s="119">
        <v>39.0</v>
      </c>
      <c r="G62" s="119">
        <v>49.0</v>
      </c>
      <c r="H62" s="119">
        <v>54.0</v>
      </c>
      <c r="I62" s="119">
        <v>195.0</v>
      </c>
      <c r="J62" s="119">
        <v>454.0</v>
      </c>
      <c r="K62" s="119">
        <v>0.0</v>
      </c>
      <c r="L62" s="119">
        <v>2.0</v>
      </c>
      <c r="M62" s="119">
        <v>211.0</v>
      </c>
      <c r="N62" s="119">
        <v>18.0</v>
      </c>
      <c r="O62" s="119">
        <v>31.0</v>
      </c>
      <c r="P62" s="119">
        <v>18.0</v>
      </c>
      <c r="Q62" s="120" t="s">
        <v>589</v>
      </c>
    </row>
    <row r="63" ht="18.0" customHeight="1">
      <c r="A63" s="118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</row>
    <row r="64" ht="18.0" customHeight="1">
      <c r="A64" s="118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</row>
    <row r="65" ht="18.0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</row>
    <row r="66" ht="18.0" customHeight="1">
      <c r="A66" s="118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</row>
    <row r="67" ht="18.0" customHeight="1">
      <c r="A67" s="118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</row>
    <row r="68" ht="18.0" customHeight="1">
      <c r="A68" s="118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</row>
    <row r="69" ht="18.0" customHeight="1">
      <c r="A69" s="118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</row>
    <row r="70" ht="18.0" customHeight="1">
      <c r="A70" s="118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</row>
    <row r="71" ht="18.0" customHeight="1">
      <c r="A71" s="118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</row>
    <row r="72" ht="18.0" customHeight="1">
      <c r="A72" s="118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</row>
    <row r="73" ht="18.0" customHeight="1">
      <c r="A73" s="118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</row>
    <row r="74" ht="18.0" customHeight="1">
      <c r="A74" s="118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</row>
    <row r="75" ht="18.0" customHeight="1">
      <c r="A75" s="118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</row>
    <row r="76" ht="18.0" customHeight="1">
      <c r="A76" s="118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</row>
    <row r="77" ht="18.0" customHeight="1">
      <c r="A77" s="118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</row>
    <row r="78" ht="18.0" customHeight="1">
      <c r="A78" s="118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</row>
    <row r="79" ht="18.0" customHeight="1">
      <c r="A79" s="118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</row>
    <row r="80" ht="18.0" customHeight="1">
      <c r="A80" s="118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</row>
    <row r="81" ht="18.0" customHeight="1">
      <c r="A81" s="118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</row>
    <row r="82" ht="18.0" customHeight="1">
      <c r="A82" s="118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</row>
    <row r="83" ht="18.0" customHeight="1">
      <c r="A83" s="118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</row>
    <row r="84" ht="18.0" customHeight="1">
      <c r="A84" s="118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</row>
    <row r="85" ht="18.0" customHeight="1">
      <c r="A85" s="118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</row>
    <row r="86" ht="18.0" customHeight="1">
      <c r="A86" s="118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</row>
    <row r="87" ht="18.0" customHeight="1">
      <c r="A87" s="118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</row>
    <row r="88" ht="18.0" customHeight="1">
      <c r="A88" s="118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</row>
    <row r="89" ht="18.0" customHeight="1">
      <c r="A89" s="118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</row>
    <row r="90" ht="18.0" customHeight="1">
      <c r="A90" s="118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</row>
    <row r="91" ht="18.0" customHeight="1">
      <c r="A91" s="118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</row>
    <row r="92" ht="18.0" customHeight="1">
      <c r="A92" s="118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</row>
    <row r="93" ht="18.0" customHeight="1">
      <c r="A93" s="118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</row>
    <row r="94" ht="18.0" customHeight="1">
      <c r="A94" s="118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</row>
    <row r="95" ht="18.0" customHeight="1">
      <c r="A95" s="118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</row>
    <row r="96" ht="18.0" customHeight="1">
      <c r="A96" s="118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</row>
    <row r="97" ht="18.0" customHeight="1">
      <c r="A97" s="118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</row>
    <row r="98" ht="18.0" customHeight="1">
      <c r="A98" s="118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</row>
    <row r="99" ht="18.0" customHeight="1">
      <c r="A99" s="118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</row>
    <row r="100" ht="18.0" customHeight="1">
      <c r="A100" s="118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</row>
    <row r="101" ht="18.0" customHeight="1">
      <c r="A101" s="118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</row>
    <row r="102" ht="18.0" customHeight="1">
      <c r="A102" s="118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</row>
    <row r="103" ht="18.0" customHeight="1">
      <c r="A103" s="118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</row>
    <row r="104" ht="18.0" customHeight="1">
      <c r="A104" s="118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</row>
    <row r="105" ht="18.0" customHeight="1">
      <c r="A105" s="118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</row>
    <row r="106" ht="18.0" customHeight="1">
      <c r="A106" s="118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</row>
    <row r="107" ht="18.0" customHeight="1">
      <c r="A107" s="118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</row>
    <row r="108" ht="18.0" customHeight="1">
      <c r="A108" s="118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</row>
    <row r="109" ht="18.0" customHeight="1">
      <c r="A109" s="118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</row>
    <row r="110" ht="18.0" customHeight="1">
      <c r="A110" s="118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</row>
    <row r="111" ht="18.0" customHeight="1">
      <c r="A111" s="118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</row>
    <row r="112" ht="18.0" customHeight="1">
      <c r="A112" s="118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</row>
    <row r="113" ht="18.0" customHeight="1">
      <c r="A113" s="118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</row>
    <row r="114" ht="18.0" customHeight="1">
      <c r="A114" s="118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</row>
    <row r="115" ht="18.0" customHeight="1">
      <c r="A115" s="118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</row>
    <row r="116" ht="18.0" customHeight="1">
      <c r="A116" s="118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</row>
    <row r="117" ht="18.0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</row>
    <row r="118" ht="18.0" customHeight="1">
      <c r="A118" s="118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</row>
    <row r="119" ht="18.0" customHeight="1">
      <c r="A119" s="118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</row>
    <row r="120" ht="18.0" customHeight="1">
      <c r="A120" s="118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</row>
    <row r="121" ht="18.0" customHeight="1">
      <c r="A121" s="118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</row>
    <row r="122" ht="18.0" customHeight="1">
      <c r="A122" s="118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</row>
    <row r="123" ht="18.0" customHeight="1">
      <c r="A123" s="118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</row>
    <row r="124" ht="18.0" customHeight="1">
      <c r="A124" s="118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</row>
    <row r="125" ht="18.0" customHeight="1">
      <c r="A125" s="118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</row>
    <row r="126" ht="18.0" customHeight="1">
      <c r="A126" s="118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</row>
    <row r="127" ht="18.0" customHeight="1">
      <c r="A127" s="118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</row>
    <row r="128" ht="18.0" customHeight="1">
      <c r="A128" s="118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</row>
    <row r="129" ht="18.0" customHeight="1">
      <c r="A129" s="118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</row>
    <row r="130" ht="18.0" customHeight="1">
      <c r="A130" s="118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</row>
    <row r="131" ht="18.0" customHeight="1">
      <c r="A131" s="118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</row>
    <row r="132" ht="18.0" customHeight="1">
      <c r="A132" s="118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</row>
    <row r="133" ht="18.0" customHeight="1">
      <c r="A133" s="118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</row>
    <row r="134" ht="18.0" customHeight="1">
      <c r="A134" s="118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</row>
    <row r="135" ht="18.0" customHeight="1">
      <c r="A135" s="118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</row>
    <row r="136" ht="18.0" customHeight="1">
      <c r="A136" s="118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</row>
    <row r="137" ht="18.0" customHeight="1">
      <c r="A137" s="118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</row>
    <row r="138" ht="18.0" customHeight="1">
      <c r="A138" s="118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</row>
    <row r="139" ht="18.0" customHeight="1">
      <c r="A139" s="118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</row>
    <row r="140" ht="18.0" customHeight="1">
      <c r="A140" s="118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</row>
    <row r="141" ht="18.0" customHeight="1">
      <c r="A141" s="118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</row>
    <row r="142" ht="18.0" customHeight="1">
      <c r="A142" s="118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</row>
    <row r="143" ht="18.0" customHeight="1">
      <c r="A143" s="118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</row>
    <row r="144" ht="18.0" customHeight="1">
      <c r="A144" s="118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</row>
    <row r="145" ht="18.0" customHeight="1">
      <c r="A145" s="118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</row>
    <row r="146" ht="18.0" customHeight="1">
      <c r="A146" s="118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</row>
    <row r="147" ht="18.0" customHeight="1">
      <c r="A147" s="118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</row>
    <row r="148" ht="18.0" customHeight="1">
      <c r="A148" s="118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</row>
    <row r="149" ht="18.0" customHeight="1">
      <c r="A149" s="118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</row>
    <row r="150" ht="18.0" customHeight="1">
      <c r="A150" s="118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</row>
    <row r="151" ht="18.0" customHeight="1">
      <c r="A151" s="118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</row>
    <row r="152" ht="18.0" customHeight="1">
      <c r="A152" s="118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</row>
    <row r="153" ht="18.0" customHeight="1">
      <c r="A153" s="118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</row>
    <row r="154" ht="18.0" customHeight="1">
      <c r="A154" s="118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</row>
    <row r="155" ht="18.0" customHeight="1">
      <c r="A155" s="118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</row>
    <row r="156" ht="18.0" customHeight="1">
      <c r="A156" s="118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</row>
    <row r="157" ht="18.0" customHeight="1">
      <c r="A157" s="118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</row>
    <row r="158" ht="18.0" customHeight="1">
      <c r="A158" s="118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</row>
    <row r="159" ht="18.0" customHeight="1">
      <c r="A159" s="118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</row>
    <row r="160" ht="18.0" customHeight="1">
      <c r="A160" s="118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</row>
    <row r="161" ht="18.0" customHeight="1">
      <c r="A161" s="118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</row>
    <row r="162" ht="18.0" customHeight="1">
      <c r="A162" s="118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</row>
    <row r="163" ht="18.0" customHeight="1">
      <c r="A163" s="118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</row>
    <row r="164" ht="18.0" customHeight="1">
      <c r="A164" s="118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</row>
    <row r="165" ht="18.0" customHeight="1">
      <c r="A165" s="118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</row>
    <row r="166" ht="18.0" customHeight="1">
      <c r="A166" s="118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</row>
    <row r="167" ht="18.0" customHeight="1">
      <c r="A167" s="118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</row>
    <row r="168" ht="18.0" customHeight="1">
      <c r="A168" s="118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</row>
    <row r="169" ht="18.0" customHeight="1">
      <c r="A169" s="118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</row>
    <row r="170" ht="18.0" customHeight="1">
      <c r="A170" s="118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</row>
    <row r="171" ht="18.0" customHeight="1">
      <c r="A171" s="118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</row>
    <row r="172" ht="18.0" customHeight="1">
      <c r="A172" s="118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</row>
    <row r="173" ht="18.0" customHeight="1">
      <c r="A173" s="118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</row>
    <row r="174" ht="18.0" customHeight="1">
      <c r="A174" s="118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</row>
    <row r="175" ht="18.0" customHeight="1">
      <c r="A175" s="118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</row>
    <row r="176" ht="18.0" customHeight="1">
      <c r="A176" s="118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</row>
    <row r="177" ht="18.0" customHeight="1">
      <c r="A177" s="118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</row>
    <row r="178" ht="18.0" customHeight="1">
      <c r="A178" s="118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</row>
    <row r="179" ht="18.0" customHeight="1">
      <c r="A179" s="118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</row>
    <row r="180" ht="18.0" customHeight="1">
      <c r="A180" s="118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</row>
    <row r="181" ht="18.0" customHeight="1">
      <c r="A181" s="118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</row>
    <row r="182" ht="18.0" customHeight="1">
      <c r="A182" s="118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</row>
    <row r="183" ht="18.0" customHeight="1">
      <c r="A183" s="118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</row>
    <row r="184" ht="18.0" customHeight="1">
      <c r="A184" s="118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</row>
    <row r="185" ht="18.0" customHeight="1">
      <c r="A185" s="118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</row>
    <row r="186" ht="18.0" customHeight="1">
      <c r="A186" s="118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</row>
    <row r="187" ht="18.0" customHeight="1">
      <c r="A187" s="118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</row>
    <row r="188" ht="18.0" customHeight="1">
      <c r="A188" s="118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</row>
    <row r="189" ht="18.0" customHeight="1">
      <c r="A189" s="118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</row>
    <row r="190" ht="18.0" customHeight="1">
      <c r="A190" s="118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</row>
    <row r="191" ht="18.0" customHeight="1">
      <c r="A191" s="118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</row>
    <row r="192" ht="18.0" customHeight="1">
      <c r="A192" s="118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</row>
    <row r="193" ht="18.0" customHeight="1">
      <c r="A193" s="118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</row>
    <row r="194" ht="18.0" customHeight="1">
      <c r="A194" s="118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</row>
    <row r="195" ht="18.0" customHeight="1">
      <c r="A195" s="118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</row>
    <row r="196" ht="18.0" customHeight="1">
      <c r="A196" s="118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</row>
    <row r="197" ht="18.0" customHeight="1">
      <c r="A197" s="118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</row>
    <row r="198" ht="18.0" customHeight="1">
      <c r="A198" s="118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</row>
    <row r="199" ht="18.0" customHeight="1">
      <c r="A199" s="118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</row>
    <row r="200" ht="18.0" customHeight="1">
      <c r="A200" s="118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</row>
    <row r="201" ht="18.0" customHeight="1">
      <c r="A201" s="118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</row>
    <row r="202" ht="18.0" customHeight="1">
      <c r="A202" s="118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</row>
    <row r="203" ht="18.0" customHeight="1">
      <c r="A203" s="118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</row>
    <row r="204" ht="18.0" customHeight="1">
      <c r="A204" s="118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</row>
    <row r="205" ht="18.0" customHeight="1">
      <c r="A205" s="118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</row>
    <row r="206" ht="18.0" customHeight="1">
      <c r="A206" s="118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</row>
    <row r="207" ht="18.0" customHeight="1">
      <c r="A207" s="118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</row>
    <row r="208" ht="18.0" customHeight="1">
      <c r="A208" s="118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</row>
    <row r="209" ht="18.0" customHeight="1">
      <c r="A209" s="118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</row>
    <row r="210" ht="18.0" customHeight="1">
      <c r="A210" s="118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</row>
    <row r="211" ht="18.0" customHeight="1">
      <c r="A211" s="118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</row>
    <row r="212" ht="18.0" customHeight="1">
      <c r="A212" s="118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</row>
    <row r="213" ht="18.0" customHeight="1">
      <c r="A213" s="118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</row>
    <row r="214" ht="18.0" customHeight="1">
      <c r="A214" s="118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</row>
    <row r="215" ht="18.0" customHeight="1">
      <c r="A215" s="118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</row>
    <row r="216" ht="18.0" customHeight="1">
      <c r="A216" s="118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</row>
    <row r="217" ht="18.0" customHeight="1">
      <c r="A217" s="118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</row>
    <row r="218" ht="18.0" customHeight="1">
      <c r="A218" s="118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</row>
    <row r="219" ht="18.0" customHeight="1">
      <c r="A219" s="118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</row>
    <row r="220" ht="18.0" customHeight="1">
      <c r="A220" s="118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</row>
    <row r="221" ht="18.0" customHeight="1">
      <c r="A221" s="118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</row>
    <row r="222" ht="18.0" customHeight="1">
      <c r="A222" s="118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</row>
    <row r="223" ht="18.0" customHeight="1">
      <c r="A223" s="118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</row>
    <row r="224" ht="18.0" customHeight="1">
      <c r="A224" s="118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</row>
    <row r="225" ht="18.0" customHeight="1">
      <c r="A225" s="118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</row>
    <row r="226" ht="18.0" customHeight="1">
      <c r="A226" s="118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</row>
    <row r="227" ht="18.0" customHeight="1">
      <c r="A227" s="118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</row>
    <row r="228" ht="18.0" customHeight="1">
      <c r="A228" s="118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</row>
    <row r="229" ht="18.0" customHeight="1">
      <c r="A229" s="118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</row>
    <row r="230" ht="18.0" customHeight="1">
      <c r="A230" s="118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</row>
    <row r="231" ht="18.0" customHeight="1">
      <c r="A231" s="118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</row>
    <row r="232" ht="18.0" customHeight="1">
      <c r="A232" s="118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</row>
    <row r="233" ht="18.0" customHeight="1">
      <c r="A233" s="118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</row>
    <row r="234" ht="18.0" customHeight="1">
      <c r="A234" s="118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</row>
    <row r="235" ht="18.0" customHeight="1">
      <c r="A235" s="118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</row>
    <row r="236" ht="18.0" customHeight="1">
      <c r="A236" s="118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</row>
    <row r="237" ht="18.0" customHeight="1">
      <c r="A237" s="118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</row>
    <row r="238" ht="18.0" customHeight="1">
      <c r="A238" s="118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</row>
    <row r="239" ht="18.0" customHeight="1">
      <c r="A239" s="118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</row>
    <row r="240" ht="18.0" customHeight="1">
      <c r="A240" s="118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</row>
    <row r="241" ht="18.0" customHeight="1">
      <c r="A241" s="118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</row>
    <row r="242" ht="18.0" customHeight="1">
      <c r="A242" s="118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</row>
    <row r="243" ht="18.0" customHeight="1">
      <c r="A243" s="118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</row>
    <row r="244" ht="18.0" customHeight="1">
      <c r="A244" s="118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</row>
    <row r="245" ht="18.0" customHeight="1">
      <c r="A245" s="118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</row>
    <row r="246" ht="18.0" customHeight="1">
      <c r="A246" s="118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</row>
    <row r="247" ht="18.0" customHeight="1">
      <c r="A247" s="118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</row>
    <row r="248" ht="18.0" customHeight="1">
      <c r="A248" s="118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</row>
    <row r="249" ht="18.0" customHeight="1">
      <c r="A249" s="118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</row>
    <row r="250" ht="18.0" customHeight="1">
      <c r="A250" s="118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</row>
    <row r="251" ht="18.0" customHeight="1">
      <c r="A251" s="118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</row>
    <row r="252" ht="18.0" customHeight="1">
      <c r="A252" s="118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</row>
    <row r="253" ht="18.0" customHeight="1">
      <c r="A253" s="118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</row>
    <row r="254" ht="18.0" customHeight="1">
      <c r="A254" s="118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</row>
    <row r="255">
      <c r="A255" s="157"/>
    </row>
    <row r="256">
      <c r="A256" s="157"/>
    </row>
    <row r="257">
      <c r="A257" s="157"/>
    </row>
    <row r="258">
      <c r="A258" s="157"/>
    </row>
    <row r="259">
      <c r="A259" s="157"/>
    </row>
    <row r="260">
      <c r="A260" s="157"/>
    </row>
    <row r="261">
      <c r="A261" s="157"/>
    </row>
    <row r="262">
      <c r="A262" s="157"/>
    </row>
    <row r="263">
      <c r="A263" s="157"/>
    </row>
    <row r="264">
      <c r="A264" s="157"/>
    </row>
    <row r="265">
      <c r="A265" s="157"/>
    </row>
    <row r="266">
      <c r="A266" s="157"/>
    </row>
    <row r="267">
      <c r="A267" s="157"/>
    </row>
    <row r="268">
      <c r="A268" s="157"/>
    </row>
    <row r="269">
      <c r="A269" s="157"/>
    </row>
    <row r="270">
      <c r="A270" s="157"/>
    </row>
    <row r="271">
      <c r="A271" s="157"/>
    </row>
    <row r="272">
      <c r="A272" s="157"/>
    </row>
    <row r="273">
      <c r="A273" s="157"/>
    </row>
    <row r="274">
      <c r="A274" s="157"/>
    </row>
    <row r="275">
      <c r="A275" s="157"/>
    </row>
    <row r="276">
      <c r="A276" s="157"/>
    </row>
    <row r="277">
      <c r="A277" s="157"/>
    </row>
    <row r="278">
      <c r="A278" s="157"/>
    </row>
    <row r="279">
      <c r="A279" s="157"/>
    </row>
    <row r="280">
      <c r="A280" s="157"/>
    </row>
    <row r="281">
      <c r="A281" s="157"/>
    </row>
    <row r="282">
      <c r="A282" s="157"/>
    </row>
    <row r="283">
      <c r="A283" s="157"/>
    </row>
    <row r="284">
      <c r="A284" s="157"/>
    </row>
    <row r="285">
      <c r="A285" s="157"/>
    </row>
    <row r="286">
      <c r="A286" s="157"/>
    </row>
    <row r="287">
      <c r="A287" s="157"/>
    </row>
    <row r="288">
      <c r="A288" s="157"/>
    </row>
    <row r="289">
      <c r="A289" s="157"/>
    </row>
    <row r="290">
      <c r="A290" s="157"/>
    </row>
    <row r="291">
      <c r="A291" s="157"/>
    </row>
    <row r="292">
      <c r="A292" s="157"/>
    </row>
    <row r="293">
      <c r="A293" s="157"/>
    </row>
    <row r="294">
      <c r="A294" s="157"/>
    </row>
    <row r="295">
      <c r="A295" s="157"/>
    </row>
    <row r="296">
      <c r="A296" s="157"/>
    </row>
    <row r="297">
      <c r="A297" s="157"/>
    </row>
    <row r="298">
      <c r="A298" s="157"/>
    </row>
    <row r="299">
      <c r="A299" s="157"/>
    </row>
    <row r="300">
      <c r="A300" s="157"/>
    </row>
    <row r="301">
      <c r="A301" s="157"/>
    </row>
    <row r="302">
      <c r="A302" s="157"/>
    </row>
    <row r="303">
      <c r="A303" s="157"/>
    </row>
    <row r="304">
      <c r="A304" s="157"/>
    </row>
    <row r="305">
      <c r="A305" s="157"/>
    </row>
    <row r="306">
      <c r="A306" s="157"/>
    </row>
    <row r="307">
      <c r="A307" s="157"/>
    </row>
    <row r="308">
      <c r="A308" s="157"/>
    </row>
    <row r="309">
      <c r="A309" s="157"/>
    </row>
    <row r="310">
      <c r="A310" s="157"/>
    </row>
    <row r="311">
      <c r="A311" s="157"/>
    </row>
    <row r="312">
      <c r="A312" s="157"/>
    </row>
    <row r="313">
      <c r="A313" s="157"/>
    </row>
    <row r="314">
      <c r="A314" s="157"/>
    </row>
    <row r="315">
      <c r="A315" s="157"/>
    </row>
    <row r="316">
      <c r="A316" s="157"/>
    </row>
    <row r="317">
      <c r="A317" s="157"/>
    </row>
    <row r="318">
      <c r="A318" s="157"/>
    </row>
    <row r="319">
      <c r="A319" s="157"/>
    </row>
    <row r="320">
      <c r="A320" s="157"/>
    </row>
  </sheetData>
  <autoFilter ref="$G$5:$L$45"/>
  <mergeCells count="6">
    <mergeCell ref="A1:Q1"/>
    <mergeCell ref="A4:B4"/>
    <mergeCell ref="D4:E4"/>
    <mergeCell ref="G4:L4"/>
    <mergeCell ref="A48:Q48"/>
    <mergeCell ref="A55:Q55"/>
  </mergeCells>
  <conditionalFormatting sqref="E11 Q57:Q254">
    <cfRule type="cellIs" dxfId="4" priority="1" stopIfTrue="1" operator="equal">
      <formula>"检查"</formula>
    </cfRule>
  </conditionalFormatting>
  <conditionalFormatting sqref="E11 Q57:Q254">
    <cfRule type="cellIs" dxfId="3" priority="2" stopIfTrue="1" operator="equal">
      <formula>"通过"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4.56"/>
    <col customWidth="1" min="2" max="13" width="10.78"/>
    <col customWidth="1" min="14" max="15" width="11.78"/>
    <col customWidth="1" min="16" max="16" width="14.0"/>
    <col customWidth="1" min="17" max="17" width="15.11"/>
    <col customWidth="1" min="18" max="18" width="10.11"/>
  </cols>
  <sheetData>
    <row r="1" ht="27.0" customHeight="1">
      <c r="A1" s="66" t="s">
        <v>475</v>
      </c>
    </row>
    <row r="2" ht="22.5" customHeight="1">
      <c r="A2" s="81" t="s">
        <v>479</v>
      </c>
      <c r="B2" s="82">
        <v>2026.0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ht="7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</row>
    <row r="4" ht="36.0" customHeight="1">
      <c r="A4" s="83" t="s">
        <v>485</v>
      </c>
      <c r="B4" s="84" t="s">
        <v>486</v>
      </c>
      <c r="C4" s="84" t="s">
        <v>483</v>
      </c>
      <c r="D4" s="84" t="s">
        <v>487</v>
      </c>
      <c r="E4" s="84" t="s">
        <v>481</v>
      </c>
      <c r="F4" s="84" t="s">
        <v>488</v>
      </c>
      <c r="G4" s="84" t="s">
        <v>489</v>
      </c>
      <c r="H4" s="85" t="s">
        <v>472</v>
      </c>
      <c r="I4" s="85" t="s">
        <v>480</v>
      </c>
      <c r="J4" s="85" t="s">
        <v>490</v>
      </c>
      <c r="K4" s="85" t="s">
        <v>491</v>
      </c>
      <c r="L4" s="85" t="s">
        <v>492</v>
      </c>
      <c r="M4" s="85" t="s">
        <v>493</v>
      </c>
      <c r="N4" s="86" t="s">
        <v>494</v>
      </c>
      <c r="O4" s="86" t="s">
        <v>495</v>
      </c>
      <c r="P4" s="86" t="s">
        <v>496</v>
      </c>
      <c r="Q4" s="87" t="s">
        <v>497</v>
      </c>
    </row>
    <row r="5" ht="19.5" customHeight="1">
      <c r="A5" s="89">
        <f t="shared" ref="A5:A16" si="1">DATE($B$2,ROW()-4,1)</f>
        <v>46023</v>
      </c>
      <c r="B5" s="90">
        <f>IF($A5&gt;EOMONTH(TODAY(),0),"",SUMIFS('周报'!$C$57:$C$254,'周报'!$A$57:$A$254,"&gt;="&amp;$A5,'周报'!$A$57:$A$254,"&lt;"&amp;EDATE($A5,1)))</f>
        <v>0</v>
      </c>
      <c r="C5" s="90">
        <f>IF($A5&gt;EOMONTH(TODAY(),0),"",SUMIFS('周报'!$D$57:$D$254,'周报'!$A$57:$A$254,"&gt;="&amp;$A5,'周报'!$A$57:$A$254,"&lt;"&amp;EDATE($A5,1)))</f>
        <v>0</v>
      </c>
      <c r="D5" s="90">
        <f>IF($A5&gt;EOMONTH(TODAY(),0),"",SUMIFS('周报'!$E$57:$E$254,'周报'!$A$57:$A$254,"&gt;="&amp;$A5,'周报'!$A$57:$A$254,"&lt;"&amp;EDATE($A5,1)))</f>
        <v>0</v>
      </c>
      <c r="E5" s="90">
        <f>IF($A5&gt;EOMONTH(TODAY(),0),"",SUMIFS('周报'!$F$57:$F$254,'周报'!$A$57:$A$254,"&gt;="&amp;$A5,'周报'!$A$57:$A$254,"&lt;"&amp;EDATE($A5,1)))</f>
        <v>0</v>
      </c>
      <c r="F5" s="90">
        <f>IF($A5&gt;EOMONTH(TODAY(),0),"",SUMIFS('Repair_Weekly_Input 维修周数据'!$E$3:$E$160,'Repair_Weekly_Input 维修周数据'!$A$3:$A$160,"&gt;="&amp;$A5,'Repair_Weekly_Input 维修周数据'!$A$3:$A$160,"&lt;"&amp;EDATE($A5,1)))</f>
        <v>0</v>
      </c>
      <c r="G5" s="90">
        <f>IF($A5&gt;EOMONTH(TODAY(),0),"",SUMIFS('周报'!$H$57:$H$254,'周报'!$A$57:$A$254,"&gt;="&amp;$A5,'周报'!$A$57:$A$254,"&lt;"&amp;EDATE($A5,1)))</f>
        <v>0</v>
      </c>
      <c r="H5" s="94">
        <f>IF($A5&gt;EOMONTH(TODAY(),0),"",SUMIFS('周报'!$K$57:$K$254,'周报'!$A$57:$A$254,"&gt;="&amp;$A5,'周报'!$A$57:$A$254,"&lt;"&amp;EDATE($A5,1)))</f>
        <v>0</v>
      </c>
      <c r="I5" s="94">
        <f>IF($A5&gt;EOMONTH(TODAY(),0),"",SUMIFS('周报'!$L$57:$L$254,'周报'!$A$57:$A$254,"&gt;="&amp;$A5,'周报'!$A$57:$A$254,"&lt;"&amp;EDATE($A5,1)))</f>
        <v>0</v>
      </c>
      <c r="J5" s="94" t="str">
        <f t="array" ref="J5">IF($A5&gt;EOMONTH(TODAY(),0),"",IFERROR(INDEX('周报'!$G$57:$G$254,MATCH(MAXIFS('周报'!$A$57:$A$254,'周报'!$A$57:$A$254,"&gt;="&amp;$A5,'周报'!$A$57:$A$254,"&lt;"&amp;EDATE($A5,1)),'周报'!$A$57:$A$254,0)),""))</f>
        <v/>
      </c>
      <c r="K5" s="94" t="str">
        <f t="array" ref="K5">IF($A5&gt;EOMONTH(TODAY(),0),"",IFERROR(INDEX('周报'!$I$57:$I$254,MATCH(MAXIFS('周报'!$A$57:$A$254,'周报'!$A$57:$A$254,"&gt;="&amp;$A5,'周报'!$A$57:$A$254,"&lt;"&amp;EDATE($A5,1)),'周报'!$A$57:$A$254,0)),""))</f>
        <v/>
      </c>
      <c r="L5" s="94" t="str">
        <f t="array" ref="L5">IF($A5&gt;EOMONTH(TODAY(),0),"",IFERROR(INDEX('周报'!$J$57:$J$254,MATCH(MAXIFS('周报'!$A$57:$A$254,'周报'!$A$57:$A$254,"&gt;="&amp;$A5,'周报'!$A$57:$A$254,"&lt;"&amp;EDATE($A5,1)),'周报'!$A$57:$A$254,0)),""))</f>
        <v/>
      </c>
      <c r="M5" s="94" t="str">
        <f t="array" ref="M5">IF($A5&gt;EOMONTH(TODAY(),0),"",IFERROR(INDEX('周报'!$M$57:$M$254,MATCH(MAXIFS('周报'!$A$57:$A$254,'周报'!$A$57:$A$254,"&gt;="&amp;$A5,'周报'!$A$57:$A$254,"&lt;"&amp;EDATE($A5,1)),'周报'!$A$57:$A$254,0)),""))</f>
        <v/>
      </c>
      <c r="N5" s="97">
        <f>IF($A5&gt;EOMONTH(TODAY(),0),"",SUMIFS('周报'!$N$57:$N$254,'周报'!$A$57:$A$254,"&gt;="&amp;$A5,'周报'!$A$57:$A$254,"&lt;"&amp;EDATE($A5,1)))</f>
        <v>0</v>
      </c>
      <c r="O5" s="97">
        <f>IF($A5&gt;EOMONTH(TODAY(),0),"",SUMIFS('周报'!$O$57:$O$254,'周报'!$A$57:$A$254,"&gt;="&amp;$A5,'周报'!$A$57:$A$254,"&lt;"&amp;EDATE($A5,1)))</f>
        <v>0</v>
      </c>
      <c r="P5" s="97" t="str">
        <f t="array" ref="P5">IF($A5&gt;EOMONTH(TODAY(),0),"",IFERROR(INDEX('周报'!$P$57:$P$254,MATCH(MAXIFS('周报'!$A$57:$A$254,'周报'!$A$57:$A$254,"&gt;="&amp;$A5,'周报'!$A$57:$A$254,"&lt;"&amp;EDATE($A5,1)),'周报'!$A$57:$A$254,0)),""))</f>
        <v/>
      </c>
      <c r="Q5" s="98" t="str">
        <f t="array" ref="Q5">IF($A5&gt;EOMONTH(TODAY(),0),"",IFERROR(INDEX('周报'!$Q$57:$Q$254,MATCH(MAXIFS('周报'!$A$57:$A$254,'周报'!$A$57:$A$254,"&gt;="&amp;$A5,'周报'!$A$57:$A$254,"&lt;"&amp;EDATE($A5,1)),'周报'!$A$57:$A$254,0)),""))</f>
        <v/>
      </c>
    </row>
    <row r="6" ht="19.5" customHeight="1">
      <c r="A6" s="89">
        <f t="shared" si="1"/>
        <v>46054</v>
      </c>
      <c r="B6" s="90">
        <f>IF($A6&gt;EOMONTH(TODAY(),0),"",SUMIFS('周报'!$C$57:$C$254,'周报'!$A$57:$A$254,"&gt;="&amp;$A6,'周报'!$A$57:$A$254,"&lt;"&amp;EDATE($A6,1)))</f>
        <v>0</v>
      </c>
      <c r="C6" s="90">
        <f>IF($A6&gt;EOMONTH(TODAY(),0),"",SUMIFS('周报'!$D$57:$D$254,'周报'!$A$57:$A$254,"&gt;="&amp;$A6,'周报'!$A$57:$A$254,"&lt;"&amp;EDATE($A6,1)))</f>
        <v>0</v>
      </c>
      <c r="D6" s="90">
        <f>IF($A6&gt;EOMONTH(TODAY(),0),"",SUMIFS('周报'!$E$57:$E$254,'周报'!$A$57:$A$254,"&gt;="&amp;$A6,'周报'!$A$57:$A$254,"&lt;"&amp;EDATE($A6,1)))</f>
        <v>0</v>
      </c>
      <c r="E6" s="90">
        <f>IF($A6&gt;EOMONTH(TODAY(),0),"",SUMIFS('周报'!$F$57:$F$254,'周报'!$A$57:$A$254,"&gt;="&amp;$A6,'周报'!$A$57:$A$254,"&lt;"&amp;EDATE($A6,1)))</f>
        <v>0</v>
      </c>
      <c r="F6" s="90">
        <f>IF($A6&gt;EOMONTH(TODAY(),0),"",SUMIFS('Repair_Weekly_Input 维修周数据'!$E$3:$E$160,'Repair_Weekly_Input 维修周数据'!$A$3:$A$160,"&gt;="&amp;$A6,'Repair_Weekly_Input 维修周数据'!$A$3:$A$160,"&lt;"&amp;EDATE($A6,1)))</f>
        <v>0</v>
      </c>
      <c r="G6" s="90">
        <f>IF($A6&gt;EOMONTH(TODAY(),0),"",SUMIFS('周报'!$H$57:$H$254,'周报'!$A$57:$A$254,"&gt;="&amp;$A6,'周报'!$A$57:$A$254,"&lt;"&amp;EDATE($A6,1)))</f>
        <v>0</v>
      </c>
      <c r="H6" s="94">
        <f>IF($A6&gt;EOMONTH(TODAY(),0),"",SUMIFS('周报'!$K$57:$K$254,'周报'!$A$57:$A$254,"&gt;="&amp;$A6,'周报'!$A$57:$A$254,"&lt;"&amp;EDATE($A6,1)))</f>
        <v>0</v>
      </c>
      <c r="I6" s="94">
        <f>IF($A6&gt;EOMONTH(TODAY(),0),"",SUMIFS('周报'!$L$57:$L$254,'周报'!$A$57:$A$254,"&gt;="&amp;$A6,'周报'!$A$57:$A$254,"&lt;"&amp;EDATE($A6,1)))</f>
        <v>0</v>
      </c>
      <c r="J6" s="94" t="str">
        <f t="array" ref="J6">IF($A6&gt;EOMONTH(TODAY(),0),"",IFERROR(INDEX('周报'!$G$57:$G$254,MATCH(MAXIFS('周报'!$A$57:$A$254,'周报'!$A$57:$A$254,"&gt;="&amp;$A6,'周报'!$A$57:$A$254,"&lt;"&amp;EDATE($A6,1)),'周报'!$A$57:$A$254,0)),""))</f>
        <v/>
      </c>
      <c r="K6" s="94" t="str">
        <f t="array" ref="K6">IF($A6&gt;EOMONTH(TODAY(),0),"",IFERROR(INDEX('周报'!$I$57:$I$254,MATCH(MAXIFS('周报'!$A$57:$A$254,'周报'!$A$57:$A$254,"&gt;="&amp;$A6,'周报'!$A$57:$A$254,"&lt;"&amp;EDATE($A6,1)),'周报'!$A$57:$A$254,0)),""))</f>
        <v/>
      </c>
      <c r="L6" s="94" t="str">
        <f t="array" ref="L6">IF($A6&gt;EOMONTH(TODAY(),0),"",IFERROR(INDEX('周报'!$J$57:$J$254,MATCH(MAXIFS('周报'!$A$57:$A$254,'周报'!$A$57:$A$254,"&gt;="&amp;$A6,'周报'!$A$57:$A$254,"&lt;"&amp;EDATE($A6,1)),'周报'!$A$57:$A$254,0)),""))</f>
        <v/>
      </c>
      <c r="M6" s="94" t="str">
        <f t="array" ref="M6">IF($A6&gt;EOMONTH(TODAY(),0),"",IFERROR(INDEX('周报'!$M$57:$M$254,MATCH(MAXIFS('周报'!$A$57:$A$254,'周报'!$A$57:$A$254,"&gt;="&amp;$A6,'周报'!$A$57:$A$254,"&lt;"&amp;EDATE($A6,1)),'周报'!$A$57:$A$254,0)),""))</f>
        <v/>
      </c>
      <c r="N6" s="97">
        <f>IF($A6&gt;EOMONTH(TODAY(),0),"",SUMIFS('周报'!$N$57:$N$254,'周报'!$A$57:$A$254,"&gt;="&amp;$A6,'周报'!$A$57:$A$254,"&lt;"&amp;EDATE($A6,1)))</f>
        <v>0</v>
      </c>
      <c r="O6" s="97">
        <f>IF($A6&gt;EOMONTH(TODAY(),0),"",SUMIFS('周报'!$O$57:$O$254,'周报'!$A$57:$A$254,"&gt;="&amp;$A6,'周报'!$A$57:$A$254,"&lt;"&amp;EDATE($A6,1)))</f>
        <v>0</v>
      </c>
      <c r="P6" s="97" t="str">
        <f t="array" ref="P6">IF($A6&gt;EOMONTH(TODAY(),0),"",IFERROR(INDEX('周报'!$P$57:$P$254,MATCH(MAXIFS('周报'!$A$57:$A$254,'周报'!$A$57:$A$254,"&gt;="&amp;$A6,'周报'!$A$57:$A$254,"&lt;"&amp;EDATE($A6,1)),'周报'!$A$57:$A$254,0)),""))</f>
        <v/>
      </c>
      <c r="Q6" s="98" t="str">
        <f t="array" ref="Q6">IF($A6&gt;EOMONTH(TODAY(),0),"",IFERROR(INDEX('周报'!$Q$57:$Q$254,MATCH(MAXIFS('周报'!$A$57:$A$254,'周报'!$A$57:$A$254,"&gt;="&amp;$A6,'周报'!$A$57:$A$254,"&lt;"&amp;EDATE($A6,1)),'周报'!$A$57:$A$254,0)),""))</f>
        <v/>
      </c>
    </row>
    <row r="7" ht="19.5" customHeight="1">
      <c r="A7" s="89">
        <f t="shared" si="1"/>
        <v>46082</v>
      </c>
      <c r="B7" s="90">
        <f>IF($A7&gt;EOMONTH(TODAY(),0),"",SUMIFS('周报'!$C$57:$C$254,'周报'!$A$57:$A$254,"&gt;="&amp;$A7,'周报'!$A$57:$A$254,"&lt;"&amp;EDATE($A7,1)))</f>
        <v>0</v>
      </c>
      <c r="C7" s="90">
        <f>IF($A7&gt;EOMONTH(TODAY(),0),"",SUMIFS('周报'!$D$57:$D$254,'周报'!$A$57:$A$254,"&gt;="&amp;$A7,'周报'!$A$57:$A$254,"&lt;"&amp;EDATE($A7,1)))</f>
        <v>0</v>
      </c>
      <c r="D7" s="90">
        <f>IF($A7&gt;EOMONTH(TODAY(),0),"",SUMIFS('周报'!$E$57:$E$254,'周报'!$A$57:$A$254,"&gt;="&amp;$A7,'周报'!$A$57:$A$254,"&lt;"&amp;EDATE($A7,1)))</f>
        <v>0</v>
      </c>
      <c r="E7" s="90">
        <f>IF($A7&gt;EOMONTH(TODAY(),0),"",SUMIFS('周报'!$F$57:$F$254,'周报'!$A$57:$A$254,"&gt;="&amp;$A7,'周报'!$A$57:$A$254,"&lt;"&amp;EDATE($A7,1)))</f>
        <v>0</v>
      </c>
      <c r="F7" s="90">
        <f>IF($A7&gt;EOMONTH(TODAY(),0),"",SUMIFS('Repair_Weekly_Input 维修周数据'!$E$3:$E$160,'Repair_Weekly_Input 维修周数据'!$A$3:$A$160,"&gt;="&amp;$A7,'Repair_Weekly_Input 维修周数据'!$A$3:$A$160,"&lt;"&amp;EDATE($A7,1)))</f>
        <v>0</v>
      </c>
      <c r="G7" s="90">
        <f>IF($A7&gt;EOMONTH(TODAY(),0),"",SUMIFS('周报'!$H$57:$H$254,'周报'!$A$57:$A$254,"&gt;="&amp;$A7,'周报'!$A$57:$A$254,"&lt;"&amp;EDATE($A7,1)))</f>
        <v>0</v>
      </c>
      <c r="H7" s="94">
        <f>IF($A7&gt;EOMONTH(TODAY(),0),"",SUMIFS('周报'!$K$57:$K$254,'周报'!$A$57:$A$254,"&gt;="&amp;$A7,'周报'!$A$57:$A$254,"&lt;"&amp;EDATE($A7,1)))</f>
        <v>0</v>
      </c>
      <c r="I7" s="94">
        <f>IF($A7&gt;EOMONTH(TODAY(),0),"",SUMIFS('周报'!$L$57:$L$254,'周报'!$A$57:$A$254,"&gt;="&amp;$A7,'周报'!$A$57:$A$254,"&lt;"&amp;EDATE($A7,1)))</f>
        <v>0</v>
      </c>
      <c r="J7" s="94" t="str">
        <f t="array" ref="J7">IF($A7&gt;EOMONTH(TODAY(),0),"",IFERROR(INDEX('周报'!$G$57:$G$254,MATCH(MAXIFS('周报'!$A$57:$A$254,'周报'!$A$57:$A$254,"&gt;="&amp;$A7,'周报'!$A$57:$A$254,"&lt;"&amp;EDATE($A7,1)),'周报'!$A$57:$A$254,0)),""))</f>
        <v/>
      </c>
      <c r="K7" s="94" t="str">
        <f t="array" ref="K7">IF($A7&gt;EOMONTH(TODAY(),0),"",IFERROR(INDEX('周报'!$I$57:$I$254,MATCH(MAXIFS('周报'!$A$57:$A$254,'周报'!$A$57:$A$254,"&gt;="&amp;$A7,'周报'!$A$57:$A$254,"&lt;"&amp;EDATE($A7,1)),'周报'!$A$57:$A$254,0)),""))</f>
        <v/>
      </c>
      <c r="L7" s="94" t="str">
        <f t="array" ref="L7">IF($A7&gt;EOMONTH(TODAY(),0),"",IFERROR(INDEX('周报'!$J$57:$J$254,MATCH(MAXIFS('周报'!$A$57:$A$254,'周报'!$A$57:$A$254,"&gt;="&amp;$A7,'周报'!$A$57:$A$254,"&lt;"&amp;EDATE($A7,1)),'周报'!$A$57:$A$254,0)),""))</f>
        <v/>
      </c>
      <c r="M7" s="94" t="str">
        <f t="array" ref="M7">IF($A7&gt;EOMONTH(TODAY(),0),"",IFERROR(INDEX('周报'!$M$57:$M$254,MATCH(MAXIFS('周报'!$A$57:$A$254,'周报'!$A$57:$A$254,"&gt;="&amp;$A7,'周报'!$A$57:$A$254,"&lt;"&amp;EDATE($A7,1)),'周报'!$A$57:$A$254,0)),""))</f>
        <v/>
      </c>
      <c r="N7" s="97">
        <f>IF($A7&gt;EOMONTH(TODAY(),0),"",SUMIFS('周报'!$N$57:$N$254,'周报'!$A$57:$A$254,"&gt;="&amp;$A7,'周报'!$A$57:$A$254,"&lt;"&amp;EDATE($A7,1)))</f>
        <v>0</v>
      </c>
      <c r="O7" s="97">
        <f>IF($A7&gt;EOMONTH(TODAY(),0),"",SUMIFS('周报'!$O$57:$O$254,'周报'!$A$57:$A$254,"&gt;="&amp;$A7,'周报'!$A$57:$A$254,"&lt;"&amp;EDATE($A7,1)))</f>
        <v>0</v>
      </c>
      <c r="P7" s="97" t="str">
        <f t="array" ref="P7">IF($A7&gt;EOMONTH(TODAY(),0),"",IFERROR(INDEX('周报'!$P$57:$P$254,MATCH(MAXIFS('周报'!$A$57:$A$254,'周报'!$A$57:$A$254,"&gt;="&amp;$A7,'周报'!$A$57:$A$254,"&lt;"&amp;EDATE($A7,1)),'周报'!$A$57:$A$254,0)),""))</f>
        <v/>
      </c>
      <c r="Q7" s="98" t="str">
        <f t="array" ref="Q7">IF($A7&gt;EOMONTH(TODAY(),0),"",IFERROR(INDEX('周报'!$Q$57:$Q$254,MATCH(MAXIFS('周报'!$A$57:$A$254,'周报'!$A$57:$A$254,"&gt;="&amp;$A7,'周报'!$A$57:$A$254,"&lt;"&amp;EDATE($A7,1)),'周报'!$A$57:$A$254,0)),""))</f>
        <v/>
      </c>
    </row>
    <row r="8" ht="19.5" customHeight="1">
      <c r="A8" s="89">
        <f t="shared" si="1"/>
        <v>46113</v>
      </c>
      <c r="B8" s="90">
        <f>IF($A8&gt;EOMONTH(TODAY(),0),"",SUMIFS('周报'!$C$57:$C$254,'周报'!$A$57:$A$254,"&gt;="&amp;$A8,'周报'!$A$57:$A$254,"&lt;"&amp;EDATE($A8,1)))</f>
        <v>0</v>
      </c>
      <c r="C8" s="90">
        <f>IF($A8&gt;EOMONTH(TODAY(),0),"",SUMIFS('周报'!$D$57:$D$254,'周报'!$A$57:$A$254,"&gt;="&amp;$A8,'周报'!$A$57:$A$254,"&lt;"&amp;EDATE($A8,1)))</f>
        <v>0</v>
      </c>
      <c r="D8" s="90">
        <f>IF($A8&gt;EOMONTH(TODAY(),0),"",SUMIFS('周报'!$E$57:$E$254,'周报'!$A$57:$A$254,"&gt;="&amp;$A8,'周报'!$A$57:$A$254,"&lt;"&amp;EDATE($A8,1)))</f>
        <v>0</v>
      </c>
      <c r="E8" s="90">
        <f>IF($A8&gt;EOMONTH(TODAY(),0),"",SUMIFS('周报'!$F$57:$F$254,'周报'!$A$57:$A$254,"&gt;="&amp;$A8,'周报'!$A$57:$A$254,"&lt;"&amp;EDATE($A8,1)))</f>
        <v>0</v>
      </c>
      <c r="F8" s="90">
        <f>IF($A8&gt;EOMONTH(TODAY(),0),"",SUMIFS('Repair_Weekly_Input 维修周数据'!$E$3:$E$160,'Repair_Weekly_Input 维修周数据'!$A$3:$A$160,"&gt;="&amp;$A8,'Repair_Weekly_Input 维修周数据'!$A$3:$A$160,"&lt;"&amp;EDATE($A8,1)))</f>
        <v>0</v>
      </c>
      <c r="G8" s="90">
        <f>IF($A8&gt;EOMONTH(TODAY(),0),"",SUMIFS('周报'!$H$57:$H$254,'周报'!$A$57:$A$254,"&gt;="&amp;$A8,'周报'!$A$57:$A$254,"&lt;"&amp;EDATE($A8,1)))</f>
        <v>0</v>
      </c>
      <c r="H8" s="94">
        <f>IF($A8&gt;EOMONTH(TODAY(),0),"",SUMIFS('周报'!$K$57:$K$254,'周报'!$A$57:$A$254,"&gt;="&amp;$A8,'周报'!$A$57:$A$254,"&lt;"&amp;EDATE($A8,1)))</f>
        <v>0</v>
      </c>
      <c r="I8" s="94">
        <f>IF($A8&gt;EOMONTH(TODAY(),0),"",SUMIFS('周报'!$L$57:$L$254,'周报'!$A$57:$A$254,"&gt;="&amp;$A8,'周报'!$A$57:$A$254,"&lt;"&amp;EDATE($A8,1)))</f>
        <v>0</v>
      </c>
      <c r="J8" s="94" t="str">
        <f t="array" ref="J8">IF($A8&gt;EOMONTH(TODAY(),0),"",IFERROR(INDEX('周报'!$G$57:$G$254,MATCH(MAXIFS('周报'!$A$57:$A$254,'周报'!$A$57:$A$254,"&gt;="&amp;$A8,'周报'!$A$57:$A$254,"&lt;"&amp;EDATE($A8,1)),'周报'!$A$57:$A$254,0)),""))</f>
        <v/>
      </c>
      <c r="K8" s="94" t="str">
        <f t="array" ref="K8">IF($A8&gt;EOMONTH(TODAY(),0),"",IFERROR(INDEX('周报'!$I$57:$I$254,MATCH(MAXIFS('周报'!$A$57:$A$254,'周报'!$A$57:$A$254,"&gt;="&amp;$A8,'周报'!$A$57:$A$254,"&lt;"&amp;EDATE($A8,1)),'周报'!$A$57:$A$254,0)),""))</f>
        <v/>
      </c>
      <c r="L8" s="94" t="str">
        <f t="array" ref="L8">IF($A8&gt;EOMONTH(TODAY(),0),"",IFERROR(INDEX('周报'!$J$57:$J$254,MATCH(MAXIFS('周报'!$A$57:$A$254,'周报'!$A$57:$A$254,"&gt;="&amp;$A8,'周报'!$A$57:$A$254,"&lt;"&amp;EDATE($A8,1)),'周报'!$A$57:$A$254,0)),""))</f>
        <v/>
      </c>
      <c r="M8" s="94" t="str">
        <f t="array" ref="M8">IF($A8&gt;EOMONTH(TODAY(),0),"",IFERROR(INDEX('周报'!$M$57:$M$254,MATCH(MAXIFS('周报'!$A$57:$A$254,'周报'!$A$57:$A$254,"&gt;="&amp;$A8,'周报'!$A$57:$A$254,"&lt;"&amp;EDATE($A8,1)),'周报'!$A$57:$A$254,0)),""))</f>
        <v/>
      </c>
      <c r="N8" s="97">
        <f>IF($A8&gt;EOMONTH(TODAY(),0),"",SUMIFS('周报'!$N$57:$N$254,'周报'!$A$57:$A$254,"&gt;="&amp;$A8,'周报'!$A$57:$A$254,"&lt;"&amp;EDATE($A8,1)))</f>
        <v>0</v>
      </c>
      <c r="O8" s="97">
        <f>IF($A8&gt;EOMONTH(TODAY(),0),"",SUMIFS('周报'!$O$57:$O$254,'周报'!$A$57:$A$254,"&gt;="&amp;$A8,'周报'!$A$57:$A$254,"&lt;"&amp;EDATE($A8,1)))</f>
        <v>0</v>
      </c>
      <c r="P8" s="97" t="str">
        <f t="array" ref="P8">IF($A8&gt;EOMONTH(TODAY(),0),"",IFERROR(INDEX('周报'!$P$57:$P$254,MATCH(MAXIFS('周报'!$A$57:$A$254,'周报'!$A$57:$A$254,"&gt;="&amp;$A8,'周报'!$A$57:$A$254,"&lt;"&amp;EDATE($A8,1)),'周报'!$A$57:$A$254,0)),""))</f>
        <v/>
      </c>
      <c r="Q8" s="98" t="str">
        <f t="array" ref="Q8">IF($A8&gt;EOMONTH(TODAY(),0),"",IFERROR(INDEX('周报'!$Q$57:$Q$254,MATCH(MAXIFS('周报'!$A$57:$A$254,'周报'!$A$57:$A$254,"&gt;="&amp;$A8,'周报'!$A$57:$A$254,"&lt;"&amp;EDATE($A8,1)),'周报'!$A$57:$A$254,0)),""))</f>
        <v/>
      </c>
    </row>
    <row r="9" ht="19.5" customHeight="1">
      <c r="A9" s="89">
        <f t="shared" si="1"/>
        <v>46143</v>
      </c>
      <c r="B9" s="90">
        <f>IF($A9&gt;EOMONTH(TODAY(),0),"",SUMIFS('周报'!$C$57:$C$254,'周报'!$A$57:$A$254,"&gt;="&amp;$A9,'周报'!$A$57:$A$254,"&lt;"&amp;EDATE($A9,1)))</f>
        <v>0</v>
      </c>
      <c r="C9" s="90">
        <f>IF($A9&gt;EOMONTH(TODAY(),0),"",SUMIFS('周报'!$D$57:$D$254,'周报'!$A$57:$A$254,"&gt;="&amp;$A9,'周报'!$A$57:$A$254,"&lt;"&amp;EDATE($A9,1)))</f>
        <v>0</v>
      </c>
      <c r="D9" s="90">
        <f>IF($A9&gt;EOMONTH(TODAY(),0),"",SUMIFS('周报'!$E$57:$E$254,'周报'!$A$57:$A$254,"&gt;="&amp;$A9,'周报'!$A$57:$A$254,"&lt;"&amp;EDATE($A9,1)))</f>
        <v>0</v>
      </c>
      <c r="E9" s="90">
        <f>IF($A9&gt;EOMONTH(TODAY(),0),"",SUMIFS('周报'!$F$57:$F$254,'周报'!$A$57:$A$254,"&gt;="&amp;$A9,'周报'!$A$57:$A$254,"&lt;"&amp;EDATE($A9,1)))</f>
        <v>0</v>
      </c>
      <c r="F9" s="90">
        <f>IF($A9&gt;EOMONTH(TODAY(),0),"",SUMIFS('Repair_Weekly_Input 维修周数据'!$E$3:$E$160,'Repair_Weekly_Input 维修周数据'!$A$3:$A$160,"&gt;="&amp;$A9,'Repair_Weekly_Input 维修周数据'!$A$3:$A$160,"&lt;"&amp;EDATE($A9,1)))</f>
        <v>0</v>
      </c>
      <c r="G9" s="90">
        <f>IF($A9&gt;EOMONTH(TODAY(),0),"",SUMIFS('周报'!$H$57:$H$254,'周报'!$A$57:$A$254,"&gt;="&amp;$A9,'周报'!$A$57:$A$254,"&lt;"&amp;EDATE($A9,1)))</f>
        <v>0</v>
      </c>
      <c r="H9" s="94">
        <f>IF($A9&gt;EOMONTH(TODAY(),0),"",SUMIFS('周报'!$K$57:$K$254,'周报'!$A$57:$A$254,"&gt;="&amp;$A9,'周报'!$A$57:$A$254,"&lt;"&amp;EDATE($A9,1)))</f>
        <v>0</v>
      </c>
      <c r="I9" s="94">
        <f>IF($A9&gt;EOMONTH(TODAY(),0),"",SUMIFS('周报'!$L$57:$L$254,'周报'!$A$57:$A$254,"&gt;="&amp;$A9,'周报'!$A$57:$A$254,"&lt;"&amp;EDATE($A9,1)))</f>
        <v>0</v>
      </c>
      <c r="J9" s="94" t="str">
        <f t="array" ref="J9">IF($A9&gt;EOMONTH(TODAY(),0),"",IFERROR(INDEX('周报'!$G$57:$G$254,MATCH(MAXIFS('周报'!$A$57:$A$254,'周报'!$A$57:$A$254,"&gt;="&amp;$A9,'周报'!$A$57:$A$254,"&lt;"&amp;EDATE($A9,1)),'周报'!$A$57:$A$254,0)),""))</f>
        <v/>
      </c>
      <c r="K9" s="94" t="str">
        <f t="array" ref="K9">IF($A9&gt;EOMONTH(TODAY(),0),"",IFERROR(INDEX('周报'!$I$57:$I$254,MATCH(MAXIFS('周报'!$A$57:$A$254,'周报'!$A$57:$A$254,"&gt;="&amp;$A9,'周报'!$A$57:$A$254,"&lt;"&amp;EDATE($A9,1)),'周报'!$A$57:$A$254,0)),""))</f>
        <v/>
      </c>
      <c r="L9" s="94" t="str">
        <f t="array" ref="L9">IF($A9&gt;EOMONTH(TODAY(),0),"",IFERROR(INDEX('周报'!$J$57:$J$254,MATCH(MAXIFS('周报'!$A$57:$A$254,'周报'!$A$57:$A$254,"&gt;="&amp;$A9,'周报'!$A$57:$A$254,"&lt;"&amp;EDATE($A9,1)),'周报'!$A$57:$A$254,0)),""))</f>
        <v/>
      </c>
      <c r="M9" s="94" t="str">
        <f t="array" ref="M9">IF($A9&gt;EOMONTH(TODAY(),0),"",IFERROR(INDEX('周报'!$M$57:$M$254,MATCH(MAXIFS('周报'!$A$57:$A$254,'周报'!$A$57:$A$254,"&gt;="&amp;$A9,'周报'!$A$57:$A$254,"&lt;"&amp;EDATE($A9,1)),'周报'!$A$57:$A$254,0)),""))</f>
        <v/>
      </c>
      <c r="N9" s="97">
        <f>IF($A9&gt;EOMONTH(TODAY(),0),"",SUMIFS('周报'!$N$57:$N$254,'周报'!$A$57:$A$254,"&gt;="&amp;$A9,'周报'!$A$57:$A$254,"&lt;"&amp;EDATE($A9,1)))</f>
        <v>0</v>
      </c>
      <c r="O9" s="97">
        <f>IF($A9&gt;EOMONTH(TODAY(),0),"",SUMIFS('周报'!$O$57:$O$254,'周报'!$A$57:$A$254,"&gt;="&amp;$A9,'周报'!$A$57:$A$254,"&lt;"&amp;EDATE($A9,1)))</f>
        <v>0</v>
      </c>
      <c r="P9" s="97" t="str">
        <f t="array" ref="P9">IF($A9&gt;EOMONTH(TODAY(),0),"",IFERROR(INDEX('周报'!$P$57:$P$254,MATCH(MAXIFS('周报'!$A$57:$A$254,'周报'!$A$57:$A$254,"&gt;="&amp;$A9,'周报'!$A$57:$A$254,"&lt;"&amp;EDATE($A9,1)),'周报'!$A$57:$A$254,0)),""))</f>
        <v/>
      </c>
      <c r="Q9" s="98" t="str">
        <f t="array" ref="Q9">IF($A9&gt;EOMONTH(TODAY(),0),"",IFERROR(INDEX('周报'!$Q$57:$Q$254,MATCH(MAXIFS('周报'!$A$57:$A$254,'周报'!$A$57:$A$254,"&gt;="&amp;$A9,'周报'!$A$57:$A$254,"&lt;"&amp;EDATE($A9,1)),'周报'!$A$57:$A$254,0)),""))</f>
        <v/>
      </c>
    </row>
    <row r="10" ht="19.5" customHeight="1">
      <c r="A10" s="89">
        <f t="shared" si="1"/>
        <v>46174</v>
      </c>
      <c r="B10" s="90">
        <f>IF($A10&gt;EOMONTH(TODAY(),0),"",SUMIFS('周报'!$C$57:$C$254,'周报'!$A$57:$A$254,"&gt;="&amp;$A10,'周报'!$A$57:$A$254,"&lt;"&amp;EDATE($A10,1)))</f>
        <v>167</v>
      </c>
      <c r="C10" s="90">
        <f>IF($A10&gt;EOMONTH(TODAY(),0),"",SUMIFS('周报'!$D$57:$D$254,'周报'!$A$57:$A$254,"&gt;="&amp;$A10,'周报'!$A$57:$A$254,"&lt;"&amp;EDATE($A10,1)))</f>
        <v>0</v>
      </c>
      <c r="D10" s="90">
        <f>IF($A10&gt;EOMONTH(TODAY(),0),"",SUMIFS('周报'!$E$57:$E$254,'周报'!$A$57:$A$254,"&gt;="&amp;$A10,'周报'!$A$57:$A$254,"&lt;"&amp;EDATE($A10,1)))</f>
        <v>0</v>
      </c>
      <c r="E10" s="90">
        <f>IF($A10&gt;EOMONTH(TODAY(),0),"",SUMIFS('周报'!$F$57:$F$254,'周报'!$A$57:$A$254,"&gt;="&amp;$A10,'周报'!$A$57:$A$254,"&lt;"&amp;EDATE($A10,1)))</f>
        <v>65</v>
      </c>
      <c r="F10" s="90">
        <f>IF($A10&gt;EOMONTH(TODAY(),0),"",SUMIFS('Repair_Weekly_Input 维修周数据'!$E$3:$E$160,'Repair_Weekly_Input 维修周数据'!$A$3:$A$160,"&gt;="&amp;$A10,'Repair_Weekly_Input 维修周数据'!$A$3:$A$160,"&lt;"&amp;EDATE($A10,1)))</f>
        <v>0</v>
      </c>
      <c r="G10" s="90">
        <f>IF($A10&gt;EOMONTH(TODAY(),0),"",SUMIFS('周报'!$H$57:$H$254,'周报'!$A$57:$A$254,"&gt;="&amp;$A10,'周报'!$A$57:$A$254,"&lt;"&amp;EDATE($A10,1)))</f>
        <v>0</v>
      </c>
      <c r="H10" s="94">
        <f>IF($A10&gt;EOMONTH(TODAY(),0),"",SUMIFS('周报'!$K$57:$K$254,'周报'!$A$57:$A$254,"&gt;="&amp;$A10,'周报'!$A$57:$A$254,"&lt;"&amp;EDATE($A10,1)))</f>
        <v>0</v>
      </c>
      <c r="I10" s="94">
        <f>IF($A10&gt;EOMONTH(TODAY(),0),"",SUMIFS('周报'!$L$57:$L$254,'周报'!$A$57:$A$254,"&gt;="&amp;$A10,'周报'!$A$57:$A$254,"&lt;"&amp;EDATE($A10,1)))</f>
        <v>47</v>
      </c>
      <c r="J10" s="94">
        <f t="array" ref="J10">IF($A10&gt;EOMONTH(TODAY(),0),"",IFERROR(INDEX('周报'!$G$57:$G$254,MATCH(MAXIFS('周报'!$A$57:$A$254,'周报'!$A$57:$A$254,"&gt;="&amp;$A10,'周报'!$A$57:$A$254,"&lt;"&amp;EDATE($A10,1)),'周报'!$A$57:$A$254,0)),""))</f>
        <v>0</v>
      </c>
      <c r="K10" s="94">
        <f t="array" ref="K10">IF($A10&gt;EOMONTH(TODAY(),0),"",IFERROR(INDEX('周报'!$I$57:$I$254,MATCH(MAXIFS('周报'!$A$57:$A$254,'周报'!$A$57:$A$254,"&gt;="&amp;$A10,'周报'!$A$57:$A$254,"&lt;"&amp;EDATE($A10,1)),'周报'!$A$57:$A$254,0)),""))</f>
        <v>0</v>
      </c>
      <c r="L10" s="94">
        <f t="array" ref="L10">IF($A10&gt;EOMONTH(TODAY(),0),"",IFERROR(INDEX('周报'!$J$57:$J$254,MATCH(MAXIFS('周报'!$A$57:$A$254,'周报'!$A$57:$A$254,"&gt;="&amp;$A10,'周报'!$A$57:$A$254,"&lt;"&amp;EDATE($A10,1)),'周报'!$A$57:$A$254,0)),""))</f>
        <v>0</v>
      </c>
      <c r="M10" s="94">
        <f t="array" ref="M10">IF($A10&gt;EOMONTH(TODAY(),0),"",IFERROR(INDEX('周报'!$M$57:$M$254,MATCH(MAXIFS('周报'!$A$57:$A$254,'周报'!$A$57:$A$254,"&gt;="&amp;$A10,'周报'!$A$57:$A$254,"&lt;"&amp;EDATE($A10,1)),'周报'!$A$57:$A$254,0)),""))</f>
        <v>221</v>
      </c>
      <c r="N10" s="97">
        <f>IF($A10&gt;EOMONTH(TODAY(),0),"",SUMIFS('周报'!$N$57:$N$254,'周报'!$A$57:$A$254,"&gt;="&amp;$A10,'周报'!$A$57:$A$254,"&lt;"&amp;EDATE($A10,1)))</f>
        <v>0</v>
      </c>
      <c r="O10" s="97">
        <f>IF($A10&gt;EOMONTH(TODAY(),0),"",SUMIFS('周报'!$O$57:$O$254,'周报'!$A$57:$A$254,"&gt;="&amp;$A10,'周报'!$A$57:$A$254,"&lt;"&amp;EDATE($A10,1)))</f>
        <v>73</v>
      </c>
      <c r="P10" s="97">
        <f t="array" ref="P10">IF($A10&gt;EOMONTH(TODAY(),0),"",IFERROR(INDEX('周报'!$P$57:$P$254,MATCH(MAXIFS('周报'!$A$57:$A$254,'周报'!$A$57:$A$254,"&gt;="&amp;$A10,'周报'!$A$57:$A$254,"&lt;"&amp;EDATE($A10,1)),'周报'!$A$57:$A$254,0)),""))</f>
        <v>7</v>
      </c>
      <c r="Q10" s="98" t="str">
        <f t="array" ref="Q10">IF($A10&gt;EOMONTH(TODAY(),0),"",IFERROR(INDEX('周报'!$Q$57:$Q$254,MATCH(MAXIFS('周报'!$A$57:$A$254,'周报'!$A$57:$A$254,"&gt;="&amp;$A10,'周报'!$A$57:$A$254,"&lt;"&amp;EDATE($A10,1)),'周报'!$A$57:$A$254,0)),""))</f>
        <v>未盘点</v>
      </c>
    </row>
    <row r="11" ht="19.5" customHeight="1">
      <c r="A11" s="89">
        <f t="shared" si="1"/>
        <v>46204</v>
      </c>
      <c r="B11" s="90">
        <f>IF($A11&gt;EOMONTH(TODAY(),0),"",SUMIFS('周报'!$C$57:$C$254,'周报'!$A$57:$A$254,"&gt;="&amp;$A11,'周报'!$A$57:$A$254,"&lt;"&amp;EDATE($A11,1)))</f>
        <v>52</v>
      </c>
      <c r="C11" s="90">
        <f>IF($A11&gt;EOMONTH(TODAY(),0),"",SUMIFS('周报'!$D$57:$D$254,'周报'!$A$57:$A$254,"&gt;="&amp;$A11,'周报'!$A$57:$A$254,"&lt;"&amp;EDATE($A11,1)))</f>
        <v>15</v>
      </c>
      <c r="D11" s="90">
        <f>IF($A11&gt;EOMONTH(TODAY(),0),"",SUMIFS('周报'!$E$57:$E$254,'周报'!$A$57:$A$254,"&gt;="&amp;$A11,'周报'!$A$57:$A$254,"&lt;"&amp;EDATE($A11,1)))</f>
        <v>5</v>
      </c>
      <c r="E11" s="90">
        <f>IF($A11&gt;EOMONTH(TODAY(),0),"",SUMIFS('周报'!$F$57:$F$254,'周报'!$A$57:$A$254,"&gt;="&amp;$A11,'周报'!$A$57:$A$254,"&lt;"&amp;EDATE($A11,1)))</f>
        <v>54</v>
      </c>
      <c r="F11" s="90">
        <f>IF($A11&gt;EOMONTH(TODAY(),0),"",SUMIFS('Repair_Weekly_Input 维修周数据'!$E$3:$E$160,'Repair_Weekly_Input 维修周数据'!$A$3:$A$160,"&gt;="&amp;$A11,'Repair_Weekly_Input 维修周数据'!$A$3:$A$160,"&lt;"&amp;EDATE($A11,1)))</f>
        <v>0</v>
      </c>
      <c r="G11" s="90">
        <f>IF($A11&gt;EOMONTH(TODAY(),0),"",SUMIFS('周报'!$H$57:$H$254,'周报'!$A$57:$A$254,"&gt;="&amp;$A11,'周报'!$A$57:$A$254,"&lt;"&amp;EDATE($A11,1)))</f>
        <v>54</v>
      </c>
      <c r="H11" s="94">
        <f>IF($A11&gt;EOMONTH(TODAY(),0),"",SUMIFS('周报'!$K$57:$K$254,'周报'!$A$57:$A$254,"&gt;="&amp;$A11,'周报'!$A$57:$A$254,"&lt;"&amp;EDATE($A11,1)))</f>
        <v>0</v>
      </c>
      <c r="I11" s="94">
        <f>IF($A11&gt;EOMONTH(TODAY(),0),"",SUMIFS('周报'!$L$57:$L$254,'周报'!$A$57:$A$254,"&gt;="&amp;$A11,'周报'!$A$57:$A$254,"&lt;"&amp;EDATE($A11,1)))</f>
        <v>11</v>
      </c>
      <c r="J11" s="94">
        <f t="array" ref="J11">IF($A11&gt;EOMONTH(TODAY(),0),"",IFERROR(INDEX('周报'!$G$57:$G$254,MATCH(MAXIFS('周报'!$A$57:$A$254,'周报'!$A$57:$A$254,"&gt;="&amp;$A11,'周报'!$A$57:$A$254,"&lt;"&amp;EDATE($A11,1)),'周报'!$A$57:$A$254,0)),""))</f>
        <v>49</v>
      </c>
      <c r="K11" s="94">
        <f t="array" ref="K11">IF($A11&gt;EOMONTH(TODAY(),0),"",IFERROR(INDEX('周报'!$I$57:$I$254,MATCH(MAXIFS('周报'!$A$57:$A$254,'周报'!$A$57:$A$254,"&gt;="&amp;$A11,'周报'!$A$57:$A$254,"&lt;"&amp;EDATE($A11,1)),'周报'!$A$57:$A$254,0)),""))</f>
        <v>195</v>
      </c>
      <c r="L11" s="94">
        <f t="array" ref="L11">IF($A11&gt;EOMONTH(TODAY(),0),"",IFERROR(INDEX('周报'!$J$57:$J$254,MATCH(MAXIFS('周报'!$A$57:$A$254,'周报'!$A$57:$A$254,"&gt;="&amp;$A11,'周报'!$A$57:$A$254,"&lt;"&amp;EDATE($A11,1)),'周报'!$A$57:$A$254,0)),""))</f>
        <v>454</v>
      </c>
      <c r="M11" s="94">
        <f t="array" ref="M11">IF($A11&gt;EOMONTH(TODAY(),0),"",IFERROR(INDEX('周报'!$M$57:$M$254,MATCH(MAXIFS('周报'!$A$57:$A$254,'周报'!$A$57:$A$254,"&gt;="&amp;$A11,'周报'!$A$57:$A$254,"&lt;"&amp;EDATE($A11,1)),'周报'!$A$57:$A$254,0)),""))</f>
        <v>211</v>
      </c>
      <c r="N11" s="97">
        <f>IF($A11&gt;EOMONTH(TODAY(),0),"",SUMIFS('周报'!$N$57:$N$254,'周报'!$A$57:$A$254,"&gt;="&amp;$A11,'周报'!$A$57:$A$254,"&lt;"&amp;EDATE($A11,1)))</f>
        <v>18</v>
      </c>
      <c r="O11" s="97">
        <f>IF($A11&gt;EOMONTH(TODAY(),0),"",SUMIFS('周报'!$O$57:$O$254,'周报'!$A$57:$A$254,"&gt;="&amp;$A11,'周报'!$A$57:$A$254,"&lt;"&amp;EDATE($A11,1)))</f>
        <v>50</v>
      </c>
      <c r="P11" s="97">
        <f t="array" ref="P11">IF($A11&gt;EOMONTH(TODAY(),0),"",IFERROR(INDEX('周报'!$P$57:$P$254,MATCH(MAXIFS('周报'!$A$57:$A$254,'周报'!$A$57:$A$254,"&gt;="&amp;$A11,'周报'!$A$57:$A$254,"&lt;"&amp;EDATE($A11,1)),'周报'!$A$57:$A$254,0)),""))</f>
        <v>18</v>
      </c>
      <c r="Q11" s="98" t="str">
        <f t="array" ref="Q11">IF($A11&gt;EOMONTH(TODAY(),0),"",IFERROR(INDEX('周报'!$Q$57:$Q$254,MATCH(MAXIFS('周报'!$A$57:$A$254,'周报'!$A$57:$A$254,"&gt;="&amp;$A11,'周报'!$A$57:$A$254,"&lt;"&amp;EDATE($A11,1)),'周报'!$A$57:$A$254,0)),""))</f>
        <v>通过</v>
      </c>
    </row>
    <row r="12" ht="19.5" customHeight="1">
      <c r="A12" s="89">
        <f t="shared" si="1"/>
        <v>46235</v>
      </c>
      <c r="B12" s="90" t="str">
        <f>IF($A12&gt;EOMONTH(TODAY(),0),"",SUMIFS('周报'!$C$57:$C$254,'周报'!$A$57:$A$254,"&gt;="&amp;$A12,'周报'!$A$57:$A$254,"&lt;"&amp;EDATE($A12,1)))</f>
        <v/>
      </c>
      <c r="C12" s="90" t="str">
        <f>IF($A12&gt;EOMONTH(TODAY(),0),"",SUMIFS('周报'!$D$57:$D$254,'周报'!$A$57:$A$254,"&gt;="&amp;$A12,'周报'!$A$57:$A$254,"&lt;"&amp;EDATE($A12,1)))</f>
        <v/>
      </c>
      <c r="D12" s="90" t="str">
        <f>IF($A12&gt;EOMONTH(TODAY(),0),"",SUMIFS('周报'!$E$57:$E$254,'周报'!$A$57:$A$254,"&gt;="&amp;$A12,'周报'!$A$57:$A$254,"&lt;"&amp;EDATE($A12,1)))</f>
        <v/>
      </c>
      <c r="E12" s="90" t="str">
        <f>IF($A12&gt;EOMONTH(TODAY(),0),"",SUMIFS('周报'!$F$57:$F$254,'周报'!$A$57:$A$254,"&gt;="&amp;$A12,'周报'!$A$57:$A$254,"&lt;"&amp;EDATE($A12,1)))</f>
        <v/>
      </c>
      <c r="F12" s="90" t="str">
        <f>IF($A12&gt;EOMONTH(TODAY(),0),"",SUMIFS('Repair_Weekly_Input 维修周数据'!$E$3:$E$160,'Repair_Weekly_Input 维修周数据'!$A$3:$A$160,"&gt;="&amp;$A12,'Repair_Weekly_Input 维修周数据'!$A$3:$A$160,"&lt;"&amp;EDATE($A12,1)))</f>
        <v/>
      </c>
      <c r="G12" s="90" t="str">
        <f>IF($A12&gt;EOMONTH(TODAY(),0),"",SUMIFS('周报'!$H$57:$H$254,'周报'!$A$57:$A$254,"&gt;="&amp;$A12,'周报'!$A$57:$A$254,"&lt;"&amp;EDATE($A12,1)))</f>
        <v/>
      </c>
      <c r="H12" s="94" t="str">
        <f>IF($A12&gt;EOMONTH(TODAY(),0),"",SUMIFS('周报'!$K$57:$K$254,'周报'!$A$57:$A$254,"&gt;="&amp;$A12,'周报'!$A$57:$A$254,"&lt;"&amp;EDATE($A12,1)))</f>
        <v/>
      </c>
      <c r="I12" s="94" t="str">
        <f>IF($A12&gt;EOMONTH(TODAY(),0),"",SUMIFS('周报'!$L$57:$L$254,'周报'!$A$57:$A$254,"&gt;="&amp;$A12,'周报'!$A$57:$A$254,"&lt;"&amp;EDATE($A12,1)))</f>
        <v/>
      </c>
      <c r="J12" s="94" t="str">
        <f t="array" ref="J12">IF($A12&gt;EOMONTH(TODAY(),0),"",IFERROR(INDEX('周报'!$G$57:$G$254,MATCH(MAXIFS('周报'!$A$57:$A$254,'周报'!$A$57:$A$254,"&gt;="&amp;$A12,'周报'!$A$57:$A$254,"&lt;"&amp;EDATE($A12,1)),'周报'!$A$57:$A$254,0)),""))</f>
        <v/>
      </c>
      <c r="K12" s="94" t="str">
        <f t="array" ref="K12">IF($A12&gt;EOMONTH(TODAY(),0),"",IFERROR(INDEX('周报'!$I$57:$I$254,MATCH(MAXIFS('周报'!$A$57:$A$254,'周报'!$A$57:$A$254,"&gt;="&amp;$A12,'周报'!$A$57:$A$254,"&lt;"&amp;EDATE($A12,1)),'周报'!$A$57:$A$254,0)),""))</f>
        <v/>
      </c>
      <c r="L12" s="94" t="str">
        <f t="array" ref="L12">IF($A12&gt;EOMONTH(TODAY(),0),"",IFERROR(INDEX('周报'!$J$57:$J$254,MATCH(MAXIFS('周报'!$A$57:$A$254,'周报'!$A$57:$A$254,"&gt;="&amp;$A12,'周报'!$A$57:$A$254,"&lt;"&amp;EDATE($A12,1)),'周报'!$A$57:$A$254,0)),""))</f>
        <v/>
      </c>
      <c r="M12" s="94" t="str">
        <f t="array" ref="M12">IF($A12&gt;EOMONTH(TODAY(),0),"",IFERROR(INDEX('周报'!$M$57:$M$254,MATCH(MAXIFS('周报'!$A$57:$A$254,'周报'!$A$57:$A$254,"&gt;="&amp;$A12,'周报'!$A$57:$A$254,"&lt;"&amp;EDATE($A12,1)),'周报'!$A$57:$A$254,0)),""))</f>
        <v/>
      </c>
      <c r="N12" s="97" t="str">
        <f>IF($A12&gt;EOMONTH(TODAY(),0),"",SUMIFS('周报'!$N$57:$N$254,'周报'!$A$57:$A$254,"&gt;="&amp;$A12,'周报'!$A$57:$A$254,"&lt;"&amp;EDATE($A12,1)))</f>
        <v/>
      </c>
      <c r="O12" s="97" t="str">
        <f>IF($A12&gt;EOMONTH(TODAY(),0),"",SUMIFS('周报'!$O$57:$O$254,'周报'!$A$57:$A$254,"&gt;="&amp;$A12,'周报'!$A$57:$A$254,"&lt;"&amp;EDATE($A12,1)))</f>
        <v/>
      </c>
      <c r="P12" s="97" t="str">
        <f t="array" ref="P12">IF($A12&gt;EOMONTH(TODAY(),0),"",IFERROR(INDEX('周报'!$P$57:$P$254,MATCH(MAXIFS('周报'!$A$57:$A$254,'周报'!$A$57:$A$254,"&gt;="&amp;$A12,'周报'!$A$57:$A$254,"&lt;"&amp;EDATE($A12,1)),'周报'!$A$57:$A$254,0)),""))</f>
        <v/>
      </c>
      <c r="Q12" s="98" t="str">
        <f t="array" ref="Q12">IF($A12&gt;EOMONTH(TODAY(),0),"",IFERROR(INDEX('周报'!$Q$57:$Q$254,MATCH(MAXIFS('周报'!$A$57:$A$254,'周报'!$A$57:$A$254,"&gt;="&amp;$A12,'周报'!$A$57:$A$254,"&lt;"&amp;EDATE($A12,1)),'周报'!$A$57:$A$254,0)),""))</f>
        <v/>
      </c>
    </row>
    <row r="13" ht="19.5" customHeight="1">
      <c r="A13" s="89">
        <f t="shared" si="1"/>
        <v>46266</v>
      </c>
      <c r="B13" s="90" t="str">
        <f>IF($A13&gt;EOMONTH(TODAY(),0),"",SUMIFS('周报'!$C$57:$C$254,'周报'!$A$57:$A$254,"&gt;="&amp;$A13,'周报'!$A$57:$A$254,"&lt;"&amp;EDATE($A13,1)))</f>
        <v/>
      </c>
      <c r="C13" s="90" t="str">
        <f>IF($A13&gt;EOMONTH(TODAY(),0),"",SUMIFS('周报'!$D$57:$D$254,'周报'!$A$57:$A$254,"&gt;="&amp;$A13,'周报'!$A$57:$A$254,"&lt;"&amp;EDATE($A13,1)))</f>
        <v/>
      </c>
      <c r="D13" s="90" t="str">
        <f>IF($A13&gt;EOMONTH(TODAY(),0),"",SUMIFS('周报'!$E$57:$E$254,'周报'!$A$57:$A$254,"&gt;="&amp;$A13,'周报'!$A$57:$A$254,"&lt;"&amp;EDATE($A13,1)))</f>
        <v/>
      </c>
      <c r="E13" s="90" t="str">
        <f>IF($A13&gt;EOMONTH(TODAY(),0),"",SUMIFS('周报'!$F$57:$F$254,'周报'!$A$57:$A$254,"&gt;="&amp;$A13,'周报'!$A$57:$A$254,"&lt;"&amp;EDATE($A13,1)))</f>
        <v/>
      </c>
      <c r="F13" s="90" t="str">
        <f>IF($A13&gt;EOMONTH(TODAY(),0),"",SUMIFS('Repair_Weekly_Input 维修周数据'!$E$3:$E$160,'Repair_Weekly_Input 维修周数据'!$A$3:$A$160,"&gt;="&amp;$A13,'Repair_Weekly_Input 维修周数据'!$A$3:$A$160,"&lt;"&amp;EDATE($A13,1)))</f>
        <v/>
      </c>
      <c r="G13" s="90" t="str">
        <f>IF($A13&gt;EOMONTH(TODAY(),0),"",SUMIFS('周报'!$H$57:$H$254,'周报'!$A$57:$A$254,"&gt;="&amp;$A13,'周报'!$A$57:$A$254,"&lt;"&amp;EDATE($A13,1)))</f>
        <v/>
      </c>
      <c r="H13" s="94" t="str">
        <f>IF($A13&gt;EOMONTH(TODAY(),0),"",SUMIFS('周报'!$K$57:$K$254,'周报'!$A$57:$A$254,"&gt;="&amp;$A13,'周报'!$A$57:$A$254,"&lt;"&amp;EDATE($A13,1)))</f>
        <v/>
      </c>
      <c r="I13" s="94" t="str">
        <f>IF($A13&gt;EOMONTH(TODAY(),0),"",SUMIFS('周报'!$L$57:$L$254,'周报'!$A$57:$A$254,"&gt;="&amp;$A13,'周报'!$A$57:$A$254,"&lt;"&amp;EDATE($A13,1)))</f>
        <v/>
      </c>
      <c r="J13" s="94" t="str">
        <f t="array" ref="J13">IF($A13&gt;EOMONTH(TODAY(),0),"",IFERROR(INDEX('周报'!$G$57:$G$254,MATCH(MAXIFS('周报'!$A$57:$A$254,'周报'!$A$57:$A$254,"&gt;="&amp;$A13,'周报'!$A$57:$A$254,"&lt;"&amp;EDATE($A13,1)),'周报'!$A$57:$A$254,0)),""))</f>
        <v/>
      </c>
      <c r="K13" s="94" t="str">
        <f t="array" ref="K13">IF($A13&gt;EOMONTH(TODAY(),0),"",IFERROR(INDEX('周报'!$I$57:$I$254,MATCH(MAXIFS('周报'!$A$57:$A$254,'周报'!$A$57:$A$254,"&gt;="&amp;$A13,'周报'!$A$57:$A$254,"&lt;"&amp;EDATE($A13,1)),'周报'!$A$57:$A$254,0)),""))</f>
        <v/>
      </c>
      <c r="L13" s="94" t="str">
        <f t="array" ref="L13">IF($A13&gt;EOMONTH(TODAY(),0),"",IFERROR(INDEX('周报'!$J$57:$J$254,MATCH(MAXIFS('周报'!$A$57:$A$254,'周报'!$A$57:$A$254,"&gt;="&amp;$A13,'周报'!$A$57:$A$254,"&lt;"&amp;EDATE($A13,1)),'周报'!$A$57:$A$254,0)),""))</f>
        <v/>
      </c>
      <c r="M13" s="94" t="str">
        <f t="array" ref="M13">IF($A13&gt;EOMONTH(TODAY(),0),"",IFERROR(INDEX('周报'!$M$57:$M$254,MATCH(MAXIFS('周报'!$A$57:$A$254,'周报'!$A$57:$A$254,"&gt;="&amp;$A13,'周报'!$A$57:$A$254,"&lt;"&amp;EDATE($A13,1)),'周报'!$A$57:$A$254,0)),""))</f>
        <v/>
      </c>
      <c r="N13" s="97" t="str">
        <f>IF($A13&gt;EOMONTH(TODAY(),0),"",SUMIFS('周报'!$N$57:$N$254,'周报'!$A$57:$A$254,"&gt;="&amp;$A13,'周报'!$A$57:$A$254,"&lt;"&amp;EDATE($A13,1)))</f>
        <v/>
      </c>
      <c r="O13" s="97" t="str">
        <f>IF($A13&gt;EOMONTH(TODAY(),0),"",SUMIFS('周报'!$O$57:$O$254,'周报'!$A$57:$A$254,"&gt;="&amp;$A13,'周报'!$A$57:$A$254,"&lt;"&amp;EDATE($A13,1)))</f>
        <v/>
      </c>
      <c r="P13" s="97" t="str">
        <f t="array" ref="P13">IF($A13&gt;EOMONTH(TODAY(),0),"",IFERROR(INDEX('周报'!$P$57:$P$254,MATCH(MAXIFS('周报'!$A$57:$A$254,'周报'!$A$57:$A$254,"&gt;="&amp;$A13,'周报'!$A$57:$A$254,"&lt;"&amp;EDATE($A13,1)),'周报'!$A$57:$A$254,0)),""))</f>
        <v/>
      </c>
      <c r="Q13" s="98" t="str">
        <f t="array" ref="Q13">IF($A13&gt;EOMONTH(TODAY(),0),"",IFERROR(INDEX('周报'!$Q$57:$Q$254,MATCH(MAXIFS('周报'!$A$57:$A$254,'周报'!$A$57:$A$254,"&gt;="&amp;$A13,'周报'!$A$57:$A$254,"&lt;"&amp;EDATE($A13,1)),'周报'!$A$57:$A$254,0)),""))</f>
        <v/>
      </c>
    </row>
    <row r="14" ht="19.5" customHeight="1">
      <c r="A14" s="89">
        <f t="shared" si="1"/>
        <v>46296</v>
      </c>
      <c r="B14" s="90" t="str">
        <f>IF($A14&gt;EOMONTH(TODAY(),0),"",SUMIFS('周报'!$C$57:$C$254,'周报'!$A$57:$A$254,"&gt;="&amp;$A14,'周报'!$A$57:$A$254,"&lt;"&amp;EDATE($A14,1)))</f>
        <v/>
      </c>
      <c r="C14" s="90" t="str">
        <f>IF($A14&gt;EOMONTH(TODAY(),0),"",SUMIFS('周报'!$D$57:$D$254,'周报'!$A$57:$A$254,"&gt;="&amp;$A14,'周报'!$A$57:$A$254,"&lt;"&amp;EDATE($A14,1)))</f>
        <v/>
      </c>
      <c r="D14" s="90" t="str">
        <f>IF($A14&gt;EOMONTH(TODAY(),0),"",SUMIFS('周报'!$E$57:$E$254,'周报'!$A$57:$A$254,"&gt;="&amp;$A14,'周报'!$A$57:$A$254,"&lt;"&amp;EDATE($A14,1)))</f>
        <v/>
      </c>
      <c r="E14" s="90" t="str">
        <f>IF($A14&gt;EOMONTH(TODAY(),0),"",SUMIFS('周报'!$F$57:$F$254,'周报'!$A$57:$A$254,"&gt;="&amp;$A14,'周报'!$A$57:$A$254,"&lt;"&amp;EDATE($A14,1)))</f>
        <v/>
      </c>
      <c r="F14" s="90" t="str">
        <f>IF($A14&gt;EOMONTH(TODAY(),0),"",SUMIFS('Repair_Weekly_Input 维修周数据'!$E$3:$E$160,'Repair_Weekly_Input 维修周数据'!$A$3:$A$160,"&gt;="&amp;$A14,'Repair_Weekly_Input 维修周数据'!$A$3:$A$160,"&lt;"&amp;EDATE($A14,1)))</f>
        <v/>
      </c>
      <c r="G14" s="90" t="str">
        <f>IF($A14&gt;EOMONTH(TODAY(),0),"",SUMIFS('周报'!$H$57:$H$254,'周报'!$A$57:$A$254,"&gt;="&amp;$A14,'周报'!$A$57:$A$254,"&lt;"&amp;EDATE($A14,1)))</f>
        <v/>
      </c>
      <c r="H14" s="94" t="str">
        <f>IF($A14&gt;EOMONTH(TODAY(),0),"",SUMIFS('周报'!$K$57:$K$254,'周报'!$A$57:$A$254,"&gt;="&amp;$A14,'周报'!$A$57:$A$254,"&lt;"&amp;EDATE($A14,1)))</f>
        <v/>
      </c>
      <c r="I14" s="94" t="str">
        <f>IF($A14&gt;EOMONTH(TODAY(),0),"",SUMIFS('周报'!$L$57:$L$254,'周报'!$A$57:$A$254,"&gt;="&amp;$A14,'周报'!$A$57:$A$254,"&lt;"&amp;EDATE($A14,1)))</f>
        <v/>
      </c>
      <c r="J14" s="94" t="str">
        <f t="array" ref="J14">IF($A14&gt;EOMONTH(TODAY(),0),"",IFERROR(INDEX('周报'!$G$57:$G$254,MATCH(MAXIFS('周报'!$A$57:$A$254,'周报'!$A$57:$A$254,"&gt;="&amp;$A14,'周报'!$A$57:$A$254,"&lt;"&amp;EDATE($A14,1)),'周报'!$A$57:$A$254,0)),""))</f>
        <v/>
      </c>
      <c r="K14" s="94" t="str">
        <f t="array" ref="K14">IF($A14&gt;EOMONTH(TODAY(),0),"",IFERROR(INDEX('周报'!$I$57:$I$254,MATCH(MAXIFS('周报'!$A$57:$A$254,'周报'!$A$57:$A$254,"&gt;="&amp;$A14,'周报'!$A$57:$A$254,"&lt;"&amp;EDATE($A14,1)),'周报'!$A$57:$A$254,0)),""))</f>
        <v/>
      </c>
      <c r="L14" s="94" t="str">
        <f t="array" ref="L14">IF($A14&gt;EOMONTH(TODAY(),0),"",IFERROR(INDEX('周报'!$J$57:$J$254,MATCH(MAXIFS('周报'!$A$57:$A$254,'周报'!$A$57:$A$254,"&gt;="&amp;$A14,'周报'!$A$57:$A$254,"&lt;"&amp;EDATE($A14,1)),'周报'!$A$57:$A$254,0)),""))</f>
        <v/>
      </c>
      <c r="M14" s="94" t="str">
        <f t="array" ref="M14">IF($A14&gt;EOMONTH(TODAY(),0),"",IFERROR(INDEX('周报'!$M$57:$M$254,MATCH(MAXIFS('周报'!$A$57:$A$254,'周报'!$A$57:$A$254,"&gt;="&amp;$A14,'周报'!$A$57:$A$254,"&lt;"&amp;EDATE($A14,1)),'周报'!$A$57:$A$254,0)),""))</f>
        <v/>
      </c>
      <c r="N14" s="97" t="str">
        <f>IF($A14&gt;EOMONTH(TODAY(),0),"",SUMIFS('周报'!$N$57:$N$254,'周报'!$A$57:$A$254,"&gt;="&amp;$A14,'周报'!$A$57:$A$254,"&lt;"&amp;EDATE($A14,1)))</f>
        <v/>
      </c>
      <c r="O14" s="97" t="str">
        <f>IF($A14&gt;EOMONTH(TODAY(),0),"",SUMIFS('周报'!$O$57:$O$254,'周报'!$A$57:$A$254,"&gt;="&amp;$A14,'周报'!$A$57:$A$254,"&lt;"&amp;EDATE($A14,1)))</f>
        <v/>
      </c>
      <c r="P14" s="97" t="str">
        <f t="array" ref="P14">IF($A14&gt;EOMONTH(TODAY(),0),"",IFERROR(INDEX('周报'!$P$57:$P$254,MATCH(MAXIFS('周报'!$A$57:$A$254,'周报'!$A$57:$A$254,"&gt;="&amp;$A14,'周报'!$A$57:$A$254,"&lt;"&amp;EDATE($A14,1)),'周报'!$A$57:$A$254,0)),""))</f>
        <v/>
      </c>
      <c r="Q14" s="98" t="str">
        <f t="array" ref="Q14">IF($A14&gt;EOMONTH(TODAY(),0),"",IFERROR(INDEX('周报'!$Q$57:$Q$254,MATCH(MAXIFS('周报'!$A$57:$A$254,'周报'!$A$57:$A$254,"&gt;="&amp;$A14,'周报'!$A$57:$A$254,"&lt;"&amp;EDATE($A14,1)),'周报'!$A$57:$A$254,0)),""))</f>
        <v/>
      </c>
    </row>
    <row r="15" ht="19.5" customHeight="1">
      <c r="A15" s="89">
        <f t="shared" si="1"/>
        <v>46327</v>
      </c>
      <c r="B15" s="90" t="str">
        <f>IF($A15&gt;EOMONTH(TODAY(),0),"",SUMIFS('周报'!$C$57:$C$254,'周报'!$A$57:$A$254,"&gt;="&amp;$A15,'周报'!$A$57:$A$254,"&lt;"&amp;EDATE($A15,1)))</f>
        <v/>
      </c>
      <c r="C15" s="90" t="str">
        <f>IF($A15&gt;EOMONTH(TODAY(),0),"",SUMIFS('周报'!$D$57:$D$254,'周报'!$A$57:$A$254,"&gt;="&amp;$A15,'周报'!$A$57:$A$254,"&lt;"&amp;EDATE($A15,1)))</f>
        <v/>
      </c>
      <c r="D15" s="90" t="str">
        <f>IF($A15&gt;EOMONTH(TODAY(),0),"",SUMIFS('周报'!$E$57:$E$254,'周报'!$A$57:$A$254,"&gt;="&amp;$A15,'周报'!$A$57:$A$254,"&lt;"&amp;EDATE($A15,1)))</f>
        <v/>
      </c>
      <c r="E15" s="90" t="str">
        <f>IF($A15&gt;EOMONTH(TODAY(),0),"",SUMIFS('周报'!$F$57:$F$254,'周报'!$A$57:$A$254,"&gt;="&amp;$A15,'周报'!$A$57:$A$254,"&lt;"&amp;EDATE($A15,1)))</f>
        <v/>
      </c>
      <c r="F15" s="90" t="str">
        <f>IF($A15&gt;EOMONTH(TODAY(),0),"",SUMIFS('Repair_Weekly_Input 维修周数据'!$E$3:$E$160,'Repair_Weekly_Input 维修周数据'!$A$3:$A$160,"&gt;="&amp;$A15,'Repair_Weekly_Input 维修周数据'!$A$3:$A$160,"&lt;"&amp;EDATE($A15,1)))</f>
        <v/>
      </c>
      <c r="G15" s="90" t="str">
        <f>IF($A15&gt;EOMONTH(TODAY(),0),"",SUMIFS('周报'!$H$57:$H$254,'周报'!$A$57:$A$254,"&gt;="&amp;$A15,'周报'!$A$57:$A$254,"&lt;"&amp;EDATE($A15,1)))</f>
        <v/>
      </c>
      <c r="H15" s="94" t="str">
        <f>IF($A15&gt;EOMONTH(TODAY(),0),"",SUMIFS('周报'!$K$57:$K$254,'周报'!$A$57:$A$254,"&gt;="&amp;$A15,'周报'!$A$57:$A$254,"&lt;"&amp;EDATE($A15,1)))</f>
        <v/>
      </c>
      <c r="I15" s="94" t="str">
        <f>IF($A15&gt;EOMONTH(TODAY(),0),"",SUMIFS('周报'!$L$57:$L$254,'周报'!$A$57:$A$254,"&gt;="&amp;$A15,'周报'!$A$57:$A$254,"&lt;"&amp;EDATE($A15,1)))</f>
        <v/>
      </c>
      <c r="J15" s="94" t="str">
        <f t="array" ref="J15">IF($A15&gt;EOMONTH(TODAY(),0),"",IFERROR(INDEX('周报'!$G$57:$G$254,MATCH(MAXIFS('周报'!$A$57:$A$254,'周报'!$A$57:$A$254,"&gt;="&amp;$A15,'周报'!$A$57:$A$254,"&lt;"&amp;EDATE($A15,1)),'周报'!$A$57:$A$254,0)),""))</f>
        <v/>
      </c>
      <c r="K15" s="94" t="str">
        <f t="array" ref="K15">IF($A15&gt;EOMONTH(TODAY(),0),"",IFERROR(INDEX('周报'!$I$57:$I$254,MATCH(MAXIFS('周报'!$A$57:$A$254,'周报'!$A$57:$A$254,"&gt;="&amp;$A15,'周报'!$A$57:$A$254,"&lt;"&amp;EDATE($A15,1)),'周报'!$A$57:$A$254,0)),""))</f>
        <v/>
      </c>
      <c r="L15" s="94" t="str">
        <f t="array" ref="L15">IF($A15&gt;EOMONTH(TODAY(),0),"",IFERROR(INDEX('周报'!$J$57:$J$254,MATCH(MAXIFS('周报'!$A$57:$A$254,'周报'!$A$57:$A$254,"&gt;="&amp;$A15,'周报'!$A$57:$A$254,"&lt;"&amp;EDATE($A15,1)),'周报'!$A$57:$A$254,0)),""))</f>
        <v/>
      </c>
      <c r="M15" s="94" t="str">
        <f t="array" ref="M15">IF($A15&gt;EOMONTH(TODAY(),0),"",IFERROR(INDEX('周报'!$M$57:$M$254,MATCH(MAXIFS('周报'!$A$57:$A$254,'周报'!$A$57:$A$254,"&gt;="&amp;$A15,'周报'!$A$57:$A$254,"&lt;"&amp;EDATE($A15,1)),'周报'!$A$57:$A$254,0)),""))</f>
        <v/>
      </c>
      <c r="N15" s="97" t="str">
        <f>IF($A15&gt;EOMONTH(TODAY(),0),"",SUMIFS('周报'!$N$57:$N$254,'周报'!$A$57:$A$254,"&gt;="&amp;$A15,'周报'!$A$57:$A$254,"&lt;"&amp;EDATE($A15,1)))</f>
        <v/>
      </c>
      <c r="O15" s="97" t="str">
        <f>IF($A15&gt;EOMONTH(TODAY(),0),"",SUMIFS('周报'!$O$57:$O$254,'周报'!$A$57:$A$254,"&gt;="&amp;$A15,'周报'!$A$57:$A$254,"&lt;"&amp;EDATE($A15,1)))</f>
        <v/>
      </c>
      <c r="P15" s="97" t="str">
        <f t="array" ref="P15">IF($A15&gt;EOMONTH(TODAY(),0),"",IFERROR(INDEX('周报'!$P$57:$P$254,MATCH(MAXIFS('周报'!$A$57:$A$254,'周报'!$A$57:$A$254,"&gt;="&amp;$A15,'周报'!$A$57:$A$254,"&lt;"&amp;EDATE($A15,1)),'周报'!$A$57:$A$254,0)),""))</f>
        <v/>
      </c>
      <c r="Q15" s="98" t="str">
        <f t="array" ref="Q15">IF($A15&gt;EOMONTH(TODAY(),0),"",IFERROR(INDEX('周报'!$Q$57:$Q$254,MATCH(MAXIFS('周报'!$A$57:$A$254,'周报'!$A$57:$A$254,"&gt;="&amp;$A15,'周报'!$A$57:$A$254,"&lt;"&amp;EDATE($A15,1)),'周报'!$A$57:$A$254,0)),""))</f>
        <v/>
      </c>
    </row>
    <row r="16" ht="19.5" customHeight="1">
      <c r="A16" s="89">
        <f t="shared" si="1"/>
        <v>46357</v>
      </c>
      <c r="B16" s="90" t="str">
        <f>IF($A16&gt;EOMONTH(TODAY(),0),"",SUMIFS('周报'!$C$57:$C$254,'周报'!$A$57:$A$254,"&gt;="&amp;$A16,'周报'!$A$57:$A$254,"&lt;"&amp;EDATE($A16,1)))</f>
        <v/>
      </c>
      <c r="C16" s="90" t="str">
        <f>IF($A16&gt;EOMONTH(TODAY(),0),"",SUMIFS('周报'!$D$57:$D$254,'周报'!$A$57:$A$254,"&gt;="&amp;$A16,'周报'!$A$57:$A$254,"&lt;"&amp;EDATE($A16,1)))</f>
        <v/>
      </c>
      <c r="D16" s="90" t="str">
        <f>IF($A16&gt;EOMONTH(TODAY(),0),"",SUMIFS('周报'!$E$57:$E$254,'周报'!$A$57:$A$254,"&gt;="&amp;$A16,'周报'!$A$57:$A$254,"&lt;"&amp;EDATE($A16,1)))</f>
        <v/>
      </c>
      <c r="E16" s="90" t="str">
        <f>IF($A16&gt;EOMONTH(TODAY(),0),"",SUMIFS('周报'!$F$57:$F$254,'周报'!$A$57:$A$254,"&gt;="&amp;$A16,'周报'!$A$57:$A$254,"&lt;"&amp;EDATE($A16,1)))</f>
        <v/>
      </c>
      <c r="F16" s="90" t="str">
        <f>IF($A16&gt;EOMONTH(TODAY(),0),"",SUMIFS('Repair_Weekly_Input 维修周数据'!$E$3:$E$160,'Repair_Weekly_Input 维修周数据'!$A$3:$A$160,"&gt;="&amp;$A16,'Repair_Weekly_Input 维修周数据'!$A$3:$A$160,"&lt;"&amp;EDATE($A16,1)))</f>
        <v/>
      </c>
      <c r="G16" s="90" t="str">
        <f>IF($A16&gt;EOMONTH(TODAY(),0),"",SUMIFS('周报'!$H$57:$H$254,'周报'!$A$57:$A$254,"&gt;="&amp;$A16,'周报'!$A$57:$A$254,"&lt;"&amp;EDATE($A16,1)))</f>
        <v/>
      </c>
      <c r="H16" s="94" t="str">
        <f>IF($A16&gt;EOMONTH(TODAY(),0),"",SUMIFS('周报'!$K$57:$K$254,'周报'!$A$57:$A$254,"&gt;="&amp;$A16,'周报'!$A$57:$A$254,"&lt;"&amp;EDATE($A16,1)))</f>
        <v/>
      </c>
      <c r="I16" s="94" t="str">
        <f>IF($A16&gt;EOMONTH(TODAY(),0),"",SUMIFS('周报'!$L$57:$L$254,'周报'!$A$57:$A$254,"&gt;="&amp;$A16,'周报'!$A$57:$A$254,"&lt;"&amp;EDATE($A16,1)))</f>
        <v/>
      </c>
      <c r="J16" s="94" t="str">
        <f t="array" ref="J16">IF($A16&gt;EOMONTH(TODAY(),0),"",IFERROR(INDEX('周报'!$G$57:$G$254,MATCH(MAXIFS('周报'!$A$57:$A$254,'周报'!$A$57:$A$254,"&gt;="&amp;$A16,'周报'!$A$57:$A$254,"&lt;"&amp;EDATE($A16,1)),'周报'!$A$57:$A$254,0)),""))</f>
        <v/>
      </c>
      <c r="K16" s="94" t="str">
        <f t="array" ref="K16">IF($A16&gt;EOMONTH(TODAY(),0),"",IFERROR(INDEX('周报'!$I$57:$I$254,MATCH(MAXIFS('周报'!$A$57:$A$254,'周报'!$A$57:$A$254,"&gt;="&amp;$A16,'周报'!$A$57:$A$254,"&lt;"&amp;EDATE($A16,1)),'周报'!$A$57:$A$254,0)),""))</f>
        <v/>
      </c>
      <c r="L16" s="94" t="str">
        <f t="array" ref="L16">IF($A16&gt;EOMONTH(TODAY(),0),"",IFERROR(INDEX('周报'!$J$57:$J$254,MATCH(MAXIFS('周报'!$A$57:$A$254,'周报'!$A$57:$A$254,"&gt;="&amp;$A16,'周报'!$A$57:$A$254,"&lt;"&amp;EDATE($A16,1)),'周报'!$A$57:$A$254,0)),""))</f>
        <v/>
      </c>
      <c r="M16" s="94" t="str">
        <f t="array" ref="M16">IF($A16&gt;EOMONTH(TODAY(),0),"",IFERROR(INDEX('周报'!$M$57:$M$254,MATCH(MAXIFS('周报'!$A$57:$A$254,'周报'!$A$57:$A$254,"&gt;="&amp;$A16,'周报'!$A$57:$A$254,"&lt;"&amp;EDATE($A16,1)),'周报'!$A$57:$A$254,0)),""))</f>
        <v/>
      </c>
      <c r="N16" s="97" t="str">
        <f>IF($A16&gt;EOMONTH(TODAY(),0),"",SUMIFS('周报'!$N$57:$N$254,'周报'!$A$57:$A$254,"&gt;="&amp;$A16,'周报'!$A$57:$A$254,"&lt;"&amp;EDATE($A16,1)))</f>
        <v/>
      </c>
      <c r="O16" s="97" t="str">
        <f>IF($A16&gt;EOMONTH(TODAY(),0),"",SUMIFS('周报'!$O$57:$O$254,'周报'!$A$57:$A$254,"&gt;="&amp;$A16,'周报'!$A$57:$A$254,"&lt;"&amp;EDATE($A16,1)))</f>
        <v/>
      </c>
      <c r="P16" s="97" t="str">
        <f t="array" ref="P16">IF($A16&gt;EOMONTH(TODAY(),0),"",IFERROR(INDEX('周报'!$P$57:$P$254,MATCH(MAXIFS('周报'!$A$57:$A$254,'周报'!$A$57:$A$254,"&gt;="&amp;$A16,'周报'!$A$57:$A$254,"&lt;"&amp;EDATE($A16,1)),'周报'!$A$57:$A$254,0)),""))</f>
        <v/>
      </c>
      <c r="Q16" s="98" t="str">
        <f t="array" ref="Q16">IF($A16&gt;EOMONTH(TODAY(),0),"",IFERROR(INDEX('周报'!$Q$57:$Q$254,MATCH(MAXIFS('周报'!$A$57:$A$254,'周报'!$A$57:$A$254,"&gt;="&amp;$A16,'周报'!$A$57:$A$254,"&lt;"&amp;EDATE($A16,1)),'周报'!$A$57:$A$254,0)),""))</f>
        <v/>
      </c>
    </row>
    <row r="17" ht="9.0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</row>
    <row r="18" ht="22.5" customHeight="1">
      <c r="A18" s="100" t="s">
        <v>555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</row>
    <row r="19" ht="22.5" customHeight="1">
      <c r="A19" s="81" t="s">
        <v>556</v>
      </c>
      <c r="B19" s="102">
        <f>DATE($B$2,MONTH(TODAY()),1)</f>
        <v>46204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</row>
    <row r="21" ht="24.0" customHeight="1">
      <c r="A21" s="79" t="s">
        <v>476</v>
      </c>
      <c r="B21" s="79" t="s">
        <v>478</v>
      </c>
      <c r="C21" s="79" t="s">
        <v>480</v>
      </c>
      <c r="D21" s="79" t="s">
        <v>481</v>
      </c>
      <c r="E21" s="79" t="s">
        <v>482</v>
      </c>
      <c r="F21" s="80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ht="19.5" customHeight="1">
      <c r="A22" s="88" t="str">
        <f>IFERROR(__xludf.DUMMYFUNCTION("IFERROR(INDEX(UNIQUE(FILTER('Product_Stock_Master产品维护'!$B$2:$B$500,'Product_Stock_Master产品维护'!$C$2:$C$500=""Product"",'Product_Stock_Master产品维护'!$B$2:$B$500&lt;&gt;"""")),ROW()-21),"""")"),"KH8")</f>
        <v>KH8</v>
      </c>
      <c r="B22" s="88" t="str">
        <f>IFERROR(__xludf.DUMMYFUNCTION("IF(A22="""","""",IFERROR(REGEXREPLACE(INDEX(FILTER('Product_Stock_Master产品维护'!$L$2:$L$500,'Product_Stock_Master产品维护'!$B$2:$B$500=A22,'Product_Stock_Master产品维护'!$C$2:$C$500=""Product""),1),""^.* / "",""""),""""))"),"逆变器")</f>
        <v>逆变器</v>
      </c>
      <c r="C22" s="91">
        <f t="array" ref="C22">IF(A22="","",IFERROR(INDEX($B$35:$M$43,MATCH(A22,$A$35:$A$43,0),MATCH(MONTH($B$19),MONTH($B$34:$M$34),0)),0))</f>
        <v>0</v>
      </c>
      <c r="D22" s="91">
        <f t="array" ref="D22">IF(A22="","",IFERROR(INDEX($B$49:$M$57,MATCH(A22,$A$49:$A$57,0),MATCH(MONTH($B$19),MONTH($B$48:$M$48),0)),0))</f>
        <v>0</v>
      </c>
      <c r="E22" s="92">
        <f>IFERROR(__xludf.DUMMYFUNCTION("IF(A22="""","""",IFERROR(SUM(FILTER('Product_Stock_Master产品维护'!$G$2:$G$500,'Product_Stock_Master产品维护'!$B$2:$B$500=A22,'Product_Stock_Master产品维护'!$C$2:$C$500=""Product"")),0))"),6.0)</f>
        <v>6</v>
      </c>
      <c r="F22" s="93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</row>
    <row r="23" ht="19.5" customHeight="1">
      <c r="A23" s="95" t="str">
        <f>IFERROR(__xludf.DUMMYFUNCTION("IFERROR(INDEX(UNIQUE(FILTER('Product_Stock_Master产品维护'!$B$2:$B$500,'Product_Stock_Master产品维护'!$C$2:$C$500=""Product"",'Product_Stock_Master产品维护'!$B$2:$B$500&lt;&gt;"""")),ROW()-21),"""")"),"KH10")</f>
        <v>KH10</v>
      </c>
      <c r="B23" s="95" t="str">
        <f>IFERROR(__xludf.DUMMYFUNCTION("IF(A23="""","""",IFERROR(REGEXREPLACE(INDEX(FILTER('Product_Stock_Master产品维护'!$L$2:$L$500,'Product_Stock_Master产品维护'!$B$2:$B$500=A23,'Product_Stock_Master产品维护'!$C$2:$C$500=""Product""),1),""^.* / "",""""),""""))"),"逆变器")</f>
        <v>逆变器</v>
      </c>
      <c r="C23" s="96">
        <f t="array" ref="C23">IF(A23="","",IFERROR(INDEX($B$35:$M$43,MATCH(A23,$A$35:$A$43,0),MATCH(MONTH($B$19),MONTH($B$34:$M$34),0)),0))</f>
        <v>1</v>
      </c>
      <c r="D23" s="96">
        <f t="array" ref="D23">IF(A23="","",IFERROR(INDEX($B$49:$M$57,MATCH(A23,$A$49:$A$57,0),MATCH(MONTH($B$19),MONTH($B$48:$M$48),0)),0))</f>
        <v>0</v>
      </c>
      <c r="E23" s="92">
        <f>IFERROR(__xludf.DUMMYFUNCTION("IF(A23="""","""",IFERROR(SUM(FILTER('Product_Stock_Master产品维护'!$G$2:$G$500,'Product_Stock_Master产品维护'!$B$2:$B$500=A23,'Product_Stock_Master产品维护'!$C$2:$C$500=""Product"")),0))"),12.0)</f>
        <v>12</v>
      </c>
      <c r="F23" s="93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</row>
    <row r="24" ht="19.5" customHeight="1">
      <c r="A24" s="88" t="str">
        <f>IFERROR(__xludf.DUMMYFUNCTION("IFERROR(INDEX(UNIQUE(FILTER('Product_Stock_Master产品维护'!$B$2:$B$500,'Product_Stock_Master产品维护'!$C$2:$C$500=""Product"",'Product_Stock_Master产品维护'!$B$2:$B$500&lt;&gt;"""")),ROW()-21),"""")"),"H3-10.0-Smart")</f>
        <v>H3-10.0-Smart</v>
      </c>
      <c r="B24" s="88" t="str">
        <f>IFERROR(__xludf.DUMMYFUNCTION("IF(A24="""","""",IFERROR(REGEXREPLACE(INDEX(FILTER('Product_Stock_Master产品维护'!$L$2:$L$500,'Product_Stock_Master产品维护'!$B$2:$B$500=A24,'Product_Stock_Master产品维护'!$C$2:$C$500=""Product""),1),""^.* / "",""""),""""))"),"逆变器")</f>
        <v>逆变器</v>
      </c>
      <c r="C24" s="91">
        <f t="array" ref="C24">IF(A24="","",IFERROR(INDEX($B$35:$M$43,MATCH(A24,$A$35:$A$43,0),MATCH(MONTH($B$19),MONTH($B$34:$M$34),0)),0))</f>
        <v>0</v>
      </c>
      <c r="D24" s="91">
        <f t="array" ref="D24">IF(A24="","",IFERROR(INDEX($B$49:$M$57,MATCH(A24,$A$49:$A$57,0),MATCH(MONTH($B$19),MONTH($B$48:$M$48),0)),0))</f>
        <v>0</v>
      </c>
      <c r="E24" s="92">
        <f>IFERROR(__xludf.DUMMYFUNCTION("IF(A24="""","""",IFERROR(SUM(FILTER('Product_Stock_Master产品维护'!$G$2:$G$500,'Product_Stock_Master产品维护'!$B$2:$B$500=A24,'Product_Stock_Master产品维护'!$C$2:$C$500=""Product"")),0))"),5.0)</f>
        <v>5</v>
      </c>
      <c r="F24" s="93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</row>
    <row r="25" ht="19.5" customHeight="1">
      <c r="A25" s="95" t="str">
        <f>IFERROR(__xludf.DUMMYFUNCTION("IFERROR(INDEX(UNIQUE(FILTER('Product_Stock_Master产品维护'!$B$2:$B$500,'Product_Stock_Master产品维护'!$C$2:$C$500=""Product"",'Product_Stock_Master产品维护'!$B$2:$B$500&lt;&gt;"""")),ROW()-21),"""")"),"H3-15.0-Smart")</f>
        <v>H3-15.0-Smart</v>
      </c>
      <c r="B25" s="95" t="str">
        <f>IFERROR(__xludf.DUMMYFUNCTION("IF(A25="""","""",IFERROR(REGEXREPLACE(INDEX(FILTER('Product_Stock_Master产品维护'!$L$2:$L$500,'Product_Stock_Master产品维护'!$B$2:$B$500=A25,'Product_Stock_Master产品维护'!$C$2:$C$500=""Product""),1),""^.* / "",""""),""""))"),"逆变器")</f>
        <v>逆变器</v>
      </c>
      <c r="C25" s="96">
        <f t="array" ref="C25">IF(A25="","",IFERROR(INDEX($B$35:$M$43,MATCH(A25,$A$35:$A$43,0),MATCH(MONTH($B$19),MONTH($B$34:$M$34),0)),0))</f>
        <v>3</v>
      </c>
      <c r="D25" s="96">
        <f t="array" ref="D25">IF(A25="","",IFERROR(INDEX($B$49:$M$57,MATCH(A25,$A$49:$A$57,0),MATCH(MONTH($B$19),MONTH($B$48:$M$48),0)),0))</f>
        <v>0</v>
      </c>
      <c r="E25" s="92">
        <f>IFERROR(__xludf.DUMMYFUNCTION("IF(A25="""","""",IFERROR(SUM(FILTER('Product_Stock_Master产品维护'!$G$2:$G$500,'Product_Stock_Master产品维护'!$B$2:$B$500=A25,'Product_Stock_Master产品维护'!$C$2:$C$500=""Product"")),0))"),8.0)</f>
        <v>8</v>
      </c>
      <c r="F25" s="93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6" ht="19.5" customHeight="1">
      <c r="A26" s="88" t="str">
        <f>IFERROR(__xludf.DUMMYFUNCTION("IFERROR(INDEX(UNIQUE(FILTER('Product_Stock_Master产品维护'!$B$2:$B$500,'Product_Stock_Master产品维护'!$C$2:$C$500=""Product"",'Product_Stock_Master产品维护'!$B$2:$B$500&lt;&gt;"""")),ROW()-21),"""")"),"EQ4800-M")</f>
        <v>EQ4800-M</v>
      </c>
      <c r="B26" s="88" t="str">
        <f>IFERROR(__xludf.DUMMYFUNCTION("IF(A26="""","""",IFERROR(REGEXREPLACE(INDEX(FILTER('Product_Stock_Master产品维护'!$L$2:$L$500,'Product_Stock_Master产品维护'!$B$2:$B$500=A26,'Product_Stock_Master产品维护'!$C$2:$C$500=""Product""),1),""^.* / "",""""),""""))"),"电池")</f>
        <v>电池</v>
      </c>
      <c r="C26" s="91">
        <f t="array" ref="C26">IF(A26="","",IFERROR(INDEX($B$35:$M$43,MATCH(A26,$A$35:$A$43,0),MATCH(MONTH($B$19),MONTH($B$34:$M$34),0)),0))</f>
        <v>1</v>
      </c>
      <c r="D26" s="91">
        <f t="array" ref="D26">IF(A26="","",IFERROR(INDEX($B$49:$M$57,MATCH(A26,$A$49:$A$57,0),MATCH(MONTH($B$19),MONTH($B$48:$M$48),0)),0))</f>
        <v>18</v>
      </c>
      <c r="E26" s="92">
        <f>IFERROR(__xludf.DUMMYFUNCTION("IF(A26="""","""",IFERROR(SUM(FILTER('Product_Stock_Master产品维护'!$G$2:$G$500,'Product_Stock_Master产品维护'!$B$2:$B$500=A26,'Product_Stock_Master产品维护'!$C$2:$C$500=""Product"")),0))"),50.0)</f>
        <v>50</v>
      </c>
      <c r="F26" s="93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</row>
    <row r="27" ht="19.5" customHeight="1">
      <c r="A27" s="95" t="str">
        <f>IFERROR(__xludf.DUMMYFUNCTION("IFERROR(INDEX(UNIQUE(FILTER('Product_Stock_Master产品维护'!$B$2:$B$500,'Product_Stock_Master产品维护'!$C$2:$C$500=""Product"",'Product_Stock_Master产品维护'!$B$2:$B$500&lt;&gt;"""")),ROW()-21),"""")"),"EQ4800-S")</f>
        <v>EQ4800-S</v>
      </c>
      <c r="B27" s="95" t="str">
        <f>IFERROR(__xludf.DUMMYFUNCTION("IF(A27="""","""",IFERROR(REGEXREPLACE(INDEX(FILTER('Product_Stock_Master产品维护'!$L$2:$L$500,'Product_Stock_Master产品维护'!$B$2:$B$500=A27,'Product_Stock_Master产品维护'!$C$2:$C$500=""Product""),1),""^.* / "",""""),""""))"),"电池")</f>
        <v>电池</v>
      </c>
      <c r="C27" s="96">
        <f t="array" ref="C27">IF(A27="","",IFERROR(INDEX($B$35:$M$43,MATCH(A27,$A$35:$A$43,0),MATCH(MONTH($B$19),MONTH($B$34:$M$34),0)),0))</f>
        <v>0</v>
      </c>
      <c r="D27" s="96">
        <f t="array" ref="D27">IF(A27="","",IFERROR(INDEX($B$49:$M$57,MATCH(A27,$A$49:$A$57,0),MATCH(MONTH($B$19),MONTH($B$48:$M$48),0)),0))</f>
        <v>38</v>
      </c>
      <c r="E27" s="92">
        <f>IFERROR(__xludf.DUMMYFUNCTION("IF(A27="""","""",IFERROR(SUM(FILTER('Product_Stock_Master产品维护'!$G$2:$G$500,'Product_Stock_Master产品维护'!$B$2:$B$500=A27,'Product_Stock_Master产品维护'!$C$2:$C$500=""Product"")),0))"),121.0)</f>
        <v>121</v>
      </c>
      <c r="F27" s="93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ht="19.5" customHeight="1">
      <c r="A28" s="88" t="str">
        <f>IFERROR(__xludf.DUMMYFUNCTION("IFERROR(INDEX(UNIQUE(FILTER('Product_Stock_Master产品维护'!$B$2:$B$500,'Product_Stock_Master产品维护'!$C$2:$C$500=""Product"",'Product_Stock_Master产品维护'!$B$2:$B$500&lt;&gt;"""")),ROW()-21),"""")"),"CQ6-S")</f>
        <v>CQ6-S</v>
      </c>
      <c r="B28" s="88" t="str">
        <f>IFERROR(__xludf.DUMMYFUNCTION("IF(A28="""","""",IFERROR(REGEXREPLACE(INDEX(FILTER('Product_Stock_Master产品维护'!$L$2:$L$500,'Product_Stock_Master产品维护'!$B$2:$B$500=A28,'Product_Stock_Master产品维护'!$C$2:$C$500=""Product""),1),""^.* / "",""""),""""))"),"电池")</f>
        <v>电池</v>
      </c>
      <c r="C28" s="91">
        <f t="array" ref="C28">IF(A28="","",IFERROR(INDEX($B$35:$M$43,MATCH(A28,$A$35:$A$43,0),MATCH(MONTH($B$19),MONTH($B$34:$M$34),0)),0))</f>
        <v>4</v>
      </c>
      <c r="D28" s="91">
        <f t="array" ref="D28">IF(A28="","",IFERROR(INDEX($B$49:$M$57,MATCH(A28,$A$49:$A$57,0),MATCH(MONTH($B$19),MONTH($B$48:$M$48),0)),0))</f>
        <v>3</v>
      </c>
      <c r="E28" s="92">
        <f>IFERROR(__xludf.DUMMYFUNCTION("IF(A28="""","""",IFERROR(SUM(FILTER('Product_Stock_Master产品维护'!$G$2:$G$500,'Product_Stock_Master产品维护'!$B$2:$B$500=A28,'Product_Stock_Master产品维护'!$C$2:$C$500=""Product"")),0))"),64.0)</f>
        <v>64</v>
      </c>
      <c r="F28" s="93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</row>
    <row r="29" ht="19.5" customHeight="1">
      <c r="A29" s="95" t="str">
        <f>IFERROR(__xludf.DUMMYFUNCTION("IFERROR(INDEX(UNIQUE(FILTER('Product_Stock_Master产品维护'!$B$2:$B$500,'Product_Stock_Master产品维护'!$C$2:$C$500=""Product"",'Product_Stock_Master产品维护'!$B$2:$B$500&lt;&gt;"""")),ROW()-21),"""")"),"CQ6-M")</f>
        <v>CQ6-M</v>
      </c>
      <c r="B29" s="95" t="str">
        <f>IFERROR(__xludf.DUMMYFUNCTION("IF(A29="""","""",IFERROR(REGEXREPLACE(INDEX(FILTER('Product_Stock_Master产品维护'!$L$2:$L$500,'Product_Stock_Master产品维护'!$B$2:$B$500=A29,'Product_Stock_Master产品维护'!$C$2:$C$500=""Product""),1),""^.* / "",""""),""""))"),"电池")</f>
        <v>电池</v>
      </c>
      <c r="C29" s="96">
        <f t="array" ref="C29">IF(A29="","",IFERROR(INDEX($B$35:$M$43,MATCH(A29,$A$35:$A$43,0),MATCH(MONTH($B$19),MONTH($B$34:$M$34),0)),0))</f>
        <v>4</v>
      </c>
      <c r="D29" s="96">
        <f t="array" ref="D29">IF(A29="","",IFERROR(INDEX($B$49:$M$57,MATCH(A29,$A$49:$A$57,0),MATCH(MONTH($B$19),MONTH($B$48:$M$48),0)),0))</f>
        <v>32</v>
      </c>
      <c r="E29" s="92">
        <f>IFERROR(__xludf.DUMMYFUNCTION("IF(A29="""","""",IFERROR(SUM(FILTER('Product_Stock_Master产品维护'!$G$2:$G$500,'Product_Stock_Master产品维护'!$B$2:$B$500=A29,'Product_Stock_Master产品维护'!$C$2:$C$500=""Product"")),0))"),40.0)</f>
        <v>40</v>
      </c>
      <c r="F29" s="93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ht="19.5" customHeight="1">
      <c r="A30" s="88" t="str">
        <f>IFERROR(__xludf.DUMMYFUNCTION("IFERROR(INDEX(UNIQUE(FILTER('Product_Stock_Master产品维护'!$B$2:$B$500,'Product_Stock_Master产品维护'!$C$2:$C$500=""Product"",'Product_Stock_Master产品维护'!$B$2:$B$500&lt;&gt;"""")),ROW()-21),"""")"),"EQ4800")</f>
        <v>EQ4800</v>
      </c>
      <c r="B30" s="88" t="str">
        <f>IFERROR(__xludf.DUMMYFUNCTION("IF(A30="""","""",IFERROR(REGEXREPLACE(INDEX(FILTER('Product_Stock_Master产品维护'!$L$2:$L$500,'Product_Stock_Master产品维护'!$B$2:$B$500=A30,'Product_Stock_Master产品维护'!$C$2:$C$500=""Product""),1),""^.* / "",""""),""""))"),"电池")</f>
        <v>电池</v>
      </c>
      <c r="C30" s="91">
        <f t="array" ref="C30">IF(A30="","",IFERROR(INDEX($B$35:$M$43,MATCH(A30,$A$35:$A$43,0),MATCH(MONTH($B$19),MONTH($B$34:$M$34),0)),0))</f>
        <v>0</v>
      </c>
      <c r="D30" s="91">
        <f t="array" ref="D30">IF(A30="","",IFERROR(INDEX($B$49:$M$57,MATCH(A30,$A$49:$A$57,0),MATCH(MONTH($B$19),MONTH($B$48:$M$48),0)),0))</f>
        <v>0</v>
      </c>
      <c r="E30" s="92">
        <f>IFERROR(__xludf.DUMMYFUNCTION("IF(A30="""","""",IFERROR(SUM(FILTER('Product_Stock_Master产品维护'!$G$2:$G$500,'Product_Stock_Master产品维护'!$B$2:$B$500=A30,'Product_Stock_Master产品维护'!$C$2:$C$500=""Product"")),0))"),1.0)</f>
        <v>1</v>
      </c>
      <c r="F30" s="93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</row>
    <row r="31" ht="7.5" customHeight="1">
      <c r="A31" s="99"/>
      <c r="B31" s="99"/>
      <c r="C31" s="93"/>
      <c r="D31" s="93"/>
      <c r="E31" s="93"/>
      <c r="F31" s="93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</row>
    <row r="32" ht="7.5" customHeight="1">
      <c r="A32" s="99"/>
      <c r="B32" s="99"/>
      <c r="C32" s="93"/>
      <c r="D32" s="93"/>
      <c r="E32" s="93"/>
      <c r="F32" s="93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</row>
    <row r="33" ht="22.5" customHeight="1">
      <c r="A33" s="121" t="s">
        <v>601</v>
      </c>
      <c r="B33" s="122"/>
      <c r="C33" s="123"/>
      <c r="D33" s="123"/>
      <c r="E33" s="123"/>
      <c r="F33" s="123"/>
      <c r="G33" s="124"/>
      <c r="H33" s="124"/>
      <c r="I33" s="124"/>
      <c r="J33" s="124"/>
      <c r="K33" s="124"/>
      <c r="L33" s="124"/>
      <c r="M33" s="124"/>
      <c r="N33" s="124"/>
      <c r="O33" s="71"/>
      <c r="P33" s="125" t="s">
        <v>482</v>
      </c>
      <c r="Q33" s="126"/>
      <c r="R33" s="126"/>
    </row>
    <row r="34" ht="22.5" customHeight="1">
      <c r="A34" s="127" t="s">
        <v>476</v>
      </c>
      <c r="B34" s="128">
        <f>DATE($B$2,1,1)</f>
        <v>46023</v>
      </c>
      <c r="C34" s="128">
        <f>DATE($B$2,2,1)</f>
        <v>46054</v>
      </c>
      <c r="D34" s="128">
        <f>DATE($B$2,3,1)</f>
        <v>46082</v>
      </c>
      <c r="E34" s="128">
        <f>DATE($B$2,4,1)</f>
        <v>46113</v>
      </c>
      <c r="F34" s="128">
        <f>DATE($B$2,5,1)</f>
        <v>46143</v>
      </c>
      <c r="G34" s="128">
        <f>DATE($B$2,6,1)</f>
        <v>46174</v>
      </c>
      <c r="H34" s="128">
        <f>DATE($B$2,7,1)</f>
        <v>46204</v>
      </c>
      <c r="I34" s="128">
        <f>DATE($B$2,8,1)</f>
        <v>46235</v>
      </c>
      <c r="J34" s="128">
        <f>DATE($B$2,9,1)</f>
        <v>46266</v>
      </c>
      <c r="K34" s="128">
        <f>DATE($B$2,10,1)</f>
        <v>46296</v>
      </c>
      <c r="L34" s="128">
        <f>DATE($B$2,11,1)</f>
        <v>46327</v>
      </c>
      <c r="M34" s="128">
        <f>DATE($B$2,12,1)</f>
        <v>46357</v>
      </c>
      <c r="N34" s="127" t="s">
        <v>603</v>
      </c>
      <c r="O34" s="71"/>
      <c r="P34" s="79" t="s">
        <v>476</v>
      </c>
      <c r="Q34" s="79" t="s">
        <v>478</v>
      </c>
      <c r="R34" s="79" t="s">
        <v>604</v>
      </c>
    </row>
    <row r="35" ht="18.75" customHeight="1">
      <c r="A35" s="129" t="str">
        <f>IFERROR(__xludf.DUMMYFUNCTION("IFERROR(INDEX(UNIQUE(FILTER('Product_Stock_Master产品维护'!$B$2:$B$500,'Product_Stock_Master产品维护'!$C$2:$C$500=""Product"",'Product_Stock_Master产品维护'!$B$2:$B$500&lt;&gt;"""")),ROW()-34),"""")"),"KH8")</f>
        <v>KH8</v>
      </c>
      <c r="B35" s="129">
        <f>IFERROR(__xludf.DUMMYFUNCTION("IF($A35="""","""",IF(B$34&gt;EOMONTH(TODAY(),0),"""",IFERROR(SUM(SUMIFS('主表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35" s="129">
        <f>IFERROR(__xludf.DUMMYFUNCTION("IF($A35="""","""",IF(C$34&gt;EOMONTH(TODAY(),0),"""",IFERROR(SUM(SUMIFS('主表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35" s="129">
        <f>IFERROR(__xludf.DUMMYFUNCTION("IF($A35="""","""",IF(D$34&gt;EOMONTH(TODAY(),0),"""",IFERROR(SUM(SUMIFS('主表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35" s="129">
        <f>IFERROR(__xludf.DUMMYFUNCTION("IF($A35="""","""",IF(E$34&gt;EOMONTH(TODAY(),0),"""",IFERROR(SUM(SUMIFS('主表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35" s="129">
        <f>IFERROR(__xludf.DUMMYFUNCTION("IF($A35="""","""",IF(F$34&gt;EOMONTH(TODAY(),0),"""",IFERROR(SUM(SUMIFS('主表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35" s="129">
        <f>IFERROR(__xludf.DUMMYFUNCTION("IF($A35="""","""",IF(G$34&gt;EOMONTH(TODAY(),0),"""",IFERROR(SUM(SUMIFS('主表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35" s="130">
        <v>0.0</v>
      </c>
      <c r="I35" s="129" t="str">
        <f>IFERROR(__xludf.DUMMYFUNCTION("IF($A35="""","""",IF(I$34&gt;EOMONTH(TODAY(),0),"""",IFERROR(SUM(SUMIFS('主表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35" s="129" t="str">
        <f>IFERROR(__xludf.DUMMYFUNCTION("IF($A35="""","""",IF(J$34&gt;EOMONTH(TODAY(),0),"""",IFERROR(SUM(SUMIFS('主表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35" s="129" t="str">
        <f>IFERROR(__xludf.DUMMYFUNCTION("IF($A35="""","""",IF(K$34&gt;EOMONTH(TODAY(),0),"""",IFERROR(SUM(SUMIFS('主表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35" s="129" t="str">
        <f>IFERROR(__xludf.DUMMYFUNCTION("IF($A35="""","""",IF(L$34&gt;EOMONTH(TODAY(),0),"""",IFERROR(SUM(SUMIFS('主表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35" s="129" t="str">
        <f>IFERROR(__xludf.DUMMYFUNCTION("IF($A35="""","""",IF(M$34&gt;EOMONTH(TODAY(),0),"""",IFERROR(SUM(SUMIFS('主表 Stock_Transaction_Log'!$K$2:$K$992,'主表 Stock_Transaction_Log'!$G$2:$G$992,FILTER('Product_Stock_Master产品维护'!$A$2:$A$500,'Product_Stock_Master产品维护'!$B$2:$B$500=$A35,'Product_Stock_Mas"&amp;"ter产品维护'!$C$2:$C$500=""Product""),'主表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35" s="129">
        <f t="shared" ref="N35:N43" si="2">SUM(B35:M35)</f>
        <v>0</v>
      </c>
      <c r="O35" s="71"/>
      <c r="P35" s="131" t="str">
        <f>IFERROR(__xludf.DUMMYFUNCTION("IFERROR(INDEX(UNIQUE(FILTER('Product_Stock_Master产品维护'!$B$2:$B$500,'Product_Stock_Master产品维护'!$C$2:$C$500=""Product"",'Product_Stock_Master产品维护'!$B$2:$B$500&lt;&gt;"""")),ROW()-34),"""")"),"KH8")</f>
        <v>KH8</v>
      </c>
      <c r="Q35" s="131" t="str">
        <f>IFERROR(__xludf.DUMMYFUNCTION("IF(P35="""","""",IFERROR(REGEXREPLACE(INDEX(FILTER('Product_Stock_Master产品维护'!$L$2:$L$500,'Product_Stock_Master产品维护'!$B$2:$B$500=P35,'Product_Stock_Master产品维护'!$C$2:$C$500=""Product""),1),""^.* / "",""""),""""))"),"逆变器")</f>
        <v>逆变器</v>
      </c>
      <c r="R35" s="92">
        <f>IFERROR(__xludf.DUMMYFUNCTION("IF(P35="""","""",IFERROR(SUM(FILTER('Product_Stock_Master产品维护'!$G$2:$G$500,'Product_Stock_Master产品维护'!$B$2:$B$500=P35,'Product_Stock_Master产品维护'!$C$2:$C$500=""Product"")),0))"),6.0)</f>
        <v>6</v>
      </c>
    </row>
    <row r="36" ht="18.75" customHeight="1">
      <c r="A36" s="132" t="str">
        <f>IFERROR(__xludf.DUMMYFUNCTION("IFERROR(INDEX(UNIQUE(FILTER('Product_Stock_Master产品维护'!$B$2:$B$500,'Product_Stock_Master产品维护'!$C$2:$C$500=""Product"",'Product_Stock_Master产品维护'!$B$2:$B$500&lt;&gt;"""")),ROW()-34),"""")"),"KH10")</f>
        <v>KH10</v>
      </c>
      <c r="B36" s="132">
        <f>IFERROR(__xludf.DUMMYFUNCTION("IF($A36="""","""",IF(B$34&gt;EOMONTH(TODAY(),0),"""",IFERROR(SUM(SUMIFS('主表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36" s="132">
        <f>IFERROR(__xludf.DUMMYFUNCTION("IF($A36="""","""",IF(C$34&gt;EOMONTH(TODAY(),0),"""",IFERROR(SUM(SUMIFS('主表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36" s="132">
        <f>IFERROR(__xludf.DUMMYFUNCTION("IF($A36="""","""",IF(D$34&gt;EOMONTH(TODAY(),0),"""",IFERROR(SUM(SUMIFS('主表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36" s="132">
        <f>IFERROR(__xludf.DUMMYFUNCTION("IF($A36="""","""",IF(E$34&gt;EOMONTH(TODAY(),0),"""",IFERROR(SUM(SUMIFS('主表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36" s="132">
        <f>IFERROR(__xludf.DUMMYFUNCTION("IF($A36="""","""",IF(F$34&gt;EOMONTH(TODAY(),0),"""",IFERROR(SUM(SUMIFS('主表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36" s="132">
        <f>IFERROR(__xludf.DUMMYFUNCTION("IF($A36="""","""",IF(G$34&gt;EOMONTH(TODAY(),0),"""",IFERROR(SUM(SUMIFS('主表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36" s="133">
        <v>1.0</v>
      </c>
      <c r="I36" s="132" t="str">
        <f>IFERROR(__xludf.DUMMYFUNCTION("IF($A36="""","""",IF(I$34&gt;EOMONTH(TODAY(),0),"""",IFERROR(SUM(SUMIFS('主表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36" s="132" t="str">
        <f>IFERROR(__xludf.DUMMYFUNCTION("IF($A36="""","""",IF(J$34&gt;EOMONTH(TODAY(),0),"""",IFERROR(SUM(SUMIFS('主表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36" s="132" t="str">
        <f>IFERROR(__xludf.DUMMYFUNCTION("IF($A36="""","""",IF(K$34&gt;EOMONTH(TODAY(),0),"""",IFERROR(SUM(SUMIFS('主表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36" s="132" t="str">
        <f>IFERROR(__xludf.DUMMYFUNCTION("IF($A36="""","""",IF(L$34&gt;EOMONTH(TODAY(),0),"""",IFERROR(SUM(SUMIFS('主表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36" s="132" t="str">
        <f>IFERROR(__xludf.DUMMYFUNCTION("IF($A36="""","""",IF(M$34&gt;EOMONTH(TODAY(),0),"""",IFERROR(SUM(SUMIFS('主表 Stock_Transaction_Log'!$K$2:$K$992,'主表 Stock_Transaction_Log'!$G$2:$G$992,FILTER('Product_Stock_Master产品维护'!$A$2:$A$500,'Product_Stock_Master产品维护'!$B$2:$B$500=$A36,'Product_Stock_Mas"&amp;"ter产品维护'!$C$2:$C$500=""Product""),'主表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36" s="132">
        <f t="shared" si="2"/>
        <v>1</v>
      </c>
      <c r="O36" s="71"/>
      <c r="P36" s="134" t="str">
        <f>IFERROR(__xludf.DUMMYFUNCTION("IFERROR(INDEX(UNIQUE(FILTER('Product_Stock_Master产品维护'!$B$2:$B$500,'Product_Stock_Master产品维护'!$C$2:$C$500=""Product"",'Product_Stock_Master产品维护'!$B$2:$B$500&lt;&gt;"""")),ROW()-34),"""")"),"KH10")</f>
        <v>KH10</v>
      </c>
      <c r="Q36" s="134" t="str">
        <f>IFERROR(__xludf.DUMMYFUNCTION("IF(P36="""","""",IFERROR(REGEXREPLACE(INDEX(FILTER('Product_Stock_Master产品维护'!$L$2:$L$500,'Product_Stock_Master产品维护'!$B$2:$B$500=P36,'Product_Stock_Master产品维护'!$C$2:$C$500=""Product""),1),""^.* / "",""""),""""))"),"逆变器")</f>
        <v>逆变器</v>
      </c>
      <c r="R36" s="92">
        <f>IFERROR(__xludf.DUMMYFUNCTION("IF(P36="""","""",IFERROR(SUM(FILTER('Product_Stock_Master产品维护'!$G$2:$G$500,'Product_Stock_Master产品维护'!$B$2:$B$500=P36,'Product_Stock_Master产品维护'!$C$2:$C$500=""Product"")),0))"),12.0)</f>
        <v>12</v>
      </c>
    </row>
    <row r="37" ht="18.75" customHeight="1">
      <c r="A37" s="129" t="str">
        <f>IFERROR(__xludf.DUMMYFUNCTION("IFERROR(INDEX(UNIQUE(FILTER('Product_Stock_Master产品维护'!$B$2:$B$500,'Product_Stock_Master产品维护'!$C$2:$C$500=""Product"",'Product_Stock_Master产品维护'!$B$2:$B$500&lt;&gt;"""")),ROW()-34),"""")"),"H3-10.0-Smart")</f>
        <v>H3-10.0-Smart</v>
      </c>
      <c r="B37" s="129">
        <f>IFERROR(__xludf.DUMMYFUNCTION("IF($A37="""","""",IF(B$34&gt;EOMONTH(TODAY(),0),"""",IFERROR(SUM(SUMIFS('主表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37" s="129">
        <f>IFERROR(__xludf.DUMMYFUNCTION("IF($A37="""","""",IF(C$34&gt;EOMONTH(TODAY(),0),"""",IFERROR(SUM(SUMIFS('主表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37" s="129">
        <f>IFERROR(__xludf.DUMMYFUNCTION("IF($A37="""","""",IF(D$34&gt;EOMONTH(TODAY(),0),"""",IFERROR(SUM(SUMIFS('主表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37" s="129">
        <f>IFERROR(__xludf.DUMMYFUNCTION("IF($A37="""","""",IF(E$34&gt;EOMONTH(TODAY(),0),"""",IFERROR(SUM(SUMIFS('主表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37" s="129">
        <f>IFERROR(__xludf.DUMMYFUNCTION("IF($A37="""","""",IF(F$34&gt;EOMONTH(TODAY(),0),"""",IFERROR(SUM(SUMIFS('主表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37" s="129">
        <f>IFERROR(__xludf.DUMMYFUNCTION("IF($A37="""","""",IF(G$34&gt;EOMONTH(TODAY(),0),"""",IFERROR(SUM(SUMIFS('主表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37" s="130">
        <v>0.0</v>
      </c>
      <c r="I37" s="129" t="str">
        <f>IFERROR(__xludf.DUMMYFUNCTION("IF($A37="""","""",IF(I$34&gt;EOMONTH(TODAY(),0),"""",IFERROR(SUM(SUMIFS('主表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37" s="129" t="str">
        <f>IFERROR(__xludf.DUMMYFUNCTION("IF($A37="""","""",IF(J$34&gt;EOMONTH(TODAY(),0),"""",IFERROR(SUM(SUMIFS('主表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37" s="129" t="str">
        <f>IFERROR(__xludf.DUMMYFUNCTION("IF($A37="""","""",IF(K$34&gt;EOMONTH(TODAY(),0),"""",IFERROR(SUM(SUMIFS('主表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37" s="129" t="str">
        <f>IFERROR(__xludf.DUMMYFUNCTION("IF($A37="""","""",IF(L$34&gt;EOMONTH(TODAY(),0),"""",IFERROR(SUM(SUMIFS('主表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37" s="129" t="str">
        <f>IFERROR(__xludf.DUMMYFUNCTION("IF($A37="""","""",IF(M$34&gt;EOMONTH(TODAY(),0),"""",IFERROR(SUM(SUMIFS('主表 Stock_Transaction_Log'!$K$2:$K$992,'主表 Stock_Transaction_Log'!$G$2:$G$992,FILTER('Product_Stock_Master产品维护'!$A$2:$A$500,'Product_Stock_Master产品维护'!$B$2:$B$500=$A37,'Product_Stock_Mas"&amp;"ter产品维护'!$C$2:$C$500=""Product""),'主表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37" s="129">
        <f t="shared" si="2"/>
        <v>0</v>
      </c>
      <c r="O37" s="71"/>
      <c r="P37" s="131" t="str">
        <f>IFERROR(__xludf.DUMMYFUNCTION("IFERROR(INDEX(UNIQUE(FILTER('Product_Stock_Master产品维护'!$B$2:$B$500,'Product_Stock_Master产品维护'!$C$2:$C$500=""Product"",'Product_Stock_Master产品维护'!$B$2:$B$500&lt;&gt;"""")),ROW()-34),"""")"),"H3-10.0-Smart")</f>
        <v>H3-10.0-Smart</v>
      </c>
      <c r="Q37" s="131" t="str">
        <f>IFERROR(__xludf.DUMMYFUNCTION("IF(P37="""","""",IFERROR(REGEXREPLACE(INDEX(FILTER('Product_Stock_Master产品维护'!$L$2:$L$500,'Product_Stock_Master产品维护'!$B$2:$B$500=P37,'Product_Stock_Master产品维护'!$C$2:$C$500=""Product""),1),""^.* / "",""""),""""))"),"逆变器")</f>
        <v>逆变器</v>
      </c>
      <c r="R37" s="92">
        <f>IFERROR(__xludf.DUMMYFUNCTION("IF(P37="""","""",IFERROR(SUM(FILTER('Product_Stock_Master产品维护'!$G$2:$G$500,'Product_Stock_Master产品维护'!$B$2:$B$500=P37,'Product_Stock_Master产品维护'!$C$2:$C$500=""Product"")),0))"),5.0)</f>
        <v>5</v>
      </c>
    </row>
    <row r="38" ht="18.75" customHeight="1">
      <c r="A38" s="132" t="str">
        <f>IFERROR(__xludf.DUMMYFUNCTION("IFERROR(INDEX(UNIQUE(FILTER('Product_Stock_Master产品维护'!$B$2:$B$500,'Product_Stock_Master产品维护'!$C$2:$C$500=""Product"",'Product_Stock_Master产品维护'!$B$2:$B$500&lt;&gt;"""")),ROW()-34),"""")"),"H3-15.0-Smart")</f>
        <v>H3-15.0-Smart</v>
      </c>
      <c r="B38" s="132">
        <f>IFERROR(__xludf.DUMMYFUNCTION("IF($A38="""","""",IF(B$34&gt;EOMONTH(TODAY(),0),"""",IFERROR(SUM(SUMIFS('主表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38" s="132">
        <f>IFERROR(__xludf.DUMMYFUNCTION("IF($A38="""","""",IF(C$34&gt;EOMONTH(TODAY(),0),"""",IFERROR(SUM(SUMIFS('主表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38" s="132">
        <f>IFERROR(__xludf.DUMMYFUNCTION("IF($A38="""","""",IF(D$34&gt;EOMONTH(TODAY(),0),"""",IFERROR(SUM(SUMIFS('主表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38" s="132">
        <f>IFERROR(__xludf.DUMMYFUNCTION("IF($A38="""","""",IF(E$34&gt;EOMONTH(TODAY(),0),"""",IFERROR(SUM(SUMIFS('主表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38" s="132">
        <f>IFERROR(__xludf.DUMMYFUNCTION("IF($A38="""","""",IF(F$34&gt;EOMONTH(TODAY(),0),"""",IFERROR(SUM(SUMIFS('主表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38" s="132">
        <f>IFERROR(__xludf.DUMMYFUNCTION("IF($A38="""","""",IF(G$34&gt;EOMONTH(TODAY(),0),"""",IFERROR(SUM(SUMIFS('主表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38" s="133">
        <v>3.0</v>
      </c>
      <c r="I38" s="132" t="str">
        <f>IFERROR(__xludf.DUMMYFUNCTION("IF($A38="""","""",IF(I$34&gt;EOMONTH(TODAY(),0),"""",IFERROR(SUM(SUMIFS('主表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38" s="132" t="str">
        <f>IFERROR(__xludf.DUMMYFUNCTION("IF($A38="""","""",IF(J$34&gt;EOMONTH(TODAY(),0),"""",IFERROR(SUM(SUMIFS('主表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38" s="132" t="str">
        <f>IFERROR(__xludf.DUMMYFUNCTION("IF($A38="""","""",IF(K$34&gt;EOMONTH(TODAY(),0),"""",IFERROR(SUM(SUMIFS('主表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38" s="132" t="str">
        <f>IFERROR(__xludf.DUMMYFUNCTION("IF($A38="""","""",IF(L$34&gt;EOMONTH(TODAY(),0),"""",IFERROR(SUM(SUMIFS('主表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38" s="132" t="str">
        <f>IFERROR(__xludf.DUMMYFUNCTION("IF($A38="""","""",IF(M$34&gt;EOMONTH(TODAY(),0),"""",IFERROR(SUM(SUMIFS('主表 Stock_Transaction_Log'!$K$2:$K$992,'主表 Stock_Transaction_Log'!$G$2:$G$992,FILTER('Product_Stock_Master产品维护'!$A$2:$A$500,'Product_Stock_Master产品维护'!$B$2:$B$500=$A38,'Product_Stock_Mas"&amp;"ter产品维护'!$C$2:$C$500=""Product""),'主表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38" s="132">
        <f t="shared" si="2"/>
        <v>3</v>
      </c>
      <c r="O38" s="71"/>
      <c r="P38" s="134" t="str">
        <f>IFERROR(__xludf.DUMMYFUNCTION("IFERROR(INDEX(UNIQUE(FILTER('Product_Stock_Master产品维护'!$B$2:$B$500,'Product_Stock_Master产品维护'!$C$2:$C$500=""Product"",'Product_Stock_Master产品维护'!$B$2:$B$500&lt;&gt;"""")),ROW()-34),"""")"),"H3-15.0-Smart")</f>
        <v>H3-15.0-Smart</v>
      </c>
      <c r="Q38" s="134" t="str">
        <f>IFERROR(__xludf.DUMMYFUNCTION("IF(P38="""","""",IFERROR(REGEXREPLACE(INDEX(FILTER('Product_Stock_Master产品维护'!$L$2:$L$500,'Product_Stock_Master产品维护'!$B$2:$B$500=P38,'Product_Stock_Master产品维护'!$C$2:$C$500=""Product""),1),""^.* / "",""""),""""))"),"逆变器")</f>
        <v>逆变器</v>
      </c>
      <c r="R38" s="92">
        <f>IFERROR(__xludf.DUMMYFUNCTION("IF(P38="""","""",IFERROR(SUM(FILTER('Product_Stock_Master产品维护'!$G$2:$G$500,'Product_Stock_Master产品维护'!$B$2:$B$500=P38,'Product_Stock_Master产品维护'!$C$2:$C$500=""Product"")),0))"),8.0)</f>
        <v>8</v>
      </c>
    </row>
    <row r="39" ht="18.75" customHeight="1">
      <c r="A39" s="129" t="str">
        <f>IFERROR(__xludf.DUMMYFUNCTION("IFERROR(INDEX(UNIQUE(FILTER('Product_Stock_Master产品维护'!$B$2:$B$500,'Product_Stock_Master产品维护'!$C$2:$C$500=""Product"",'Product_Stock_Master产品维护'!$B$2:$B$500&lt;&gt;"""")),ROW()-34),"""")"),"EQ4800-M")</f>
        <v>EQ4800-M</v>
      </c>
      <c r="B39" s="129">
        <f>IFERROR(__xludf.DUMMYFUNCTION("IF($A39="""","""",IF(B$34&gt;EOMONTH(TODAY(),0),"""",IFERROR(SUM(SUMIFS('主表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39" s="129">
        <f>IFERROR(__xludf.DUMMYFUNCTION("IF($A39="""","""",IF(C$34&gt;EOMONTH(TODAY(),0),"""",IFERROR(SUM(SUMIFS('主表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39" s="129">
        <f>IFERROR(__xludf.DUMMYFUNCTION("IF($A39="""","""",IF(D$34&gt;EOMONTH(TODAY(),0),"""",IFERROR(SUM(SUMIFS('主表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39" s="129">
        <f>IFERROR(__xludf.DUMMYFUNCTION("IF($A39="""","""",IF(E$34&gt;EOMONTH(TODAY(),0),"""",IFERROR(SUM(SUMIFS('主表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39" s="129">
        <f>IFERROR(__xludf.DUMMYFUNCTION("IF($A39="""","""",IF(F$34&gt;EOMONTH(TODAY(),0),"""",IFERROR(SUM(SUMIFS('主表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39" s="129">
        <f>IFERROR(__xludf.DUMMYFUNCTION("IF($A39="""","""",IF(G$34&gt;EOMONTH(TODAY(),0),"""",IFERROR(SUM(SUMIFS('主表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39" s="130">
        <v>1.0</v>
      </c>
      <c r="I39" s="129" t="str">
        <f>IFERROR(__xludf.DUMMYFUNCTION("IF($A39="""","""",IF(I$34&gt;EOMONTH(TODAY(),0),"""",IFERROR(SUM(SUMIFS('主表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39" s="129" t="str">
        <f>IFERROR(__xludf.DUMMYFUNCTION("IF($A39="""","""",IF(J$34&gt;EOMONTH(TODAY(),0),"""",IFERROR(SUM(SUMIFS('主表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39" s="129" t="str">
        <f>IFERROR(__xludf.DUMMYFUNCTION("IF($A39="""","""",IF(K$34&gt;EOMONTH(TODAY(),0),"""",IFERROR(SUM(SUMIFS('主表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39" s="129" t="str">
        <f>IFERROR(__xludf.DUMMYFUNCTION("IF($A39="""","""",IF(L$34&gt;EOMONTH(TODAY(),0),"""",IFERROR(SUM(SUMIFS('主表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39" s="129" t="str">
        <f>IFERROR(__xludf.DUMMYFUNCTION("IF($A39="""","""",IF(M$34&gt;EOMONTH(TODAY(),0),"""",IFERROR(SUM(SUMIFS('主表 Stock_Transaction_Log'!$K$2:$K$992,'主表 Stock_Transaction_Log'!$G$2:$G$992,FILTER('Product_Stock_Master产品维护'!$A$2:$A$500,'Product_Stock_Master产品维护'!$B$2:$B$500=$A39,'Product_Stock_Mas"&amp;"ter产品维护'!$C$2:$C$500=""Product""),'主表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39" s="129">
        <f t="shared" si="2"/>
        <v>1</v>
      </c>
      <c r="O39" s="71"/>
      <c r="P39" s="131" t="str">
        <f>IFERROR(__xludf.DUMMYFUNCTION("IFERROR(INDEX(UNIQUE(FILTER('Product_Stock_Master产品维护'!$B$2:$B$500,'Product_Stock_Master产品维护'!$C$2:$C$500=""Product"",'Product_Stock_Master产品维护'!$B$2:$B$500&lt;&gt;"""")),ROW()-34),"""")"),"EQ4800-M")</f>
        <v>EQ4800-M</v>
      </c>
      <c r="Q39" s="131" t="str">
        <f>IFERROR(__xludf.DUMMYFUNCTION("IF(P39="""","""",IFERROR(REGEXREPLACE(INDEX(FILTER('Product_Stock_Master产品维护'!$L$2:$L$500,'Product_Stock_Master产品维护'!$B$2:$B$500=P39,'Product_Stock_Master产品维护'!$C$2:$C$500=""Product""),1),""^.* / "",""""),""""))"),"电池")</f>
        <v>电池</v>
      </c>
      <c r="R39" s="92">
        <f>IFERROR(__xludf.DUMMYFUNCTION("IF(P39="""","""",IFERROR(SUM(FILTER('Product_Stock_Master产品维护'!$G$2:$G$500,'Product_Stock_Master产品维护'!$B$2:$B$500=P39,'Product_Stock_Master产品维护'!$C$2:$C$500=""Product"")),0))"),50.0)</f>
        <v>50</v>
      </c>
    </row>
    <row r="40" ht="18.75" customHeight="1">
      <c r="A40" s="132" t="str">
        <f>IFERROR(__xludf.DUMMYFUNCTION("IFERROR(INDEX(UNIQUE(FILTER('Product_Stock_Master产品维护'!$B$2:$B$500,'Product_Stock_Master产品维护'!$C$2:$C$500=""Product"",'Product_Stock_Master产品维护'!$B$2:$B$500&lt;&gt;"""")),ROW()-34),"""")"),"EQ4800-S")</f>
        <v>EQ4800-S</v>
      </c>
      <c r="B40" s="132">
        <f>IFERROR(__xludf.DUMMYFUNCTION("IF($A40="""","""",IF(B$34&gt;EOMONTH(TODAY(),0),"""",IFERROR(SUM(SUMIFS('主表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40" s="132">
        <f>IFERROR(__xludf.DUMMYFUNCTION("IF($A40="""","""",IF(C$34&gt;EOMONTH(TODAY(),0),"""",IFERROR(SUM(SUMIFS('主表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40" s="132">
        <f>IFERROR(__xludf.DUMMYFUNCTION("IF($A40="""","""",IF(D$34&gt;EOMONTH(TODAY(),0),"""",IFERROR(SUM(SUMIFS('主表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40" s="132">
        <f>IFERROR(__xludf.DUMMYFUNCTION("IF($A40="""","""",IF(E$34&gt;EOMONTH(TODAY(),0),"""",IFERROR(SUM(SUMIFS('主表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40" s="132">
        <f>IFERROR(__xludf.DUMMYFUNCTION("IF($A40="""","""",IF(F$34&gt;EOMONTH(TODAY(),0),"""",IFERROR(SUM(SUMIFS('主表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40" s="132">
        <f>IFERROR(__xludf.DUMMYFUNCTION("IF($A40="""","""",IF(G$34&gt;EOMONTH(TODAY(),0),"""",IFERROR(SUM(SUMIFS('主表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40" s="133">
        <v>0.0</v>
      </c>
      <c r="I40" s="132" t="str">
        <f>IFERROR(__xludf.DUMMYFUNCTION("IF($A40="""","""",IF(I$34&gt;EOMONTH(TODAY(),0),"""",IFERROR(SUM(SUMIFS('主表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40" s="132" t="str">
        <f>IFERROR(__xludf.DUMMYFUNCTION("IF($A40="""","""",IF(J$34&gt;EOMONTH(TODAY(),0),"""",IFERROR(SUM(SUMIFS('主表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40" s="132" t="str">
        <f>IFERROR(__xludf.DUMMYFUNCTION("IF($A40="""","""",IF(K$34&gt;EOMONTH(TODAY(),0),"""",IFERROR(SUM(SUMIFS('主表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40" s="132" t="str">
        <f>IFERROR(__xludf.DUMMYFUNCTION("IF($A40="""","""",IF(L$34&gt;EOMONTH(TODAY(),0),"""",IFERROR(SUM(SUMIFS('主表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40" s="132" t="str">
        <f>IFERROR(__xludf.DUMMYFUNCTION("IF($A40="""","""",IF(M$34&gt;EOMONTH(TODAY(),0),"""",IFERROR(SUM(SUMIFS('主表 Stock_Transaction_Log'!$K$2:$K$992,'主表 Stock_Transaction_Log'!$G$2:$G$992,FILTER('Product_Stock_Master产品维护'!$A$2:$A$500,'Product_Stock_Master产品维护'!$B$2:$B$500=$A40,'Product_Stock_Mas"&amp;"ter产品维护'!$C$2:$C$500=""Product""),'主表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40" s="132">
        <f t="shared" si="2"/>
        <v>0</v>
      </c>
      <c r="O40" s="71"/>
      <c r="P40" s="134" t="str">
        <f>IFERROR(__xludf.DUMMYFUNCTION("IFERROR(INDEX(UNIQUE(FILTER('Product_Stock_Master产品维护'!$B$2:$B$500,'Product_Stock_Master产品维护'!$C$2:$C$500=""Product"",'Product_Stock_Master产品维护'!$B$2:$B$500&lt;&gt;"""")),ROW()-34),"""")"),"EQ4800-S")</f>
        <v>EQ4800-S</v>
      </c>
      <c r="Q40" s="134" t="str">
        <f>IFERROR(__xludf.DUMMYFUNCTION("IF(P40="""","""",IFERROR(REGEXREPLACE(INDEX(FILTER('Product_Stock_Master产品维护'!$L$2:$L$500,'Product_Stock_Master产品维护'!$B$2:$B$500=P40,'Product_Stock_Master产品维护'!$C$2:$C$500=""Product""),1),""^.* / "",""""),""""))"),"电池")</f>
        <v>电池</v>
      </c>
      <c r="R40" s="92">
        <f>IFERROR(__xludf.DUMMYFUNCTION("IF(P40="""","""",IFERROR(SUM(FILTER('Product_Stock_Master产品维护'!$G$2:$G$500,'Product_Stock_Master产品维护'!$B$2:$B$500=P40,'Product_Stock_Master产品维护'!$C$2:$C$500=""Product"")),0))"),121.0)</f>
        <v>121</v>
      </c>
    </row>
    <row r="41" ht="18.75" customHeight="1">
      <c r="A41" s="129" t="str">
        <f>IFERROR(__xludf.DUMMYFUNCTION("IFERROR(INDEX(UNIQUE(FILTER('Product_Stock_Master产品维护'!$B$2:$B$500,'Product_Stock_Master产品维护'!$C$2:$C$500=""Product"",'Product_Stock_Master产品维护'!$B$2:$B$500&lt;&gt;"""")),ROW()-34),"""")"),"CQ6-S")</f>
        <v>CQ6-S</v>
      </c>
      <c r="B41" s="129">
        <f>IFERROR(__xludf.DUMMYFUNCTION("IF($A41="""","""",IF(B$34&gt;EOMONTH(TODAY(),0),"""",IFERROR(SUM(SUMIFS('主表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41" s="129">
        <f>IFERROR(__xludf.DUMMYFUNCTION("IF($A41="""","""",IF(C$34&gt;EOMONTH(TODAY(),0),"""",IFERROR(SUM(SUMIFS('主表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41" s="129">
        <f>IFERROR(__xludf.DUMMYFUNCTION("IF($A41="""","""",IF(D$34&gt;EOMONTH(TODAY(),0),"""",IFERROR(SUM(SUMIFS('主表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41" s="129">
        <f>IFERROR(__xludf.DUMMYFUNCTION("IF($A41="""","""",IF(E$34&gt;EOMONTH(TODAY(),0),"""",IFERROR(SUM(SUMIFS('主表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41" s="129">
        <f>IFERROR(__xludf.DUMMYFUNCTION("IF($A41="""","""",IF(F$34&gt;EOMONTH(TODAY(),0),"""",IFERROR(SUM(SUMIFS('主表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41" s="129">
        <f>IFERROR(__xludf.DUMMYFUNCTION("IF($A41="""","""",IF(G$34&gt;EOMONTH(TODAY(),0),"""",IFERROR(SUM(SUMIFS('主表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41" s="130">
        <v>4.0</v>
      </c>
      <c r="I41" s="129" t="str">
        <f>IFERROR(__xludf.DUMMYFUNCTION("IF($A41="""","""",IF(I$34&gt;EOMONTH(TODAY(),0),"""",IFERROR(SUM(SUMIFS('主表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41" s="129" t="str">
        <f>IFERROR(__xludf.DUMMYFUNCTION("IF($A41="""","""",IF(J$34&gt;EOMONTH(TODAY(),0),"""",IFERROR(SUM(SUMIFS('主表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41" s="129" t="str">
        <f>IFERROR(__xludf.DUMMYFUNCTION("IF($A41="""","""",IF(K$34&gt;EOMONTH(TODAY(),0),"""",IFERROR(SUM(SUMIFS('主表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41" s="129" t="str">
        <f>IFERROR(__xludf.DUMMYFUNCTION("IF($A41="""","""",IF(L$34&gt;EOMONTH(TODAY(),0),"""",IFERROR(SUM(SUMIFS('主表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41" s="129" t="str">
        <f>IFERROR(__xludf.DUMMYFUNCTION("IF($A41="""","""",IF(M$34&gt;EOMONTH(TODAY(),0),"""",IFERROR(SUM(SUMIFS('主表 Stock_Transaction_Log'!$K$2:$K$992,'主表 Stock_Transaction_Log'!$G$2:$G$992,FILTER('Product_Stock_Master产品维护'!$A$2:$A$500,'Product_Stock_Master产品维护'!$B$2:$B$500=$A41,'Product_Stock_Mas"&amp;"ter产品维护'!$C$2:$C$500=""Product""),'主表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41" s="129">
        <f t="shared" si="2"/>
        <v>4</v>
      </c>
      <c r="O41" s="71"/>
      <c r="P41" s="131" t="str">
        <f>IFERROR(__xludf.DUMMYFUNCTION("IFERROR(INDEX(UNIQUE(FILTER('Product_Stock_Master产品维护'!$B$2:$B$500,'Product_Stock_Master产品维护'!$C$2:$C$500=""Product"",'Product_Stock_Master产品维护'!$B$2:$B$500&lt;&gt;"""")),ROW()-34),"""")"),"CQ6-S")</f>
        <v>CQ6-S</v>
      </c>
      <c r="Q41" s="131" t="str">
        <f>IFERROR(__xludf.DUMMYFUNCTION("IF(P41="""","""",IFERROR(REGEXREPLACE(INDEX(FILTER('Product_Stock_Master产品维护'!$L$2:$L$500,'Product_Stock_Master产品维护'!$B$2:$B$500=P41,'Product_Stock_Master产品维护'!$C$2:$C$500=""Product""),1),""^.* / "",""""),""""))"),"电池")</f>
        <v>电池</v>
      </c>
      <c r="R41" s="92">
        <f>IFERROR(__xludf.DUMMYFUNCTION("IF(P41="""","""",IFERROR(SUM(FILTER('Product_Stock_Master产品维护'!$G$2:$G$500,'Product_Stock_Master产品维护'!$B$2:$B$500=P41,'Product_Stock_Master产品维护'!$C$2:$C$500=""Product"")),0))"),64.0)</f>
        <v>64</v>
      </c>
    </row>
    <row r="42" ht="18.75" customHeight="1">
      <c r="A42" s="132" t="str">
        <f>IFERROR(__xludf.DUMMYFUNCTION("IFERROR(INDEX(UNIQUE(FILTER('Product_Stock_Master产品维护'!$B$2:$B$500,'Product_Stock_Master产品维护'!$C$2:$C$500=""Product"",'Product_Stock_Master产品维护'!$B$2:$B$500&lt;&gt;"""")),ROW()-34),"""")"),"CQ6-M")</f>
        <v>CQ6-M</v>
      </c>
      <c r="B42" s="132">
        <f>IFERROR(__xludf.DUMMYFUNCTION("IF($A42="""","""",IF(B$34&gt;EOMONTH(TODAY(),0),"""",IFERROR(SUM(SUMIFS('主表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42" s="132">
        <f>IFERROR(__xludf.DUMMYFUNCTION("IF($A42="""","""",IF(C$34&gt;EOMONTH(TODAY(),0),"""",IFERROR(SUM(SUMIFS('主表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42" s="132">
        <f>IFERROR(__xludf.DUMMYFUNCTION("IF($A42="""","""",IF(D$34&gt;EOMONTH(TODAY(),0),"""",IFERROR(SUM(SUMIFS('主表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42" s="132">
        <f>IFERROR(__xludf.DUMMYFUNCTION("IF($A42="""","""",IF(E$34&gt;EOMONTH(TODAY(),0),"""",IFERROR(SUM(SUMIFS('主表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42" s="132">
        <f>IFERROR(__xludf.DUMMYFUNCTION("IF($A42="""","""",IF(F$34&gt;EOMONTH(TODAY(),0),"""",IFERROR(SUM(SUMIFS('主表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42" s="132">
        <f>IFERROR(__xludf.DUMMYFUNCTION("IF($A42="""","""",IF(G$34&gt;EOMONTH(TODAY(),0),"""",IFERROR(SUM(SUMIFS('主表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42" s="133">
        <v>4.0</v>
      </c>
      <c r="I42" s="132" t="str">
        <f>IFERROR(__xludf.DUMMYFUNCTION("IF($A42="""","""",IF(I$34&gt;EOMONTH(TODAY(),0),"""",IFERROR(SUM(SUMIFS('主表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42" s="132" t="str">
        <f>IFERROR(__xludf.DUMMYFUNCTION("IF($A42="""","""",IF(J$34&gt;EOMONTH(TODAY(),0),"""",IFERROR(SUM(SUMIFS('主表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42" s="132" t="str">
        <f>IFERROR(__xludf.DUMMYFUNCTION("IF($A42="""","""",IF(K$34&gt;EOMONTH(TODAY(),0),"""",IFERROR(SUM(SUMIFS('主表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42" s="132" t="str">
        <f>IFERROR(__xludf.DUMMYFUNCTION("IF($A42="""","""",IF(L$34&gt;EOMONTH(TODAY(),0),"""",IFERROR(SUM(SUMIFS('主表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42" s="132" t="str">
        <f>IFERROR(__xludf.DUMMYFUNCTION("IF($A42="""","""",IF(M$34&gt;EOMONTH(TODAY(),0),"""",IFERROR(SUM(SUMIFS('主表 Stock_Transaction_Log'!$K$2:$K$992,'主表 Stock_Transaction_Log'!$G$2:$G$992,FILTER('Product_Stock_Master产品维护'!$A$2:$A$500,'Product_Stock_Master产品维护'!$B$2:$B$500=$A42,'Product_Stock_Mas"&amp;"ter产品维护'!$C$2:$C$500=""Product""),'主表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42" s="132">
        <f t="shared" si="2"/>
        <v>4</v>
      </c>
      <c r="O42" s="71"/>
      <c r="P42" s="134" t="str">
        <f>IFERROR(__xludf.DUMMYFUNCTION("IFERROR(INDEX(UNIQUE(FILTER('Product_Stock_Master产品维护'!$B$2:$B$500,'Product_Stock_Master产品维护'!$C$2:$C$500=""Product"",'Product_Stock_Master产品维护'!$B$2:$B$500&lt;&gt;"""")),ROW()-34),"""")"),"CQ6-M")</f>
        <v>CQ6-M</v>
      </c>
      <c r="Q42" s="134" t="str">
        <f>IFERROR(__xludf.DUMMYFUNCTION("IF(P42="""","""",IFERROR(REGEXREPLACE(INDEX(FILTER('Product_Stock_Master产品维护'!$L$2:$L$500,'Product_Stock_Master产品维护'!$B$2:$B$500=P42,'Product_Stock_Master产品维护'!$C$2:$C$500=""Product""),1),""^.* / "",""""),""""))"),"电池")</f>
        <v>电池</v>
      </c>
      <c r="R42" s="92">
        <f>IFERROR(__xludf.DUMMYFUNCTION("IF(P42="""","""",IFERROR(SUM(FILTER('Product_Stock_Master产品维护'!$G$2:$G$500,'Product_Stock_Master产品维护'!$B$2:$B$500=P42,'Product_Stock_Master产品维护'!$C$2:$C$500=""Product"")),0))"),40.0)</f>
        <v>40</v>
      </c>
    </row>
    <row r="43" ht="18.75" customHeight="1">
      <c r="A43" s="129" t="str">
        <f>IFERROR(__xludf.DUMMYFUNCTION("IFERROR(INDEX(UNIQUE(FILTER('Product_Stock_Master产品维护'!$B$2:$B$500,'Product_Stock_Master产品维护'!$C$2:$C$500=""Product"",'Product_Stock_Master产品维护'!$B$2:$B$500&lt;&gt;"""")),ROW()-34),"""")"),"EQ4800")</f>
        <v>EQ4800</v>
      </c>
      <c r="B43" s="129">
        <f>IFERROR(__xludf.DUMMYFUNCTION("IF($A43="""","""",IF(B$34&gt;EOMONTH(TODAY(),0),"""",IFERROR(SUM(SUMIFS('主表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Stock_Transaction_Log'!$A$2:$A$992,""&gt;=""&amp;B$34,'主表 Stock_Transaction_Log'!$A$2:$A$992,""&lt;""&amp;EDATE(B$34,1))),0)))"),0.0)</f>
        <v>0</v>
      </c>
      <c r="C43" s="129">
        <f>IFERROR(__xludf.DUMMYFUNCTION("IF($A43="""","""",IF(C$34&gt;EOMONTH(TODAY(),0),"""",IFERROR(SUM(SUMIFS('主表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Stock_Transaction_Log'!$A$2:$A$992,""&gt;=""&amp;C$34,'主表 Stock_Transaction_Log'!$A$2:$A$992,""&lt;""&amp;EDATE(C$34,1))),0)))"),0.0)</f>
        <v>0</v>
      </c>
      <c r="D43" s="129">
        <f>IFERROR(__xludf.DUMMYFUNCTION("IF($A43="""","""",IF(D$34&gt;EOMONTH(TODAY(),0),"""",IFERROR(SUM(SUMIFS('主表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Stock_Transaction_Log'!$A$2:$A$992,""&gt;=""&amp;D$34,'主表 Stock_Transaction_Log'!$A$2:$A$992,""&lt;""&amp;EDATE(D$34,1))),0)))"),0.0)</f>
        <v>0</v>
      </c>
      <c r="E43" s="129">
        <f>IFERROR(__xludf.DUMMYFUNCTION("IF($A43="""","""",IF(E$34&gt;EOMONTH(TODAY(),0),"""",IFERROR(SUM(SUMIFS('主表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Stock_Transaction_Log'!$A$2:$A$992,""&gt;=""&amp;E$34,'主表 Stock_Transaction_Log'!$A$2:$A$992,""&lt;""&amp;EDATE(E$34,1))),0)))"),0.0)</f>
        <v>0</v>
      </c>
      <c r="F43" s="129">
        <f>IFERROR(__xludf.DUMMYFUNCTION("IF($A43="""","""",IF(F$34&gt;EOMONTH(TODAY(),0),"""",IFERROR(SUM(SUMIFS('主表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Stock_Transaction_Log'!$A$2:$A$992,""&gt;=""&amp;F$34,'主表 Stock_Transaction_Log'!$A$2:$A$992,""&lt;""&amp;EDATE(F$34,1))),0)))"),0.0)</f>
        <v>0</v>
      </c>
      <c r="G43" s="129">
        <f>IFERROR(__xludf.DUMMYFUNCTION("IF($A43="""","""",IF(G$34&gt;EOMONTH(TODAY(),0),"""",IFERROR(SUM(SUMIFS('主表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Stock_Transaction_Log'!$A$2:$A$992,""&gt;=""&amp;G$34,'主表 Stock_Transaction_Log'!$A$2:$A$992,""&lt;""&amp;EDATE(G$34,1))),0)))"),0.0)</f>
        <v>0</v>
      </c>
      <c r="H43" s="130">
        <v>0.0</v>
      </c>
      <c r="I43" s="129" t="str">
        <f>IFERROR(__xludf.DUMMYFUNCTION("IF($A43="""","""",IF(I$34&gt;EOMONTH(TODAY(),0),"""",IFERROR(SUM(SUMIFS('主表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Stock_Transaction_Log'!$A$2:$A$992,""&gt;=""&amp;I$34,'主表 Stock_Transaction_Log'!$A$2:$A$992,""&lt;""&amp;EDATE(I$34,1))),0)))"),"")</f>
        <v/>
      </c>
      <c r="J43" s="129" t="str">
        <f>IFERROR(__xludf.DUMMYFUNCTION("IF($A43="""","""",IF(J$34&gt;EOMONTH(TODAY(),0),"""",IFERROR(SUM(SUMIFS('主表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Stock_Transaction_Log'!$A$2:$A$992,""&gt;=""&amp;J$34,'主表 Stock_Transaction_Log'!$A$2:$A$992,""&lt;""&amp;EDATE(J$34,1))),0)))"),"")</f>
        <v/>
      </c>
      <c r="K43" s="129" t="str">
        <f>IFERROR(__xludf.DUMMYFUNCTION("IF($A43="""","""",IF(K$34&gt;EOMONTH(TODAY(),0),"""",IFERROR(SUM(SUMIFS('主表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Stock_Transaction_Log'!$A$2:$A$992,""&gt;=""&amp;K$34,'主表 Stock_Transaction_Log'!$A$2:$A$992,""&lt;""&amp;EDATE(K$34,1))),0)))"),"")</f>
        <v/>
      </c>
      <c r="L43" s="129" t="str">
        <f>IFERROR(__xludf.DUMMYFUNCTION("IF($A43="""","""",IF(L$34&gt;EOMONTH(TODAY(),0),"""",IFERROR(SUM(SUMIFS('主表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Stock_Transaction_Log'!$A$2:$A$992,""&gt;=""&amp;L$34,'主表 Stock_Transaction_Log'!$A$2:$A$992,""&lt;""&amp;EDATE(L$34,1))),0)))"),"")</f>
        <v/>
      </c>
      <c r="M43" s="129" t="str">
        <f>IFERROR(__xludf.DUMMYFUNCTION("IF($A43="""","""",IF(M$34&gt;EOMONTH(TODAY(),0),"""",IFERROR(SUM(SUMIFS('主表 Stock_Transaction_Log'!$K$2:$K$992,'主表 Stock_Transaction_Log'!$G$2:$G$992,FILTER('Product_Stock_Master产品维护'!$A$2:$A$500,'Product_Stock_Master产品维护'!$B$2:$B$500=$A43,'Product_Stock_Mas"&amp;"ter产品维护'!$C$2:$C$500=""Product""),'主表 Stock_Transaction_Log'!$C$2:$C$992,""Outbound"",'主表 Stock_Transaction_Log'!$P$2:$P$992,""New / 新机"",'主表 Stock_Transaction_Log'!$A$2:$A$992,""&gt;=""&amp;M$34,'主表 Stock_Transaction_Log'!$A$2:$A$992,""&lt;""&amp;EDATE(M$34,1))),0)))"),"")</f>
        <v/>
      </c>
      <c r="N43" s="129">
        <f t="shared" si="2"/>
        <v>0</v>
      </c>
      <c r="O43" s="71"/>
      <c r="P43" s="131" t="str">
        <f>IFERROR(__xludf.DUMMYFUNCTION("IFERROR(INDEX(UNIQUE(FILTER('Product_Stock_Master产品维护'!$B$2:$B$500,'Product_Stock_Master产品维护'!$C$2:$C$500=""Product"",'Product_Stock_Master产品维护'!$B$2:$B$500&lt;&gt;"""")),ROW()-34),"""")"),"EQ4800")</f>
        <v>EQ4800</v>
      </c>
      <c r="Q43" s="131" t="str">
        <f>IFERROR(__xludf.DUMMYFUNCTION("IF(P43="""","""",IFERROR(REGEXREPLACE(INDEX(FILTER('Product_Stock_Master产品维护'!$L$2:$L$500,'Product_Stock_Master产品维护'!$B$2:$B$500=P43,'Product_Stock_Master产品维护'!$C$2:$C$500=""Product""),1),""^.* / "",""""),""""))"),"电池")</f>
        <v>电池</v>
      </c>
      <c r="R43" s="92">
        <f>IFERROR(__xludf.DUMMYFUNCTION("IF(P43="""","""",IFERROR(SUM(FILTER('Product_Stock_Master产品维护'!$G$2:$G$500,'Product_Stock_Master产品维护'!$B$2:$B$500=P43,'Product_Stock_Master产品维护'!$C$2:$C$500=""Product"")),0))"),1.0)</f>
        <v>1</v>
      </c>
    </row>
    <row r="44" ht="18.75" customHeight="1">
      <c r="A44" s="136" t="s">
        <v>603</v>
      </c>
      <c r="B44" s="137">
        <f t="shared" ref="B44:N44" si="3">SUM(B35:B43)</f>
        <v>0</v>
      </c>
      <c r="C44" s="137">
        <f t="shared" si="3"/>
        <v>0</v>
      </c>
      <c r="D44" s="137">
        <f t="shared" si="3"/>
        <v>0</v>
      </c>
      <c r="E44" s="137">
        <f t="shared" si="3"/>
        <v>0</v>
      </c>
      <c r="F44" s="137">
        <f t="shared" si="3"/>
        <v>0</v>
      </c>
      <c r="G44" s="137">
        <f t="shared" si="3"/>
        <v>0</v>
      </c>
      <c r="H44" s="137">
        <f t="shared" si="3"/>
        <v>13</v>
      </c>
      <c r="I44" s="137">
        <f t="shared" si="3"/>
        <v>0</v>
      </c>
      <c r="J44" s="137">
        <f t="shared" si="3"/>
        <v>0</v>
      </c>
      <c r="K44" s="137">
        <f t="shared" si="3"/>
        <v>0</v>
      </c>
      <c r="L44" s="137">
        <f t="shared" si="3"/>
        <v>0</v>
      </c>
      <c r="M44" s="137">
        <f t="shared" si="3"/>
        <v>0</v>
      </c>
      <c r="N44" s="137">
        <f t="shared" si="3"/>
        <v>13</v>
      </c>
      <c r="O44" s="71"/>
      <c r="P44" s="139" t="s">
        <v>603</v>
      </c>
      <c r="Q44" s="139" t="s">
        <v>625</v>
      </c>
      <c r="R44" s="140">
        <f>SUM(R35:R43)</f>
        <v>307</v>
      </c>
    </row>
    <row r="45" ht="7.5" customHeight="1">
      <c r="A45" s="99"/>
      <c r="B45" s="99"/>
      <c r="C45" s="93"/>
      <c r="D45" s="93"/>
      <c r="E45" s="93"/>
      <c r="F45" s="93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ht="7.5" customHeight="1">
      <c r="A46" s="99"/>
      <c r="B46" s="99"/>
      <c r="C46" s="93"/>
      <c r="D46" s="93"/>
      <c r="E46" s="93"/>
      <c r="F46" s="93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</row>
    <row r="47" ht="22.5" customHeight="1">
      <c r="A47" s="141" t="s">
        <v>626</v>
      </c>
      <c r="B47" s="142"/>
      <c r="C47" s="143"/>
      <c r="D47" s="143"/>
      <c r="E47" s="143"/>
      <c r="F47" s="143"/>
      <c r="G47" s="144"/>
      <c r="H47" s="144"/>
      <c r="I47" s="144"/>
      <c r="J47" s="144"/>
      <c r="K47" s="144"/>
      <c r="L47" s="144"/>
      <c r="M47" s="144"/>
      <c r="N47" s="144"/>
      <c r="O47" s="71"/>
      <c r="P47" s="71"/>
      <c r="Q47" s="71"/>
    </row>
    <row r="48" ht="22.5" customHeight="1">
      <c r="A48" s="145" t="s">
        <v>476</v>
      </c>
      <c r="B48" s="146">
        <f>DATE($B$2,1,1)</f>
        <v>46023</v>
      </c>
      <c r="C48" s="146">
        <f>DATE($B$2,2,1)</f>
        <v>46054</v>
      </c>
      <c r="D48" s="146">
        <f>DATE($B$2,3,1)</f>
        <v>46082</v>
      </c>
      <c r="E48" s="146">
        <f>DATE($B$2,4,1)</f>
        <v>46113</v>
      </c>
      <c r="F48" s="146">
        <f>DATE($B$2,5,1)</f>
        <v>46143</v>
      </c>
      <c r="G48" s="146">
        <f>DATE($B$2,6,1)</f>
        <v>46174</v>
      </c>
      <c r="H48" s="146">
        <f>DATE($B$2,7,1)</f>
        <v>46204</v>
      </c>
      <c r="I48" s="146">
        <f>DATE($B$2,8,1)</f>
        <v>46235</v>
      </c>
      <c r="J48" s="146">
        <f>DATE($B$2,9,1)</f>
        <v>46266</v>
      </c>
      <c r="K48" s="146">
        <f>DATE($B$2,10,1)</f>
        <v>46296</v>
      </c>
      <c r="L48" s="146">
        <f>DATE($B$2,11,1)</f>
        <v>46327</v>
      </c>
      <c r="M48" s="146">
        <f>DATE($B$2,12,1)</f>
        <v>46357</v>
      </c>
      <c r="N48" s="145" t="s">
        <v>603</v>
      </c>
      <c r="O48" s="71"/>
      <c r="P48" s="71"/>
      <c r="Q48" s="71"/>
    </row>
    <row r="49" ht="18.75" customHeight="1">
      <c r="A49" s="129" t="str">
        <f>IFERROR(__xludf.DUMMYFUNCTION("IFERROR(INDEX(UNIQUE(FILTER('Product_Stock_Master产品维护'!$B$2:$B$500,'Product_Stock_Master产品维护'!$C$2:$C$500=""Product"",'Product_Stock_Master产品维护'!$B$2:$B$500&lt;&gt;"""")),ROW()-48),"""")"),"KH8")</f>
        <v>KH8</v>
      </c>
      <c r="B49" s="129">
        <f>IFERROR(__xludf.DUMMYFUNCTION("IF($A49="""","""",IF(B$48&gt;EOMONTH(TODAY(),0),"""",IFERROR(SUM(SUMIFS('主表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49" s="129">
        <f>IFERROR(__xludf.DUMMYFUNCTION("IF($A49="""","""",IF(C$48&gt;EOMONTH(TODAY(),0),"""",IFERROR(SUM(SUMIFS('主表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49" s="129">
        <f>IFERROR(__xludf.DUMMYFUNCTION("IF($A49="""","""",IF(D$48&gt;EOMONTH(TODAY(),0),"""",IFERROR(SUM(SUMIFS('主表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49" s="129">
        <f>IFERROR(__xludf.DUMMYFUNCTION("IF($A49="""","""",IF(E$48&gt;EOMONTH(TODAY(),0),"""",IFERROR(SUM(SUMIFS('主表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49" s="129">
        <f>IFERROR(__xludf.DUMMYFUNCTION("IF($A49="""","""",IF(F$48&gt;EOMONTH(TODAY(),0),"""",IFERROR(SUM(SUMIFS('主表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49" s="129">
        <f>IFERROR(__xludf.DUMMYFUNCTION("IF($A49="""","""",IF(G$48&gt;EOMONTH(TODAY(),0),"""",IFERROR(SUM(SUMIFS('主表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49" s="130">
        <v>0.0</v>
      </c>
      <c r="I49" s="129" t="str">
        <f>IFERROR(__xludf.DUMMYFUNCTION("IF($A49="""","""",IF(I$48&gt;EOMONTH(TODAY(),0),"""",IFERROR(SUM(SUMIFS('主表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49" s="129" t="str">
        <f>IFERROR(__xludf.DUMMYFUNCTION("IF($A49="""","""",IF(J$48&gt;EOMONTH(TODAY(),0),"""",IFERROR(SUM(SUMIFS('主表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49" s="129" t="str">
        <f>IFERROR(__xludf.DUMMYFUNCTION("IF($A49="""","""",IF(K$48&gt;EOMONTH(TODAY(),0),"""",IFERROR(SUM(SUMIFS('主表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49" s="129" t="str">
        <f>IFERROR(__xludf.DUMMYFUNCTION("IF($A49="""","""",IF(L$48&gt;EOMONTH(TODAY(),0),"""",IFERROR(SUM(SUMIFS('主表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49" s="129" t="str">
        <f>IFERROR(__xludf.DUMMYFUNCTION("IF($A49="""","""",IF(M$48&gt;EOMONTH(TODAY(),0),"""",IFERROR(SUM(SUMIFS('主表 Stock_Transaction_Log'!$K$2:$K$992,'主表 Stock_Transaction_Log'!$G$2:$G$992,FILTER('Product_Stock_Master产品维护'!$A$2:$A$500,'Product_Stock_Master产品维护'!$B$2:$B$500=$A49,'Product_Stock_Mas"&amp;"ter产品维护'!$C$2:$C$500=""Product""),'主表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49" s="129">
        <f t="shared" ref="N49:N57" si="4">SUM(B49:M49)</f>
        <v>0</v>
      </c>
      <c r="O49" s="71"/>
      <c r="P49" s="71"/>
      <c r="Q49" s="71"/>
    </row>
    <row r="50" ht="18.75" customHeight="1">
      <c r="A50" s="147" t="str">
        <f>IFERROR(__xludf.DUMMYFUNCTION("IFERROR(INDEX(UNIQUE(FILTER('Product_Stock_Master产品维护'!$B$2:$B$500,'Product_Stock_Master产品维护'!$C$2:$C$500=""Product"",'Product_Stock_Master产品维护'!$B$2:$B$500&lt;&gt;"""")),ROW()-48),"""")"),"KH10")</f>
        <v>KH10</v>
      </c>
      <c r="B50" s="147">
        <f>IFERROR(__xludf.DUMMYFUNCTION("IF($A50="""","""",IF(B$48&gt;EOMONTH(TODAY(),0),"""",IFERROR(SUM(SUMIFS('主表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50" s="147">
        <f>IFERROR(__xludf.DUMMYFUNCTION("IF($A50="""","""",IF(C$48&gt;EOMONTH(TODAY(),0),"""",IFERROR(SUM(SUMIFS('主表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50" s="147">
        <f>IFERROR(__xludf.DUMMYFUNCTION("IF($A50="""","""",IF(D$48&gt;EOMONTH(TODAY(),0),"""",IFERROR(SUM(SUMIFS('主表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50" s="147">
        <f>IFERROR(__xludf.DUMMYFUNCTION("IF($A50="""","""",IF(E$48&gt;EOMONTH(TODAY(),0),"""",IFERROR(SUM(SUMIFS('主表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50" s="147">
        <f>IFERROR(__xludf.DUMMYFUNCTION("IF($A50="""","""",IF(F$48&gt;EOMONTH(TODAY(),0),"""",IFERROR(SUM(SUMIFS('主表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50" s="147">
        <f>IFERROR(__xludf.DUMMYFUNCTION("IF($A50="""","""",IF(G$48&gt;EOMONTH(TODAY(),0),"""",IFERROR(SUM(SUMIFS('主表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50" s="148">
        <v>0.0</v>
      </c>
      <c r="I50" s="147" t="str">
        <f>IFERROR(__xludf.DUMMYFUNCTION("IF($A50="""","""",IF(I$48&gt;EOMONTH(TODAY(),0),"""",IFERROR(SUM(SUMIFS('主表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50" s="147" t="str">
        <f>IFERROR(__xludf.DUMMYFUNCTION("IF($A50="""","""",IF(J$48&gt;EOMONTH(TODAY(),0),"""",IFERROR(SUM(SUMIFS('主表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50" s="147" t="str">
        <f>IFERROR(__xludf.DUMMYFUNCTION("IF($A50="""","""",IF(K$48&gt;EOMONTH(TODAY(),0),"""",IFERROR(SUM(SUMIFS('主表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50" s="147" t="str">
        <f>IFERROR(__xludf.DUMMYFUNCTION("IF($A50="""","""",IF(L$48&gt;EOMONTH(TODAY(),0),"""",IFERROR(SUM(SUMIFS('主表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50" s="147" t="str">
        <f>IFERROR(__xludf.DUMMYFUNCTION("IF($A50="""","""",IF(M$48&gt;EOMONTH(TODAY(),0),"""",IFERROR(SUM(SUMIFS('主表 Stock_Transaction_Log'!$K$2:$K$992,'主表 Stock_Transaction_Log'!$G$2:$G$992,FILTER('Product_Stock_Master产品维护'!$A$2:$A$500,'Product_Stock_Master产品维护'!$B$2:$B$500=$A50,'Product_Stock_Mas"&amp;"ter产品维护'!$C$2:$C$500=""Product""),'主表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50" s="147">
        <f t="shared" si="4"/>
        <v>0</v>
      </c>
      <c r="O50" s="71"/>
      <c r="P50" s="71"/>
      <c r="Q50" s="71"/>
    </row>
    <row r="51" ht="18.75" customHeight="1">
      <c r="A51" s="129" t="str">
        <f>IFERROR(__xludf.DUMMYFUNCTION("IFERROR(INDEX(UNIQUE(FILTER('Product_Stock_Master产品维护'!$B$2:$B$500,'Product_Stock_Master产品维护'!$C$2:$C$500=""Product"",'Product_Stock_Master产品维护'!$B$2:$B$500&lt;&gt;"""")),ROW()-48),"""")"),"H3-10.0-Smart")</f>
        <v>H3-10.0-Smart</v>
      </c>
      <c r="B51" s="129">
        <f>IFERROR(__xludf.DUMMYFUNCTION("IF($A51="""","""",IF(B$48&gt;EOMONTH(TODAY(),0),"""",IFERROR(SUM(SUMIFS('主表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51" s="129">
        <f>IFERROR(__xludf.DUMMYFUNCTION("IF($A51="""","""",IF(C$48&gt;EOMONTH(TODAY(),0),"""",IFERROR(SUM(SUMIFS('主表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51" s="129">
        <f>IFERROR(__xludf.DUMMYFUNCTION("IF($A51="""","""",IF(D$48&gt;EOMONTH(TODAY(),0),"""",IFERROR(SUM(SUMIFS('主表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51" s="129">
        <f>IFERROR(__xludf.DUMMYFUNCTION("IF($A51="""","""",IF(E$48&gt;EOMONTH(TODAY(),0),"""",IFERROR(SUM(SUMIFS('主表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51" s="129">
        <f>IFERROR(__xludf.DUMMYFUNCTION("IF($A51="""","""",IF(F$48&gt;EOMONTH(TODAY(),0),"""",IFERROR(SUM(SUMIFS('主表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51" s="129">
        <f>IFERROR(__xludf.DUMMYFUNCTION("IF($A51="""","""",IF(G$48&gt;EOMONTH(TODAY(),0),"""",IFERROR(SUM(SUMIFS('主表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51" s="130">
        <v>0.0</v>
      </c>
      <c r="I51" s="129" t="str">
        <f>IFERROR(__xludf.DUMMYFUNCTION("IF($A51="""","""",IF(I$48&gt;EOMONTH(TODAY(),0),"""",IFERROR(SUM(SUMIFS('主表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51" s="129" t="str">
        <f>IFERROR(__xludf.DUMMYFUNCTION("IF($A51="""","""",IF(J$48&gt;EOMONTH(TODAY(),0),"""",IFERROR(SUM(SUMIFS('主表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51" s="129" t="str">
        <f>IFERROR(__xludf.DUMMYFUNCTION("IF($A51="""","""",IF(K$48&gt;EOMONTH(TODAY(),0),"""",IFERROR(SUM(SUMIFS('主表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51" s="129" t="str">
        <f>IFERROR(__xludf.DUMMYFUNCTION("IF($A51="""","""",IF(L$48&gt;EOMONTH(TODAY(),0),"""",IFERROR(SUM(SUMIFS('主表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51" s="129" t="str">
        <f>IFERROR(__xludf.DUMMYFUNCTION("IF($A51="""","""",IF(M$48&gt;EOMONTH(TODAY(),0),"""",IFERROR(SUM(SUMIFS('主表 Stock_Transaction_Log'!$K$2:$K$992,'主表 Stock_Transaction_Log'!$G$2:$G$992,FILTER('Product_Stock_Master产品维护'!$A$2:$A$500,'Product_Stock_Master产品维护'!$B$2:$B$500=$A51,'Product_Stock_Mas"&amp;"ter产品维护'!$C$2:$C$500=""Product""),'主表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51" s="129">
        <f t="shared" si="4"/>
        <v>0</v>
      </c>
      <c r="O51" s="71"/>
      <c r="P51" s="71"/>
      <c r="Q51" s="71"/>
    </row>
    <row r="52" ht="18.75" customHeight="1">
      <c r="A52" s="147" t="str">
        <f>IFERROR(__xludf.DUMMYFUNCTION("IFERROR(INDEX(UNIQUE(FILTER('Product_Stock_Master产品维护'!$B$2:$B$500,'Product_Stock_Master产品维护'!$C$2:$C$500=""Product"",'Product_Stock_Master产品维护'!$B$2:$B$500&lt;&gt;"""")),ROW()-48),"""")"),"H3-15.0-Smart")</f>
        <v>H3-15.0-Smart</v>
      </c>
      <c r="B52" s="147">
        <f>IFERROR(__xludf.DUMMYFUNCTION("IF($A52="""","""",IF(B$48&gt;EOMONTH(TODAY(),0),"""",IFERROR(SUM(SUMIFS('主表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52" s="147">
        <f>IFERROR(__xludf.DUMMYFUNCTION("IF($A52="""","""",IF(C$48&gt;EOMONTH(TODAY(),0),"""",IFERROR(SUM(SUMIFS('主表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52" s="147">
        <f>IFERROR(__xludf.DUMMYFUNCTION("IF($A52="""","""",IF(D$48&gt;EOMONTH(TODAY(),0),"""",IFERROR(SUM(SUMIFS('主表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52" s="147">
        <f>IFERROR(__xludf.DUMMYFUNCTION("IF($A52="""","""",IF(E$48&gt;EOMONTH(TODAY(),0),"""",IFERROR(SUM(SUMIFS('主表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52" s="147">
        <f>IFERROR(__xludf.DUMMYFUNCTION("IF($A52="""","""",IF(F$48&gt;EOMONTH(TODAY(),0),"""",IFERROR(SUM(SUMIFS('主表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52" s="147">
        <f>IFERROR(__xludf.DUMMYFUNCTION("IF($A52="""","""",IF(G$48&gt;EOMONTH(TODAY(),0),"""",IFERROR(SUM(SUMIFS('主表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52" s="148">
        <v>0.0</v>
      </c>
      <c r="I52" s="147" t="str">
        <f>IFERROR(__xludf.DUMMYFUNCTION("IF($A52="""","""",IF(I$48&gt;EOMONTH(TODAY(),0),"""",IFERROR(SUM(SUMIFS('主表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52" s="147" t="str">
        <f>IFERROR(__xludf.DUMMYFUNCTION("IF($A52="""","""",IF(J$48&gt;EOMONTH(TODAY(),0),"""",IFERROR(SUM(SUMIFS('主表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52" s="147" t="str">
        <f>IFERROR(__xludf.DUMMYFUNCTION("IF($A52="""","""",IF(K$48&gt;EOMONTH(TODAY(),0),"""",IFERROR(SUM(SUMIFS('主表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52" s="147" t="str">
        <f>IFERROR(__xludf.DUMMYFUNCTION("IF($A52="""","""",IF(L$48&gt;EOMONTH(TODAY(),0),"""",IFERROR(SUM(SUMIFS('主表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52" s="147" t="str">
        <f>IFERROR(__xludf.DUMMYFUNCTION("IF($A52="""","""",IF(M$48&gt;EOMONTH(TODAY(),0),"""",IFERROR(SUM(SUMIFS('主表 Stock_Transaction_Log'!$K$2:$K$992,'主表 Stock_Transaction_Log'!$G$2:$G$992,FILTER('Product_Stock_Master产品维护'!$A$2:$A$500,'Product_Stock_Master产品维护'!$B$2:$B$500=$A52,'Product_Stock_Mas"&amp;"ter产品维护'!$C$2:$C$500=""Product""),'主表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52" s="147">
        <f t="shared" si="4"/>
        <v>0</v>
      </c>
      <c r="O52" s="71"/>
      <c r="P52" s="71"/>
      <c r="Q52" s="71"/>
    </row>
    <row r="53" ht="18.75" customHeight="1">
      <c r="A53" s="129" t="str">
        <f>IFERROR(__xludf.DUMMYFUNCTION("IFERROR(INDEX(UNIQUE(FILTER('Product_Stock_Master产品维护'!$B$2:$B$500,'Product_Stock_Master产品维护'!$C$2:$C$500=""Product"",'Product_Stock_Master产品维护'!$B$2:$B$500&lt;&gt;"""")),ROW()-48),"""")"),"EQ4800-M")</f>
        <v>EQ4800-M</v>
      </c>
      <c r="B53" s="129">
        <f>IFERROR(__xludf.DUMMYFUNCTION("IF($A53="""","""",IF(B$48&gt;EOMONTH(TODAY(),0),"""",IFERROR(SUM(SUMIFS('主表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53" s="129">
        <f>IFERROR(__xludf.DUMMYFUNCTION("IF($A53="""","""",IF(C$48&gt;EOMONTH(TODAY(),0),"""",IFERROR(SUM(SUMIFS('主表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53" s="129">
        <f>IFERROR(__xludf.DUMMYFUNCTION("IF($A53="""","""",IF(D$48&gt;EOMONTH(TODAY(),0),"""",IFERROR(SUM(SUMIFS('主表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53" s="129">
        <f>IFERROR(__xludf.DUMMYFUNCTION("IF($A53="""","""",IF(E$48&gt;EOMONTH(TODAY(),0),"""",IFERROR(SUM(SUMIFS('主表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53" s="129">
        <f>IFERROR(__xludf.DUMMYFUNCTION("IF($A53="""","""",IF(F$48&gt;EOMONTH(TODAY(),0),"""",IFERROR(SUM(SUMIFS('主表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53" s="129">
        <f>IFERROR(__xludf.DUMMYFUNCTION("IF($A53="""","""",IF(G$48&gt;EOMONTH(TODAY(),0),"""",IFERROR(SUM(SUMIFS('主表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53" s="130">
        <v>18.0</v>
      </c>
      <c r="I53" s="129" t="str">
        <f>IFERROR(__xludf.DUMMYFUNCTION("IF($A53="""","""",IF(I$48&gt;EOMONTH(TODAY(),0),"""",IFERROR(SUM(SUMIFS('主表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53" s="129" t="str">
        <f>IFERROR(__xludf.DUMMYFUNCTION("IF($A53="""","""",IF(J$48&gt;EOMONTH(TODAY(),0),"""",IFERROR(SUM(SUMIFS('主表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53" s="129" t="str">
        <f>IFERROR(__xludf.DUMMYFUNCTION("IF($A53="""","""",IF(K$48&gt;EOMONTH(TODAY(),0),"""",IFERROR(SUM(SUMIFS('主表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53" s="129" t="str">
        <f>IFERROR(__xludf.DUMMYFUNCTION("IF($A53="""","""",IF(L$48&gt;EOMONTH(TODAY(),0),"""",IFERROR(SUM(SUMIFS('主表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53" s="129" t="str">
        <f>IFERROR(__xludf.DUMMYFUNCTION("IF($A53="""","""",IF(M$48&gt;EOMONTH(TODAY(),0),"""",IFERROR(SUM(SUMIFS('主表 Stock_Transaction_Log'!$K$2:$K$992,'主表 Stock_Transaction_Log'!$G$2:$G$992,FILTER('Product_Stock_Master产品维护'!$A$2:$A$500,'Product_Stock_Master产品维护'!$B$2:$B$500=$A53,'Product_Stock_Mas"&amp;"ter产品维护'!$C$2:$C$500=""Product""),'主表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53" s="129">
        <f t="shared" si="4"/>
        <v>18</v>
      </c>
      <c r="O53" s="71"/>
      <c r="P53" s="71"/>
      <c r="Q53" s="71"/>
    </row>
    <row r="54" ht="18.75" customHeight="1">
      <c r="A54" s="147" t="str">
        <f>IFERROR(__xludf.DUMMYFUNCTION("IFERROR(INDEX(UNIQUE(FILTER('Product_Stock_Master产品维护'!$B$2:$B$500,'Product_Stock_Master产品维护'!$C$2:$C$500=""Product"",'Product_Stock_Master产品维护'!$B$2:$B$500&lt;&gt;"""")),ROW()-48),"""")"),"EQ4800-S")</f>
        <v>EQ4800-S</v>
      </c>
      <c r="B54" s="147">
        <f>IFERROR(__xludf.DUMMYFUNCTION("IF($A54="""","""",IF(B$48&gt;EOMONTH(TODAY(),0),"""",IFERROR(SUM(SUMIFS('主表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54" s="147">
        <f>IFERROR(__xludf.DUMMYFUNCTION("IF($A54="""","""",IF(C$48&gt;EOMONTH(TODAY(),0),"""",IFERROR(SUM(SUMIFS('主表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54" s="147">
        <f>IFERROR(__xludf.DUMMYFUNCTION("IF($A54="""","""",IF(D$48&gt;EOMONTH(TODAY(),0),"""",IFERROR(SUM(SUMIFS('主表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54" s="147">
        <f>IFERROR(__xludf.DUMMYFUNCTION("IF($A54="""","""",IF(E$48&gt;EOMONTH(TODAY(),0),"""",IFERROR(SUM(SUMIFS('主表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54" s="147">
        <f>IFERROR(__xludf.DUMMYFUNCTION("IF($A54="""","""",IF(F$48&gt;EOMONTH(TODAY(),0),"""",IFERROR(SUM(SUMIFS('主表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54" s="147">
        <f>IFERROR(__xludf.DUMMYFUNCTION("IF($A54="""","""",IF(G$48&gt;EOMONTH(TODAY(),0),"""",IFERROR(SUM(SUMIFS('主表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54" s="148">
        <v>38.0</v>
      </c>
      <c r="I54" s="147" t="str">
        <f>IFERROR(__xludf.DUMMYFUNCTION("IF($A54="""","""",IF(I$48&gt;EOMONTH(TODAY(),0),"""",IFERROR(SUM(SUMIFS('主表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54" s="147" t="str">
        <f>IFERROR(__xludf.DUMMYFUNCTION("IF($A54="""","""",IF(J$48&gt;EOMONTH(TODAY(),0),"""",IFERROR(SUM(SUMIFS('主表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54" s="147" t="str">
        <f>IFERROR(__xludf.DUMMYFUNCTION("IF($A54="""","""",IF(K$48&gt;EOMONTH(TODAY(),0),"""",IFERROR(SUM(SUMIFS('主表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54" s="147" t="str">
        <f>IFERROR(__xludf.DUMMYFUNCTION("IF($A54="""","""",IF(L$48&gt;EOMONTH(TODAY(),0),"""",IFERROR(SUM(SUMIFS('主表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54" s="147" t="str">
        <f>IFERROR(__xludf.DUMMYFUNCTION("IF($A54="""","""",IF(M$48&gt;EOMONTH(TODAY(),0),"""",IFERROR(SUM(SUMIFS('主表 Stock_Transaction_Log'!$K$2:$K$992,'主表 Stock_Transaction_Log'!$G$2:$G$992,FILTER('Product_Stock_Master产品维护'!$A$2:$A$500,'Product_Stock_Master产品维护'!$B$2:$B$500=$A54,'Product_Stock_Mas"&amp;"ter产品维护'!$C$2:$C$500=""Product""),'主表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54" s="147">
        <f t="shared" si="4"/>
        <v>38</v>
      </c>
      <c r="O54" s="71"/>
      <c r="P54" s="71"/>
      <c r="Q54" s="71"/>
    </row>
    <row r="55" ht="18.75" customHeight="1">
      <c r="A55" s="129" t="str">
        <f>IFERROR(__xludf.DUMMYFUNCTION("IFERROR(INDEX(UNIQUE(FILTER('Product_Stock_Master产品维护'!$B$2:$B$500,'Product_Stock_Master产品维护'!$C$2:$C$500=""Product"",'Product_Stock_Master产品维护'!$B$2:$B$500&lt;&gt;"""")),ROW()-48),"""")"),"CQ6-S")</f>
        <v>CQ6-S</v>
      </c>
      <c r="B55" s="129">
        <f>IFERROR(__xludf.DUMMYFUNCTION("IF($A55="""","""",IF(B$48&gt;EOMONTH(TODAY(),0),"""",IFERROR(SUM(SUMIFS('主表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55" s="129">
        <f>IFERROR(__xludf.DUMMYFUNCTION("IF($A55="""","""",IF(C$48&gt;EOMONTH(TODAY(),0),"""",IFERROR(SUM(SUMIFS('主表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55" s="129">
        <f>IFERROR(__xludf.DUMMYFUNCTION("IF($A55="""","""",IF(D$48&gt;EOMONTH(TODAY(),0),"""",IFERROR(SUM(SUMIFS('主表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55" s="129">
        <f>IFERROR(__xludf.DUMMYFUNCTION("IF($A55="""","""",IF(E$48&gt;EOMONTH(TODAY(),0),"""",IFERROR(SUM(SUMIFS('主表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55" s="129">
        <f>IFERROR(__xludf.DUMMYFUNCTION("IF($A55="""","""",IF(F$48&gt;EOMONTH(TODAY(),0),"""",IFERROR(SUM(SUMIFS('主表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55" s="129">
        <f>IFERROR(__xludf.DUMMYFUNCTION("IF($A55="""","""",IF(G$48&gt;EOMONTH(TODAY(),0),"""",IFERROR(SUM(SUMIFS('主表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55" s="130">
        <v>3.0</v>
      </c>
      <c r="I55" s="129" t="str">
        <f>IFERROR(__xludf.DUMMYFUNCTION("IF($A55="""","""",IF(I$48&gt;EOMONTH(TODAY(),0),"""",IFERROR(SUM(SUMIFS('主表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55" s="129" t="str">
        <f>IFERROR(__xludf.DUMMYFUNCTION("IF($A55="""","""",IF(J$48&gt;EOMONTH(TODAY(),0),"""",IFERROR(SUM(SUMIFS('主表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55" s="129" t="str">
        <f>IFERROR(__xludf.DUMMYFUNCTION("IF($A55="""","""",IF(K$48&gt;EOMONTH(TODAY(),0),"""",IFERROR(SUM(SUMIFS('主表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55" s="129" t="str">
        <f>IFERROR(__xludf.DUMMYFUNCTION("IF($A55="""","""",IF(L$48&gt;EOMONTH(TODAY(),0),"""",IFERROR(SUM(SUMIFS('主表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55" s="129" t="str">
        <f>IFERROR(__xludf.DUMMYFUNCTION("IF($A55="""","""",IF(M$48&gt;EOMONTH(TODAY(),0),"""",IFERROR(SUM(SUMIFS('主表 Stock_Transaction_Log'!$K$2:$K$992,'主表 Stock_Transaction_Log'!$G$2:$G$992,FILTER('Product_Stock_Master产品维护'!$A$2:$A$500,'Product_Stock_Master产品维护'!$B$2:$B$500=$A55,'Product_Stock_Mas"&amp;"ter产品维护'!$C$2:$C$500=""Product""),'主表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55" s="129">
        <f t="shared" si="4"/>
        <v>3</v>
      </c>
      <c r="O55" s="71"/>
      <c r="P55" s="71"/>
      <c r="Q55" s="71"/>
    </row>
    <row r="56" ht="18.75" customHeight="1">
      <c r="A56" s="147" t="str">
        <f>IFERROR(__xludf.DUMMYFUNCTION("IFERROR(INDEX(UNIQUE(FILTER('Product_Stock_Master产品维护'!$B$2:$B$500,'Product_Stock_Master产品维护'!$C$2:$C$500=""Product"",'Product_Stock_Master产品维护'!$B$2:$B$500&lt;&gt;"""")),ROW()-48),"""")"),"CQ6-M")</f>
        <v>CQ6-M</v>
      </c>
      <c r="B56" s="147">
        <f>IFERROR(__xludf.DUMMYFUNCTION("IF($A56="""","""",IF(B$48&gt;EOMONTH(TODAY(),0),"""",IFERROR(SUM(SUMIFS('主表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56" s="147">
        <f>IFERROR(__xludf.DUMMYFUNCTION("IF($A56="""","""",IF(C$48&gt;EOMONTH(TODAY(),0),"""",IFERROR(SUM(SUMIFS('主表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56" s="147">
        <f>IFERROR(__xludf.DUMMYFUNCTION("IF($A56="""","""",IF(D$48&gt;EOMONTH(TODAY(),0),"""",IFERROR(SUM(SUMIFS('主表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56" s="147">
        <f>IFERROR(__xludf.DUMMYFUNCTION("IF($A56="""","""",IF(E$48&gt;EOMONTH(TODAY(),0),"""",IFERROR(SUM(SUMIFS('主表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56" s="147">
        <f>IFERROR(__xludf.DUMMYFUNCTION("IF($A56="""","""",IF(F$48&gt;EOMONTH(TODAY(),0),"""",IFERROR(SUM(SUMIFS('主表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56" s="147">
        <f>IFERROR(__xludf.DUMMYFUNCTION("IF($A56="""","""",IF(G$48&gt;EOMONTH(TODAY(),0),"""",IFERROR(SUM(SUMIFS('主表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56" s="148">
        <v>32.0</v>
      </c>
      <c r="I56" s="147" t="str">
        <f>IFERROR(__xludf.DUMMYFUNCTION("IF($A56="""","""",IF(I$48&gt;EOMONTH(TODAY(),0),"""",IFERROR(SUM(SUMIFS('主表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56" s="147" t="str">
        <f>IFERROR(__xludf.DUMMYFUNCTION("IF($A56="""","""",IF(J$48&gt;EOMONTH(TODAY(),0),"""",IFERROR(SUM(SUMIFS('主表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56" s="147" t="str">
        <f>IFERROR(__xludf.DUMMYFUNCTION("IF($A56="""","""",IF(K$48&gt;EOMONTH(TODAY(),0),"""",IFERROR(SUM(SUMIFS('主表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56" s="147" t="str">
        <f>IFERROR(__xludf.DUMMYFUNCTION("IF($A56="""","""",IF(L$48&gt;EOMONTH(TODAY(),0),"""",IFERROR(SUM(SUMIFS('主表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56" s="147" t="str">
        <f>IFERROR(__xludf.DUMMYFUNCTION("IF($A56="""","""",IF(M$48&gt;EOMONTH(TODAY(),0),"""",IFERROR(SUM(SUMIFS('主表 Stock_Transaction_Log'!$K$2:$K$992,'主表 Stock_Transaction_Log'!$G$2:$G$992,FILTER('Product_Stock_Master产品维护'!$A$2:$A$500,'Product_Stock_Master产品维护'!$B$2:$B$500=$A56,'Product_Stock_Mas"&amp;"ter产品维护'!$C$2:$C$500=""Product""),'主表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56" s="147">
        <f t="shared" si="4"/>
        <v>32</v>
      </c>
      <c r="O56" s="71"/>
      <c r="P56" s="71"/>
      <c r="Q56" s="71"/>
    </row>
    <row r="57" ht="18.75" customHeight="1">
      <c r="A57" s="129" t="str">
        <f>IFERROR(__xludf.DUMMYFUNCTION("IFERROR(INDEX(UNIQUE(FILTER('Product_Stock_Master产品维护'!$B$2:$B$500,'Product_Stock_Master产品维护'!$C$2:$C$500=""Product"",'Product_Stock_Master产品维护'!$B$2:$B$500&lt;&gt;"""")),ROW()-48),"""")"),"EQ4800")</f>
        <v>EQ4800</v>
      </c>
      <c r="B57" s="129">
        <f>IFERROR(__xludf.DUMMYFUNCTION("IF($A57="""","""",IF(B$48&gt;EOMONTH(TODAY(),0),"""",IFERROR(SUM(SUMIFS('主表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Stock_Transaction_Log'!$A$2:$A$992,""&gt;=""&amp;B$48,'主表 Stock_Transaction_Log'!$A$2:$A$992,""&lt;""&amp;EDATE(B$48,"&amp;"1))),0)))"),0.0)</f>
        <v>0</v>
      </c>
      <c r="C57" s="129">
        <f>IFERROR(__xludf.DUMMYFUNCTION("IF($A57="""","""",IF(C$48&gt;EOMONTH(TODAY(),0),"""",IFERROR(SUM(SUMIFS('主表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Stock_Transaction_Log'!$A$2:$A$992,""&gt;=""&amp;C$48,'主表 Stock_Transaction_Log'!$A$2:$A$992,""&lt;""&amp;EDATE(C$48,"&amp;"1))),0)))"),0.0)</f>
        <v>0</v>
      </c>
      <c r="D57" s="129">
        <f>IFERROR(__xludf.DUMMYFUNCTION("IF($A57="""","""",IF(D$48&gt;EOMONTH(TODAY(),0),"""",IFERROR(SUM(SUMIFS('主表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Stock_Transaction_Log'!$A$2:$A$992,""&gt;=""&amp;D$48,'主表 Stock_Transaction_Log'!$A$2:$A$992,""&lt;""&amp;EDATE(D$48,"&amp;"1))),0)))"),0.0)</f>
        <v>0</v>
      </c>
      <c r="E57" s="129">
        <f>IFERROR(__xludf.DUMMYFUNCTION("IF($A57="""","""",IF(E$48&gt;EOMONTH(TODAY(),0),"""",IFERROR(SUM(SUMIFS('主表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Stock_Transaction_Log'!$A$2:$A$992,""&gt;=""&amp;E$48,'主表 Stock_Transaction_Log'!$A$2:$A$992,""&lt;""&amp;EDATE(E$48,"&amp;"1))),0)))"),0.0)</f>
        <v>0</v>
      </c>
      <c r="F57" s="129">
        <f>IFERROR(__xludf.DUMMYFUNCTION("IF($A57="""","""",IF(F$48&gt;EOMONTH(TODAY(),0),"""",IFERROR(SUM(SUMIFS('主表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Stock_Transaction_Log'!$A$2:$A$992,""&gt;=""&amp;F$48,'主表 Stock_Transaction_Log'!$A$2:$A$992,""&lt;""&amp;EDATE(F$48,"&amp;"1))),0)))"),0.0)</f>
        <v>0</v>
      </c>
      <c r="G57" s="129">
        <f>IFERROR(__xludf.DUMMYFUNCTION("IF($A57="""","""",IF(G$48&gt;EOMONTH(TODAY(),0),"""",IFERROR(SUM(SUMIFS('主表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Stock_Transaction_Log'!$A$2:$A$992,""&gt;=""&amp;G$48,'主表 Stock_Transaction_Log'!$A$2:$A$992,""&lt;""&amp;EDATE(G$48,"&amp;"1))),0)))"),0.0)</f>
        <v>0</v>
      </c>
      <c r="H57" s="130">
        <v>0.0</v>
      </c>
      <c r="I57" s="129" t="str">
        <f>IFERROR(__xludf.DUMMYFUNCTION("IF($A57="""","""",IF(I$48&gt;EOMONTH(TODAY(),0),"""",IFERROR(SUM(SUMIFS('主表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Stock_Transaction_Log'!$A$2:$A$992,""&gt;=""&amp;I$48,'主表 Stock_Transaction_Log'!$A$2:$A$992,""&lt;""&amp;EDATE(I$48,"&amp;"1))),0)))"),"")</f>
        <v/>
      </c>
      <c r="J57" s="129" t="str">
        <f>IFERROR(__xludf.DUMMYFUNCTION("IF($A57="""","""",IF(J$48&gt;EOMONTH(TODAY(),0),"""",IFERROR(SUM(SUMIFS('主表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Stock_Transaction_Log'!$A$2:$A$992,""&gt;=""&amp;J$48,'主表 Stock_Transaction_Log'!$A$2:$A$992,""&lt;""&amp;EDATE(J$48,"&amp;"1))),0)))"),"")</f>
        <v/>
      </c>
      <c r="K57" s="129" t="str">
        <f>IFERROR(__xludf.DUMMYFUNCTION("IF($A57="""","""",IF(K$48&gt;EOMONTH(TODAY(),0),"""",IFERROR(SUM(SUMIFS('主表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Stock_Transaction_Log'!$A$2:$A$992,""&gt;=""&amp;K$48,'主表 Stock_Transaction_Log'!$A$2:$A$992,""&lt;""&amp;EDATE(K$48,"&amp;"1))),0)))"),"")</f>
        <v/>
      </c>
      <c r="L57" s="129" t="str">
        <f>IFERROR(__xludf.DUMMYFUNCTION("IF($A57="""","""",IF(L$48&gt;EOMONTH(TODAY(),0),"""",IFERROR(SUM(SUMIFS('主表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Stock_Transaction_Log'!$A$2:$A$992,""&gt;=""&amp;L$48,'主表 Stock_Transaction_Log'!$A$2:$A$992,""&lt;""&amp;EDATE(L$48,"&amp;"1))),0)))"),"")</f>
        <v/>
      </c>
      <c r="M57" s="129" t="str">
        <f>IFERROR(__xludf.DUMMYFUNCTION("IF($A57="""","""",IF(M$48&gt;EOMONTH(TODAY(),0),"""",IFERROR(SUM(SUMIFS('主表 Stock_Transaction_Log'!$K$2:$K$992,'主表 Stock_Transaction_Log'!$G$2:$G$992,FILTER('Product_Stock_Master产品维护'!$A$2:$A$500,'Product_Stock_Master产品维护'!$B$2:$B$500=$A57,'Product_Stock_Mas"&amp;"ter产品维护'!$C$2:$C$500=""Product""),'主表 Stock_Transaction_Log'!$C$2:$C$992,""Outbound"",'主表 Stock_Transaction_Log'!$P$2:$P$992,""Repair_Good / 维修良品"",'主表 Stock_Transaction_Log'!$A$2:$A$992,""&gt;=""&amp;M$48,'主表 Stock_Transaction_Log'!$A$2:$A$992,""&lt;""&amp;EDATE(M$48,"&amp;"1))),0)))"),"")</f>
        <v/>
      </c>
      <c r="N57" s="129">
        <f t="shared" si="4"/>
        <v>0</v>
      </c>
      <c r="O57" s="71"/>
      <c r="P57" s="71"/>
      <c r="Q57" s="71"/>
    </row>
    <row r="58" ht="18.75" customHeight="1">
      <c r="A58" s="149" t="s">
        <v>603</v>
      </c>
      <c r="B58" s="150">
        <f t="shared" ref="B58:N58" si="5">SUM(B49:B57)</f>
        <v>0</v>
      </c>
      <c r="C58" s="150">
        <f t="shared" si="5"/>
        <v>0</v>
      </c>
      <c r="D58" s="150">
        <f t="shared" si="5"/>
        <v>0</v>
      </c>
      <c r="E58" s="150">
        <f t="shared" si="5"/>
        <v>0</v>
      </c>
      <c r="F58" s="150">
        <f t="shared" si="5"/>
        <v>0</v>
      </c>
      <c r="G58" s="150">
        <f t="shared" si="5"/>
        <v>0</v>
      </c>
      <c r="H58" s="150">
        <f t="shared" si="5"/>
        <v>91</v>
      </c>
      <c r="I58" s="150">
        <f t="shared" si="5"/>
        <v>0</v>
      </c>
      <c r="J58" s="150">
        <f t="shared" si="5"/>
        <v>0</v>
      </c>
      <c r="K58" s="150">
        <f t="shared" si="5"/>
        <v>0</v>
      </c>
      <c r="L58" s="150">
        <f t="shared" si="5"/>
        <v>0</v>
      </c>
      <c r="M58" s="150">
        <f t="shared" si="5"/>
        <v>0</v>
      </c>
      <c r="N58" s="150">
        <f t="shared" si="5"/>
        <v>91</v>
      </c>
      <c r="O58" s="71"/>
      <c r="P58" s="71"/>
      <c r="Q58" s="71"/>
    </row>
    <row r="59" ht="18.75" customHeight="1">
      <c r="A59" s="99"/>
      <c r="B59" s="99"/>
      <c r="C59" s="93"/>
      <c r="D59" s="93"/>
      <c r="E59" s="93"/>
      <c r="F59" s="93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</row>
    <row r="60" ht="18.75" customHeight="1">
      <c r="A60" s="99"/>
      <c r="B60" s="99"/>
      <c r="C60" s="93"/>
      <c r="D60" s="93"/>
      <c r="E60" s="93"/>
      <c r="F60" s="93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</row>
    <row r="61" ht="18.75" customHeight="1">
      <c r="A61" s="99"/>
      <c r="B61" s="99"/>
      <c r="C61" s="93"/>
      <c r="D61" s="93"/>
      <c r="E61" s="93"/>
      <c r="F61" s="93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</row>
  </sheetData>
  <autoFilter ref="$A$21:$F$61"/>
  <mergeCells count="1">
    <mergeCell ref="A1:Q1"/>
  </mergeCells>
  <conditionalFormatting sqref="A5:P16">
    <cfRule type="expression" dxfId="2" priority="1" stopIfTrue="1">
      <formula>MONTH($A5)=MONTH(TODAY())</formula>
    </cfRule>
  </conditionalFormatting>
  <conditionalFormatting sqref="Q5:Q16">
    <cfRule type="cellIs" dxfId="3" priority="2" stopIfTrue="1" operator="equal">
      <formula>"通过"</formula>
    </cfRule>
  </conditionalFormatting>
  <conditionalFormatting sqref="Q5:Q16">
    <cfRule type="cellIs" dxfId="4" priority="3" stopIfTrue="1" operator="equal">
      <formula>"检查"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/>
  </sheetPr>
  <sheetViews>
    <sheetView workbookViewId="0"/>
  </sheetViews>
  <sheetFormatPr customHeight="1" defaultColWidth="11.22" defaultRowHeight="15.0"/>
  <cols>
    <col customWidth="1" min="1" max="1" width="42.0"/>
    <col customWidth="1" min="2" max="2" width="20.0"/>
    <col customWidth="1" min="3" max="20" width="8.0"/>
    <col customWidth="1" min="21" max="26" width="12.0"/>
  </cols>
  <sheetData>
    <row r="1" ht="30.0" customHeight="1">
      <c r="A1" s="151" t="s">
        <v>667</v>
      </c>
      <c r="B1" s="152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4"/>
      <c r="V1" s="154"/>
      <c r="W1" s="154"/>
      <c r="X1" s="154"/>
      <c r="Y1" s="154"/>
      <c r="Z1" s="154"/>
    </row>
    <row r="2" ht="30.0" customHeight="1">
      <c r="A2" s="155" t="s">
        <v>668</v>
      </c>
      <c r="B2" s="155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5.0" customHeight="1">
      <c r="A3" s="155" t="s">
        <v>669</v>
      </c>
      <c r="B3" s="155">
        <f>SUM('Product_Stock_Master产品维护'!$F$2:$F$500)</f>
        <v>2108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5.0" customHeight="1">
      <c r="A4" s="155" t="s">
        <v>671</v>
      </c>
      <c r="B4" s="155">
        <f>SUM('Product_Stock_Master产品维护'!$G$2:$G$500)</f>
        <v>2108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5.0" customHeight="1">
      <c r="A5" s="155" t="s">
        <v>672</v>
      </c>
      <c r="B5" s="155">
        <f>SUM('Product_Stock_Master产品维护'!$H$2:$H$500)</f>
        <v>0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0" customHeight="1">
      <c r="A6" s="155" t="s">
        <v>674</v>
      </c>
      <c r="B6" s="155">
        <f>SUM('Product_Stock_Master产品维护'!$I:$I)</f>
        <v>227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0" customHeight="1">
      <c r="A7" s="155" t="s">
        <v>675</v>
      </c>
      <c r="B7" s="155">
        <f>COUNTIFS('Current_Stock_Detail 当前库存明细查询'!$C:$C,"MIX*",'Current_Stock_Detail 当前库存明细查询'!$I:$I,"In Stock / 在库")</f>
        <v>18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5.0" customHeight="1">
      <c r="A8" s="155"/>
      <c r="B8" s="155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30.0" customHeight="1">
      <c r="A9" s="155" t="s">
        <v>677</v>
      </c>
      <c r="B9" s="155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5.0" customHeight="1">
      <c r="A10" s="155" t="s">
        <v>679</v>
      </c>
      <c r="B10" s="155">
        <f>COUNTIF('主表 Stock_Transaction_Log'!$C$2:$C$492,"Prepared")</f>
        <v>17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5.0" customHeight="1">
      <c r="A11" s="155" t="s">
        <v>680</v>
      </c>
      <c r="B11" s="155">
        <f>COUNTIFS('主表 Stock_Transaction_Log'!$C$2:$C$492,"Outbound",'主表 Stock_Transaction_Log'!$I$2:$I$492,"Product",'主表 Stock_Transaction_Log'!$J$2:$J$492,"")</f>
        <v>0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5.0" customHeight="1">
      <c r="A12" s="155" t="s">
        <v>681</v>
      </c>
      <c r="B12" s="155">
        <f>COUNTIFS('主表 Stock_Transaction_Log'!$C$2:$C$492,"Return_to_Repair",'主表 Stock_Transaction_Log'!$I$2:$I$492,"Product",'主表 Stock_Transaction_Log'!$J$2:$J$492,"")</f>
        <v>0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5.0" customHeight="1">
      <c r="A13" s="155" t="s">
        <v>684</v>
      </c>
      <c r="B13" s="155">
        <f>COUNTIF('主表 Stock_Transaction_Log'!$O$2:$O$492,"&lt;&gt;OK")-COUNTBLANK('主表 Stock_Transaction_Log'!$O$2:$O$492)</f>
        <v>10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5.0" customHeight="1">
      <c r="A14" s="156" t="s">
        <v>685</v>
      </c>
      <c r="B14" s="156">
        <f>SUM('主表 Stock_Transaction_Log'!$Y$2:$Y$192)</f>
        <v>0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5.0" customHeight="1">
      <c r="A15" s="156"/>
      <c r="B15" s="156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36.0" customHeight="1">
      <c r="A16" s="156" t="s">
        <v>686</v>
      </c>
      <c r="B16" s="156"/>
      <c r="C16" s="58"/>
      <c r="D16" s="58"/>
      <c r="E16" s="58"/>
      <c r="F16" s="58"/>
      <c r="G16" s="58"/>
      <c r="H16" s="58"/>
      <c r="I16" s="58"/>
      <c r="J16" s="58" t="s">
        <v>687</v>
      </c>
      <c r="K16" s="58" t="s">
        <v>688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5.0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 t="str">
        <f t="array" ref="S17">IFERROR(UNIQUE(_xlws.FILTER('主表 Stock_Transaction_Log'!D2:D192,('主表 Stock_Transaction_Log'!C2:C192="Outbound")*('主表 Stock_Transaction_Log'!D2:D192&lt;&gt;""))),"")</f>
        <v/>
      </c>
      <c r="T17" s="58" t="str">
        <f t="array" ref="T17">IFERROR(UNIQUE(_xlws.FILTER('主表 Stock_Transaction_Log'!D2:D192,('主表 Stock_Transaction_Log'!C2:C192="Return_to_Repair")*('主表 Stock_Transaction_Log'!D2:D192&lt;&gt;""))),"")</f>
        <v/>
      </c>
      <c r="U17" s="58"/>
      <c r="V17" s="58"/>
      <c r="W17" s="58"/>
      <c r="X17" s="58"/>
      <c r="Y17" s="58"/>
      <c r="Z17" s="58"/>
    </row>
    <row r="18" ht="15.0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5.0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5.0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0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0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0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0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0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0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0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0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0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0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0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0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0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0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0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0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0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0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0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0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0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0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0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0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0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0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0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0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0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0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0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0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0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0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0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0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0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0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0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0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0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5.0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0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0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0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0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0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0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0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0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0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0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0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0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0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0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0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0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0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0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0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0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0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0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0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0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0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0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0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0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0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0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0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0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0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0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0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0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0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0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0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0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0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0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0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0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0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0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0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0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0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0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0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0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0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0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0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0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0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0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0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0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0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0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0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0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0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0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0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0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0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0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0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0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0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0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0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0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0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0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0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0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0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0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0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0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0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0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0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0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0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0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0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0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0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0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0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0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0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0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0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0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0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0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0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0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0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0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0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0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0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0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0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0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0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0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0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0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0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0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0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0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0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0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0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0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0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0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0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0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0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0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0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0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0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0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0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0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0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0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2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0"/>
    <col customWidth="1" min="2" max="2" width="48.0"/>
    <col customWidth="1" min="3" max="5" width="12.0"/>
    <col customWidth="1" min="6" max="6" width="16.0"/>
    <col customWidth="1" min="7" max="9" width="12.0"/>
    <col customWidth="1" min="10" max="10" width="42.0"/>
    <col customWidth="1" min="11" max="11" width="31.67"/>
    <col customWidth="1" min="12" max="12" width="24.44"/>
    <col customWidth="1" min="13" max="26" width="12.0"/>
  </cols>
  <sheetData>
    <row r="1" ht="46.5" customHeight="1">
      <c r="A1" s="158" t="s">
        <v>712</v>
      </c>
      <c r="B1" s="158" t="s">
        <v>713</v>
      </c>
      <c r="C1" s="158" t="s">
        <v>714</v>
      </c>
      <c r="D1" s="158" t="s">
        <v>715</v>
      </c>
      <c r="E1" s="158" t="s">
        <v>716</v>
      </c>
      <c r="F1" s="158" t="s">
        <v>717</v>
      </c>
      <c r="G1" s="158" t="s">
        <v>718</v>
      </c>
      <c r="H1" s="158" t="s">
        <v>719</v>
      </c>
      <c r="I1" s="158" t="s">
        <v>720</v>
      </c>
      <c r="J1" s="158" t="s">
        <v>721</v>
      </c>
      <c r="K1" s="159" t="s">
        <v>54</v>
      </c>
      <c r="L1" s="159" t="s">
        <v>58</v>
      </c>
    </row>
    <row r="2" ht="43.5" customHeight="1">
      <c r="A2" s="57" t="s">
        <v>723</v>
      </c>
      <c r="B2" s="57" t="s">
        <v>724</v>
      </c>
      <c r="C2" s="160" t="s">
        <v>725</v>
      </c>
      <c r="D2" s="57" t="s">
        <v>726</v>
      </c>
      <c r="E2" s="57" t="s">
        <v>727</v>
      </c>
      <c r="F2" s="57">
        <f>IF(A2="","",SUMIF('Current_Stock_Detail 当前库存明细查询'!$D:$D,A2,'Current_Stock_Detail 当前库存明细查询'!$H:$H))</f>
        <v>0</v>
      </c>
      <c r="G2" s="57">
        <f>IF(A2="","",SUMIFS('Current_Stock_Detail 当前库存明细查询'!$H:$H,'Current_Stock_Detail 当前库存明细查询'!$D:$D,A2,'Current_Stock_Detail 当前库存明细查询'!$B:$B,"&lt;&gt;REPAIR*",'Current_Stock_Detail 当前库存明细查询'!$B:$B,"&lt;&gt;RTN*"))</f>
        <v>0</v>
      </c>
      <c r="H2" s="57">
        <f>IF(A2="","",SUMIFS('Current_Stock_Detail 当前库存明细查询'!$H:$H,'Current_Stock_Detail 当前库存明细查询'!$D:$D,A2,'Current_Stock_Detail 当前库存明细查询'!$B:$B,"REPAIR*"))</f>
        <v>0</v>
      </c>
      <c r="I2" s="57">
        <f>IF(A2="","",SUMIFS('Current_Stock_Detail 当前库存明细查询'!$H:$H,'Current_Stock_Detail 当前库存明细查询'!$D:$D,A2,'Current_Stock_Detail 当前库存明细查询'!$C:$C,"MIX*"))</f>
        <v>0</v>
      </c>
      <c r="J2" s="57" t="s">
        <v>729</v>
      </c>
      <c r="K2" s="58" t="s">
        <v>730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43.5" customHeight="1">
      <c r="A3" s="57" t="s">
        <v>731</v>
      </c>
      <c r="B3" s="57" t="s">
        <v>732</v>
      </c>
      <c r="C3" s="160" t="s">
        <v>725</v>
      </c>
      <c r="D3" s="57" t="s">
        <v>726</v>
      </c>
      <c r="E3" s="57" t="s">
        <v>727</v>
      </c>
      <c r="F3" s="57">
        <f>IF(A3="","",SUMIF('Current_Stock_Detail 当前库存明细查询'!$D:$D,A3,'Current_Stock_Detail 当前库存明细查询'!$H:$H))</f>
        <v>0</v>
      </c>
      <c r="G3" s="57">
        <f>IF(A3="","",SUMIFS('Current_Stock_Detail 当前库存明细查询'!$H:$H,'Current_Stock_Detail 当前库存明细查询'!$D:$D,A3,'Current_Stock_Detail 当前库存明细查询'!$B:$B,"&lt;&gt;REPAIR*",'Current_Stock_Detail 当前库存明细查询'!$B:$B,"&lt;&gt;RTN*"))</f>
        <v>0</v>
      </c>
      <c r="H3" s="57">
        <f>IF(A3="","",SUMIFS('Current_Stock_Detail 当前库存明细查询'!$H:$H,'Current_Stock_Detail 当前库存明细查询'!$D:$D,A3,'Current_Stock_Detail 当前库存明细查询'!$B:$B,"REPAIR*"))</f>
        <v>0</v>
      </c>
      <c r="I3" s="57">
        <f>IF(A3="","",SUMIFS('Current_Stock_Detail 当前库存明细查询'!$H:$H,'Current_Stock_Detail 当前库存明细查询'!$D:$D,A3,'Current_Stock_Detail 当前库存明细查询'!$C:$C,"MIX*"))</f>
        <v>0</v>
      </c>
      <c r="J3" s="57" t="s">
        <v>733</v>
      </c>
      <c r="K3" s="58" t="s">
        <v>730</v>
      </c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43.5" customHeight="1">
      <c r="A4" s="57" t="s">
        <v>735</v>
      </c>
      <c r="B4" s="57" t="s">
        <v>736</v>
      </c>
      <c r="C4" s="160" t="s">
        <v>725</v>
      </c>
      <c r="D4" s="57" t="s">
        <v>726</v>
      </c>
      <c r="E4" s="57" t="s">
        <v>727</v>
      </c>
      <c r="F4" s="57">
        <f>IF(A4="","",SUMIF('Current_Stock_Detail 当前库存明细查询'!$D:$D,A4,'Current_Stock_Detail 当前库存明细查询'!$H:$H))</f>
        <v>0</v>
      </c>
      <c r="G4" s="57">
        <f>IF(A4="","",SUMIFS('Current_Stock_Detail 当前库存明细查询'!$H:$H,'Current_Stock_Detail 当前库存明细查询'!$D:$D,A4,'Current_Stock_Detail 当前库存明细查询'!$B:$B,"&lt;&gt;REPAIR*",'Current_Stock_Detail 当前库存明细查询'!$B:$B,"&lt;&gt;RTN*"))</f>
        <v>0</v>
      </c>
      <c r="H4" s="57">
        <f>IF(A4="","",SUMIFS('Current_Stock_Detail 当前库存明细查询'!$H:$H,'Current_Stock_Detail 当前库存明细查询'!$D:$D,A4,'Current_Stock_Detail 当前库存明细查询'!$B:$B,"REPAIR*"))</f>
        <v>0</v>
      </c>
      <c r="I4" s="57">
        <f>IF(A4="","",SUMIFS('Current_Stock_Detail 当前库存明细查询'!$H:$H,'Current_Stock_Detail 当前库存明细查询'!$D:$D,A4,'Current_Stock_Detail 当前库存明细查询'!$C:$C,"MIX*"))</f>
        <v>0</v>
      </c>
      <c r="J4" s="57" t="s">
        <v>738</v>
      </c>
      <c r="K4" s="58" t="s">
        <v>730</v>
      </c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43.5" customHeight="1">
      <c r="A5" s="57" t="s">
        <v>739</v>
      </c>
      <c r="B5" s="57" t="s">
        <v>740</v>
      </c>
      <c r="C5" s="160" t="s">
        <v>725</v>
      </c>
      <c r="D5" s="57" t="s">
        <v>741</v>
      </c>
      <c r="E5" s="57" t="s">
        <v>727</v>
      </c>
      <c r="F5" s="57">
        <f>IF(A5="","",SUMIF('Current_Stock_Detail 当前库存明细查询'!$D:$D,A5,'Current_Stock_Detail 当前库存明细查询'!$H:$H))</f>
        <v>0</v>
      </c>
      <c r="G5" s="57">
        <f>IF(A5="","",SUMIFS('Current_Stock_Detail 当前库存明细查询'!$H:$H,'Current_Stock_Detail 当前库存明细查询'!$D:$D,A5,'Current_Stock_Detail 当前库存明细查询'!$B:$B,"&lt;&gt;REPAIR*",'Current_Stock_Detail 当前库存明细查询'!$B:$B,"&lt;&gt;RTN*"))</f>
        <v>0</v>
      </c>
      <c r="H5" s="57">
        <f>IF(A5="","",SUMIFS('Current_Stock_Detail 当前库存明细查询'!$H:$H,'Current_Stock_Detail 当前库存明细查询'!$D:$D,A5,'Current_Stock_Detail 当前库存明细查询'!$B:$B,"REPAIR*"))</f>
        <v>0</v>
      </c>
      <c r="I5" s="57">
        <f>IF(A5="","",SUMIFS('Current_Stock_Detail 当前库存明细查询'!$H:$H,'Current_Stock_Detail 当前库存明细查询'!$D:$D,A5,'Current_Stock_Detail 当前库存明细查询'!$C:$C,"MIX*"))</f>
        <v>0</v>
      </c>
      <c r="J5" s="57" t="s">
        <v>744</v>
      </c>
      <c r="K5" s="58" t="s">
        <v>730</v>
      </c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43.5" customHeight="1">
      <c r="A6" s="57" t="s">
        <v>745</v>
      </c>
      <c r="B6" s="57" t="s">
        <v>746</v>
      </c>
      <c r="C6" s="160" t="s">
        <v>725</v>
      </c>
      <c r="D6" s="57" t="s">
        <v>747</v>
      </c>
      <c r="E6" s="57" t="s">
        <v>727</v>
      </c>
      <c r="F6" s="57">
        <f>IF(A6="","",SUMIF('Current_Stock_Detail 当前库存明细查询'!$D:$D,A6,'Current_Stock_Detail 当前库存明细查询'!$H:$H))</f>
        <v>0</v>
      </c>
      <c r="G6" s="57">
        <f>IF(A6="","",SUMIFS('Current_Stock_Detail 当前库存明细查询'!$H:$H,'Current_Stock_Detail 当前库存明细查询'!$D:$D,A6,'Current_Stock_Detail 当前库存明细查询'!$B:$B,"&lt;&gt;REPAIR*",'Current_Stock_Detail 当前库存明细查询'!$B:$B,"&lt;&gt;RTN*"))</f>
        <v>0</v>
      </c>
      <c r="H6" s="57">
        <f>IF(A6="","",SUMIFS('Current_Stock_Detail 当前库存明细查询'!$H:$H,'Current_Stock_Detail 当前库存明细查询'!$D:$D,A6,'Current_Stock_Detail 当前库存明细查询'!$B:$B,"REPAIR*"))</f>
        <v>0</v>
      </c>
      <c r="I6" s="57">
        <f>IF(A6="","",SUMIFS('Current_Stock_Detail 当前库存明细查询'!$H:$H,'Current_Stock_Detail 当前库存明细查询'!$D:$D,A6,'Current_Stock_Detail 当前库存明细查询'!$C:$C,"MIX*"))</f>
        <v>0</v>
      </c>
      <c r="J6" s="57" t="s">
        <v>750</v>
      </c>
      <c r="K6" s="58" t="s">
        <v>730</v>
      </c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43.5" customHeight="1">
      <c r="A7" s="57" t="s">
        <v>751</v>
      </c>
      <c r="B7" s="57" t="s">
        <v>753</v>
      </c>
      <c r="C7" s="160" t="s">
        <v>725</v>
      </c>
      <c r="D7" s="57" t="s">
        <v>755</v>
      </c>
      <c r="E7" s="57" t="s">
        <v>727</v>
      </c>
      <c r="F7" s="57">
        <f>IF(A7="","",SUMIF('Current_Stock_Detail 当前库存明细查询'!$D:$D,A7,'Current_Stock_Detail 当前库存明细查询'!$H:$H))</f>
        <v>0</v>
      </c>
      <c r="G7" s="57">
        <f>IF(A7="","",SUMIFS('Current_Stock_Detail 当前库存明细查询'!$H:$H,'Current_Stock_Detail 当前库存明细查询'!$D:$D,A7,'Current_Stock_Detail 当前库存明细查询'!$B:$B,"&lt;&gt;REPAIR*",'Current_Stock_Detail 当前库存明细查询'!$B:$B,"&lt;&gt;RTN*"))</f>
        <v>0</v>
      </c>
      <c r="H7" s="57">
        <f>IF(A7="","",SUMIFS('Current_Stock_Detail 当前库存明细查询'!$H:$H,'Current_Stock_Detail 当前库存明细查询'!$D:$D,A7,'Current_Stock_Detail 当前库存明细查询'!$B:$B,"REPAIR*"))</f>
        <v>0</v>
      </c>
      <c r="I7" s="57">
        <f>IF(A7="","",SUMIFS('Current_Stock_Detail 当前库存明细查询'!$H:$H,'Current_Stock_Detail 当前库存明细查询'!$D:$D,A7,'Current_Stock_Detail 当前库存明细查询'!$C:$C,"MIX*"))</f>
        <v>0</v>
      </c>
      <c r="J7" s="57" t="s">
        <v>758</v>
      </c>
      <c r="K7" s="58" t="s">
        <v>730</v>
      </c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43.5" customHeight="1">
      <c r="A8" s="57" t="s">
        <v>692</v>
      </c>
      <c r="B8" s="57" t="s">
        <v>760</v>
      </c>
      <c r="C8" s="160" t="s">
        <v>725</v>
      </c>
      <c r="D8" s="57" t="s">
        <v>755</v>
      </c>
      <c r="E8" s="57" t="s">
        <v>727</v>
      </c>
      <c r="F8" s="57">
        <f>IF(A8="","",SUMIF('Current_Stock_Detail 当前库存明细查询'!$D:$D,A8,'Current_Stock_Detail 当前库存明细查询'!$H:$H))</f>
        <v>75</v>
      </c>
      <c r="G8" s="57">
        <f>IF(A8="","",SUMIFS('Current_Stock_Detail 当前库存明细查询'!$H:$H,'Current_Stock_Detail 当前库存明细查询'!$D:$D,A8,'Current_Stock_Detail 当前库存明细查询'!$B:$B,"&lt;&gt;REPAIR*",'Current_Stock_Detail 当前库存明细查询'!$B:$B,"&lt;&gt;RTN*"))</f>
        <v>75</v>
      </c>
      <c r="H8" s="57">
        <f>IF(A8="","",SUMIFS('Current_Stock_Detail 当前库存明细查询'!$H:$H,'Current_Stock_Detail 当前库存明细查询'!$D:$D,A8,'Current_Stock_Detail 当前库存明细查询'!$B:$B,"REPAIR*"))</f>
        <v>0</v>
      </c>
      <c r="I8" s="57">
        <f>IF(A8="","",SUMIFS('Current_Stock_Detail 当前库存明细查询'!$H:$H,'Current_Stock_Detail 当前库存明细查询'!$D:$D,A8,'Current_Stock_Detail 当前库存明细查询'!$C:$C,"MIX*"))</f>
        <v>0</v>
      </c>
      <c r="J8" s="57" t="s">
        <v>761</v>
      </c>
      <c r="K8" s="58" t="s">
        <v>730</v>
      </c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43.5" customHeight="1">
      <c r="A9" s="57" t="s">
        <v>512</v>
      </c>
      <c r="B9" s="57" t="s">
        <v>762</v>
      </c>
      <c r="C9" s="160" t="s">
        <v>725</v>
      </c>
      <c r="D9" s="57" t="s">
        <v>755</v>
      </c>
      <c r="E9" s="57" t="s">
        <v>727</v>
      </c>
      <c r="F9" s="57">
        <f>IF(A9="","",SUMIF('Current_Stock_Detail 当前库存明细查询'!$D:$D,A9,'Current_Stock_Detail 当前库存明细查询'!$H:$H))</f>
        <v>80</v>
      </c>
      <c r="G9" s="57">
        <f>IF(A9="","",SUMIFS('Current_Stock_Detail 当前库存明细查询'!$H:$H,'Current_Stock_Detail 当前库存明细查询'!$D:$D,A9,'Current_Stock_Detail 当前库存明细查询'!$B:$B,"&lt;&gt;REPAIR*",'Current_Stock_Detail 当前库存明细查询'!$B:$B,"&lt;&gt;RTN*"))</f>
        <v>80</v>
      </c>
      <c r="H9" s="57">
        <f>IF(A9="","",SUMIFS('Current_Stock_Detail 当前库存明细查询'!$H:$H,'Current_Stock_Detail 当前库存明细查询'!$D:$D,A9,'Current_Stock_Detail 当前库存明细查询'!$B:$B,"REPAIR*"))</f>
        <v>0</v>
      </c>
      <c r="I9" s="57">
        <f>IF(A9="","",SUMIFS('Current_Stock_Detail 当前库存明细查询'!$H:$H,'Current_Stock_Detail 当前库存明细查询'!$D:$D,A9,'Current_Stock_Detail 当前库存明细查询'!$C:$C,"MIX*"))</f>
        <v>0</v>
      </c>
      <c r="J9" s="57" t="s">
        <v>764</v>
      </c>
      <c r="K9" s="58" t="s">
        <v>730</v>
      </c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43.5" customHeight="1">
      <c r="A10" s="57" t="s">
        <v>765</v>
      </c>
      <c r="B10" s="57" t="s">
        <v>766</v>
      </c>
      <c r="C10" s="160" t="s">
        <v>725</v>
      </c>
      <c r="D10" s="57" t="s">
        <v>747</v>
      </c>
      <c r="E10" s="57" t="s">
        <v>727</v>
      </c>
      <c r="F10" s="57">
        <f>IF(A10="","",SUMIF('Current_Stock_Detail 当前库存明细查询'!$D:$D,A10,'Current_Stock_Detail 当前库存明细查询'!$H:$H))</f>
        <v>0</v>
      </c>
      <c r="G10" s="57">
        <f>IF(A10="","",SUMIFS('Current_Stock_Detail 当前库存明细查询'!$H:$H,'Current_Stock_Detail 当前库存明细查询'!$D:$D,A10,'Current_Stock_Detail 当前库存明细查询'!$B:$B,"&lt;&gt;REPAIR*",'Current_Stock_Detail 当前库存明细查询'!$B:$B,"&lt;&gt;RTN*"))</f>
        <v>0</v>
      </c>
      <c r="H10" s="57">
        <f>IF(A10="","",SUMIFS('Current_Stock_Detail 当前库存明细查询'!$H:$H,'Current_Stock_Detail 当前库存明细查询'!$D:$D,A10,'Current_Stock_Detail 当前库存明细查询'!$B:$B,"REPAIR*"))</f>
        <v>0</v>
      </c>
      <c r="I10" s="57">
        <f>IF(A10="","",SUMIFS('Current_Stock_Detail 当前库存明细查询'!$H:$H,'Current_Stock_Detail 当前库存明细查询'!$D:$D,A10,'Current_Stock_Detail 当前库存明细查询'!$C:$C,"MIX*"))</f>
        <v>0</v>
      </c>
      <c r="J10" s="57" t="s">
        <v>769</v>
      </c>
      <c r="K10" s="58" t="s">
        <v>730</v>
      </c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43.5" customHeight="1">
      <c r="A11" s="57" t="s">
        <v>697</v>
      </c>
      <c r="B11" s="57" t="s">
        <v>770</v>
      </c>
      <c r="C11" s="160" t="s">
        <v>725</v>
      </c>
      <c r="D11" s="57" t="s">
        <v>755</v>
      </c>
      <c r="E11" s="57" t="s">
        <v>727</v>
      </c>
      <c r="F11" s="57">
        <f>IF(A11="","",SUMIF('Current_Stock_Detail 当前库存明细查询'!$D:$D,A11,'Current_Stock_Detail 当前库存明细查询'!$H:$H))</f>
        <v>99</v>
      </c>
      <c r="G11" s="57">
        <f>IF(A11="","",SUMIFS('Current_Stock_Detail 当前库存明细查询'!$H:$H,'Current_Stock_Detail 当前库存明细查询'!$D:$D,A11,'Current_Stock_Detail 当前库存明细查询'!$B:$B,"&lt;&gt;REPAIR*",'Current_Stock_Detail 当前库存明细查询'!$B:$B,"&lt;&gt;RTN*"))</f>
        <v>99</v>
      </c>
      <c r="H11" s="57">
        <f>IF(A11="","",SUMIFS('Current_Stock_Detail 当前库存明细查询'!$H:$H,'Current_Stock_Detail 当前库存明细查询'!$D:$D,A11,'Current_Stock_Detail 当前库存明细查询'!$B:$B,"REPAIR*"))</f>
        <v>0</v>
      </c>
      <c r="I11" s="57">
        <f>IF(A11="","",SUMIFS('Current_Stock_Detail 当前库存明细查询'!$H:$H,'Current_Stock_Detail 当前库存明细查询'!$D:$D,A11,'Current_Stock_Detail 当前库存明细查询'!$C:$C,"MIX*"))</f>
        <v>0</v>
      </c>
      <c r="J11" s="57" t="s">
        <v>772</v>
      </c>
      <c r="K11" s="58" t="s">
        <v>730</v>
      </c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43.5" customHeight="1">
      <c r="A12" s="57" t="s">
        <v>525</v>
      </c>
      <c r="B12" s="57" t="s">
        <v>773</v>
      </c>
      <c r="C12" s="160" t="s">
        <v>725</v>
      </c>
      <c r="D12" s="57" t="s">
        <v>755</v>
      </c>
      <c r="E12" s="57" t="s">
        <v>727</v>
      </c>
      <c r="F12" s="57">
        <f>IF(A12="","",SUMIF('Current_Stock_Detail 当前库存明细查询'!$D:$D,A12,'Current_Stock_Detail 当前库存明细查询'!$H:$H))</f>
        <v>85</v>
      </c>
      <c r="G12" s="57">
        <f>IF(A12="","",SUMIFS('Current_Stock_Detail 当前库存明细查询'!$H:$H,'Current_Stock_Detail 当前库存明细查询'!$D:$D,A12,'Current_Stock_Detail 当前库存明细查询'!$B:$B,"&lt;&gt;REPAIR*",'Current_Stock_Detail 当前库存明细查询'!$B:$B,"&lt;&gt;RTN*"))</f>
        <v>85</v>
      </c>
      <c r="H12" s="57">
        <f>IF(A12="","",SUMIFS('Current_Stock_Detail 当前库存明细查询'!$H:$H,'Current_Stock_Detail 当前库存明细查询'!$D:$D,A12,'Current_Stock_Detail 当前库存明细查询'!$B:$B,"REPAIR*"))</f>
        <v>0</v>
      </c>
      <c r="I12" s="57">
        <f>IF(A12="","",SUMIFS('Current_Stock_Detail 当前库存明细查询'!$H:$H,'Current_Stock_Detail 当前库存明细查询'!$D:$D,A12,'Current_Stock_Detail 当前库存明细查询'!$C:$C,"MIX*"))</f>
        <v>10</v>
      </c>
      <c r="J12" s="57" t="s">
        <v>774</v>
      </c>
      <c r="K12" s="58" t="s">
        <v>730</v>
      </c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43.5" customHeight="1">
      <c r="A13" s="57" t="s">
        <v>775</v>
      </c>
      <c r="B13" s="57" t="s">
        <v>776</v>
      </c>
      <c r="C13" s="160" t="s">
        <v>725</v>
      </c>
      <c r="D13" s="57" t="s">
        <v>755</v>
      </c>
      <c r="E13" s="57" t="s">
        <v>727</v>
      </c>
      <c r="F13" s="57">
        <f>IF(A13="","",SUMIF('Current_Stock_Detail 当前库存明细查询'!$D:$D,A13,'Current_Stock_Detail 当前库存明细查询'!$H:$H))</f>
        <v>0</v>
      </c>
      <c r="G13" s="57">
        <f>IF(A13="","",SUMIFS('Current_Stock_Detail 当前库存明细查询'!$H:$H,'Current_Stock_Detail 当前库存明细查询'!$D:$D,A13,'Current_Stock_Detail 当前库存明细查询'!$B:$B,"&lt;&gt;REPAIR*",'Current_Stock_Detail 当前库存明细查询'!$B:$B,"&lt;&gt;RTN*"))</f>
        <v>0</v>
      </c>
      <c r="H13" s="57">
        <f>IF(A13="","",SUMIFS('Current_Stock_Detail 当前库存明细查询'!$H:$H,'Current_Stock_Detail 当前库存明细查询'!$D:$D,A13,'Current_Stock_Detail 当前库存明细查询'!$B:$B,"REPAIR*"))</f>
        <v>0</v>
      </c>
      <c r="I13" s="57">
        <f>IF(A13="","",SUMIFS('Current_Stock_Detail 当前库存明细查询'!$H:$H,'Current_Stock_Detail 当前库存明细查询'!$D:$D,A13,'Current_Stock_Detail 当前库存明细查询'!$C:$C,"MIX*"))</f>
        <v>0</v>
      </c>
      <c r="J13" s="57" t="s">
        <v>778</v>
      </c>
      <c r="K13" s="58" t="s">
        <v>730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43.5" customHeight="1">
      <c r="A14" s="57" t="s">
        <v>779</v>
      </c>
      <c r="B14" s="57" t="s">
        <v>780</v>
      </c>
      <c r="C14" s="160" t="s">
        <v>725</v>
      </c>
      <c r="D14" s="57" t="s">
        <v>755</v>
      </c>
      <c r="E14" s="57" t="s">
        <v>727</v>
      </c>
      <c r="F14" s="57">
        <f>IF(A14="","",SUMIF('Current_Stock_Detail 当前库存明细查询'!$D:$D,A14,'Current_Stock_Detail 当前库存明细查询'!$H:$H))</f>
        <v>0</v>
      </c>
      <c r="G14" s="57">
        <f>IF(A14="","",SUMIFS('Current_Stock_Detail 当前库存明细查询'!$H:$H,'Current_Stock_Detail 当前库存明细查询'!$D:$D,A14,'Current_Stock_Detail 当前库存明细查询'!$B:$B,"&lt;&gt;REPAIR*",'Current_Stock_Detail 当前库存明细查询'!$B:$B,"&lt;&gt;RTN*"))</f>
        <v>0</v>
      </c>
      <c r="H14" s="57">
        <f>IF(A14="","",SUMIFS('Current_Stock_Detail 当前库存明细查询'!$H:$H,'Current_Stock_Detail 当前库存明细查询'!$D:$D,A14,'Current_Stock_Detail 当前库存明细查询'!$B:$B,"REPAIR*"))</f>
        <v>0</v>
      </c>
      <c r="I14" s="57">
        <f>IF(A14="","",SUMIFS('Current_Stock_Detail 当前库存明细查询'!$H:$H,'Current_Stock_Detail 当前库存明细查询'!$D:$D,A14,'Current_Stock_Detail 当前库存明细查询'!$C:$C,"MIX*"))</f>
        <v>0</v>
      </c>
      <c r="J14" s="57" t="s">
        <v>782</v>
      </c>
      <c r="K14" s="58" t="s">
        <v>730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43.5" customHeight="1">
      <c r="A15" s="57" t="s">
        <v>785</v>
      </c>
      <c r="B15" s="57" t="s">
        <v>786</v>
      </c>
      <c r="C15" s="160" t="s">
        <v>725</v>
      </c>
      <c r="D15" s="57" t="s">
        <v>787</v>
      </c>
      <c r="E15" s="57" t="s">
        <v>727</v>
      </c>
      <c r="F15" s="57">
        <f>IF(A15="","",SUMIF('Current_Stock_Detail 当前库存明细查询'!$D:$D,A15,'Current_Stock_Detail 当前库存明细查询'!$H:$H))</f>
        <v>0</v>
      </c>
      <c r="G15" s="57">
        <f>IF(A15="","",SUMIFS('Current_Stock_Detail 当前库存明细查询'!$H:$H,'Current_Stock_Detail 当前库存明细查询'!$D:$D,A15,'Current_Stock_Detail 当前库存明细查询'!$B:$B,"&lt;&gt;REPAIR*",'Current_Stock_Detail 当前库存明细查询'!$B:$B,"&lt;&gt;RTN*"))</f>
        <v>0</v>
      </c>
      <c r="H15" s="57">
        <f>IF(A15="","",SUMIFS('Current_Stock_Detail 当前库存明细查询'!$H:$H,'Current_Stock_Detail 当前库存明细查询'!$D:$D,A15,'Current_Stock_Detail 当前库存明细查询'!$B:$B,"REPAIR*"))</f>
        <v>0</v>
      </c>
      <c r="I15" s="57">
        <f>IF(A15="","",SUMIFS('Current_Stock_Detail 当前库存明细查询'!$H:$H,'Current_Stock_Detail 当前库存明细查询'!$D:$D,A15,'Current_Stock_Detail 当前库存明细查询'!$C:$C,"MIX*"))</f>
        <v>0</v>
      </c>
      <c r="J15" s="57" t="s">
        <v>788</v>
      </c>
      <c r="K15" s="58" t="s">
        <v>730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43.5" customHeight="1">
      <c r="A16" s="57" t="s">
        <v>789</v>
      </c>
      <c r="B16" s="57" t="s">
        <v>790</v>
      </c>
      <c r="C16" s="160" t="s">
        <v>725</v>
      </c>
      <c r="D16" s="57" t="s">
        <v>787</v>
      </c>
      <c r="E16" s="57" t="s">
        <v>727</v>
      </c>
      <c r="F16" s="57">
        <f>IF(A16="","",SUMIF('Current_Stock_Detail 当前库存明细查询'!$D:$D,A16,'Current_Stock_Detail 当前库存明细查询'!$H:$H))</f>
        <v>0</v>
      </c>
      <c r="G16" s="57">
        <f>IF(A16="","",SUMIFS('Current_Stock_Detail 当前库存明细查询'!$H:$H,'Current_Stock_Detail 当前库存明细查询'!$D:$D,A16,'Current_Stock_Detail 当前库存明细查询'!$B:$B,"&lt;&gt;REPAIR*",'Current_Stock_Detail 当前库存明细查询'!$B:$B,"&lt;&gt;RTN*"))</f>
        <v>0</v>
      </c>
      <c r="H16" s="57">
        <f>IF(A16="","",SUMIFS('Current_Stock_Detail 当前库存明细查询'!$H:$H,'Current_Stock_Detail 当前库存明细查询'!$D:$D,A16,'Current_Stock_Detail 当前库存明细查询'!$B:$B,"REPAIR*"))</f>
        <v>0</v>
      </c>
      <c r="I16" s="57">
        <f>IF(A16="","",SUMIFS('Current_Stock_Detail 当前库存明细查询'!$H:$H,'Current_Stock_Detail 当前库存明细查询'!$D:$D,A16,'Current_Stock_Detail 当前库存明细查询'!$C:$C,"MIX*"))</f>
        <v>0</v>
      </c>
      <c r="J16" s="57" t="s">
        <v>793</v>
      </c>
      <c r="K16" s="58" t="s">
        <v>730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43.5" customHeight="1">
      <c r="A17" s="57" t="s">
        <v>794</v>
      </c>
      <c r="B17" s="57" t="s">
        <v>795</v>
      </c>
      <c r="C17" s="160" t="s">
        <v>725</v>
      </c>
      <c r="D17" s="57" t="s">
        <v>787</v>
      </c>
      <c r="E17" s="57" t="s">
        <v>727</v>
      </c>
      <c r="F17" s="57">
        <f>IF(A17="","",SUMIF('Current_Stock_Detail 当前库存明细查询'!$D:$D,A17,'Current_Stock_Detail 当前库存明细查询'!$H:$H))</f>
        <v>0</v>
      </c>
      <c r="G17" s="57">
        <f>IF(A17="","",SUMIFS('Current_Stock_Detail 当前库存明细查询'!$H:$H,'Current_Stock_Detail 当前库存明细查询'!$D:$D,A17,'Current_Stock_Detail 当前库存明细查询'!$B:$B,"&lt;&gt;REPAIR*",'Current_Stock_Detail 当前库存明细查询'!$B:$B,"&lt;&gt;RTN*"))</f>
        <v>0</v>
      </c>
      <c r="H17" s="57">
        <f>IF(A17="","",SUMIFS('Current_Stock_Detail 当前库存明细查询'!$H:$H,'Current_Stock_Detail 当前库存明细查询'!$D:$D,A17,'Current_Stock_Detail 当前库存明细查询'!$B:$B,"REPAIR*"))</f>
        <v>0</v>
      </c>
      <c r="I17" s="57">
        <f>IF(A17="","",SUMIFS('Current_Stock_Detail 当前库存明细查询'!$H:$H,'Current_Stock_Detail 当前库存明细查询'!$D:$D,A17,'Current_Stock_Detail 当前库存明细查询'!$C:$C,"MIX*"))</f>
        <v>0</v>
      </c>
      <c r="J17" s="57" t="s">
        <v>796</v>
      </c>
      <c r="K17" s="58" t="s">
        <v>730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43.5" customHeight="1">
      <c r="A18" s="57" t="s">
        <v>702</v>
      </c>
      <c r="B18" s="57" t="s">
        <v>797</v>
      </c>
      <c r="C18" s="160" t="s">
        <v>725</v>
      </c>
      <c r="D18" s="57" t="s">
        <v>787</v>
      </c>
      <c r="E18" s="57" t="s">
        <v>727</v>
      </c>
      <c r="F18" s="57">
        <f>IF(A18="","",SUMIF('Current_Stock_Detail 当前库存明细查询'!$D:$D,A18,'Current_Stock_Detail 当前库存明细查询'!$H:$H))</f>
        <v>99</v>
      </c>
      <c r="G18" s="57">
        <f>IF(A18="","",SUMIFS('Current_Stock_Detail 当前库存明细查询'!$H:$H,'Current_Stock_Detail 当前库存明细查询'!$D:$D,A18,'Current_Stock_Detail 当前库存明细查询'!$B:$B,"&lt;&gt;REPAIR*",'Current_Stock_Detail 当前库存明细查询'!$B:$B,"&lt;&gt;RTN*"))</f>
        <v>99</v>
      </c>
      <c r="H18" s="57">
        <f>IF(A18="","",SUMIFS('Current_Stock_Detail 当前库存明细查询'!$H:$H,'Current_Stock_Detail 当前库存明细查询'!$D:$D,A18,'Current_Stock_Detail 当前库存明细查询'!$B:$B,"REPAIR*"))</f>
        <v>0</v>
      </c>
      <c r="I18" s="57">
        <f>IF(A18="","",SUMIFS('Current_Stock_Detail 当前库存明细查询'!$H:$H,'Current_Stock_Detail 当前库存明细查询'!$D:$D,A18,'Current_Stock_Detail 当前库存明细查询'!$C:$C,"MIX*"))</f>
        <v>0</v>
      </c>
      <c r="J18" s="57" t="s">
        <v>799</v>
      </c>
      <c r="K18" s="58" t="s">
        <v>730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43.5" customHeight="1">
      <c r="A19" s="57" t="s">
        <v>801</v>
      </c>
      <c r="B19" s="160" t="s">
        <v>802</v>
      </c>
      <c r="C19" s="160" t="s">
        <v>725</v>
      </c>
      <c r="D19" s="57" t="s">
        <v>755</v>
      </c>
      <c r="E19" s="57" t="s">
        <v>727</v>
      </c>
      <c r="F19" s="57">
        <f>IF(A19="","",SUMIF('Current_Stock_Detail 当前库存明细查询'!$D:$D,A19,'Current_Stock_Detail 当前库存明细查询'!$H:$H))</f>
        <v>0</v>
      </c>
      <c r="G19" s="57">
        <f>IF(A19="","",SUMIFS('Current_Stock_Detail 当前库存明细查询'!$H:$H,'Current_Stock_Detail 当前库存明细查询'!$D:$D,A19,'Current_Stock_Detail 当前库存明细查询'!$B:$B,"&lt;&gt;REPAIR*",'Current_Stock_Detail 当前库存明细查询'!$B:$B,"&lt;&gt;RTN*"))</f>
        <v>0</v>
      </c>
      <c r="H19" s="57">
        <f>IF(A19="","",SUMIFS('Current_Stock_Detail 当前库存明细查询'!$H:$H,'Current_Stock_Detail 当前库存明细查询'!$D:$D,A19,'Current_Stock_Detail 当前库存明细查询'!$B:$B,"REPAIR*"))</f>
        <v>0</v>
      </c>
      <c r="I19" s="57">
        <f>IF(A19="","",SUMIFS('Current_Stock_Detail 当前库存明细查询'!$H:$H,'Current_Stock_Detail 当前库存明细查询'!$D:$D,A19,'Current_Stock_Detail 当前库存明细查询'!$C:$C,"MIX*"))</f>
        <v>0</v>
      </c>
      <c r="J19" s="57" t="s">
        <v>803</v>
      </c>
      <c r="K19" s="58" t="s">
        <v>727</v>
      </c>
      <c r="L19" s="58" t="s">
        <v>804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43.5" customHeight="1">
      <c r="A20" s="57" t="s">
        <v>140</v>
      </c>
      <c r="B20" s="160" t="s">
        <v>806</v>
      </c>
      <c r="C20" s="160" t="s">
        <v>725</v>
      </c>
      <c r="D20" s="57" t="s">
        <v>755</v>
      </c>
      <c r="E20" s="57" t="s">
        <v>727</v>
      </c>
      <c r="F20" s="57">
        <f>IF(A20="","",SUMIF('Current_Stock_Detail 当前库存明细查询'!$D:$D,A20,'Current_Stock_Detail 当前库存明细查询'!$H:$H))</f>
        <v>213</v>
      </c>
      <c r="G20" s="57">
        <f>IF(A20="","",SUMIFS('Current_Stock_Detail 当前库存明细查询'!$H:$H,'Current_Stock_Detail 当前库存明细查询'!$D:$D,A20,'Current_Stock_Detail 当前库存明细查询'!$B:$B,"&lt;&gt;REPAIR*",'Current_Stock_Detail 当前库存明细查询'!$B:$B,"&lt;&gt;RTN*"))</f>
        <v>213</v>
      </c>
      <c r="H20" s="57">
        <f>IF(A20="","",SUMIFS('Current_Stock_Detail 当前库存明细查询'!$H:$H,'Current_Stock_Detail 当前库存明细查询'!$D:$D,A20,'Current_Stock_Detail 当前库存明细查询'!$B:$B,"REPAIR*"))</f>
        <v>0</v>
      </c>
      <c r="I20" s="57">
        <f>IF(A20="","",SUMIFS('Current_Stock_Detail 当前库存明细查询'!$H:$H,'Current_Stock_Detail 当前库存明细查询'!$D:$D,A20,'Current_Stock_Detail 当前库存明细查询'!$C:$C,"MIX*"))</f>
        <v>0</v>
      </c>
      <c r="J20" s="57" t="s">
        <v>808</v>
      </c>
      <c r="K20" s="58" t="s">
        <v>730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43.5" customHeight="1">
      <c r="A21" s="57" t="s">
        <v>387</v>
      </c>
      <c r="B21" s="160" t="s">
        <v>809</v>
      </c>
      <c r="C21" s="160" t="s">
        <v>725</v>
      </c>
      <c r="D21" s="57" t="s">
        <v>755</v>
      </c>
      <c r="E21" s="57" t="s">
        <v>727</v>
      </c>
      <c r="F21" s="57">
        <f>IF(A21="","",SUMIF('Current_Stock_Detail 当前库存明细查询'!$D:$D,A21,'Current_Stock_Detail 当前库存明细查询'!$H:$H))</f>
        <v>168</v>
      </c>
      <c r="G21" s="57">
        <f>IF(A21="","",SUMIFS('Current_Stock_Detail 当前库存明细查询'!$H:$H,'Current_Stock_Detail 当前库存明细查询'!$D:$D,A21,'Current_Stock_Detail 当前库存明细查询'!$B:$B,"&lt;&gt;REPAIR*",'Current_Stock_Detail 当前库存明细查询'!$B:$B,"&lt;&gt;RTN*"))</f>
        <v>168</v>
      </c>
      <c r="H21" s="57">
        <f>IF(A21="","",SUMIFS('Current_Stock_Detail 当前库存明细查询'!$H:$H,'Current_Stock_Detail 当前库存明细查询'!$D:$D,A21,'Current_Stock_Detail 当前库存明细查询'!$B:$B,"REPAIR*"))</f>
        <v>0</v>
      </c>
      <c r="I21" s="57">
        <f>IF(A21="","",SUMIFS('Current_Stock_Detail 当前库存明细查询'!$H:$H,'Current_Stock_Detail 当前库存明细查询'!$D:$D,A21,'Current_Stock_Detail 当前库存明细查询'!$C:$C,"MIX*"))</f>
        <v>0</v>
      </c>
      <c r="J21" s="57" t="s">
        <v>811</v>
      </c>
      <c r="K21" s="58" t="s">
        <v>730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43.5" customHeight="1">
      <c r="A22" s="57" t="s">
        <v>70</v>
      </c>
      <c r="B22" s="160" t="s">
        <v>813</v>
      </c>
      <c r="C22" s="160" t="s">
        <v>725</v>
      </c>
      <c r="D22" s="57" t="s">
        <v>787</v>
      </c>
      <c r="E22" s="57" t="s">
        <v>727</v>
      </c>
      <c r="F22" s="57">
        <f>IF(A22="","",SUMIF('Current_Stock_Detail 当前库存明细查询'!$D:$D,A22,'Current_Stock_Detail 当前库存明细查询'!$H:$H))</f>
        <v>576</v>
      </c>
      <c r="G22" s="57">
        <f>IF(A22="","",SUMIFS('Current_Stock_Detail 当前库存明细查询'!$H:$H,'Current_Stock_Detail 当前库存明细查询'!$D:$D,A22,'Current_Stock_Detail 当前库存明细查询'!$B:$B,"&lt;&gt;REPAIR*",'Current_Stock_Detail 当前库存明细查询'!$B:$B,"&lt;&gt;RTN*"))</f>
        <v>576</v>
      </c>
      <c r="H22" s="57">
        <f>IF(A22="","",SUMIFS('Current_Stock_Detail 当前库存明细查询'!$H:$H,'Current_Stock_Detail 当前库存明细查询'!$D:$D,A22,'Current_Stock_Detail 当前库存明细查询'!$B:$B,"REPAIR*"))</f>
        <v>0</v>
      </c>
      <c r="I22" s="57">
        <f>IF(A22="","",SUMIFS('Current_Stock_Detail 当前库存明细查询'!$H:$H,'Current_Stock_Detail 当前库存明细查询'!$D:$D,A22,'Current_Stock_Detail 当前库存明细查询'!$C:$C,"MIX*"))</f>
        <v>0</v>
      </c>
      <c r="J22" s="57" t="s">
        <v>814</v>
      </c>
      <c r="K22" s="58" t="s">
        <v>730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43.5" customHeight="1">
      <c r="A23" s="57" t="s">
        <v>113</v>
      </c>
      <c r="B23" s="57" t="s">
        <v>815</v>
      </c>
      <c r="C23" s="160" t="s">
        <v>725</v>
      </c>
      <c r="D23" s="57" t="s">
        <v>726</v>
      </c>
      <c r="E23" s="57" t="s">
        <v>727</v>
      </c>
      <c r="F23" s="57">
        <f>IF(A23="","",SUMIF('Current_Stock_Detail 当前库存明细查询'!$D:$D,A23,'Current_Stock_Detail 当前库存明细查询'!$H:$H))</f>
        <v>93</v>
      </c>
      <c r="G23" s="57">
        <f>IF(A23="","",SUMIFS('Current_Stock_Detail 当前库存明细查询'!$H:$H,'Current_Stock_Detail 当前库存明细查询'!$D:$D,A23,'Current_Stock_Detail 当前库存明细查询'!$B:$B,"&lt;&gt;REPAIR*",'Current_Stock_Detail 当前库存明细查询'!$B:$B,"&lt;&gt;RTN*"))</f>
        <v>93</v>
      </c>
      <c r="H23" s="57">
        <f>IF(A23="","",SUMIFS('Current_Stock_Detail 当前库存明细查询'!$H:$H,'Current_Stock_Detail 当前库存明细查询'!$D:$D,A23,'Current_Stock_Detail 当前库存明细查询'!$B:$B,"REPAIR*"))</f>
        <v>0</v>
      </c>
      <c r="I23" s="57">
        <f>IF(A23="","",SUMIFS('Current_Stock_Detail 当前库存明细查询'!$H:$H,'Current_Stock_Detail 当前库存明细查询'!$D:$D,A23,'Current_Stock_Detail 当前库存明细查询'!$C:$C,"MIX*"))</f>
        <v>0</v>
      </c>
      <c r="J23" s="57" t="s">
        <v>818</v>
      </c>
      <c r="K23" s="58" t="s">
        <v>730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43.5" customHeight="1">
      <c r="A24" s="57" t="s">
        <v>579</v>
      </c>
      <c r="B24" s="160" t="s">
        <v>819</v>
      </c>
      <c r="C24" s="160" t="s">
        <v>820</v>
      </c>
      <c r="D24" s="57" t="s">
        <v>755</v>
      </c>
      <c r="E24" s="57" t="s">
        <v>727</v>
      </c>
      <c r="F24" s="57">
        <f>IF(A24="","",SUMIF('Current_Stock_Detail 当前库存明细查询'!$D:$D,A24,'Current_Stock_Detail 当前库存明细查询'!$H:$H))</f>
        <v>6</v>
      </c>
      <c r="G24" s="57">
        <f>IF(A24="","",SUMIFS('Current_Stock_Detail 当前库存明细查询'!$H:$H,'Current_Stock_Detail 当前库存明细查询'!$D:$D,A24,'Current_Stock_Detail 当前库存明细查询'!$B:$B,"&lt;&gt;REPAIR*",'Current_Stock_Detail 当前库存明细查询'!$B:$B,"&lt;&gt;RTN*"))</f>
        <v>6</v>
      </c>
      <c r="H24" s="57">
        <f>IF(A24="","",SUMIFS('Current_Stock_Detail 当前库存明细查询'!$H:$H,'Current_Stock_Detail 当前库存明细查询'!$D:$D,A24,'Current_Stock_Detail 当前库存明细查询'!$B:$B,"REPAIR*"))</f>
        <v>0</v>
      </c>
      <c r="I24" s="57">
        <f>IF(A24="","",SUMIFS('Current_Stock_Detail 当前库存明细查询'!$H:$H,'Current_Stock_Detail 当前库存明细查询'!$D:$D,A24,'Current_Stock_Detail 当前库存明细查询'!$C:$C,"MIX*"))</f>
        <v>0</v>
      </c>
      <c r="J24" s="57" t="s">
        <v>821</v>
      </c>
      <c r="K24" s="58" t="s">
        <v>727</v>
      </c>
      <c r="L24" s="58" t="s">
        <v>804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43.5" customHeight="1">
      <c r="A25" s="57" t="s">
        <v>594</v>
      </c>
      <c r="B25" s="160" t="s">
        <v>822</v>
      </c>
      <c r="C25" s="160" t="s">
        <v>820</v>
      </c>
      <c r="D25" s="57" t="s">
        <v>755</v>
      </c>
      <c r="E25" s="57" t="s">
        <v>727</v>
      </c>
      <c r="F25" s="57">
        <f>IF(A25="","",SUMIF('Current_Stock_Detail 当前库存明细查询'!$D:$D,A25,'Current_Stock_Detail 当前库存明细查询'!$H:$H))</f>
        <v>12</v>
      </c>
      <c r="G25" s="57">
        <f>IF(A25="","",SUMIFS('Current_Stock_Detail 当前库存明细查询'!$H:$H,'Current_Stock_Detail 当前库存明细查询'!$D:$D,A25,'Current_Stock_Detail 当前库存明细查询'!$B:$B,"&lt;&gt;REPAIR*",'Current_Stock_Detail 当前库存明细查询'!$B:$B,"&lt;&gt;RTN*"))</f>
        <v>12</v>
      </c>
      <c r="H25" s="57">
        <f>IF(A25="","",SUMIFS('Current_Stock_Detail 当前库存明细查询'!$H:$H,'Current_Stock_Detail 当前库存明细查询'!$D:$D,A25,'Current_Stock_Detail 当前库存明细查询'!$B:$B,"REPAIR*"))</f>
        <v>0</v>
      </c>
      <c r="I25" s="57">
        <f>IF(A25="","",SUMIFS('Current_Stock_Detail 当前库存明细查询'!$H:$H,'Current_Stock_Detail 当前库存明细查询'!$D:$D,A25,'Current_Stock_Detail 当前库存明细查询'!$C:$C,"MIX*"))</f>
        <v>0</v>
      </c>
      <c r="J25" s="57" t="s">
        <v>825</v>
      </c>
      <c r="K25" s="58" t="s">
        <v>727</v>
      </c>
      <c r="L25" s="58" t="s">
        <v>804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43.5" customHeight="1">
      <c r="A26" s="57" t="s">
        <v>617</v>
      </c>
      <c r="B26" s="160" t="s">
        <v>826</v>
      </c>
      <c r="C26" s="160" t="s">
        <v>725</v>
      </c>
      <c r="D26" s="57" t="s">
        <v>755</v>
      </c>
      <c r="E26" s="57" t="s">
        <v>727</v>
      </c>
      <c r="F26" s="57">
        <f>IF(A26="","",SUMIF('Current_Stock_Detail 当前库存明细查询'!$D:$D,A26,'Current_Stock_Detail 当前库存明细查询'!$H:$H))</f>
        <v>4</v>
      </c>
      <c r="G26" s="57">
        <f>IF(A26="","",SUMIFS('Current_Stock_Detail 当前库存明细查询'!$H:$H,'Current_Stock_Detail 当前库存明细查询'!$D:$D,A26,'Current_Stock_Detail 当前库存明细查询'!$B:$B,"&lt;&gt;REPAIR*",'Current_Stock_Detail 当前库存明细查询'!$B:$B,"&lt;&gt;RTN*"))</f>
        <v>4</v>
      </c>
      <c r="H26" s="57">
        <f>IF(A26="","",SUMIFS('Current_Stock_Detail 当前库存明细查询'!$H:$H,'Current_Stock_Detail 当前库存明细查询'!$D:$D,A26,'Current_Stock_Detail 当前库存明细查询'!$B:$B,"REPAIR*"))</f>
        <v>0</v>
      </c>
      <c r="I26" s="57">
        <f>IF(A26="","",SUMIFS('Current_Stock_Detail 当前库存明细查询'!$H:$H,'Current_Stock_Detail 当前库存明细查询'!$D:$D,A26,'Current_Stock_Detail 当前库存明细查询'!$C:$C,"MIX*"))</f>
        <v>0</v>
      </c>
      <c r="J26" s="57" t="s">
        <v>828</v>
      </c>
      <c r="K26" s="58" t="s">
        <v>727</v>
      </c>
      <c r="L26" s="58" t="s">
        <v>804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43.5" customHeight="1">
      <c r="A27" s="57" t="s">
        <v>830</v>
      </c>
      <c r="B27" s="160" t="s">
        <v>831</v>
      </c>
      <c r="C27" s="160" t="s">
        <v>725</v>
      </c>
      <c r="D27" s="57" t="s">
        <v>755</v>
      </c>
      <c r="E27" s="57" t="s">
        <v>727</v>
      </c>
      <c r="F27" s="57">
        <f>IF(A27="","",SUMIF('Current_Stock_Detail 当前库存明细查询'!$D:$D,A27,'Current_Stock_Detail 当前库存明细查询'!$H:$H))</f>
        <v>0</v>
      </c>
      <c r="G27" s="57">
        <f>IF(A27="","",SUMIFS('Current_Stock_Detail 当前库存明细查询'!$H:$H,'Current_Stock_Detail 当前库存明细查询'!$D:$D,A27,'Current_Stock_Detail 当前库存明细查询'!$B:$B,"&lt;&gt;REPAIR*",'Current_Stock_Detail 当前库存明细查询'!$B:$B,"&lt;&gt;RTN*"))</f>
        <v>0</v>
      </c>
      <c r="H27" s="57">
        <f>IF(A27="","",SUMIFS('Current_Stock_Detail 当前库存明细查询'!$H:$H,'Current_Stock_Detail 当前库存明细查询'!$D:$D,A27,'Current_Stock_Detail 当前库存明细查询'!$B:$B,"REPAIR*"))</f>
        <v>0</v>
      </c>
      <c r="I27" s="57">
        <f>IF(A27="","",SUMIFS('Current_Stock_Detail 当前库存明细查询'!$H:$H,'Current_Stock_Detail 当前库存明细查询'!$D:$D,A27,'Current_Stock_Detail 当前库存明细查询'!$C:$C,"MIX*"))</f>
        <v>0</v>
      </c>
      <c r="J27" s="57" t="s">
        <v>833</v>
      </c>
      <c r="K27" s="58" t="s">
        <v>727</v>
      </c>
      <c r="L27" s="58" t="s">
        <v>804</v>
      </c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43.5" customHeight="1">
      <c r="A28" s="57" t="s">
        <v>835</v>
      </c>
      <c r="B28" s="57" t="s">
        <v>836</v>
      </c>
      <c r="C28" s="160" t="s">
        <v>725</v>
      </c>
      <c r="D28" s="57" t="s">
        <v>837</v>
      </c>
      <c r="E28" s="57" t="s">
        <v>727</v>
      </c>
      <c r="F28" s="57">
        <f>IF(A28="","",SUMIF('Current_Stock_Detail 当前库存明细查询'!$D:$D,A28,'Current_Stock_Detail 当前库存明细查询'!$H:$H))</f>
        <v>0</v>
      </c>
      <c r="G28" s="57">
        <f>IF(A28="","",SUMIFS('Current_Stock_Detail 当前库存明细查询'!$H:$H,'Current_Stock_Detail 当前库存明细查询'!$D:$D,A28,'Current_Stock_Detail 当前库存明细查询'!$B:$B,"&lt;&gt;REPAIR*",'Current_Stock_Detail 当前库存明细查询'!$B:$B,"&lt;&gt;RTN*"))</f>
        <v>0</v>
      </c>
      <c r="H28" s="57">
        <f>IF(A28="","",SUMIFS('Current_Stock_Detail 当前库存明细查询'!$H:$H,'Current_Stock_Detail 当前库存明细查询'!$D:$D,A28,'Current_Stock_Detail 当前库存明细查询'!$B:$B,"REPAIR*"))</f>
        <v>0</v>
      </c>
      <c r="I28" s="57">
        <f>IF(A28="","",SUMIFS('Current_Stock_Detail 当前库存明细查询'!$H:$H,'Current_Stock_Detail 当前库存明细查询'!$D:$D,A28,'Current_Stock_Detail 当前库存明细查询'!$C:$C,"MIX*"))</f>
        <v>0</v>
      </c>
      <c r="J28" s="57" t="s">
        <v>845</v>
      </c>
      <c r="K28" s="58" t="s">
        <v>730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43.5" customHeight="1">
      <c r="A29" s="57" t="s">
        <v>471</v>
      </c>
      <c r="B29" s="57" t="s">
        <v>849</v>
      </c>
      <c r="C29" s="160" t="s">
        <v>725</v>
      </c>
      <c r="D29" s="57" t="s">
        <v>726</v>
      </c>
      <c r="E29" s="57" t="s">
        <v>727</v>
      </c>
      <c r="F29" s="57">
        <f>IF(A29="","",SUMIF('Current_Stock_Detail 当前库存明细查询'!$D:$D,A29,'Current_Stock_Detail 当前库存明细查询'!$H:$H))</f>
        <v>72</v>
      </c>
      <c r="G29" s="57">
        <f>IF(A29="","",SUMIFS('Current_Stock_Detail 当前库存明细查询'!$H:$H,'Current_Stock_Detail 当前库存明细查询'!$D:$D,A29,'Current_Stock_Detail 当前库存明细查询'!$B:$B,"&lt;&gt;REPAIR*",'Current_Stock_Detail 当前库存明细查询'!$B:$B,"&lt;&gt;RTN*"))</f>
        <v>72</v>
      </c>
      <c r="H29" s="57">
        <f>IF(A29="","",SUMIFS('Current_Stock_Detail 当前库存明细查询'!$H:$H,'Current_Stock_Detail 当前库存明细查询'!$D:$D,A29,'Current_Stock_Detail 当前库存明细查询'!$B:$B,"REPAIR*"))</f>
        <v>0</v>
      </c>
      <c r="I29" s="57">
        <f>IF(A29="","",SUMIFS('Current_Stock_Detail 当前库存明细查询'!$H:$H,'Current_Stock_Detail 当前库存明细查询'!$D:$D,A29,'Current_Stock_Detail 当前库存明细查询'!$C:$C,"MIX*"))</f>
        <v>72</v>
      </c>
      <c r="J29" s="57" t="s">
        <v>854</v>
      </c>
      <c r="K29" s="58" t="s">
        <v>730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43.5" customHeight="1">
      <c r="A30" s="57" t="s">
        <v>484</v>
      </c>
      <c r="B30" s="57" t="s">
        <v>856</v>
      </c>
      <c r="C30" s="160" t="s">
        <v>725</v>
      </c>
      <c r="D30" s="57" t="s">
        <v>726</v>
      </c>
      <c r="E30" s="57" t="s">
        <v>727</v>
      </c>
      <c r="F30" s="57">
        <f>IF(A30="","",SUMIF('Current_Stock_Detail 当前库存明细查询'!$D:$D,A30,'Current_Stock_Detail 当前库存明细查询'!$H:$H))</f>
        <v>94</v>
      </c>
      <c r="G30" s="57">
        <f>IF(A30="","",SUMIFS('Current_Stock_Detail 当前库存明细查询'!$H:$H,'Current_Stock_Detail 当前库存明细查询'!$D:$D,A30,'Current_Stock_Detail 当前库存明细查询'!$B:$B,"&lt;&gt;REPAIR*",'Current_Stock_Detail 当前库存明细查询'!$B:$B,"&lt;&gt;RTN*"))</f>
        <v>94</v>
      </c>
      <c r="H30" s="57">
        <f>IF(A30="","",SUMIFS('Current_Stock_Detail 当前库存明细查询'!$H:$H,'Current_Stock_Detail 当前库存明细查询'!$D:$D,A30,'Current_Stock_Detail 当前库存明细查询'!$B:$B,"REPAIR*"))</f>
        <v>0</v>
      </c>
      <c r="I30" s="57">
        <f>IF(A30="","",SUMIFS('Current_Stock_Detail 当前库存明细查询'!$H:$H,'Current_Stock_Detail 当前库存明细查询'!$D:$D,A30,'Current_Stock_Detail 当前库存明细查询'!$C:$C,"MIX*"))</f>
        <v>94</v>
      </c>
      <c r="J30" s="57" t="s">
        <v>859</v>
      </c>
      <c r="K30" s="58" t="s">
        <v>730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43.5" customHeight="1">
      <c r="A31" s="57" t="s">
        <v>860</v>
      </c>
      <c r="B31" s="57" t="s">
        <v>861</v>
      </c>
      <c r="C31" s="160" t="s">
        <v>725</v>
      </c>
      <c r="D31" s="57" t="s">
        <v>726</v>
      </c>
      <c r="E31" s="57" t="s">
        <v>727</v>
      </c>
      <c r="F31" s="57">
        <f>IF(A31="","",SUMIF('Current_Stock_Detail 当前库存明细查询'!$D:$D,A31,'Current_Stock_Detail 当前库存明细查询'!$H:$H))</f>
        <v>0</v>
      </c>
      <c r="G31" s="57">
        <f>IF(A31="","",SUMIFS('Current_Stock_Detail 当前库存明细查询'!$H:$H,'Current_Stock_Detail 当前库存明细查询'!$D:$D,A31,'Current_Stock_Detail 当前库存明细查询'!$B:$B,"&lt;&gt;REPAIR*",'Current_Stock_Detail 当前库存明细查询'!$B:$B,"&lt;&gt;RTN*"))</f>
        <v>0</v>
      </c>
      <c r="H31" s="57">
        <f>IF(A31="","",SUMIFS('Current_Stock_Detail 当前库存明细查询'!$H:$H,'Current_Stock_Detail 当前库存明细查询'!$D:$D,A31,'Current_Stock_Detail 当前库存明细查询'!$B:$B,"REPAIR*"))</f>
        <v>0</v>
      </c>
      <c r="I31" s="57">
        <f>IF(A31="","",SUMIFS('Current_Stock_Detail 当前库存明细查询'!$H:$H,'Current_Stock_Detail 当前库存明细查询'!$D:$D,A31,'Current_Stock_Detail 当前库存明细查询'!$C:$C,"MIX*"))</f>
        <v>0</v>
      </c>
      <c r="J31" s="57" t="s">
        <v>863</v>
      </c>
      <c r="K31" s="58" t="s">
        <v>730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43.5" customHeight="1">
      <c r="A32" s="57" t="s">
        <v>864</v>
      </c>
      <c r="B32" s="57" t="s">
        <v>865</v>
      </c>
      <c r="C32" s="160" t="s">
        <v>725</v>
      </c>
      <c r="D32" s="57" t="s">
        <v>726</v>
      </c>
      <c r="E32" s="57" t="s">
        <v>727</v>
      </c>
      <c r="F32" s="57">
        <f>IF(A32="","",SUMIF('Current_Stock_Detail 当前库存明细查询'!$D:$D,A32,'Current_Stock_Detail 当前库存明细查询'!$H:$H))</f>
        <v>0</v>
      </c>
      <c r="G32" s="57">
        <f>IF(A32="","",SUMIFS('Current_Stock_Detail 当前库存明细查询'!$H:$H,'Current_Stock_Detail 当前库存明细查询'!$D:$D,A32,'Current_Stock_Detail 当前库存明细查询'!$B:$B,"&lt;&gt;REPAIR*",'Current_Stock_Detail 当前库存明细查询'!$B:$B,"&lt;&gt;RTN*"))</f>
        <v>0</v>
      </c>
      <c r="H32" s="57">
        <f>IF(A32="","",SUMIFS('Current_Stock_Detail 当前库存明细查询'!$H:$H,'Current_Stock_Detail 当前库存明细查询'!$D:$D,A32,'Current_Stock_Detail 当前库存明细查询'!$B:$B,"REPAIR*"))</f>
        <v>0</v>
      </c>
      <c r="I32" s="57">
        <f>IF(A32="","",SUMIFS('Current_Stock_Detail 当前库存明细查询'!$H:$H,'Current_Stock_Detail 当前库存明细查询'!$D:$D,A32,'Current_Stock_Detail 当前库存明细查询'!$C:$C,"MIX*"))</f>
        <v>0</v>
      </c>
      <c r="J32" s="57" t="s">
        <v>867</v>
      </c>
      <c r="K32" s="58" t="s">
        <v>730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43.5" customHeight="1">
      <c r="A33" s="57" t="s">
        <v>868</v>
      </c>
      <c r="B33" s="57" t="s">
        <v>869</v>
      </c>
      <c r="C33" s="160" t="s">
        <v>725</v>
      </c>
      <c r="D33" s="57" t="s">
        <v>726</v>
      </c>
      <c r="E33" s="57" t="s">
        <v>727</v>
      </c>
      <c r="F33" s="57">
        <f>IF(A33="","",SUMIF('Current_Stock_Detail 当前库存明细查询'!$D:$D,A33,'Current_Stock_Detail 当前库存明细查询'!$H:$H))</f>
        <v>0</v>
      </c>
      <c r="G33" s="57">
        <f>IF(A33="","",SUMIFS('Current_Stock_Detail 当前库存明细查询'!$H:$H,'Current_Stock_Detail 当前库存明细查询'!$D:$D,A33,'Current_Stock_Detail 当前库存明细查询'!$B:$B,"&lt;&gt;REPAIR*",'Current_Stock_Detail 当前库存明细查询'!$B:$B,"&lt;&gt;RTN*"))</f>
        <v>0</v>
      </c>
      <c r="H33" s="57">
        <f>IF(A33="","",SUMIFS('Current_Stock_Detail 当前库存明细查询'!$H:$H,'Current_Stock_Detail 当前库存明细查询'!$D:$D,A33,'Current_Stock_Detail 当前库存明细查询'!$B:$B,"REPAIR*"))</f>
        <v>0</v>
      </c>
      <c r="I33" s="57">
        <f>IF(A33="","",SUMIFS('Current_Stock_Detail 当前库存明细查询'!$H:$H,'Current_Stock_Detail 当前库存明细查询'!$D:$D,A33,'Current_Stock_Detail 当前库存明细查询'!$C:$C,"MIX*"))</f>
        <v>0</v>
      </c>
      <c r="J33" s="57" t="s">
        <v>870</v>
      </c>
      <c r="K33" s="58" t="s">
        <v>730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43.5" customHeight="1">
      <c r="A34" s="57" t="s">
        <v>872</v>
      </c>
      <c r="B34" s="57" t="s">
        <v>873</v>
      </c>
      <c r="C34" s="160" t="s">
        <v>725</v>
      </c>
      <c r="D34" s="57" t="s">
        <v>726</v>
      </c>
      <c r="E34" s="57" t="s">
        <v>727</v>
      </c>
      <c r="F34" s="57">
        <f>IF(A34="","",SUMIF('Current_Stock_Detail 当前库存明细查询'!$D:$D,A34,'Current_Stock_Detail 当前库存明细查询'!$H:$H))</f>
        <v>0</v>
      </c>
      <c r="G34" s="57">
        <f>IF(A34="","",SUMIFS('Current_Stock_Detail 当前库存明细查询'!$H:$H,'Current_Stock_Detail 当前库存明细查询'!$D:$D,A34,'Current_Stock_Detail 当前库存明细查询'!$B:$B,"&lt;&gt;REPAIR*",'Current_Stock_Detail 当前库存明细查询'!$B:$B,"&lt;&gt;RTN*"))</f>
        <v>0</v>
      </c>
      <c r="H34" s="57">
        <f>IF(A34="","",SUMIFS('Current_Stock_Detail 当前库存明细查询'!$H:$H,'Current_Stock_Detail 当前库存明细查询'!$D:$D,A34,'Current_Stock_Detail 当前库存明细查询'!$B:$B,"REPAIR*"))</f>
        <v>0</v>
      </c>
      <c r="I34" s="57">
        <f>IF(A34="","",SUMIFS('Current_Stock_Detail 当前库存明细查询'!$H:$H,'Current_Stock_Detail 当前库存明细查询'!$D:$D,A34,'Current_Stock_Detail 当前库存明细查询'!$C:$C,"MIX*"))</f>
        <v>0</v>
      </c>
      <c r="J34" s="57" t="s">
        <v>874</v>
      </c>
      <c r="K34" s="58" t="s">
        <v>730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43.5" customHeight="1">
      <c r="A35" s="57" t="s">
        <v>875</v>
      </c>
      <c r="B35" s="160" t="s">
        <v>876</v>
      </c>
      <c r="C35" s="160" t="s">
        <v>725</v>
      </c>
      <c r="D35" s="57" t="s">
        <v>877</v>
      </c>
      <c r="E35" s="57" t="s">
        <v>727</v>
      </c>
      <c r="F35" s="57">
        <f>IF(A35="","",SUMIF('Current_Stock_Detail 当前库存明细查询'!$D:$D,A35,'Current_Stock_Detail 当前库存明细查询'!$H:$H))</f>
        <v>0</v>
      </c>
      <c r="G35" s="57">
        <f>IF(A35="","",SUMIFS('Current_Stock_Detail 当前库存明细查询'!$H:$H,'Current_Stock_Detail 当前库存明细查询'!$D:$D,A35,'Current_Stock_Detail 当前库存明细查询'!$B:$B,"&lt;&gt;REPAIR*",'Current_Stock_Detail 当前库存明细查询'!$B:$B,"&lt;&gt;RTN*"))</f>
        <v>0</v>
      </c>
      <c r="H35" s="57">
        <f>IF(A35="","",SUMIFS('Current_Stock_Detail 当前库存明细查询'!$H:$H,'Current_Stock_Detail 当前库存明细查询'!$D:$D,A35,'Current_Stock_Detail 当前库存明细查询'!$B:$B,"REPAIR*"))</f>
        <v>0</v>
      </c>
      <c r="I35" s="57">
        <f>IF(A35="","",SUMIFS('Current_Stock_Detail 当前库存明细查询'!$H:$H,'Current_Stock_Detail 当前库存明细查询'!$D:$D,A35,'Current_Stock_Detail 当前库存明细查询'!$C:$C,"MIX*"))</f>
        <v>0</v>
      </c>
      <c r="J35" s="57" t="s">
        <v>879</v>
      </c>
      <c r="K35" s="58" t="s">
        <v>730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43.5" customHeight="1">
      <c r="A36" s="57" t="s">
        <v>880</v>
      </c>
      <c r="B36" s="160" t="s">
        <v>881</v>
      </c>
      <c r="C36" s="160" t="s">
        <v>725</v>
      </c>
      <c r="D36" s="57" t="s">
        <v>877</v>
      </c>
      <c r="E36" s="57" t="s">
        <v>727</v>
      </c>
      <c r="F36" s="57">
        <f>IF(A36="","",SUMIF('Current_Stock_Detail 当前库存明细查询'!$D:$D,A36,'Current_Stock_Detail 当前库存明细查询'!$H:$H))</f>
        <v>0</v>
      </c>
      <c r="G36" s="57">
        <f>IF(A36="","",SUMIFS('Current_Stock_Detail 当前库存明细查询'!$H:$H,'Current_Stock_Detail 当前库存明细查询'!$D:$D,A36,'Current_Stock_Detail 当前库存明细查询'!$B:$B,"&lt;&gt;REPAIR*",'Current_Stock_Detail 当前库存明细查询'!$B:$B,"&lt;&gt;RTN*"))</f>
        <v>0</v>
      </c>
      <c r="H36" s="57">
        <f>IF(A36="","",SUMIFS('Current_Stock_Detail 当前库存明细查询'!$H:$H,'Current_Stock_Detail 当前库存明细查询'!$D:$D,A36,'Current_Stock_Detail 当前库存明细查询'!$B:$B,"REPAIR*"))</f>
        <v>0</v>
      </c>
      <c r="I36" s="57">
        <f>IF(A36="","",SUMIFS('Current_Stock_Detail 当前库存明细查询'!$H:$H,'Current_Stock_Detail 当前库存明细查询'!$D:$D,A36,'Current_Stock_Detail 当前库存明细查询'!$C:$C,"MIX*"))</f>
        <v>0</v>
      </c>
      <c r="J36" s="57" t="s">
        <v>883</v>
      </c>
      <c r="K36" s="58" t="s">
        <v>730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43.5" customHeight="1">
      <c r="A37" s="57" t="s">
        <v>884</v>
      </c>
      <c r="B37" s="160" t="s">
        <v>885</v>
      </c>
      <c r="C37" s="160" t="s">
        <v>725</v>
      </c>
      <c r="D37" s="57" t="s">
        <v>755</v>
      </c>
      <c r="E37" s="57" t="s">
        <v>727</v>
      </c>
      <c r="F37" s="57">
        <f>IF(A37="","",SUMIF('Current_Stock_Detail 当前库存明细查询'!$D:$D,A37,'Current_Stock_Detail 当前库存明细查询'!$H:$H))</f>
        <v>0</v>
      </c>
      <c r="G37" s="57">
        <f>IF(A37="","",SUMIFS('Current_Stock_Detail 当前库存明细查询'!$H:$H,'Current_Stock_Detail 当前库存明细查询'!$D:$D,A37,'Current_Stock_Detail 当前库存明细查询'!$B:$B,"&lt;&gt;REPAIR*",'Current_Stock_Detail 当前库存明细查询'!$B:$B,"&lt;&gt;RTN*"))</f>
        <v>0</v>
      </c>
      <c r="H37" s="57">
        <f>IF(A37="","",SUMIFS('Current_Stock_Detail 当前库存明细查询'!$H:$H,'Current_Stock_Detail 当前库存明细查询'!$D:$D,A37,'Current_Stock_Detail 当前库存明细查询'!$B:$B,"REPAIR*"))</f>
        <v>0</v>
      </c>
      <c r="I37" s="57">
        <f>IF(A37="","",SUMIFS('Current_Stock_Detail 当前库存明细查询'!$H:$H,'Current_Stock_Detail 当前库存明细查询'!$D:$D,A37,'Current_Stock_Detail 当前库存明细查询'!$C:$C,"MIX*"))</f>
        <v>0</v>
      </c>
      <c r="J37" s="57" t="s">
        <v>888</v>
      </c>
      <c r="K37" s="58" t="s">
        <v>727</v>
      </c>
      <c r="L37" s="58" t="s">
        <v>804</v>
      </c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43.5" customHeight="1">
      <c r="A38" s="57" t="s">
        <v>889</v>
      </c>
      <c r="B38" s="160" t="s">
        <v>890</v>
      </c>
      <c r="C38" s="160" t="s">
        <v>725</v>
      </c>
      <c r="D38" s="57" t="s">
        <v>755</v>
      </c>
      <c r="E38" s="57" t="s">
        <v>727</v>
      </c>
      <c r="F38" s="57">
        <f>IF(A38="","",SUMIF('Current_Stock_Detail 当前库存明细查询'!$D:$D,A38,'Current_Stock_Detail 当前库存明细查询'!$H:$H))</f>
        <v>0</v>
      </c>
      <c r="G38" s="57">
        <f>IF(A38="","",SUMIFS('Current_Stock_Detail 当前库存明细查询'!$H:$H,'Current_Stock_Detail 当前库存明细查询'!$D:$D,A38,'Current_Stock_Detail 当前库存明细查询'!$B:$B,"&lt;&gt;REPAIR*",'Current_Stock_Detail 当前库存明细查询'!$B:$B,"&lt;&gt;RTN*"))</f>
        <v>0</v>
      </c>
      <c r="H38" s="57">
        <f>IF(A38="","",SUMIFS('Current_Stock_Detail 当前库存明细查询'!$H:$H,'Current_Stock_Detail 当前库存明细查询'!$D:$D,A38,'Current_Stock_Detail 当前库存明细查询'!$B:$B,"REPAIR*"))</f>
        <v>0</v>
      </c>
      <c r="I38" s="57">
        <f>IF(A38="","",SUMIFS('Current_Stock_Detail 当前库存明细查询'!$H:$H,'Current_Stock_Detail 当前库存明细查询'!$D:$D,A38,'Current_Stock_Detail 当前库存明细查询'!$C:$C,"MIX*"))</f>
        <v>0</v>
      </c>
      <c r="J38" s="57" t="s">
        <v>893</v>
      </c>
      <c r="K38" s="58" t="s">
        <v>727</v>
      </c>
      <c r="L38" s="58" t="s">
        <v>804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43.5" customHeight="1">
      <c r="A39" s="57" t="s">
        <v>895</v>
      </c>
      <c r="B39" s="160" t="s">
        <v>896</v>
      </c>
      <c r="C39" s="160" t="s">
        <v>725</v>
      </c>
      <c r="D39" s="57" t="s">
        <v>755</v>
      </c>
      <c r="E39" s="57" t="s">
        <v>727</v>
      </c>
      <c r="F39" s="57">
        <f>IF(A39="","",SUMIF('Current_Stock_Detail 当前库存明细查询'!$D:$D,A39,'Current_Stock_Detail 当前库存明细查询'!$H:$H))</f>
        <v>0</v>
      </c>
      <c r="G39" s="57">
        <f>IF(A39="","",SUMIFS('Current_Stock_Detail 当前库存明细查询'!$H:$H,'Current_Stock_Detail 当前库存明细查询'!$D:$D,A39,'Current_Stock_Detail 当前库存明细查询'!$B:$B,"&lt;&gt;REPAIR*",'Current_Stock_Detail 当前库存明细查询'!$B:$B,"&lt;&gt;RTN*"))</f>
        <v>0</v>
      </c>
      <c r="H39" s="57">
        <f>IF(A39="","",SUMIFS('Current_Stock_Detail 当前库存明细查询'!$H:$H,'Current_Stock_Detail 当前库存明细查询'!$D:$D,A39,'Current_Stock_Detail 当前库存明细查询'!$B:$B,"REPAIR*"))</f>
        <v>0</v>
      </c>
      <c r="I39" s="57">
        <f>IF(A39="","",SUMIFS('Current_Stock_Detail 当前库存明细查询'!$H:$H,'Current_Stock_Detail 当前库存明细查询'!$D:$D,A39,'Current_Stock_Detail 当前库存明细查询'!$C:$C,"MIX*"))</f>
        <v>0</v>
      </c>
      <c r="J39" s="57" t="s">
        <v>898</v>
      </c>
      <c r="K39" s="58" t="s">
        <v>727</v>
      </c>
      <c r="L39" s="58" t="s">
        <v>804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43.5" customHeight="1">
      <c r="A40" s="57" t="s">
        <v>899</v>
      </c>
      <c r="B40" s="160" t="s">
        <v>900</v>
      </c>
      <c r="C40" s="160" t="s">
        <v>725</v>
      </c>
      <c r="D40" s="57" t="s">
        <v>755</v>
      </c>
      <c r="E40" s="57" t="s">
        <v>727</v>
      </c>
      <c r="F40" s="57">
        <f>IF(A40="","",SUMIF('Current_Stock_Detail 当前库存明细查询'!$D:$D,A40,'Current_Stock_Detail 当前库存明细查询'!$H:$H))</f>
        <v>0</v>
      </c>
      <c r="G40" s="57">
        <f>IF(A40="","",SUMIFS('Current_Stock_Detail 当前库存明细查询'!$H:$H,'Current_Stock_Detail 当前库存明细查询'!$D:$D,A40,'Current_Stock_Detail 当前库存明细查询'!$B:$B,"&lt;&gt;REPAIR*",'Current_Stock_Detail 当前库存明细查询'!$B:$B,"&lt;&gt;RTN*"))</f>
        <v>0</v>
      </c>
      <c r="H40" s="57">
        <f>IF(A40="","",SUMIFS('Current_Stock_Detail 当前库存明细查询'!$H:$H,'Current_Stock_Detail 当前库存明细查询'!$D:$D,A40,'Current_Stock_Detail 当前库存明细查询'!$B:$B,"REPAIR*"))</f>
        <v>0</v>
      </c>
      <c r="I40" s="57">
        <f>IF(A40="","",SUMIFS('Current_Stock_Detail 当前库存明细查询'!$H:$H,'Current_Stock_Detail 当前库存明细查询'!$D:$D,A40,'Current_Stock_Detail 当前库存明细查询'!$C:$C,"MIX*"))</f>
        <v>0</v>
      </c>
      <c r="J40" s="57" t="s">
        <v>903</v>
      </c>
      <c r="K40" s="58" t="s">
        <v>727</v>
      </c>
      <c r="L40" s="58" t="s">
        <v>804</v>
      </c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43.5" customHeight="1">
      <c r="A41" s="57" t="s">
        <v>576</v>
      </c>
      <c r="B41" s="160" t="s">
        <v>905</v>
      </c>
      <c r="C41" s="160" t="s">
        <v>820</v>
      </c>
      <c r="D41" s="57" t="s">
        <v>755</v>
      </c>
      <c r="E41" s="57" t="s">
        <v>727</v>
      </c>
      <c r="F41" s="57">
        <f>IF(A41="","",SUMIF('Current_Stock_Detail 当前库存明细查询'!$D:$D,A41,'Current_Stock_Detail 当前库存明细查询'!$H:$H))</f>
        <v>5</v>
      </c>
      <c r="G41" s="57">
        <f>IF(A41="","",SUMIFS('Current_Stock_Detail 当前库存明细查询'!$H:$H,'Current_Stock_Detail 当前库存明细查询'!$D:$D,A41,'Current_Stock_Detail 当前库存明细查询'!$B:$B,"&lt;&gt;REPAIR*",'Current_Stock_Detail 当前库存明细查询'!$B:$B,"&lt;&gt;RTN*"))</f>
        <v>5</v>
      </c>
      <c r="H41" s="57">
        <f>IF(A41="","",SUMIFS('Current_Stock_Detail 当前库存明细查询'!$H:$H,'Current_Stock_Detail 当前库存明细查询'!$D:$D,A41,'Current_Stock_Detail 当前库存明细查询'!$B:$B,"REPAIR*"))</f>
        <v>0</v>
      </c>
      <c r="I41" s="57">
        <f>IF(A41="","",SUMIFS('Current_Stock_Detail 当前库存明细查询'!$H:$H,'Current_Stock_Detail 当前库存明细查询'!$D:$D,A41,'Current_Stock_Detail 当前库存明细查询'!$C:$C,"MIX*"))</f>
        <v>0</v>
      </c>
      <c r="J41" s="57" t="s">
        <v>908</v>
      </c>
      <c r="K41" s="58" t="s">
        <v>727</v>
      </c>
      <c r="L41" s="58" t="s">
        <v>804</v>
      </c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43.5" customHeight="1">
      <c r="A42" s="57" t="s">
        <v>597</v>
      </c>
      <c r="B42" s="160" t="s">
        <v>909</v>
      </c>
      <c r="C42" s="160" t="s">
        <v>820</v>
      </c>
      <c r="D42" s="57" t="s">
        <v>755</v>
      </c>
      <c r="E42" s="57" t="s">
        <v>727</v>
      </c>
      <c r="F42" s="57">
        <f>IF(A42="","",SUMIF('Current_Stock_Detail 当前库存明细查询'!$D:$D,A42,'Current_Stock_Detail 当前库存明细查询'!$H:$H))</f>
        <v>8</v>
      </c>
      <c r="G42" s="57">
        <f>IF(A42="","",SUMIFS('Current_Stock_Detail 当前库存明细查询'!$H:$H,'Current_Stock_Detail 当前库存明细查询'!$D:$D,A42,'Current_Stock_Detail 当前库存明细查询'!$B:$B,"&lt;&gt;REPAIR*",'Current_Stock_Detail 当前库存明细查询'!$B:$B,"&lt;&gt;RTN*"))</f>
        <v>8</v>
      </c>
      <c r="H42" s="57">
        <f>IF(A42="","",SUMIFS('Current_Stock_Detail 当前库存明细查询'!$H:$H,'Current_Stock_Detail 当前库存明细查询'!$D:$D,A42,'Current_Stock_Detail 当前库存明细查询'!$B:$B,"REPAIR*"))</f>
        <v>0</v>
      </c>
      <c r="I42" s="57">
        <f>IF(A42="","",SUMIFS('Current_Stock_Detail 当前库存明细查询'!$H:$H,'Current_Stock_Detail 当前库存明细查询'!$D:$D,A42,'Current_Stock_Detail 当前库存明细查询'!$C:$C,"MIX*"))</f>
        <v>0</v>
      </c>
      <c r="J42" s="57" t="s">
        <v>912</v>
      </c>
      <c r="K42" s="58" t="s">
        <v>727</v>
      </c>
      <c r="L42" s="58" t="s">
        <v>804</v>
      </c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43.5" customHeight="1">
      <c r="A43" s="57" t="s">
        <v>913</v>
      </c>
      <c r="B43" s="57" t="s">
        <v>915</v>
      </c>
      <c r="C43" s="160" t="s">
        <v>725</v>
      </c>
      <c r="D43" s="57" t="s">
        <v>726</v>
      </c>
      <c r="E43" s="57" t="s">
        <v>727</v>
      </c>
      <c r="F43" s="57">
        <f>IF(A43="","",SUMIF('Current_Stock_Detail 当前库存明细查询'!$D:$D,A43,'Current_Stock_Detail 当前库存明细查询'!$H:$H))</f>
        <v>0</v>
      </c>
      <c r="G43" s="57">
        <f>IF(A43="","",SUMIFS('Current_Stock_Detail 当前库存明细查询'!$H:$H,'Current_Stock_Detail 当前库存明细查询'!$D:$D,A43,'Current_Stock_Detail 当前库存明细查询'!$B:$B,"&lt;&gt;REPAIR*",'Current_Stock_Detail 当前库存明细查询'!$B:$B,"&lt;&gt;RTN*"))</f>
        <v>0</v>
      </c>
      <c r="H43" s="57">
        <f>IF(A43="","",SUMIFS('Current_Stock_Detail 当前库存明细查询'!$H:$H,'Current_Stock_Detail 当前库存明细查询'!$D:$D,A43,'Current_Stock_Detail 当前库存明细查询'!$B:$B,"REPAIR*"))</f>
        <v>0</v>
      </c>
      <c r="I43" s="57">
        <f>IF(A43="","",SUMIFS('Current_Stock_Detail 当前库存明细查询'!$H:$H,'Current_Stock_Detail 当前库存明细查询'!$D:$D,A43,'Current_Stock_Detail 当前库存明细查询'!$C:$C,"MIX*"))</f>
        <v>0</v>
      </c>
      <c r="J43" s="57" t="s">
        <v>917</v>
      </c>
      <c r="K43" s="58" t="s">
        <v>730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43.5" customHeight="1">
      <c r="A44" s="57" t="s">
        <v>918</v>
      </c>
      <c r="B44" s="57" t="s">
        <v>919</v>
      </c>
      <c r="C44" s="160" t="s">
        <v>725</v>
      </c>
      <c r="D44" s="57" t="s">
        <v>726</v>
      </c>
      <c r="E44" s="57" t="s">
        <v>727</v>
      </c>
      <c r="F44" s="57">
        <f>IF(A44="","",SUMIF('Current_Stock_Detail 当前库存明细查询'!$D:$D,A44,'Current_Stock_Detail 当前库存明细查询'!$H:$H))</f>
        <v>0</v>
      </c>
      <c r="G44" s="57">
        <f>IF(A44="","",SUMIFS('Current_Stock_Detail 当前库存明细查询'!$H:$H,'Current_Stock_Detail 当前库存明细查询'!$D:$D,A44,'Current_Stock_Detail 当前库存明细查询'!$B:$B,"&lt;&gt;REPAIR*",'Current_Stock_Detail 当前库存明细查询'!$B:$B,"&lt;&gt;RTN*"))</f>
        <v>0</v>
      </c>
      <c r="H44" s="57">
        <f>IF(A44="","",SUMIFS('Current_Stock_Detail 当前库存明细查询'!$H:$H,'Current_Stock_Detail 当前库存明细查询'!$D:$D,A44,'Current_Stock_Detail 当前库存明细查询'!$B:$B,"REPAIR*"))</f>
        <v>0</v>
      </c>
      <c r="I44" s="57">
        <f>IF(A44="","",SUMIFS('Current_Stock_Detail 当前库存明细查询'!$H:$H,'Current_Stock_Detail 当前库存明细查询'!$D:$D,A44,'Current_Stock_Detail 当前库存明细查询'!$C:$C,"MIX*"))</f>
        <v>0</v>
      </c>
      <c r="J44" s="57" t="s">
        <v>924</v>
      </c>
      <c r="K44" s="58" t="s">
        <v>730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43.5" customHeight="1">
      <c r="A45" s="57" t="s">
        <v>925</v>
      </c>
      <c r="B45" s="57" t="s">
        <v>927</v>
      </c>
      <c r="C45" s="160" t="s">
        <v>725</v>
      </c>
      <c r="D45" s="57" t="s">
        <v>726</v>
      </c>
      <c r="E45" s="57" t="s">
        <v>727</v>
      </c>
      <c r="F45" s="57">
        <f>IF(A45="","",SUMIF('Current_Stock_Detail 当前库存明细查询'!$D:$D,A45,'Current_Stock_Detail 当前库存明细查询'!$H:$H))</f>
        <v>0</v>
      </c>
      <c r="G45" s="57">
        <f>IF(A45="","",SUMIFS('Current_Stock_Detail 当前库存明细查询'!$H:$H,'Current_Stock_Detail 当前库存明细查询'!$D:$D,A45,'Current_Stock_Detail 当前库存明细查询'!$B:$B,"&lt;&gt;REPAIR*",'Current_Stock_Detail 当前库存明细查询'!$B:$B,"&lt;&gt;RTN*"))</f>
        <v>0</v>
      </c>
      <c r="H45" s="57">
        <f>IF(A45="","",SUMIFS('Current_Stock_Detail 当前库存明细查询'!$H:$H,'Current_Stock_Detail 当前库存明细查询'!$D:$D,A45,'Current_Stock_Detail 当前库存明细查询'!$B:$B,"REPAIR*"))</f>
        <v>0</v>
      </c>
      <c r="I45" s="57">
        <f>IF(A45="","",SUMIFS('Current_Stock_Detail 当前库存明细查询'!$H:$H,'Current_Stock_Detail 当前库存明细查询'!$D:$D,A45,'Current_Stock_Detail 当前库存明细查询'!$C:$C,"MIX*"))</f>
        <v>0</v>
      </c>
      <c r="J45" s="57" t="s">
        <v>929</v>
      </c>
      <c r="K45" s="58" t="s">
        <v>730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43.5" customHeight="1">
      <c r="A46" s="57" t="s">
        <v>930</v>
      </c>
      <c r="B46" s="57" t="s">
        <v>931</v>
      </c>
      <c r="C46" s="160" t="s">
        <v>725</v>
      </c>
      <c r="D46" s="57" t="s">
        <v>726</v>
      </c>
      <c r="E46" s="57" t="s">
        <v>727</v>
      </c>
      <c r="F46" s="57">
        <f>IF(A46="","",SUMIF('Current_Stock_Detail 当前库存明细查询'!$D:$D,A46,'Current_Stock_Detail 当前库存明细查询'!$H:$H))</f>
        <v>0</v>
      </c>
      <c r="G46" s="57">
        <f>IF(A46="","",SUMIFS('Current_Stock_Detail 当前库存明细查询'!$H:$H,'Current_Stock_Detail 当前库存明细查询'!$D:$D,A46,'Current_Stock_Detail 当前库存明细查询'!$B:$B,"&lt;&gt;REPAIR*",'Current_Stock_Detail 当前库存明细查询'!$B:$B,"&lt;&gt;RTN*"))</f>
        <v>0</v>
      </c>
      <c r="H46" s="57">
        <f>IF(A46="","",SUMIFS('Current_Stock_Detail 当前库存明细查询'!$H:$H,'Current_Stock_Detail 当前库存明细查询'!$D:$D,A46,'Current_Stock_Detail 当前库存明细查询'!$B:$B,"REPAIR*"))</f>
        <v>0</v>
      </c>
      <c r="I46" s="57">
        <f>IF(A46="","",SUMIFS('Current_Stock_Detail 当前库存明细查询'!$H:$H,'Current_Stock_Detail 当前库存明细查询'!$D:$D,A46,'Current_Stock_Detail 当前库存明细查询'!$C:$C,"MIX*"))</f>
        <v>0</v>
      </c>
      <c r="J46" s="57" t="s">
        <v>935</v>
      </c>
      <c r="K46" s="58" t="s">
        <v>730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43.5" customHeight="1">
      <c r="A47" s="57" t="s">
        <v>937</v>
      </c>
      <c r="B47" s="160" t="s">
        <v>938</v>
      </c>
      <c r="C47" s="160" t="s">
        <v>725</v>
      </c>
      <c r="D47" s="57" t="s">
        <v>726</v>
      </c>
      <c r="E47" s="57" t="s">
        <v>727</v>
      </c>
      <c r="F47" s="57">
        <f>IF(A47="","",SUMIF('Current_Stock_Detail 当前库存明细查询'!$D:$D,A47,'Current_Stock_Detail 当前库存明细查询'!$H:$H))</f>
        <v>0</v>
      </c>
      <c r="G47" s="57">
        <f>IF(A47="","",SUMIFS('Current_Stock_Detail 当前库存明细查询'!$H:$H,'Current_Stock_Detail 当前库存明细查询'!$D:$D,A47,'Current_Stock_Detail 当前库存明细查询'!$B:$B,"&lt;&gt;REPAIR*",'Current_Stock_Detail 当前库存明细查询'!$B:$B,"&lt;&gt;RTN*"))</f>
        <v>0</v>
      </c>
      <c r="H47" s="57">
        <f>IF(A47="","",SUMIFS('Current_Stock_Detail 当前库存明细查询'!$H:$H,'Current_Stock_Detail 当前库存明细查询'!$D:$D,A47,'Current_Stock_Detail 当前库存明细查询'!$B:$B,"REPAIR*"))</f>
        <v>0</v>
      </c>
      <c r="I47" s="57">
        <f>IF(A47="","",SUMIFS('Current_Stock_Detail 当前库存明细查询'!$H:$H,'Current_Stock_Detail 当前库存明细查询'!$D:$D,A47,'Current_Stock_Detail 当前库存明细查询'!$C:$C,"MIX*"))</f>
        <v>0</v>
      </c>
      <c r="J47" s="57" t="s">
        <v>941</v>
      </c>
      <c r="K47" s="58" t="s">
        <v>727</v>
      </c>
      <c r="L47" s="58" t="s">
        <v>942</v>
      </c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43.5" customHeight="1">
      <c r="A48" s="57" t="s">
        <v>943</v>
      </c>
      <c r="B48" s="57" t="s">
        <v>944</v>
      </c>
      <c r="C48" s="160" t="s">
        <v>725</v>
      </c>
      <c r="D48" s="57" t="s">
        <v>837</v>
      </c>
      <c r="E48" s="57" t="s">
        <v>727</v>
      </c>
      <c r="F48" s="57">
        <f>IF(A48="","",SUMIF('Current_Stock_Detail 当前库存明细查询'!$D:$D,A48,'Current_Stock_Detail 当前库存明细查询'!$H:$H))</f>
        <v>0</v>
      </c>
      <c r="G48" s="57">
        <f>IF(A48="","",SUMIFS('Current_Stock_Detail 当前库存明细查询'!$H:$H,'Current_Stock_Detail 当前库存明细查询'!$D:$D,A48,'Current_Stock_Detail 当前库存明细查询'!$B:$B,"&lt;&gt;REPAIR*",'Current_Stock_Detail 当前库存明细查询'!$B:$B,"&lt;&gt;RTN*"))</f>
        <v>0</v>
      </c>
      <c r="H48" s="57">
        <f>IF(A48="","",SUMIFS('Current_Stock_Detail 当前库存明细查询'!$H:$H,'Current_Stock_Detail 当前库存明细查询'!$D:$D,A48,'Current_Stock_Detail 当前库存明细查询'!$B:$B,"REPAIR*"))</f>
        <v>0</v>
      </c>
      <c r="I48" s="57">
        <f>IF(A48="","",SUMIFS('Current_Stock_Detail 当前库存明细查询'!$H:$H,'Current_Stock_Detail 当前库存明细查询'!$D:$D,A48,'Current_Stock_Detail 当前库存明细查询'!$C:$C,"MIX*"))</f>
        <v>0</v>
      </c>
      <c r="J48" s="57" t="s">
        <v>946</v>
      </c>
      <c r="K48" s="58" t="s">
        <v>730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43.5" customHeight="1">
      <c r="A49" s="57" t="s">
        <v>948</v>
      </c>
      <c r="B49" s="57" t="s">
        <v>950</v>
      </c>
      <c r="C49" s="160" t="s">
        <v>725</v>
      </c>
      <c r="D49" s="57" t="s">
        <v>837</v>
      </c>
      <c r="E49" s="57" t="s">
        <v>727</v>
      </c>
      <c r="F49" s="57">
        <f>IF(A49="","",SUMIF('Current_Stock_Detail 当前库存明细查询'!$D:$D,A49,'Current_Stock_Detail 当前库存明细查询'!$H:$H))</f>
        <v>0</v>
      </c>
      <c r="G49" s="57">
        <f>IF(A49="","",SUMIFS('Current_Stock_Detail 当前库存明细查询'!$H:$H,'Current_Stock_Detail 当前库存明细查询'!$D:$D,A49,'Current_Stock_Detail 当前库存明细查询'!$B:$B,"&lt;&gt;REPAIR*",'Current_Stock_Detail 当前库存明细查询'!$B:$B,"&lt;&gt;RTN*"))</f>
        <v>0</v>
      </c>
      <c r="H49" s="57">
        <f>IF(A49="","",SUMIFS('Current_Stock_Detail 当前库存明细查询'!$H:$H,'Current_Stock_Detail 当前库存明细查询'!$D:$D,A49,'Current_Stock_Detail 当前库存明细查询'!$B:$B,"REPAIR*"))</f>
        <v>0</v>
      </c>
      <c r="I49" s="57">
        <f>IF(A49="","",SUMIFS('Current_Stock_Detail 当前库存明细查询'!$H:$H,'Current_Stock_Detail 当前库存明细查询'!$D:$D,A49,'Current_Stock_Detail 当前库存明细查询'!$C:$C,"MIX*"))</f>
        <v>0</v>
      </c>
      <c r="J49" s="57" t="s">
        <v>952</v>
      </c>
      <c r="K49" s="58" t="s">
        <v>730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43.5" customHeight="1">
      <c r="A50" s="57" t="s">
        <v>954</v>
      </c>
      <c r="B50" s="57" t="s">
        <v>955</v>
      </c>
      <c r="C50" s="160" t="s">
        <v>725</v>
      </c>
      <c r="D50" s="57" t="s">
        <v>837</v>
      </c>
      <c r="E50" s="57" t="s">
        <v>727</v>
      </c>
      <c r="F50" s="57">
        <f>IF(A50="","",SUMIF('Current_Stock_Detail 当前库存明细查询'!$D:$D,A50,'Current_Stock_Detail 当前库存明细查询'!$H:$H))</f>
        <v>0</v>
      </c>
      <c r="G50" s="57">
        <f>IF(A50="","",SUMIFS('Current_Stock_Detail 当前库存明细查询'!$H:$H,'Current_Stock_Detail 当前库存明细查询'!$D:$D,A50,'Current_Stock_Detail 当前库存明细查询'!$B:$B,"&lt;&gt;REPAIR*",'Current_Stock_Detail 当前库存明细查询'!$B:$B,"&lt;&gt;RTN*"))</f>
        <v>0</v>
      </c>
      <c r="H50" s="57">
        <f>IF(A50="","",SUMIFS('Current_Stock_Detail 当前库存明细查询'!$H:$H,'Current_Stock_Detail 当前库存明细查询'!$D:$D,A50,'Current_Stock_Detail 当前库存明细查询'!$B:$B,"REPAIR*"))</f>
        <v>0</v>
      </c>
      <c r="I50" s="57">
        <f>IF(A50="","",SUMIFS('Current_Stock_Detail 当前库存明细查询'!$H:$H,'Current_Stock_Detail 当前库存明细查询'!$D:$D,A50,'Current_Stock_Detail 当前库存明细查询'!$C:$C,"MIX*"))</f>
        <v>0</v>
      </c>
      <c r="J50" s="57" t="s">
        <v>957</v>
      </c>
      <c r="K50" s="58" t="s">
        <v>730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43.5" customHeight="1">
      <c r="A51" s="57" t="s">
        <v>958</v>
      </c>
      <c r="B51" s="160" t="s">
        <v>959</v>
      </c>
      <c r="C51" s="160" t="s">
        <v>725</v>
      </c>
      <c r="D51" s="57" t="s">
        <v>755</v>
      </c>
      <c r="E51" s="57" t="s">
        <v>727</v>
      </c>
      <c r="F51" s="57">
        <f>IF(A51="","",SUMIF('Current_Stock_Detail 当前库存明细查询'!$D:$D,A51,'Current_Stock_Detail 当前库存明细查询'!$H:$H))</f>
        <v>0</v>
      </c>
      <c r="G51" s="57">
        <f>IF(A51="","",SUMIFS('Current_Stock_Detail 当前库存明细查询'!$H:$H,'Current_Stock_Detail 当前库存明细查询'!$D:$D,A51,'Current_Stock_Detail 当前库存明细查询'!$B:$B,"&lt;&gt;REPAIR*",'Current_Stock_Detail 当前库存明细查询'!$B:$B,"&lt;&gt;RTN*"))</f>
        <v>0</v>
      </c>
      <c r="H51" s="57">
        <f>IF(A51="","",SUMIFS('Current_Stock_Detail 当前库存明细查询'!$H:$H,'Current_Stock_Detail 当前库存明细查询'!$D:$D,A51,'Current_Stock_Detail 当前库存明细查询'!$B:$B,"REPAIR*"))</f>
        <v>0</v>
      </c>
      <c r="I51" s="57">
        <f>IF(A51="","",SUMIFS('Current_Stock_Detail 当前库存明细查询'!$H:$H,'Current_Stock_Detail 当前库存明细查询'!$D:$D,A51,'Current_Stock_Detail 当前库存明细查询'!$C:$C,"MIX*"))</f>
        <v>0</v>
      </c>
      <c r="J51" s="57" t="s">
        <v>963</v>
      </c>
      <c r="K51" s="58" t="s">
        <v>727</v>
      </c>
      <c r="L51" s="58" t="s">
        <v>804</v>
      </c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43.5" customHeight="1">
      <c r="A52" s="57" t="s">
        <v>964</v>
      </c>
      <c r="B52" s="160" t="s">
        <v>965</v>
      </c>
      <c r="C52" s="160" t="s">
        <v>725</v>
      </c>
      <c r="D52" s="57" t="s">
        <v>837</v>
      </c>
      <c r="E52" s="57" t="s">
        <v>727</v>
      </c>
      <c r="F52" s="57">
        <f>IF(A52="","",SUMIF('Current_Stock_Detail 当前库存明细查询'!$D:$D,A52,'Current_Stock_Detail 当前库存明细查询'!$H:$H))</f>
        <v>0</v>
      </c>
      <c r="G52" s="57">
        <f>IF(A52="","",SUMIFS('Current_Stock_Detail 当前库存明细查询'!$H:$H,'Current_Stock_Detail 当前库存明细查询'!$D:$D,A52,'Current_Stock_Detail 当前库存明细查询'!$B:$B,"&lt;&gt;REPAIR*",'Current_Stock_Detail 当前库存明细查询'!$B:$B,"&lt;&gt;RTN*"))</f>
        <v>0</v>
      </c>
      <c r="H52" s="57">
        <f>IF(A52="","",SUMIFS('Current_Stock_Detail 当前库存明细查询'!$H:$H,'Current_Stock_Detail 当前库存明细查询'!$D:$D,A52,'Current_Stock_Detail 当前库存明细查询'!$B:$B,"REPAIR*"))</f>
        <v>0</v>
      </c>
      <c r="I52" s="57">
        <f>IF(A52="","",SUMIFS('Current_Stock_Detail 当前库存明细查询'!$H:$H,'Current_Stock_Detail 当前库存明细查询'!$D:$D,A52,'Current_Stock_Detail 当前库存明细查询'!$C:$C,"MIX*"))</f>
        <v>0</v>
      </c>
      <c r="J52" s="57" t="s">
        <v>967</v>
      </c>
      <c r="K52" s="58" t="s">
        <v>730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43.5" customHeight="1">
      <c r="A53" s="57" t="s">
        <v>402</v>
      </c>
      <c r="B53" s="160" t="s">
        <v>968</v>
      </c>
      <c r="C53" s="160" t="s">
        <v>820</v>
      </c>
      <c r="D53" s="57" t="s">
        <v>787</v>
      </c>
      <c r="E53" s="57" t="s">
        <v>727</v>
      </c>
      <c r="F53" s="57">
        <f>IF(A53="","",SUMIF('Current_Stock_Detail 当前库存明细查询'!$D:$D,A53,'Current_Stock_Detail 当前库存明细查询'!$H:$H))</f>
        <v>6</v>
      </c>
      <c r="G53" s="57">
        <f>IF(A53="","",SUMIFS('Current_Stock_Detail 当前库存明细查询'!$H:$H,'Current_Stock_Detail 当前库存明细查询'!$D:$D,A53,'Current_Stock_Detail 当前库存明细查询'!$B:$B,"&lt;&gt;REPAIR*",'Current_Stock_Detail 当前库存明细查询'!$B:$B,"&lt;&gt;RTN*"))</f>
        <v>6</v>
      </c>
      <c r="H53" s="57">
        <f>IF(A53="","",SUMIFS('Current_Stock_Detail 当前库存明细查询'!$H:$H,'Current_Stock_Detail 当前库存明细查询'!$D:$D,A53,'Current_Stock_Detail 当前库存明细查询'!$B:$B,"REPAIR*"))</f>
        <v>0</v>
      </c>
      <c r="I53" s="57">
        <f>IF(A53="","",SUMIFS('Current_Stock_Detail 当前库存明细查询'!$H:$H,'Current_Stock_Detail 当前库存明细查询'!$D:$D,A53,'Current_Stock_Detail 当前库存明细查询'!$C:$C,"MIX*"))</f>
        <v>3</v>
      </c>
      <c r="J53" s="57" t="s">
        <v>971</v>
      </c>
      <c r="K53" s="58" t="s">
        <v>727</v>
      </c>
      <c r="L53" s="58" t="s">
        <v>972</v>
      </c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43.5" customHeight="1">
      <c r="A54" s="57" t="s">
        <v>936</v>
      </c>
      <c r="B54" s="160" t="s">
        <v>974</v>
      </c>
      <c r="C54" s="160" t="s">
        <v>820</v>
      </c>
      <c r="D54" s="57" t="s">
        <v>787</v>
      </c>
      <c r="E54" s="57" t="s">
        <v>727</v>
      </c>
      <c r="F54" s="57">
        <f>IF(A54="","",SUMIF('Current_Stock_Detail 当前库存明细查询'!$D:$D,A54,'Current_Stock_Detail 当前库存明细查询'!$H:$H))</f>
        <v>1</v>
      </c>
      <c r="G54" s="57">
        <f>IF(A54="","",SUMIFS('Current_Stock_Detail 当前库存明细查询'!$H:$H,'Current_Stock_Detail 当前库存明细查询'!$D:$D,A54,'Current_Stock_Detail 当前库存明细查询'!$B:$B,"&lt;&gt;REPAIR*",'Current_Stock_Detail 当前库存明细查询'!$B:$B,"&lt;&gt;RTN*"))</f>
        <v>1</v>
      </c>
      <c r="H54" s="57">
        <f>IF(A54="","",SUMIFS('Current_Stock_Detail 当前库存明细查询'!$H:$H,'Current_Stock_Detail 当前库存明细查询'!$D:$D,A54,'Current_Stock_Detail 当前库存明细查询'!$B:$B,"REPAIR*"))</f>
        <v>0</v>
      </c>
      <c r="I54" s="57">
        <f>IF(A54="","",SUMIFS('Current_Stock_Detail 当前库存明细查询'!$H:$H,'Current_Stock_Detail 当前库存明细查询'!$D:$D,A54,'Current_Stock_Detail 当前库存明细查询'!$C:$C,"MIX*"))</f>
        <v>0</v>
      </c>
      <c r="J54" s="57" t="s">
        <v>977</v>
      </c>
      <c r="K54" s="58" t="s">
        <v>727</v>
      </c>
      <c r="L54" s="58" t="s">
        <v>972</v>
      </c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43.5" customHeight="1">
      <c r="A55" s="57" t="s">
        <v>978</v>
      </c>
      <c r="B55" s="160" t="s">
        <v>968</v>
      </c>
      <c r="C55" s="160" t="s">
        <v>820</v>
      </c>
      <c r="D55" s="57" t="s">
        <v>787</v>
      </c>
      <c r="E55" s="57" t="s">
        <v>727</v>
      </c>
      <c r="F55" s="57">
        <f>IF(A55="","",SUMIF('Current_Stock_Detail 当前库存明细查询'!$D:$D,A55,'Current_Stock_Detail 当前库存明细查询'!$H:$H))</f>
        <v>0</v>
      </c>
      <c r="G55" s="57">
        <f>IF(A55="","",SUMIFS('Current_Stock_Detail 当前库存明细查询'!$H:$H,'Current_Stock_Detail 当前库存明细查询'!$D:$D,A55,'Current_Stock_Detail 当前库存明细查询'!$B:$B,"&lt;&gt;REPAIR*",'Current_Stock_Detail 当前库存明细查询'!$B:$B,"&lt;&gt;RTN*"))</f>
        <v>0</v>
      </c>
      <c r="H55" s="57">
        <f>IF(A55="","",SUMIFS('Current_Stock_Detail 当前库存明细查询'!$H:$H,'Current_Stock_Detail 当前库存明细查询'!$D:$D,A55,'Current_Stock_Detail 当前库存明细查询'!$B:$B,"REPAIR*"))</f>
        <v>0</v>
      </c>
      <c r="I55" s="57">
        <f>IF(A55="","",SUMIFS('Current_Stock_Detail 当前库存明细查询'!$H:$H,'Current_Stock_Detail 当前库存明细查询'!$D:$D,A55,'Current_Stock_Detail 当前库存明细查询'!$C:$C,"MIX*"))</f>
        <v>0</v>
      </c>
      <c r="J55" s="57" t="s">
        <v>980</v>
      </c>
      <c r="K55" s="58" t="s">
        <v>727</v>
      </c>
      <c r="L55" s="58" t="s">
        <v>972</v>
      </c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43.5" customHeight="1">
      <c r="A56" s="57" t="s">
        <v>613</v>
      </c>
      <c r="B56" s="160" t="s">
        <v>974</v>
      </c>
      <c r="C56" s="160" t="s">
        <v>820</v>
      </c>
      <c r="D56" s="57" t="s">
        <v>787</v>
      </c>
      <c r="E56" s="57" t="s">
        <v>727</v>
      </c>
      <c r="F56" s="57">
        <f>IF(A56="","",SUMIF('Current_Stock_Detail 当前库存明细查询'!$D:$D,A56,'Current_Stock_Detail 当前库存明细查询'!$H:$H))</f>
        <v>8</v>
      </c>
      <c r="G56" s="57">
        <f>IF(A56="","",SUMIFS('Current_Stock_Detail 当前库存明细查询'!$H:$H,'Current_Stock_Detail 当前库存明细查询'!$D:$D,A56,'Current_Stock_Detail 当前库存明细查询'!$B:$B,"&lt;&gt;REPAIR*",'Current_Stock_Detail 当前库存明细查询'!$B:$B,"&lt;&gt;RTN*"))</f>
        <v>8</v>
      </c>
      <c r="H56" s="57">
        <f>IF(A56="","",SUMIFS('Current_Stock_Detail 当前库存明细查询'!$H:$H,'Current_Stock_Detail 当前库存明细查询'!$D:$D,A56,'Current_Stock_Detail 当前库存明细查询'!$B:$B,"REPAIR*"))</f>
        <v>0</v>
      </c>
      <c r="I56" s="57">
        <f>IF(A56="","",SUMIFS('Current_Stock_Detail 当前库存明细查询'!$H:$H,'Current_Stock_Detail 当前库存明细查询'!$D:$D,A56,'Current_Stock_Detail 当前库存明细查询'!$C:$C,"MIX*"))</f>
        <v>0</v>
      </c>
      <c r="J56" s="57" t="s">
        <v>982</v>
      </c>
      <c r="K56" s="58" t="s">
        <v>727</v>
      </c>
      <c r="L56" s="58" t="s">
        <v>972</v>
      </c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43.5" customHeight="1">
      <c r="A57" s="57" t="s">
        <v>411</v>
      </c>
      <c r="B57" s="160" t="s">
        <v>974</v>
      </c>
      <c r="C57" s="160" t="s">
        <v>820</v>
      </c>
      <c r="D57" s="57" t="s">
        <v>787</v>
      </c>
      <c r="E57" s="57" t="s">
        <v>727</v>
      </c>
      <c r="F57" s="57">
        <f>IF(A57="","",SUMIF('Current_Stock_Detail 当前库存明细查询'!$D:$D,A57,'Current_Stock_Detail 当前库存明细查询'!$H:$H))</f>
        <v>2</v>
      </c>
      <c r="G57" s="57">
        <f>IF(A57="","",SUMIFS('Current_Stock_Detail 当前库存明细查询'!$H:$H,'Current_Stock_Detail 当前库存明细查询'!$D:$D,A57,'Current_Stock_Detail 当前库存明细查询'!$B:$B,"&lt;&gt;REPAIR*",'Current_Stock_Detail 当前库存明细查询'!$B:$B,"&lt;&gt;RTN*"))</f>
        <v>2</v>
      </c>
      <c r="H57" s="57">
        <f>IF(A57="","",SUMIFS('Current_Stock_Detail 当前库存明细查询'!$H:$H,'Current_Stock_Detail 当前库存明细查询'!$D:$D,A57,'Current_Stock_Detail 当前库存明细查询'!$B:$B,"REPAIR*"))</f>
        <v>0</v>
      </c>
      <c r="I57" s="57">
        <f>IF(A57="","",SUMIFS('Current_Stock_Detail 当前库存明细查询'!$H:$H,'Current_Stock_Detail 当前库存明细查询'!$D:$D,A57,'Current_Stock_Detail 当前库存明细查询'!$C:$C,"MIX*"))</f>
        <v>2</v>
      </c>
      <c r="J57" s="57" t="s">
        <v>986</v>
      </c>
      <c r="K57" s="58" t="s">
        <v>727</v>
      </c>
      <c r="L57" s="58" t="s">
        <v>972</v>
      </c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43.5" customHeight="1">
      <c r="A58" s="57" t="s">
        <v>561</v>
      </c>
      <c r="B58" s="160" t="s">
        <v>968</v>
      </c>
      <c r="C58" s="160" t="s">
        <v>820</v>
      </c>
      <c r="D58" s="57" t="s">
        <v>787</v>
      </c>
      <c r="E58" s="57" t="s">
        <v>727</v>
      </c>
      <c r="F58" s="57">
        <f>IF(A58="","",SUMIF('Current_Stock_Detail 当前库存明细查询'!$D:$D,A58,'Current_Stock_Detail 当前库存明细查询'!$H:$H))</f>
        <v>8</v>
      </c>
      <c r="G58" s="57">
        <f>IF(A58="","",SUMIFS('Current_Stock_Detail 当前库存明细查询'!$H:$H,'Current_Stock_Detail 当前库存明细查询'!$D:$D,A58,'Current_Stock_Detail 当前库存明细查询'!$B:$B,"&lt;&gt;REPAIR*",'Current_Stock_Detail 当前库存明细查询'!$B:$B,"&lt;&gt;RTN*"))</f>
        <v>8</v>
      </c>
      <c r="H58" s="57">
        <f>IF(A58="","",SUMIFS('Current_Stock_Detail 当前库存明细查询'!$H:$H,'Current_Stock_Detail 当前库存明细查询'!$D:$D,A58,'Current_Stock_Detail 当前库存明细查询'!$B:$B,"REPAIR*"))</f>
        <v>0</v>
      </c>
      <c r="I58" s="57">
        <f>IF(A58="","",SUMIFS('Current_Stock_Detail 当前库存明细查询'!$H:$H,'Current_Stock_Detail 当前库存明细查询'!$D:$D,A58,'Current_Stock_Detail 当前库存明细查询'!$C:$C,"MIX*"))</f>
        <v>2</v>
      </c>
      <c r="J58" s="57" t="s">
        <v>989</v>
      </c>
      <c r="K58" s="58" t="s">
        <v>727</v>
      </c>
      <c r="L58" s="58" t="s">
        <v>972</v>
      </c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43.5" customHeight="1">
      <c r="A59" s="57" t="s">
        <v>892</v>
      </c>
      <c r="B59" s="160" t="s">
        <v>968</v>
      </c>
      <c r="C59" s="160" t="s">
        <v>820</v>
      </c>
      <c r="D59" s="57" t="s">
        <v>787</v>
      </c>
      <c r="E59" s="57" t="s">
        <v>727</v>
      </c>
      <c r="F59" s="57">
        <f>IF(A59="","",SUMIF('Current_Stock_Detail 当前库存明细查询'!$D:$D,A59,'Current_Stock_Detail 当前库存明细查询'!$H:$H))</f>
        <v>1</v>
      </c>
      <c r="G59" s="57">
        <f>IF(A59="","",SUMIFS('Current_Stock_Detail 当前库存明细查询'!$H:$H,'Current_Stock_Detail 当前库存明细查询'!$D:$D,A59,'Current_Stock_Detail 当前库存明细查询'!$B:$B,"&lt;&gt;REPAIR*",'Current_Stock_Detail 当前库存明细查询'!$B:$B,"&lt;&gt;RTN*"))</f>
        <v>1</v>
      </c>
      <c r="H59" s="57">
        <f>IF(A59="","",SUMIFS('Current_Stock_Detail 当前库存明细查询'!$H:$H,'Current_Stock_Detail 当前库存明细查询'!$D:$D,A59,'Current_Stock_Detail 当前库存明细查询'!$B:$B,"REPAIR*"))</f>
        <v>0</v>
      </c>
      <c r="I59" s="57">
        <f>IF(A59="","",SUMIFS('Current_Stock_Detail 当前库存明细查询'!$H:$H,'Current_Stock_Detail 当前库存明细查询'!$D:$D,A59,'Current_Stock_Detail 当前库存明细查询'!$C:$C,"MIX*"))</f>
        <v>0</v>
      </c>
      <c r="J59" s="57" t="s">
        <v>991</v>
      </c>
      <c r="K59" s="58" t="s">
        <v>727</v>
      </c>
      <c r="L59" s="58" t="s">
        <v>972</v>
      </c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43.5" customHeight="1">
      <c r="A60" s="57" t="s">
        <v>399</v>
      </c>
      <c r="B60" s="160" t="s">
        <v>968</v>
      </c>
      <c r="C60" s="160" t="s">
        <v>820</v>
      </c>
      <c r="D60" s="57" t="s">
        <v>787</v>
      </c>
      <c r="E60" s="57" t="s">
        <v>727</v>
      </c>
      <c r="F60" s="57">
        <f>IF(A60="","",SUMIF('Current_Stock_Detail 当前库存明细查询'!$D:$D,A60,'Current_Stock_Detail 当前库存明细查询'!$H:$H))</f>
        <v>9</v>
      </c>
      <c r="G60" s="57">
        <f>IF(A60="","",SUMIFS('Current_Stock_Detail 当前库存明细查询'!$H:$H,'Current_Stock_Detail 当前库存明细查询'!$D:$D,A60,'Current_Stock_Detail 当前库存明细查询'!$B:$B,"&lt;&gt;REPAIR*",'Current_Stock_Detail 当前库存明细查询'!$B:$B,"&lt;&gt;RTN*"))</f>
        <v>9</v>
      </c>
      <c r="H60" s="57">
        <f>IF(A60="","",SUMIFS('Current_Stock_Detail 当前库存明细查询'!$H:$H,'Current_Stock_Detail 当前库存明细查询'!$D:$D,A60,'Current_Stock_Detail 当前库存明细查询'!$B:$B,"REPAIR*"))</f>
        <v>0</v>
      </c>
      <c r="I60" s="57">
        <f>IF(A60="","",SUMIFS('Current_Stock_Detail 当前库存明细查询'!$H:$H,'Current_Stock_Detail 当前库存明细查询'!$D:$D,A60,'Current_Stock_Detail 当前库存明细查询'!$C:$C,"MIX*"))</f>
        <v>7</v>
      </c>
      <c r="J60" s="57" t="s">
        <v>993</v>
      </c>
      <c r="K60" s="58" t="s">
        <v>727</v>
      </c>
      <c r="L60" s="58" t="s">
        <v>972</v>
      </c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43.5" customHeight="1">
      <c r="A61" s="57" t="s">
        <v>673</v>
      </c>
      <c r="B61" s="160" t="s">
        <v>968</v>
      </c>
      <c r="C61" s="160" t="s">
        <v>820</v>
      </c>
      <c r="D61" s="57" t="s">
        <v>787</v>
      </c>
      <c r="E61" s="57" t="s">
        <v>727</v>
      </c>
      <c r="F61" s="57">
        <f>IF(A61="","",SUMIF('Current_Stock_Detail 当前库存明细查询'!$D:$D,A61,'Current_Stock_Detail 当前库存明细查询'!$H:$H))</f>
        <v>1</v>
      </c>
      <c r="G61" s="57">
        <f>IF(A61="","",SUMIFS('Current_Stock_Detail 当前库存明细查询'!$H:$H,'Current_Stock_Detail 当前库存明细查询'!$D:$D,A61,'Current_Stock_Detail 当前库存明细查询'!$B:$B,"&lt;&gt;REPAIR*",'Current_Stock_Detail 当前库存明细查询'!$B:$B,"&lt;&gt;RTN*"))</f>
        <v>1</v>
      </c>
      <c r="H61" s="57">
        <f>IF(A61="","",SUMIFS('Current_Stock_Detail 当前库存明细查询'!$H:$H,'Current_Stock_Detail 当前库存明细查询'!$D:$D,A61,'Current_Stock_Detail 当前库存明细查询'!$B:$B,"REPAIR*"))</f>
        <v>0</v>
      </c>
      <c r="I61" s="57">
        <f>IF(A61="","",SUMIFS('Current_Stock_Detail 当前库存明细查询'!$H:$H,'Current_Stock_Detail 当前库存明细查询'!$D:$D,A61,'Current_Stock_Detail 当前库存明细查询'!$C:$C,"MIX*"))</f>
        <v>0</v>
      </c>
      <c r="J61" s="57" t="s">
        <v>996</v>
      </c>
      <c r="K61" s="58" t="s">
        <v>727</v>
      </c>
      <c r="L61" s="58" t="s">
        <v>972</v>
      </c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43.5" customHeight="1">
      <c r="A62" s="57" t="s">
        <v>421</v>
      </c>
      <c r="B62" s="160" t="s">
        <v>974</v>
      </c>
      <c r="C62" s="160" t="s">
        <v>820</v>
      </c>
      <c r="D62" s="57" t="s">
        <v>787</v>
      </c>
      <c r="E62" s="57" t="s">
        <v>727</v>
      </c>
      <c r="F62" s="57">
        <f>IF(A62="","",SUMIF('Current_Stock_Detail 当前库存明细查询'!$D:$D,A62,'Current_Stock_Detail 当前库存明细查询'!$H:$H))</f>
        <v>15</v>
      </c>
      <c r="G62" s="57">
        <f>IF(A62="","",SUMIFS('Current_Stock_Detail 当前库存明细查询'!$H:$H,'Current_Stock_Detail 当前库存明细查询'!$D:$D,A62,'Current_Stock_Detail 当前库存明细查询'!$B:$B,"&lt;&gt;REPAIR*",'Current_Stock_Detail 当前库存明细查询'!$B:$B,"&lt;&gt;RTN*"))</f>
        <v>15</v>
      </c>
      <c r="H62" s="57">
        <f>IF(A62="","",SUMIFS('Current_Stock_Detail 当前库存明细查询'!$H:$H,'Current_Stock_Detail 当前库存明细查询'!$D:$D,A62,'Current_Stock_Detail 当前库存明细查询'!$B:$B,"REPAIR*"))</f>
        <v>0</v>
      </c>
      <c r="I62" s="57">
        <f>IF(A62="","",SUMIFS('Current_Stock_Detail 当前库存明细查询'!$H:$H,'Current_Stock_Detail 当前库存明细查询'!$D:$D,A62,'Current_Stock_Detail 当前库存明细查询'!$C:$C,"MIX*"))</f>
        <v>15</v>
      </c>
      <c r="J62" s="57" t="s">
        <v>998</v>
      </c>
      <c r="K62" s="58" t="s">
        <v>727</v>
      </c>
      <c r="L62" s="58" t="s">
        <v>972</v>
      </c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43.5" customHeight="1">
      <c r="A63" s="57" t="s">
        <v>378</v>
      </c>
      <c r="B63" s="160" t="s">
        <v>974</v>
      </c>
      <c r="C63" s="160" t="s">
        <v>820</v>
      </c>
      <c r="D63" s="57" t="s">
        <v>787</v>
      </c>
      <c r="E63" s="57" t="s">
        <v>727</v>
      </c>
      <c r="F63" s="57">
        <f>IF(A63="","",SUMIF('Current_Stock_Detail 当前库存明细查询'!$D:$D,A63,'Current_Stock_Detail 当前库存明细查询'!$H:$H))</f>
        <v>92</v>
      </c>
      <c r="G63" s="57">
        <f>IF(A63="","",SUMIFS('Current_Stock_Detail 当前库存明细查询'!$H:$H,'Current_Stock_Detail 当前库存明细查询'!$D:$D,A63,'Current_Stock_Detail 当前库存明细查询'!$B:$B,"&lt;&gt;REPAIR*",'Current_Stock_Detail 当前库存明细查询'!$B:$B,"&lt;&gt;RTN*"))</f>
        <v>92</v>
      </c>
      <c r="H63" s="57">
        <f>IF(A63="","",SUMIFS('Current_Stock_Detail 当前库存明细查询'!$H:$H,'Current_Stock_Detail 当前库存明细查询'!$D:$D,A63,'Current_Stock_Detail 当前库存明细查询'!$B:$B,"REPAIR*"))</f>
        <v>0</v>
      </c>
      <c r="I63" s="57">
        <f>IF(A63="","",SUMIFS('Current_Stock_Detail 当前库存明细查询'!$H:$H,'Current_Stock_Detail 当前库存明细查询'!$D:$D,A63,'Current_Stock_Detail 当前库存明细查询'!$C:$C,"MIX*"))</f>
        <v>0</v>
      </c>
      <c r="J63" s="57" t="s">
        <v>1003</v>
      </c>
      <c r="K63" s="58" t="s">
        <v>727</v>
      </c>
      <c r="L63" s="58" t="s">
        <v>972</v>
      </c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43.5" customHeight="1">
      <c r="A64" s="57" t="s">
        <v>396</v>
      </c>
      <c r="B64" s="160" t="s">
        <v>968</v>
      </c>
      <c r="C64" s="160" t="s">
        <v>820</v>
      </c>
      <c r="D64" s="57" t="s">
        <v>787</v>
      </c>
      <c r="E64" s="57" t="s">
        <v>727</v>
      </c>
      <c r="F64" s="57">
        <f>IF(A64="","",SUMIF('Current_Stock_Detail 当前库存明细查询'!$D:$D,A64,'Current_Stock_Detail 当前库存明细查询'!$H:$H))</f>
        <v>25</v>
      </c>
      <c r="G64" s="57">
        <f>IF(A64="","",SUMIFS('Current_Stock_Detail 当前库存明细查询'!$H:$H,'Current_Stock_Detail 当前库存明细查询'!$D:$D,A64,'Current_Stock_Detail 当前库存明细查询'!$B:$B,"&lt;&gt;REPAIR*",'Current_Stock_Detail 当前库存明细查询'!$B:$B,"&lt;&gt;RTN*"))</f>
        <v>25</v>
      </c>
      <c r="H64" s="57">
        <f>IF(A64="","",SUMIFS('Current_Stock_Detail 当前库存明细查询'!$H:$H,'Current_Stock_Detail 当前库存明细查询'!$D:$D,A64,'Current_Stock_Detail 当前库存明细查询'!$B:$B,"REPAIR*"))</f>
        <v>0</v>
      </c>
      <c r="I64" s="57">
        <f>IF(A64="","",SUMIFS('Current_Stock_Detail 当前库存明细查询'!$H:$H,'Current_Stock_Detail 当前库存明细查询'!$D:$D,A64,'Current_Stock_Detail 当前库存明细查询'!$C:$C,"MIX*"))</f>
        <v>2</v>
      </c>
      <c r="J64" s="57" t="s">
        <v>1007</v>
      </c>
      <c r="K64" s="58" t="s">
        <v>727</v>
      </c>
      <c r="L64" s="58" t="s">
        <v>972</v>
      </c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43.5" customHeight="1">
      <c r="A65" s="57" t="s">
        <v>1008</v>
      </c>
      <c r="B65" s="57" t="s">
        <v>1010</v>
      </c>
      <c r="C65" s="160" t="s">
        <v>725</v>
      </c>
      <c r="D65" s="57" t="s">
        <v>726</v>
      </c>
      <c r="E65" s="57" t="s">
        <v>727</v>
      </c>
      <c r="F65" s="57">
        <f>IF(A65="","",SUMIF('Current_Stock_Detail 当前库存明细查询'!$D:$D,A65,'Current_Stock_Detail 当前库存明细查询'!$H:$H))</f>
        <v>0</v>
      </c>
      <c r="G65" s="57">
        <f>IF(A65="","",SUMIFS('Current_Stock_Detail 当前库存明细查询'!$H:$H,'Current_Stock_Detail 当前库存明细查询'!$D:$D,A65,'Current_Stock_Detail 当前库存明细查询'!$B:$B,"&lt;&gt;REPAIR*",'Current_Stock_Detail 当前库存明细查询'!$B:$B,"&lt;&gt;RTN*"))</f>
        <v>0</v>
      </c>
      <c r="H65" s="57">
        <f>IF(A65="","",SUMIFS('Current_Stock_Detail 当前库存明细查询'!$H:$H,'Current_Stock_Detail 当前库存明细查询'!$D:$D,A65,'Current_Stock_Detail 当前库存明细查询'!$B:$B,"REPAIR*"))</f>
        <v>0</v>
      </c>
      <c r="I65" s="57">
        <f>IF(A65="","",SUMIFS('Current_Stock_Detail 当前库存明细查询'!$H:$H,'Current_Stock_Detail 当前库存明细查询'!$D:$D,A65,'Current_Stock_Detail 当前库存明细查询'!$C:$C,"MIX*"))</f>
        <v>0</v>
      </c>
      <c r="J65" s="57" t="s">
        <v>1015</v>
      </c>
      <c r="K65" s="58" t="s">
        <v>730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43.5" customHeight="1">
      <c r="A66" s="57" t="s">
        <v>1016</v>
      </c>
      <c r="B66" s="57" t="s">
        <v>1017</v>
      </c>
      <c r="C66" s="160" t="s">
        <v>725</v>
      </c>
      <c r="D66" s="57" t="s">
        <v>726</v>
      </c>
      <c r="E66" s="57" t="s">
        <v>727</v>
      </c>
      <c r="F66" s="57">
        <f>IF(A66="","",SUMIF('Current_Stock_Detail 当前库存明细查询'!$D:$D,A66,'Current_Stock_Detail 当前库存明细查询'!$H:$H))</f>
        <v>0</v>
      </c>
      <c r="G66" s="57">
        <f>IF(A66="","",SUMIFS('Current_Stock_Detail 当前库存明细查询'!$H:$H,'Current_Stock_Detail 当前库存明细查询'!$D:$D,A66,'Current_Stock_Detail 当前库存明细查询'!$B:$B,"&lt;&gt;REPAIR*",'Current_Stock_Detail 当前库存明细查询'!$B:$B,"&lt;&gt;RTN*"))</f>
        <v>0</v>
      </c>
      <c r="H66" s="57">
        <f>IF(A66="","",SUMIFS('Current_Stock_Detail 当前库存明细查询'!$H:$H,'Current_Stock_Detail 当前库存明细查询'!$D:$D,A66,'Current_Stock_Detail 当前库存明细查询'!$B:$B,"REPAIR*"))</f>
        <v>0</v>
      </c>
      <c r="I66" s="57">
        <f>IF(A66="","",SUMIFS('Current_Stock_Detail 当前库存明细查询'!$H:$H,'Current_Stock_Detail 当前库存明细查询'!$D:$D,A66,'Current_Stock_Detail 当前库存明细查询'!$C:$C,"MIX*"))</f>
        <v>0</v>
      </c>
      <c r="J66" s="57" t="s">
        <v>1020</v>
      </c>
      <c r="K66" s="58" t="s">
        <v>730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43.5" customHeight="1">
      <c r="A67" s="57" t="s">
        <v>1023</v>
      </c>
      <c r="B67" s="57" t="s">
        <v>1024</v>
      </c>
      <c r="C67" s="160" t="s">
        <v>725</v>
      </c>
      <c r="D67" s="57" t="s">
        <v>726</v>
      </c>
      <c r="E67" s="57" t="s">
        <v>727</v>
      </c>
      <c r="F67" s="57">
        <f>IF(A67="","",SUMIF('Current_Stock_Detail 当前库存明细查询'!$D:$D,A67,'Current_Stock_Detail 当前库存明细查询'!$H:$H))</f>
        <v>0</v>
      </c>
      <c r="G67" s="57">
        <f>IF(A67="","",SUMIFS('Current_Stock_Detail 当前库存明细查询'!$H:$H,'Current_Stock_Detail 当前库存明细查询'!$D:$D,A67,'Current_Stock_Detail 当前库存明细查询'!$B:$B,"&lt;&gt;REPAIR*",'Current_Stock_Detail 当前库存明细查询'!$B:$B,"&lt;&gt;RTN*"))</f>
        <v>0</v>
      </c>
      <c r="H67" s="57">
        <f>IF(A67="","",SUMIFS('Current_Stock_Detail 当前库存明细查询'!$H:$H,'Current_Stock_Detail 当前库存明细查询'!$D:$D,A67,'Current_Stock_Detail 当前库存明细查询'!$B:$B,"REPAIR*"))</f>
        <v>0</v>
      </c>
      <c r="I67" s="57">
        <f>IF(A67="","",SUMIFS('Current_Stock_Detail 当前库存明细查询'!$H:$H,'Current_Stock_Detail 当前库存明细查询'!$D:$D,A67,'Current_Stock_Detail 当前库存明细查询'!$C:$C,"MIX*"))</f>
        <v>0</v>
      </c>
      <c r="J67" s="57" t="s">
        <v>1025</v>
      </c>
      <c r="K67" s="58" t="s">
        <v>730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43.5" customHeight="1">
      <c r="A68" s="57" t="s">
        <v>1026</v>
      </c>
      <c r="B68" s="160" t="s">
        <v>1027</v>
      </c>
      <c r="C68" s="160" t="s">
        <v>725</v>
      </c>
      <c r="D68" s="57" t="s">
        <v>755</v>
      </c>
      <c r="E68" s="57" t="s">
        <v>727</v>
      </c>
      <c r="F68" s="57">
        <f>IF(A68="","",SUMIF('Current_Stock_Detail 当前库存明细查询'!$D:$D,A68,'Current_Stock_Detail 当前库存明细查询'!$H:$H))</f>
        <v>0</v>
      </c>
      <c r="G68" s="57">
        <f>IF(A68="","",SUMIFS('Current_Stock_Detail 当前库存明细查询'!$H:$H,'Current_Stock_Detail 当前库存明细查询'!$D:$D,A68,'Current_Stock_Detail 当前库存明细查询'!$B:$B,"&lt;&gt;REPAIR*",'Current_Stock_Detail 当前库存明细查询'!$B:$B,"&lt;&gt;RTN*"))</f>
        <v>0</v>
      </c>
      <c r="H68" s="57">
        <f>IF(A68="","",SUMIFS('Current_Stock_Detail 当前库存明细查询'!$H:$H,'Current_Stock_Detail 当前库存明细查询'!$D:$D,A68,'Current_Stock_Detail 当前库存明细查询'!$B:$B,"REPAIR*"))</f>
        <v>0</v>
      </c>
      <c r="I68" s="57">
        <f>IF(A68="","",SUMIFS('Current_Stock_Detail 当前库存明细查询'!$H:$H,'Current_Stock_Detail 当前库存明细查询'!$D:$D,A68,'Current_Stock_Detail 当前库存明细查询'!$C:$C,"MIX*"))</f>
        <v>0</v>
      </c>
      <c r="J68" s="57" t="s">
        <v>1028</v>
      </c>
      <c r="K68" s="58" t="s">
        <v>730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43.5" customHeight="1">
      <c r="A69" s="57" t="s">
        <v>103</v>
      </c>
      <c r="B69" s="160" t="s">
        <v>1029</v>
      </c>
      <c r="C69" s="160" t="s">
        <v>725</v>
      </c>
      <c r="D69" s="57" t="s">
        <v>755</v>
      </c>
      <c r="E69" s="57" t="s">
        <v>727</v>
      </c>
      <c r="F69" s="57">
        <f>IF(A69="","",SUMIF('Current_Stock_Detail 当前库存明细查询'!$D:$D,A69,'Current_Stock_Detail 当前库存明细查询'!$H:$H))</f>
        <v>0</v>
      </c>
      <c r="G69" s="57">
        <f>IF(A69="","",SUMIFS('Current_Stock_Detail 当前库存明细查询'!$H:$H,'Current_Stock_Detail 当前库存明细查询'!$D:$D,A69,'Current_Stock_Detail 当前库存明细查询'!$B:$B,"&lt;&gt;REPAIR*",'Current_Stock_Detail 当前库存明细查询'!$B:$B,"&lt;&gt;RTN*"))</f>
        <v>0</v>
      </c>
      <c r="H69" s="57">
        <f>IF(A69="","",SUMIFS('Current_Stock_Detail 当前库存明细查询'!$H:$H,'Current_Stock_Detail 当前库存明细查询'!$D:$D,A69,'Current_Stock_Detail 当前库存明细查询'!$B:$B,"REPAIR*"))</f>
        <v>0</v>
      </c>
      <c r="I69" s="57">
        <f>IF(A69="","",SUMIFS('Current_Stock_Detail 当前库存明细查询'!$H:$H,'Current_Stock_Detail 当前库存明细查询'!$D:$D,A69,'Current_Stock_Detail 当前库存明细查询'!$C:$C,"MIX*"))</f>
        <v>0</v>
      </c>
      <c r="J69" s="57" t="s">
        <v>1030</v>
      </c>
      <c r="K69" s="58" t="s">
        <v>730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43.5" customHeight="1">
      <c r="A70" s="57" t="s">
        <v>1031</v>
      </c>
      <c r="B70" s="160" t="s">
        <v>1032</v>
      </c>
      <c r="C70" s="160" t="s">
        <v>725</v>
      </c>
      <c r="D70" s="57" t="s">
        <v>787</v>
      </c>
      <c r="E70" s="57" t="s">
        <v>727</v>
      </c>
      <c r="F70" s="57">
        <f>IF(A70="","",SUMIF('Current_Stock_Detail 当前库存明细查询'!$D:$D,A70,'Current_Stock_Detail 当前库存明细查询'!$H:$H))</f>
        <v>0</v>
      </c>
      <c r="G70" s="57">
        <f>IF(A70="","",SUMIFS('Current_Stock_Detail 当前库存明细查询'!$H:$H,'Current_Stock_Detail 当前库存明细查询'!$D:$D,A70,'Current_Stock_Detail 当前库存明细查询'!$B:$B,"&lt;&gt;REPAIR*",'Current_Stock_Detail 当前库存明细查询'!$B:$B,"&lt;&gt;RTN*"))</f>
        <v>0</v>
      </c>
      <c r="H70" s="57">
        <f>IF(A70="","",SUMIFS('Current_Stock_Detail 当前库存明细查询'!$H:$H,'Current_Stock_Detail 当前库存明细查询'!$D:$D,A70,'Current_Stock_Detail 当前库存明细查询'!$B:$B,"REPAIR*"))</f>
        <v>0</v>
      </c>
      <c r="I70" s="57">
        <f>IF(A70="","",SUMIFS('Current_Stock_Detail 当前库存明细查询'!$H:$H,'Current_Stock_Detail 当前库存明细查询'!$D:$D,A70,'Current_Stock_Detail 当前库存明细查询'!$C:$C,"MIX*"))</f>
        <v>0</v>
      </c>
      <c r="J70" s="57" t="s">
        <v>1033</v>
      </c>
      <c r="K70" s="58" t="s">
        <v>727</v>
      </c>
      <c r="L70" s="58" t="s">
        <v>972</v>
      </c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43.5" customHeight="1">
      <c r="A71" s="57" t="s">
        <v>1034</v>
      </c>
      <c r="B71" s="160" t="s">
        <v>1035</v>
      </c>
      <c r="C71" s="160" t="s">
        <v>820</v>
      </c>
      <c r="D71" s="57" t="s">
        <v>787</v>
      </c>
      <c r="E71" s="57" t="s">
        <v>727</v>
      </c>
      <c r="F71" s="57">
        <f>IF(A71="","",SUMIF('Current_Stock_Detail 当前库存明细查询'!$D:$D,A71,'Current_Stock_Detail 当前库存明细查询'!$H:$H))</f>
        <v>0</v>
      </c>
      <c r="G71" s="57">
        <f>IF(A71="","",SUMIFS('Current_Stock_Detail 当前库存明细查询'!$H:$H,'Current_Stock_Detail 当前库存明细查询'!$D:$D,A71,'Current_Stock_Detail 当前库存明细查询'!$B:$B,"&lt;&gt;REPAIR*",'Current_Stock_Detail 当前库存明细查询'!$B:$B,"&lt;&gt;RTN*"))</f>
        <v>0</v>
      </c>
      <c r="H71" s="57">
        <f>IF(A71="","",SUMIFS('Current_Stock_Detail 当前库存明细查询'!$H:$H,'Current_Stock_Detail 当前库存明细查询'!$D:$D,A71,'Current_Stock_Detail 当前库存明细查询'!$B:$B,"REPAIR*"))</f>
        <v>0</v>
      </c>
      <c r="I71" s="57">
        <f>IF(A71="","",SUMIFS('Current_Stock_Detail 当前库存明细查询'!$H:$H,'Current_Stock_Detail 当前库存明细查询'!$D:$D,A71,'Current_Stock_Detail 当前库存明细查询'!$C:$C,"MIX*"))</f>
        <v>0</v>
      </c>
      <c r="J71" s="57" t="s">
        <v>1037</v>
      </c>
      <c r="K71" s="58" t="s">
        <v>727</v>
      </c>
      <c r="L71" s="58" t="s">
        <v>972</v>
      </c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43.5" customHeight="1">
      <c r="A72" s="57" t="s">
        <v>408</v>
      </c>
      <c r="B72" s="160" t="s">
        <v>1038</v>
      </c>
      <c r="C72" s="160" t="s">
        <v>820</v>
      </c>
      <c r="D72" s="57" t="s">
        <v>787</v>
      </c>
      <c r="E72" s="57" t="s">
        <v>727</v>
      </c>
      <c r="F72" s="57">
        <f>IF(A72="","",SUMIF('Current_Stock_Detail 当前库存明细查询'!$D:$D,A72,'Current_Stock_Detail 当前库存明细查询'!$H:$H))</f>
        <v>8</v>
      </c>
      <c r="G72" s="57">
        <f>IF(A72="","",SUMIFS('Current_Stock_Detail 当前库存明细查询'!$H:$H,'Current_Stock_Detail 当前库存明细查询'!$D:$D,A72,'Current_Stock_Detail 当前库存明细查询'!$B:$B,"&lt;&gt;REPAIR*",'Current_Stock_Detail 当前库存明细查询'!$B:$B,"&lt;&gt;RTN*"))</f>
        <v>8</v>
      </c>
      <c r="H72" s="57">
        <f>IF(A72="","",SUMIFS('Current_Stock_Detail 当前库存明细查询'!$H:$H,'Current_Stock_Detail 当前库存明细查询'!$D:$D,A72,'Current_Stock_Detail 当前库存明细查询'!$B:$B,"REPAIR*"))</f>
        <v>0</v>
      </c>
      <c r="I72" s="57">
        <f>IF(A72="","",SUMIFS('Current_Stock_Detail 当前库存明细查询'!$H:$H,'Current_Stock_Detail 当前库存明细查询'!$D:$D,A72,'Current_Stock_Detail 当前库存明细查询'!$C:$C,"MIX*"))</f>
        <v>5</v>
      </c>
      <c r="J72" s="57" t="s">
        <v>1039</v>
      </c>
      <c r="K72" s="58" t="s">
        <v>727</v>
      </c>
      <c r="L72" s="58" t="s">
        <v>972</v>
      </c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43.5" customHeight="1">
      <c r="A73" s="57" t="s">
        <v>620</v>
      </c>
      <c r="B73" s="160" t="s">
        <v>1035</v>
      </c>
      <c r="C73" s="160" t="s">
        <v>820</v>
      </c>
      <c r="D73" s="57" t="s">
        <v>787</v>
      </c>
      <c r="E73" s="57" t="s">
        <v>727</v>
      </c>
      <c r="F73" s="57">
        <f>IF(A73="","",SUMIF('Current_Stock_Detail 当前库存明细查询'!$D:$D,A73,'Current_Stock_Detail 当前库存明细查询'!$H:$H))</f>
        <v>1</v>
      </c>
      <c r="G73" s="57">
        <f>IF(A73="","",SUMIFS('Current_Stock_Detail 当前库存明细查询'!$H:$H,'Current_Stock_Detail 当前库存明细查询'!$D:$D,A73,'Current_Stock_Detail 当前库存明细查询'!$B:$B,"&lt;&gt;REPAIR*",'Current_Stock_Detail 当前库存明细查询'!$B:$B,"&lt;&gt;RTN*"))</f>
        <v>1</v>
      </c>
      <c r="H73" s="57">
        <f>IF(A73="","",SUMIFS('Current_Stock_Detail 当前库存明细查询'!$H:$H,'Current_Stock_Detail 当前库存明细查询'!$D:$D,A73,'Current_Stock_Detail 当前库存明细查询'!$B:$B,"REPAIR*"))</f>
        <v>0</v>
      </c>
      <c r="I73" s="57">
        <f>IF(A73="","",SUMIFS('Current_Stock_Detail 当前库存明细查询'!$H:$H,'Current_Stock_Detail 当前库存明细查询'!$D:$D,A73,'Current_Stock_Detail 当前库存明细查询'!$C:$C,"MIX*"))</f>
        <v>0</v>
      </c>
      <c r="J73" s="57" t="s">
        <v>1041</v>
      </c>
      <c r="K73" s="58" t="s">
        <v>727</v>
      </c>
      <c r="L73" s="58" t="s">
        <v>972</v>
      </c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43.5" customHeight="1">
      <c r="A74" s="57" t="s">
        <v>371</v>
      </c>
      <c r="B74" s="160" t="s">
        <v>1035</v>
      </c>
      <c r="C74" s="160" t="s">
        <v>820</v>
      </c>
      <c r="D74" s="57" t="s">
        <v>787</v>
      </c>
      <c r="E74" s="57" t="s">
        <v>727</v>
      </c>
      <c r="F74" s="57">
        <f>IF(A74="","",SUMIF('Current_Stock_Detail 当前库存明细查询'!$D:$D,A74,'Current_Stock_Detail 当前库存明细查询'!$H:$H))</f>
        <v>4</v>
      </c>
      <c r="G74" s="57">
        <f>IF(A74="","",SUMIFS('Current_Stock_Detail 当前库存明细查询'!$H:$H,'Current_Stock_Detail 当前库存明细查询'!$D:$D,A74,'Current_Stock_Detail 当前库存明细查询'!$B:$B,"&lt;&gt;REPAIR*",'Current_Stock_Detail 当前库存明细查询'!$B:$B,"&lt;&gt;RTN*"))</f>
        <v>4</v>
      </c>
      <c r="H74" s="57">
        <f>IF(A74="","",SUMIFS('Current_Stock_Detail 当前库存明细查询'!$H:$H,'Current_Stock_Detail 当前库存明细查询'!$D:$D,A74,'Current_Stock_Detail 当前库存明细查询'!$B:$B,"REPAIR*"))</f>
        <v>0</v>
      </c>
      <c r="I74" s="57">
        <f>IF(A74="","",SUMIFS('Current_Stock_Detail 当前库存明细查询'!$H:$H,'Current_Stock_Detail 当前库存明细查询'!$D:$D,A74,'Current_Stock_Detail 当前库存明细查询'!$C:$C,"MIX*"))</f>
        <v>4</v>
      </c>
      <c r="J74" s="57" t="s">
        <v>1043</v>
      </c>
      <c r="K74" s="58" t="s">
        <v>727</v>
      </c>
      <c r="L74" s="58" t="s">
        <v>972</v>
      </c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43.5" customHeight="1">
      <c r="A75" s="57" t="s">
        <v>364</v>
      </c>
      <c r="B75" s="160" t="s">
        <v>1035</v>
      </c>
      <c r="C75" s="160" t="s">
        <v>820</v>
      </c>
      <c r="D75" s="57" t="s">
        <v>787</v>
      </c>
      <c r="E75" s="57" t="s">
        <v>727</v>
      </c>
      <c r="F75" s="57">
        <f>IF(A75="","",SUMIF('Current_Stock_Detail 当前库存明细查询'!$D:$D,A75,'Current_Stock_Detail 当前库存明细查询'!$H:$H))</f>
        <v>20</v>
      </c>
      <c r="G75" s="57">
        <f>IF(A75="","",SUMIFS('Current_Stock_Detail 当前库存明细查询'!$H:$H,'Current_Stock_Detail 当前库存明细查询'!$D:$D,A75,'Current_Stock_Detail 当前库存明细查询'!$B:$B,"&lt;&gt;REPAIR*",'Current_Stock_Detail 当前库存明细查询'!$B:$B,"&lt;&gt;RTN*"))</f>
        <v>20</v>
      </c>
      <c r="H75" s="57">
        <f>IF(A75="","",SUMIFS('Current_Stock_Detail 当前库存明细查询'!$H:$H,'Current_Stock_Detail 当前库存明细查询'!$D:$D,A75,'Current_Stock_Detail 当前库存明细查询'!$B:$B,"REPAIR*"))</f>
        <v>0</v>
      </c>
      <c r="I75" s="57">
        <f>IF(A75="","",SUMIFS('Current_Stock_Detail 当前库存明细查询'!$H:$H,'Current_Stock_Detail 当前库存明细查询'!$D:$D,A75,'Current_Stock_Detail 当前库存明细查询'!$C:$C,"MIX*"))</f>
        <v>9</v>
      </c>
      <c r="J75" s="57" t="s">
        <v>1045</v>
      </c>
      <c r="K75" s="58" t="s">
        <v>727</v>
      </c>
      <c r="L75" s="58" t="s">
        <v>972</v>
      </c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43.5" customHeight="1">
      <c r="A76" s="57" t="s">
        <v>558</v>
      </c>
      <c r="B76" s="160" t="s">
        <v>1038</v>
      </c>
      <c r="C76" s="160" t="s">
        <v>820</v>
      </c>
      <c r="D76" s="57" t="s">
        <v>787</v>
      </c>
      <c r="E76" s="57" t="s">
        <v>727</v>
      </c>
      <c r="F76" s="57">
        <f>IF(A76="","",SUMIF('Current_Stock_Detail 当前库存明细查询'!$D:$D,A76,'Current_Stock_Detail 当前库存明细查询'!$H:$H))</f>
        <v>32</v>
      </c>
      <c r="G76" s="57">
        <f>IF(A76="","",SUMIFS('Current_Stock_Detail 当前库存明细查询'!$H:$H,'Current_Stock_Detail 当前库存明细查询'!$D:$D,A76,'Current_Stock_Detail 当前库存明细查询'!$B:$B,"&lt;&gt;REPAIR*",'Current_Stock_Detail 当前库存明细查询'!$B:$B,"&lt;&gt;RTN*"))</f>
        <v>32</v>
      </c>
      <c r="H76" s="57">
        <f>IF(A76="","",SUMIFS('Current_Stock_Detail 当前库存明细查询'!$H:$H,'Current_Stock_Detail 当前库存明细查询'!$D:$D,A76,'Current_Stock_Detail 当前库存明细查询'!$B:$B,"REPAIR*"))</f>
        <v>0</v>
      </c>
      <c r="I76" s="57">
        <f>IF(A76="","",SUMIFS('Current_Stock_Detail 当前库存明细查询'!$H:$H,'Current_Stock_Detail 当前库存明细查询'!$D:$D,A76,'Current_Stock_Detail 当前库存明细查询'!$C:$C,"MIX*"))</f>
        <v>1</v>
      </c>
      <c r="J76" s="57" t="s">
        <v>1046</v>
      </c>
      <c r="K76" s="58" t="s">
        <v>727</v>
      </c>
      <c r="L76" s="58" t="s">
        <v>972</v>
      </c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43.5" customHeight="1">
      <c r="A77" s="57" t="s">
        <v>437</v>
      </c>
      <c r="B77" s="160" t="s">
        <v>1035</v>
      </c>
      <c r="C77" s="160" t="s">
        <v>820</v>
      </c>
      <c r="D77" s="57" t="s">
        <v>787</v>
      </c>
      <c r="E77" s="57" t="s">
        <v>727</v>
      </c>
      <c r="F77" s="57">
        <f>IF(A77="","",SUMIF('Current_Stock_Detail 当前库存明细查询'!$D:$D,A77,'Current_Stock_Detail 当前库存明细查询'!$H:$H))</f>
        <v>39</v>
      </c>
      <c r="G77" s="57">
        <f>IF(A77="","",SUMIFS('Current_Stock_Detail 当前库存明细查询'!$H:$H,'Current_Stock_Detail 当前库存明细查询'!$D:$D,A77,'Current_Stock_Detail 当前库存明细查询'!$B:$B,"&lt;&gt;REPAIR*",'Current_Stock_Detail 当前库存明细查询'!$B:$B,"&lt;&gt;RTN*"))</f>
        <v>39</v>
      </c>
      <c r="H77" s="57">
        <f>IF(A77="","",SUMIFS('Current_Stock_Detail 当前库存明细查询'!$H:$H,'Current_Stock_Detail 当前库存明细查询'!$D:$D,A77,'Current_Stock_Detail 当前库存明细查询'!$B:$B,"REPAIR*"))</f>
        <v>0</v>
      </c>
      <c r="I77" s="57">
        <f>IF(A77="","",SUMIFS('Current_Stock_Detail 当前库存明细查询'!$H:$H,'Current_Stock_Detail 当前库存明细查询'!$D:$D,A77,'Current_Stock_Detail 当前库存明细查询'!$C:$C,"MIX*"))</f>
        <v>0</v>
      </c>
      <c r="J77" s="57" t="s">
        <v>1048</v>
      </c>
      <c r="K77" s="58" t="s">
        <v>727</v>
      </c>
      <c r="L77" s="58" t="s">
        <v>972</v>
      </c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43.5" customHeight="1">
      <c r="A78" s="57" t="s">
        <v>910</v>
      </c>
      <c r="B78" s="160" t="s">
        <v>1050</v>
      </c>
      <c r="C78" s="160" t="s">
        <v>820</v>
      </c>
      <c r="D78" s="57" t="s">
        <v>787</v>
      </c>
      <c r="E78" s="57" t="s">
        <v>727</v>
      </c>
      <c r="F78" s="57">
        <f>IF(A78="","",SUMIF('Current_Stock_Detail 当前库存明细查询'!$D:$D,A78,'Current_Stock_Detail 当前库存明细查询'!$H:$H))</f>
        <v>1</v>
      </c>
      <c r="G78" s="57">
        <f>IF(A78="","",SUMIFS('Current_Stock_Detail 当前库存明细查询'!$H:$H,'Current_Stock_Detail 当前库存明细查询'!$D:$D,A78,'Current_Stock_Detail 当前库存明细查询'!$B:$B,"&lt;&gt;REPAIR*",'Current_Stock_Detail 当前库存明细查询'!$B:$B,"&lt;&gt;RTN*"))</f>
        <v>1</v>
      </c>
      <c r="H78" s="57">
        <f>IF(A78="","",SUMIFS('Current_Stock_Detail 当前库存明细查询'!$H:$H,'Current_Stock_Detail 当前库存明细查询'!$D:$D,A78,'Current_Stock_Detail 当前库存明细查询'!$B:$B,"REPAIR*"))</f>
        <v>0</v>
      </c>
      <c r="I78" s="57">
        <f>IF(A78="","",SUMIFS('Current_Stock_Detail 当前库存明细查询'!$H:$H,'Current_Stock_Detail 当前库存明细查询'!$D:$D,A78,'Current_Stock_Detail 当前库存明细查询'!$C:$C,"MIX*"))</f>
        <v>0</v>
      </c>
      <c r="J78" s="57" t="s">
        <v>1051</v>
      </c>
      <c r="K78" s="58" t="s">
        <v>727</v>
      </c>
      <c r="L78" s="58" t="s">
        <v>972</v>
      </c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43.5" customHeight="1">
      <c r="A79" s="57" t="s">
        <v>610</v>
      </c>
      <c r="B79" s="166" t="s">
        <v>974</v>
      </c>
      <c r="C79" s="160" t="s">
        <v>820</v>
      </c>
      <c r="D79" s="57" t="s">
        <v>787</v>
      </c>
      <c r="E79" s="57" t="s">
        <v>727</v>
      </c>
      <c r="F79" s="57">
        <f>IF(A79="","",SUMIF('Current_Stock_Detail 当前库存明细查询'!$D:$D,A79,'Current_Stock_Detail 当前库存明细查询'!$H:$H))</f>
        <v>3</v>
      </c>
      <c r="G79" s="57">
        <f>IF(A79="","",SUMIFS('Current_Stock_Detail 当前库存明细查询'!$H:$H,'Current_Stock_Detail 当前库存明细查询'!$D:$D,A79,'Current_Stock_Detail 当前库存明细查询'!$B:$B,"&lt;&gt;REPAIR*",'Current_Stock_Detail 当前库存明细查询'!$B:$B,"&lt;&gt;RTN*"))</f>
        <v>3</v>
      </c>
      <c r="H79" s="57">
        <f>IF(A79="","",SUMIFS('Current_Stock_Detail 当前库存明细查询'!$H:$H,'Current_Stock_Detail 当前库存明细查询'!$D:$D,A79,'Current_Stock_Detail 当前库存明细查询'!$B:$B,"REPAIR*"))</f>
        <v>0</v>
      </c>
      <c r="I79" s="57">
        <f>IF(A79="","",SUMIFS('Current_Stock_Detail 当前库存明细查询'!$H:$H,'Current_Stock_Detail 当前库存明细查询'!$D:$D,A79,'Current_Stock_Detail 当前库存明细查询'!$C:$C,"MIX*"))</f>
        <v>0</v>
      </c>
      <c r="J79" s="57" t="s">
        <v>1053</v>
      </c>
      <c r="K79" s="58" t="s">
        <v>727</v>
      </c>
      <c r="L79" s="58" t="s">
        <v>972</v>
      </c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43.5" customHeight="1">
      <c r="A80" s="57" t="s">
        <v>1054</v>
      </c>
      <c r="B80" s="160" t="s">
        <v>1032</v>
      </c>
      <c r="C80" s="160" t="s">
        <v>725</v>
      </c>
      <c r="D80" s="57" t="s">
        <v>787</v>
      </c>
      <c r="E80" s="57" t="s">
        <v>727</v>
      </c>
      <c r="F80" s="57">
        <f>IF(A80="","",SUMIF('Current_Stock_Detail 当前库存明细查询'!$D:$D,A80,'Current_Stock_Detail 当前库存明细查询'!$H:$H))</f>
        <v>0</v>
      </c>
      <c r="G80" s="57">
        <f>IF(A80="","",SUMIFS('Current_Stock_Detail 当前库存明细查询'!$H:$H,'Current_Stock_Detail 当前库存明细查询'!$D:$D,A80,'Current_Stock_Detail 当前库存明细查询'!$B:$B,"&lt;&gt;REPAIR*",'Current_Stock_Detail 当前库存明细查询'!$B:$B,"&lt;&gt;RTN*"))</f>
        <v>0</v>
      </c>
      <c r="H80" s="57">
        <f>IF(A80="","",SUMIFS('Current_Stock_Detail 当前库存明细查询'!$H:$H,'Current_Stock_Detail 当前库存明细查询'!$D:$D,A80,'Current_Stock_Detail 当前库存明细查询'!$B:$B,"REPAIR*"))</f>
        <v>0</v>
      </c>
      <c r="I80" s="57">
        <f>IF(A80="","",SUMIFS('Current_Stock_Detail 当前库存明细查询'!$H:$H,'Current_Stock_Detail 当前库存明细查询'!$D:$D,A80,'Current_Stock_Detail 当前库存明细查询'!$C:$C,"MIX*"))</f>
        <v>0</v>
      </c>
      <c r="J80" s="57" t="s">
        <v>1056</v>
      </c>
      <c r="K80" s="58" t="s">
        <v>727</v>
      </c>
      <c r="L80" s="58" t="s">
        <v>972</v>
      </c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43.5" customHeight="1">
      <c r="A81" s="57" t="s">
        <v>587</v>
      </c>
      <c r="B81" s="160" t="s">
        <v>1057</v>
      </c>
      <c r="C81" s="160" t="s">
        <v>820</v>
      </c>
      <c r="D81" s="57" t="s">
        <v>787</v>
      </c>
      <c r="E81" s="57" t="s">
        <v>727</v>
      </c>
      <c r="F81" s="57">
        <f>IF(A81="","",SUMIF('Current_Stock_Detail 当前库存明细查询'!$D:$D,A81,'Current_Stock_Detail 当前库存明细查询'!$H:$H))</f>
        <v>3</v>
      </c>
      <c r="G81" s="57">
        <f>IF(A81="","",SUMIFS('Current_Stock_Detail 当前库存明细查询'!$H:$H,'Current_Stock_Detail 当前库存明细查询'!$D:$D,A81,'Current_Stock_Detail 当前库存明细查询'!$B:$B,"&lt;&gt;REPAIR*",'Current_Stock_Detail 当前库存明细查询'!$B:$B,"&lt;&gt;RTN*"))</f>
        <v>3</v>
      </c>
      <c r="H81" s="57">
        <f>IF(A81="","",SUMIFS('Current_Stock_Detail 当前库存明细查询'!$H:$H,'Current_Stock_Detail 当前库存明细查询'!$D:$D,A81,'Current_Stock_Detail 当前库存明细查询'!$B:$B,"REPAIR*"))</f>
        <v>0</v>
      </c>
      <c r="I81" s="57">
        <f>IF(A81="","",SUMIFS('Current_Stock_Detail 当前库存明细查询'!$H:$H,'Current_Stock_Detail 当前库存明细查询'!$D:$D,A81,'Current_Stock_Detail 当前库存明细查询'!$C:$C,"MIX*"))</f>
        <v>0</v>
      </c>
      <c r="J81" s="57" t="s">
        <v>1060</v>
      </c>
      <c r="K81" s="58" t="s">
        <v>727</v>
      </c>
      <c r="L81" s="58" t="s">
        <v>972</v>
      </c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43.5" customHeight="1">
      <c r="A82" s="57" t="s">
        <v>1064</v>
      </c>
      <c r="B82" s="160" t="s">
        <v>1065</v>
      </c>
      <c r="C82" s="160" t="s">
        <v>725</v>
      </c>
      <c r="D82" s="57" t="s">
        <v>787</v>
      </c>
      <c r="E82" s="57" t="s">
        <v>727</v>
      </c>
      <c r="F82" s="57">
        <f>IF(A82="","",SUMIF('Current_Stock_Detail 当前库存明细查询'!$D:$D,A82,'Current_Stock_Detail 当前库存明细查询'!$H:$H))</f>
        <v>0</v>
      </c>
      <c r="G82" s="57">
        <f>IF(A82="","",SUMIFS('Current_Stock_Detail 当前库存明细查询'!$H:$H,'Current_Stock_Detail 当前库存明细查询'!$D:$D,A82,'Current_Stock_Detail 当前库存明细查询'!$B:$B,"&lt;&gt;REPAIR*",'Current_Stock_Detail 当前库存明细查询'!$B:$B,"&lt;&gt;RTN*"))</f>
        <v>0</v>
      </c>
      <c r="H82" s="57">
        <f>IF(A82="","",SUMIFS('Current_Stock_Detail 当前库存明细查询'!$H:$H,'Current_Stock_Detail 当前库存明细查询'!$D:$D,A82,'Current_Stock_Detail 当前库存明细查询'!$B:$B,"REPAIR*"))</f>
        <v>0</v>
      </c>
      <c r="I82" s="57">
        <f>IF(A82="","",SUMIFS('Current_Stock_Detail 当前库存明细查询'!$H:$H,'Current_Stock_Detail 当前库存明细查询'!$D:$D,A82,'Current_Stock_Detail 当前库存明细查询'!$C:$C,"MIX*"))</f>
        <v>0</v>
      </c>
      <c r="J82" s="57" t="s">
        <v>1067</v>
      </c>
      <c r="K82" s="58" t="s">
        <v>727</v>
      </c>
      <c r="L82" s="58" t="s">
        <v>972</v>
      </c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43.5" customHeight="1">
      <c r="A83" s="57" t="s">
        <v>1068</v>
      </c>
      <c r="B83" s="160" t="s">
        <v>1057</v>
      </c>
      <c r="C83" s="160" t="s">
        <v>820</v>
      </c>
      <c r="D83" s="57" t="s">
        <v>787</v>
      </c>
      <c r="E83" s="57" t="s">
        <v>727</v>
      </c>
      <c r="F83" s="57">
        <f>IF(A83="","",SUMIF('Current_Stock_Detail 当前库存明细查询'!$D:$D,A83,'Current_Stock_Detail 当前库存明细查询'!$H:$H))</f>
        <v>0</v>
      </c>
      <c r="G83" s="57">
        <f>IF(A83="","",SUMIFS('Current_Stock_Detail 当前库存明细查询'!$H:$H,'Current_Stock_Detail 当前库存明细查询'!$D:$D,A83,'Current_Stock_Detail 当前库存明细查询'!$B:$B,"&lt;&gt;REPAIR*",'Current_Stock_Detail 当前库存明细查询'!$B:$B,"&lt;&gt;RTN*"))</f>
        <v>0</v>
      </c>
      <c r="H83" s="57">
        <f>IF(A83="","",SUMIFS('Current_Stock_Detail 当前库存明细查询'!$H:$H,'Current_Stock_Detail 当前库存明细查询'!$D:$D,A83,'Current_Stock_Detail 当前库存明细查询'!$B:$B,"REPAIR*"))</f>
        <v>0</v>
      </c>
      <c r="I83" s="57">
        <f>IF(A83="","",SUMIFS('Current_Stock_Detail 当前库存明细查询'!$H:$H,'Current_Stock_Detail 当前库存明细查询'!$D:$D,A83,'Current_Stock_Detail 当前库存明细查询'!$C:$C,"MIX*"))</f>
        <v>0</v>
      </c>
      <c r="J83" s="57" t="s">
        <v>1071</v>
      </c>
      <c r="K83" s="58" t="s">
        <v>727</v>
      </c>
      <c r="L83" s="58" t="s">
        <v>972</v>
      </c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43.5" customHeight="1">
      <c r="A84" s="57" t="s">
        <v>855</v>
      </c>
      <c r="B84" s="160" t="s">
        <v>1065</v>
      </c>
      <c r="C84" s="160" t="s">
        <v>820</v>
      </c>
      <c r="D84" s="57" t="s">
        <v>787</v>
      </c>
      <c r="E84" s="57" t="s">
        <v>727</v>
      </c>
      <c r="F84" s="57">
        <f>IF(A84="","",SUMIF('Current_Stock_Detail 当前库存明细查询'!$D:$D,A84,'Current_Stock_Detail 当前库存明细查询'!$H:$H))</f>
        <v>1</v>
      </c>
      <c r="G84" s="57">
        <f>IF(A84="","",SUMIFS('Current_Stock_Detail 当前库存明细查询'!$H:$H,'Current_Stock_Detail 当前库存明细查询'!$D:$D,A84,'Current_Stock_Detail 当前库存明细查询'!$B:$B,"&lt;&gt;REPAIR*",'Current_Stock_Detail 当前库存明细查询'!$B:$B,"&lt;&gt;RTN*"))</f>
        <v>1</v>
      </c>
      <c r="H84" s="57">
        <f>IF(A84="","",SUMIFS('Current_Stock_Detail 当前库存明细查询'!$H:$H,'Current_Stock_Detail 当前库存明细查询'!$D:$D,A84,'Current_Stock_Detail 当前库存明细查询'!$B:$B,"REPAIR*"))</f>
        <v>0</v>
      </c>
      <c r="I84" s="57">
        <f>IF(A84="","",SUMIFS('Current_Stock_Detail 当前库存明细查询'!$H:$H,'Current_Stock_Detail 当前库存明细查询'!$D:$D,A84,'Current_Stock_Detail 当前库存明细查询'!$C:$C,"MIX*"))</f>
        <v>0</v>
      </c>
      <c r="J84" s="57" t="s">
        <v>1072</v>
      </c>
      <c r="K84" s="58" t="s">
        <v>727</v>
      </c>
      <c r="L84" s="58" t="s">
        <v>972</v>
      </c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43.5" customHeight="1">
      <c r="A85" s="57" t="s">
        <v>1074</v>
      </c>
      <c r="B85" s="57" t="s">
        <v>1075</v>
      </c>
      <c r="C85" s="160" t="s">
        <v>725</v>
      </c>
      <c r="D85" s="57" t="s">
        <v>837</v>
      </c>
      <c r="E85" s="57" t="s">
        <v>727</v>
      </c>
      <c r="F85" s="57">
        <f>IF(A85="","",SUMIF('Current_Stock_Detail 当前库存明细查询'!$D:$D,A85,'Current_Stock_Detail 当前库存明细查询'!$H:$H))</f>
        <v>0</v>
      </c>
      <c r="G85" s="57">
        <f>IF(A85="","",SUMIFS('Current_Stock_Detail 当前库存明细查询'!$H:$H,'Current_Stock_Detail 当前库存明细查询'!$D:$D,A85,'Current_Stock_Detail 当前库存明细查询'!$B:$B,"&lt;&gt;REPAIR*",'Current_Stock_Detail 当前库存明细查询'!$B:$B,"&lt;&gt;RTN*"))</f>
        <v>0</v>
      </c>
      <c r="H85" s="57">
        <f>IF(A85="","",SUMIFS('Current_Stock_Detail 当前库存明细查询'!$H:$H,'Current_Stock_Detail 当前库存明细查询'!$D:$D,A85,'Current_Stock_Detail 当前库存明细查询'!$B:$B,"REPAIR*"))</f>
        <v>0</v>
      </c>
      <c r="I85" s="57">
        <f>IF(A85="","",SUMIFS('Current_Stock_Detail 当前库存明细查询'!$H:$H,'Current_Stock_Detail 当前库存明细查询'!$D:$D,A85,'Current_Stock_Detail 当前库存明细查询'!$C:$C,"MIX*"))</f>
        <v>0</v>
      </c>
      <c r="J85" s="57" t="s">
        <v>1076</v>
      </c>
      <c r="K85" s="58" t="s">
        <v>730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43.5" customHeight="1">
      <c r="A86" s="57" t="s">
        <v>1077</v>
      </c>
      <c r="B86" s="57" t="s">
        <v>1078</v>
      </c>
      <c r="C86" s="160" t="s">
        <v>725</v>
      </c>
      <c r="D86" s="57" t="s">
        <v>837</v>
      </c>
      <c r="E86" s="57" t="s">
        <v>727</v>
      </c>
      <c r="F86" s="57">
        <f>IF(A86="","",SUMIF('Current_Stock_Detail 当前库存明细查询'!$D:$D,A86,'Current_Stock_Detail 当前库存明细查询'!$H:$H))</f>
        <v>0</v>
      </c>
      <c r="G86" s="57">
        <f>IF(A86="","",SUMIFS('Current_Stock_Detail 当前库存明细查询'!$H:$H,'Current_Stock_Detail 当前库存明细查询'!$D:$D,A86,'Current_Stock_Detail 当前库存明细查询'!$B:$B,"&lt;&gt;REPAIR*",'Current_Stock_Detail 当前库存明细查询'!$B:$B,"&lt;&gt;RTN*"))</f>
        <v>0</v>
      </c>
      <c r="H86" s="57">
        <f>IF(A86="","",SUMIFS('Current_Stock_Detail 当前库存明细查询'!$H:$H,'Current_Stock_Detail 当前库存明细查询'!$D:$D,A86,'Current_Stock_Detail 当前库存明细查询'!$B:$B,"REPAIR*"))</f>
        <v>0</v>
      </c>
      <c r="I86" s="57">
        <f>IF(A86="","",SUMIFS('Current_Stock_Detail 当前库存明细查询'!$H:$H,'Current_Stock_Detail 当前库存明细查询'!$D:$D,A86,'Current_Stock_Detail 当前库存明细查询'!$C:$C,"MIX*"))</f>
        <v>0</v>
      </c>
      <c r="J86" s="57" t="s">
        <v>1080</v>
      </c>
      <c r="K86" s="58" t="s">
        <v>730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43.5" customHeight="1">
      <c r="A87" s="57" t="s">
        <v>1081</v>
      </c>
      <c r="B87" s="57" t="s">
        <v>1082</v>
      </c>
      <c r="C87" s="160" t="s">
        <v>725</v>
      </c>
      <c r="D87" s="57" t="s">
        <v>837</v>
      </c>
      <c r="E87" s="57" t="s">
        <v>727</v>
      </c>
      <c r="F87" s="57">
        <f>IF(A87="","",SUMIF('Current_Stock_Detail 当前库存明细查询'!$D:$D,A87,'Current_Stock_Detail 当前库存明细查询'!$H:$H))</f>
        <v>0</v>
      </c>
      <c r="G87" s="57">
        <f>IF(A87="","",SUMIFS('Current_Stock_Detail 当前库存明细查询'!$H:$H,'Current_Stock_Detail 当前库存明细查询'!$D:$D,A87,'Current_Stock_Detail 当前库存明细查询'!$B:$B,"&lt;&gt;REPAIR*",'Current_Stock_Detail 当前库存明细查询'!$B:$B,"&lt;&gt;RTN*"))</f>
        <v>0</v>
      </c>
      <c r="H87" s="57">
        <f>IF(A87="","",SUMIFS('Current_Stock_Detail 当前库存明细查询'!$H:$H,'Current_Stock_Detail 当前库存明细查询'!$D:$D,A87,'Current_Stock_Detail 当前库存明细查询'!$B:$B,"REPAIR*"))</f>
        <v>0</v>
      </c>
      <c r="I87" s="57">
        <f>IF(A87="","",SUMIFS('Current_Stock_Detail 当前库存明细查询'!$H:$H,'Current_Stock_Detail 当前库存明细查询'!$D:$D,A87,'Current_Stock_Detail 当前库存明细查询'!$C:$C,"MIX*"))</f>
        <v>0</v>
      </c>
      <c r="J87" s="57" t="s">
        <v>1084</v>
      </c>
      <c r="K87" s="58" t="s">
        <v>730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3.5" customHeight="1">
      <c r="A88" s="160" t="s">
        <v>1085</v>
      </c>
      <c r="B88" s="160" t="s">
        <v>1086</v>
      </c>
      <c r="C88" s="160" t="s">
        <v>725</v>
      </c>
      <c r="D88" s="160" t="s">
        <v>726</v>
      </c>
      <c r="E88" s="160" t="s">
        <v>727</v>
      </c>
      <c r="F88" s="57">
        <f>IF(A88="","",SUMIF('Current_Stock_Detail 当前库存明细查询'!$D:$D,A88,'Current_Stock_Detail 当前库存明细查询'!$H:$H))</f>
        <v>0</v>
      </c>
      <c r="G88" s="57">
        <f>IF(A88="","",SUMIFS('Current_Stock_Detail 当前库存明细查询'!$H:$H,'Current_Stock_Detail 当前库存明细查询'!$D:$D,A88,'Current_Stock_Detail 当前库存明细查询'!$B:$B,"&lt;&gt;REPAIR*",'Current_Stock_Detail 当前库存明细查询'!$B:$B,"&lt;&gt;RTN*"))</f>
        <v>0</v>
      </c>
      <c r="H88" s="57">
        <f>IF(A88="","",SUMIFS('Current_Stock_Detail 当前库存明细查询'!$H:$H,'Current_Stock_Detail 当前库存明细查询'!$D:$D,A88,'Current_Stock_Detail 当前库存明细查询'!$B:$B,"REPAIR*"))</f>
        <v>0</v>
      </c>
      <c r="I88" s="162">
        <f>IF(A88="","",SUMIFS('Current_Stock_Detail 当前库存明细查询'!$H:$H,'Current_Stock_Detail 当前库存明细查询'!$D:$D,A88,'Current_Stock_Detail 当前库存明细查询'!$C:$C,"MIX*"))</f>
        <v>0</v>
      </c>
      <c r="J88" s="162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3.5" customHeight="1">
      <c r="A89" s="160" t="s">
        <v>1088</v>
      </c>
      <c r="B89" s="160" t="s">
        <v>1089</v>
      </c>
      <c r="C89" s="160" t="s">
        <v>725</v>
      </c>
      <c r="D89" s="160" t="s">
        <v>726</v>
      </c>
      <c r="E89" s="160" t="s">
        <v>727</v>
      </c>
      <c r="F89" s="57">
        <f>IF(A89="","",SUMIF('Current_Stock_Detail 当前库存明细查询'!$D:$D,A89,'Current_Stock_Detail 当前库存明细查询'!$H:$H))</f>
        <v>0</v>
      </c>
      <c r="G89" s="57">
        <f>IF(A89="","",SUMIFS('Current_Stock_Detail 当前库存明细查询'!$H:$H,'Current_Stock_Detail 当前库存明细查询'!$D:$D,A89,'Current_Stock_Detail 当前库存明细查询'!$B:$B,"&lt;&gt;REPAIR*",'Current_Stock_Detail 当前库存明细查询'!$B:$B,"&lt;&gt;RTN*"))</f>
        <v>0</v>
      </c>
      <c r="H89" s="57">
        <f>IF(A89="","",SUMIFS('Current_Stock_Detail 当前库存明细查询'!$H:$H,'Current_Stock_Detail 当前库存明细查询'!$D:$D,A89,'Current_Stock_Detail 当前库存明细查询'!$B:$B,"REPAIR*"))</f>
        <v>0</v>
      </c>
      <c r="I89" s="162">
        <f>IF(A89="","",SUMIFS('Current_Stock_Detail 当前库存明细查询'!$H:$H,'Current_Stock_Detail 当前库存明细查询'!$D:$D,A89,'Current_Stock_Detail 当前库存明细查询'!$C:$C,"MIX*"))</f>
        <v>0</v>
      </c>
      <c r="J89" s="162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3.5" customHeight="1">
      <c r="A90" s="160" t="s">
        <v>1091</v>
      </c>
      <c r="B90" s="160" t="s">
        <v>1092</v>
      </c>
      <c r="C90" s="160" t="s">
        <v>725</v>
      </c>
      <c r="D90" s="160" t="s">
        <v>726</v>
      </c>
      <c r="E90" s="160" t="s">
        <v>727</v>
      </c>
      <c r="F90" s="57">
        <f>IF(A90="","",SUMIF('Current_Stock_Detail 当前库存明细查询'!$D:$D,A90,'Current_Stock_Detail 当前库存明细查询'!$H:$H))</f>
        <v>0</v>
      </c>
      <c r="G90" s="57">
        <f>IF(A90="","",SUMIFS('Current_Stock_Detail 当前库存明细查询'!$H:$H,'Current_Stock_Detail 当前库存明细查询'!$D:$D,A90,'Current_Stock_Detail 当前库存明细查询'!$B:$B,"&lt;&gt;REPAIR*",'Current_Stock_Detail 当前库存明细查询'!$B:$B,"&lt;&gt;RTN*"))</f>
        <v>0</v>
      </c>
      <c r="H90" s="57">
        <f>IF(A90="","",SUMIFS('Current_Stock_Detail 当前库存明细查询'!$H:$H,'Current_Stock_Detail 当前库存明细查询'!$D:$D,A90,'Current_Stock_Detail 当前库存明细查询'!$B:$B,"REPAIR*"))</f>
        <v>0</v>
      </c>
      <c r="I90" s="162">
        <f>IF(A90="","",SUMIFS('Current_Stock_Detail 当前库存明细查询'!$H:$H,'Current_Stock_Detail 当前库存明细查询'!$D:$D,A90,'Current_Stock_Detail 当前库存明细查询'!$C:$C,"MIX*"))</f>
        <v>0</v>
      </c>
      <c r="J90" s="162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3.5" customHeight="1">
      <c r="A91" s="160" t="s">
        <v>147</v>
      </c>
      <c r="B91" s="160" t="s">
        <v>1094</v>
      </c>
      <c r="C91" s="160" t="s">
        <v>725</v>
      </c>
      <c r="D91" s="160" t="s">
        <v>837</v>
      </c>
      <c r="E91" s="160" t="s">
        <v>727</v>
      </c>
      <c r="F91" s="57">
        <f>IF(A91="","",SUMIF('Current_Stock_Detail 当前库存明细查询'!$D:$D,A91,'Current_Stock_Detail 当前库存明细查询'!$H:$H))</f>
        <v>39</v>
      </c>
      <c r="G91" s="57">
        <f>IF(A91="","",SUMIFS('Current_Stock_Detail 当前库存明细查询'!$H:$H,'Current_Stock_Detail 当前库存明细查询'!$D:$D,A91,'Current_Stock_Detail 当前库存明细查询'!$B:$B,"&lt;&gt;REPAIR*",'Current_Stock_Detail 当前库存明细查询'!$B:$B,"&lt;&gt;RTN*"))</f>
        <v>39</v>
      </c>
      <c r="H91" s="57">
        <f>IF(A91="","",SUMIFS('Current_Stock_Detail 当前库存明细查询'!$H:$H,'Current_Stock_Detail 当前库存明细查询'!$D:$D,A91,'Current_Stock_Detail 当前库存明细查询'!$B:$B,"REPAIR*"))</f>
        <v>0</v>
      </c>
      <c r="I91" s="162">
        <f>IF(A91="","",SUMIFS('Current_Stock_Detail 当前库存明细查询'!$H:$H,'Current_Stock_Detail 当前库存明细查询'!$D:$D,A91,'Current_Stock_Detail 当前库存明细查询'!$C:$C,"MIX*"))</f>
        <v>0</v>
      </c>
      <c r="J91" s="162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3.5" customHeight="1">
      <c r="A92" s="160" t="s">
        <v>1095</v>
      </c>
      <c r="B92" s="160" t="s">
        <v>1096</v>
      </c>
      <c r="C92" s="160" t="s">
        <v>725</v>
      </c>
      <c r="D92" s="160" t="s">
        <v>837</v>
      </c>
      <c r="E92" s="160" t="s">
        <v>727</v>
      </c>
      <c r="F92" s="57">
        <f>IF(A92="","",SUMIF('Current_Stock_Detail 当前库存明细查询'!$D:$D,A92,'Current_Stock_Detail 当前库存明细查询'!$H:$H))</f>
        <v>0</v>
      </c>
      <c r="G92" s="57">
        <f>IF(A92="","",SUMIFS('Current_Stock_Detail 当前库存明细查询'!$H:$H,'Current_Stock_Detail 当前库存明细查询'!$D:$D,A92,'Current_Stock_Detail 当前库存明细查询'!$B:$B,"&lt;&gt;REPAIR*",'Current_Stock_Detail 当前库存明细查询'!$B:$B,"&lt;&gt;RTN*"))</f>
        <v>0</v>
      </c>
      <c r="H92" s="57">
        <f>IF(A92="","",SUMIFS('Current_Stock_Detail 当前库存明细查询'!$H:$H,'Current_Stock_Detail 当前库存明细查询'!$D:$D,A92,'Current_Stock_Detail 当前库存明细查询'!$B:$B,"REPAIR*"))</f>
        <v>0</v>
      </c>
      <c r="I92" s="162">
        <f>IF(A92="","",SUMIFS('Current_Stock_Detail 当前库存明细查询'!$H:$H,'Current_Stock_Detail 当前库存明细查询'!$D:$D,A92,'Current_Stock_Detail 当前库存明细查询'!$C:$C,"MIX*"))</f>
        <v>0</v>
      </c>
      <c r="J92" s="162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3.5" customHeight="1">
      <c r="A93" s="160" t="s">
        <v>361</v>
      </c>
      <c r="B93" s="160" t="s">
        <v>1098</v>
      </c>
      <c r="C93" s="160" t="s">
        <v>725</v>
      </c>
      <c r="D93" s="160" t="s">
        <v>837</v>
      </c>
      <c r="E93" s="160" t="s">
        <v>727</v>
      </c>
      <c r="F93" s="57">
        <f>IF(A93="","",SUMIF('Current_Stock_Detail 当前库存明细查询'!$D:$D,A93,'Current_Stock_Detail 当前库存明细查询'!$H:$H))</f>
        <v>100</v>
      </c>
      <c r="G93" s="57">
        <f>IF(A93="","",SUMIFS('Current_Stock_Detail 当前库存明细查询'!$H:$H,'Current_Stock_Detail 当前库存明细查询'!$D:$D,A93,'Current_Stock_Detail 当前库存明细查询'!$B:$B,"&lt;&gt;REPAIR*",'Current_Stock_Detail 当前库存明细查询'!$B:$B,"&lt;&gt;RTN*"))</f>
        <v>100</v>
      </c>
      <c r="H93" s="57">
        <f>IF(A93="","",SUMIFS('Current_Stock_Detail 当前库存明细查询'!$H:$H,'Current_Stock_Detail 当前库存明细查询'!$D:$D,A93,'Current_Stock_Detail 当前库存明细查询'!$B:$B,"REPAIR*"))</f>
        <v>0</v>
      </c>
      <c r="I93" s="162">
        <f>IF(A93="","",SUMIFS('Current_Stock_Detail 当前库存明细查询'!$H:$H,'Current_Stock_Detail 当前库存明细查询'!$D:$D,A93,'Current_Stock_Detail 当前库存明细查询'!$C:$C,"MIX*"))</f>
        <v>0</v>
      </c>
      <c r="J93" s="162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3.5" customHeight="1">
      <c r="A94" s="160" t="s">
        <v>1100</v>
      </c>
      <c r="B94" s="160" t="s">
        <v>1065</v>
      </c>
      <c r="C94" s="160" t="s">
        <v>725</v>
      </c>
      <c r="D94" s="160" t="s">
        <v>787</v>
      </c>
      <c r="E94" s="160" t="s">
        <v>727</v>
      </c>
      <c r="F94" s="57">
        <f>IF(A94="","",SUMIF('Current_Stock_Detail 当前库存明细查询'!$D:$D,A94,'Current_Stock_Detail 当前库存明细查询'!$H:$H))</f>
        <v>0</v>
      </c>
      <c r="G94" s="57">
        <f>IF(A94="","",SUMIFS('Current_Stock_Detail 当前库存明细查询'!$H:$H,'Current_Stock_Detail 当前库存明细查询'!$D:$D,A94,'Current_Stock_Detail 当前库存明细查询'!$B:$B,"&lt;&gt;REPAIR*",'Current_Stock_Detail 当前库存明细查询'!$B:$B,"&lt;&gt;RTN*"))</f>
        <v>0</v>
      </c>
      <c r="H94" s="57">
        <f>IF(A94="","",SUMIFS('Current_Stock_Detail 当前库存明细查询'!$H:$H,'Current_Stock_Detail 当前库存明细查询'!$D:$D,A94,'Current_Stock_Detail 当前库存明细查询'!$B:$B,"REPAIR*"))</f>
        <v>0</v>
      </c>
      <c r="I94" s="162">
        <f>IF(A94="","",SUMIFS('Current_Stock_Detail 当前库存明细查询'!$H:$H,'Current_Stock_Detail 当前库存明细查询'!$D:$D,A94,'Current_Stock_Detail 当前库存明细查询'!$C:$C,"MIX*"))</f>
        <v>0</v>
      </c>
      <c r="J94" s="162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3.5" customHeight="1">
      <c r="A95" s="167" t="s">
        <v>417</v>
      </c>
      <c r="B95" s="167" t="s">
        <v>1035</v>
      </c>
      <c r="C95" s="167" t="s">
        <v>820</v>
      </c>
      <c r="D95" s="167" t="s">
        <v>787</v>
      </c>
      <c r="E95" s="167" t="s">
        <v>727</v>
      </c>
      <c r="F95" s="162"/>
      <c r="G95" s="162"/>
      <c r="H95" s="162"/>
      <c r="I95" s="162">
        <f>IF(A95="","",SUMIFS('Current_Stock_Detail 当前库存明细查询'!$H:$H,'Current_Stock_Detail 当前库存明细查询'!$D:$D,A95,'Current_Stock_Detail 当前库存明细查询'!$C:$C,"MIX*"))</f>
        <v>1</v>
      </c>
      <c r="J95" s="162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3.5" customHeight="1">
      <c r="A96" s="162"/>
      <c r="B96" s="162"/>
      <c r="C96" s="162"/>
      <c r="D96" s="162"/>
      <c r="E96" s="162"/>
      <c r="F96" s="162"/>
      <c r="G96" s="162"/>
      <c r="H96" s="162"/>
      <c r="I96" s="162" t="str">
        <f>IF(A96="","",SUMIFS('Current_Stock_Detail 当前库存明细查询'!$H:$H,'Current_Stock_Detail 当前库存明细查询'!$D:$D,A96,'Current_Stock_Detail 当前库存明细查询'!$C:$C,"MIX*"))</f>
        <v/>
      </c>
      <c r="J96" s="162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3.5" customHeight="1">
      <c r="A97" s="162"/>
      <c r="B97" s="162"/>
      <c r="C97" s="162"/>
      <c r="D97" s="162"/>
      <c r="E97" s="162"/>
      <c r="F97" s="162"/>
      <c r="G97" s="162"/>
      <c r="H97" s="162"/>
      <c r="I97" s="162" t="str">
        <f>IF(A97="","",SUMIFS('Current_Stock_Detail 当前库存明细查询'!$H:$H,'Current_Stock_Detail 当前库存明细查询'!$D:$D,A97,'Current_Stock_Detail 当前库存明细查询'!$C:$C,"MIX*"))</f>
        <v/>
      </c>
      <c r="J97" s="162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3.5" customHeight="1">
      <c r="A98" s="162"/>
      <c r="B98" s="162"/>
      <c r="C98" s="162"/>
      <c r="D98" s="162"/>
      <c r="E98" s="162"/>
      <c r="F98" s="162"/>
      <c r="G98" s="162"/>
      <c r="H98" s="162"/>
      <c r="I98" s="162" t="str">
        <f>IF(A98="","",SUMIFS('Current_Stock_Detail 当前库存明细查询'!$H:$H,'Current_Stock_Detail 当前库存明细查询'!$D:$D,A98,'Current_Stock_Detail 当前库存明细查询'!$C:$C,"MIX*"))</f>
        <v/>
      </c>
      <c r="J98" s="162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3.5" customHeight="1">
      <c r="A99" s="162"/>
      <c r="B99" s="162"/>
      <c r="C99" s="162"/>
      <c r="D99" s="162"/>
      <c r="E99" s="162"/>
      <c r="F99" s="162"/>
      <c r="G99" s="162"/>
      <c r="H99" s="162"/>
      <c r="I99" s="162" t="str">
        <f>IF(A99="","",SUMIFS('Current_Stock_Detail 当前库存明细查询'!$H:$H,'Current_Stock_Detail 当前库存明细查询'!$D:$D,A99,'Current_Stock_Detail 当前库存明细查询'!$C:$C,"MIX*"))</f>
        <v/>
      </c>
      <c r="J99" s="162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3.5" customHeight="1">
      <c r="A100" s="162"/>
      <c r="B100" s="162"/>
      <c r="C100" s="162"/>
      <c r="D100" s="162"/>
      <c r="E100" s="162"/>
      <c r="F100" s="162"/>
      <c r="G100" s="162"/>
      <c r="H100" s="162"/>
      <c r="I100" s="162" t="str">
        <f>IF(A100="","",SUMIFS('Current_Stock_Detail 当前库存明细查询'!$H:$H,'Current_Stock_Detail 当前库存明细查询'!$D:$D,A100,'Current_Stock_Detail 当前库存明细查询'!$C:$C,"MIX*"))</f>
        <v/>
      </c>
      <c r="J100" s="162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3.5" customHeight="1">
      <c r="A101" s="162"/>
      <c r="B101" s="162"/>
      <c r="C101" s="162"/>
      <c r="D101" s="162"/>
      <c r="E101" s="162"/>
      <c r="F101" s="162"/>
      <c r="G101" s="162"/>
      <c r="H101" s="162"/>
      <c r="I101" s="162" t="str">
        <f>IF(A101="","",SUMIFS('Current_Stock_Detail 当前库存明细查询'!$H:$H,'Current_Stock_Detail 当前库存明细查询'!$D:$D,A101,'Current_Stock_Detail 当前库存明细查询'!$C:$C,"MIX*"))</f>
        <v/>
      </c>
      <c r="J101" s="162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3.5" customHeight="1">
      <c r="A102" s="162"/>
      <c r="B102" s="162"/>
      <c r="C102" s="162"/>
      <c r="D102" s="162"/>
      <c r="E102" s="162"/>
      <c r="F102" s="162"/>
      <c r="G102" s="162"/>
      <c r="H102" s="162"/>
      <c r="I102" s="162" t="str">
        <f>IF(A102="","",SUMIFS('Current_Stock_Detail 当前库存明细查询'!$H:$H,'Current_Stock_Detail 当前库存明细查询'!$D:$D,A102,'Current_Stock_Detail 当前库存明细查询'!$C:$C,"MIX*"))</f>
        <v/>
      </c>
      <c r="J102" s="162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3.5" customHeight="1">
      <c r="A103" s="162"/>
      <c r="B103" s="162"/>
      <c r="C103" s="162"/>
      <c r="D103" s="162"/>
      <c r="E103" s="162"/>
      <c r="F103" s="162"/>
      <c r="G103" s="162"/>
      <c r="H103" s="162"/>
      <c r="I103" s="162" t="str">
        <f>IF(A103="","",SUMIFS('Current_Stock_Detail 当前库存明细查询'!$H:$H,'Current_Stock_Detail 当前库存明细查询'!$D:$D,A103,'Current_Stock_Detail 当前库存明细查询'!$C:$C,"MIX*"))</f>
        <v/>
      </c>
      <c r="J103" s="162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3.5" customHeight="1">
      <c r="A104" s="162"/>
      <c r="B104" s="162"/>
      <c r="C104" s="162"/>
      <c r="D104" s="162"/>
      <c r="E104" s="162"/>
      <c r="F104" s="162"/>
      <c r="G104" s="162"/>
      <c r="H104" s="162"/>
      <c r="I104" s="162" t="str">
        <f>IF(A104="","",SUMIFS('Current_Stock_Detail 当前库存明细查询'!$H:$H,'Current_Stock_Detail 当前库存明细查询'!$D:$D,A104,'Current_Stock_Detail 当前库存明细查询'!$C:$C,"MIX*"))</f>
        <v/>
      </c>
      <c r="J104" s="162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3.5" customHeight="1">
      <c r="A105" s="162"/>
      <c r="B105" s="162"/>
      <c r="C105" s="162"/>
      <c r="D105" s="162"/>
      <c r="E105" s="162"/>
      <c r="F105" s="162"/>
      <c r="G105" s="162"/>
      <c r="H105" s="162"/>
      <c r="I105" s="162" t="str">
        <f>IF(A105="","",SUMIFS('Current_Stock_Detail 当前库存明细查询'!$H:$H,'Current_Stock_Detail 当前库存明细查询'!$D:$D,A105,'Current_Stock_Detail 当前库存明细查询'!$C:$C,"MIX*"))</f>
        <v/>
      </c>
      <c r="J105" s="162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3.5" customHeight="1">
      <c r="A106" s="162"/>
      <c r="B106" s="162"/>
      <c r="C106" s="162"/>
      <c r="D106" s="162"/>
      <c r="E106" s="162"/>
      <c r="F106" s="162"/>
      <c r="G106" s="162"/>
      <c r="H106" s="162"/>
      <c r="I106" s="162" t="str">
        <f>IF(A106="","",SUMIFS('Current_Stock_Detail 当前库存明细查询'!$H:$H,'Current_Stock_Detail 当前库存明细查询'!$D:$D,A106,'Current_Stock_Detail 当前库存明细查询'!$C:$C,"MIX*"))</f>
        <v/>
      </c>
      <c r="J106" s="162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3.5" customHeight="1">
      <c r="A107" s="162"/>
      <c r="B107" s="162"/>
      <c r="C107" s="162"/>
      <c r="D107" s="162"/>
      <c r="E107" s="162"/>
      <c r="F107" s="162"/>
      <c r="G107" s="162"/>
      <c r="H107" s="162"/>
      <c r="I107" s="162" t="str">
        <f>IF(A107="","",SUMIFS('Current_Stock_Detail 当前库存明细查询'!$H:$H,'Current_Stock_Detail 当前库存明细查询'!$D:$D,A107,'Current_Stock_Detail 当前库存明细查询'!$C:$C,"MIX*"))</f>
        <v/>
      </c>
      <c r="J107" s="162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3.5" customHeight="1">
      <c r="A108" s="162"/>
      <c r="B108" s="162"/>
      <c r="C108" s="162"/>
      <c r="D108" s="162"/>
      <c r="E108" s="162"/>
      <c r="F108" s="162"/>
      <c r="G108" s="162"/>
      <c r="H108" s="162"/>
      <c r="I108" s="162" t="str">
        <f>IF(A108="","",SUMIFS('Current_Stock_Detail 当前库存明细查询'!$H:$H,'Current_Stock_Detail 当前库存明细查询'!$D:$D,A108,'Current_Stock_Detail 当前库存明细查询'!$C:$C,"MIX*"))</f>
        <v/>
      </c>
      <c r="J108" s="162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3.5" customHeight="1">
      <c r="A109" s="162"/>
      <c r="B109" s="162"/>
      <c r="C109" s="162"/>
      <c r="D109" s="162"/>
      <c r="E109" s="162"/>
      <c r="F109" s="162"/>
      <c r="G109" s="162"/>
      <c r="H109" s="162"/>
      <c r="I109" s="162" t="str">
        <f>IF(A109="","",SUMIFS('Current_Stock_Detail 当前库存明细查询'!$H:$H,'Current_Stock_Detail 当前库存明细查询'!$D:$D,A109,'Current_Stock_Detail 当前库存明细查询'!$C:$C,"MIX*"))</f>
        <v/>
      </c>
      <c r="J109" s="162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3.5" customHeight="1">
      <c r="A110" s="162"/>
      <c r="B110" s="162"/>
      <c r="C110" s="162"/>
      <c r="D110" s="162"/>
      <c r="E110" s="162"/>
      <c r="F110" s="162"/>
      <c r="G110" s="162"/>
      <c r="H110" s="162"/>
      <c r="I110" s="162" t="str">
        <f>IF(A110="","",SUMIFS('Current_Stock_Detail 当前库存明细查询'!$H:$H,'Current_Stock_Detail 当前库存明细查询'!$D:$D,A110,'Current_Stock_Detail 当前库存明细查询'!$C:$C,"MIX*"))</f>
        <v/>
      </c>
      <c r="J110" s="162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3.5" customHeight="1">
      <c r="A111" s="162"/>
      <c r="B111" s="162"/>
      <c r="C111" s="162"/>
      <c r="D111" s="162"/>
      <c r="E111" s="162"/>
      <c r="F111" s="162"/>
      <c r="G111" s="162"/>
      <c r="H111" s="162"/>
      <c r="I111" s="162" t="str">
        <f>IF(A111="","",SUMIFS('Current_Stock_Detail 当前库存明细查询'!$H:$H,'Current_Stock_Detail 当前库存明细查询'!$D:$D,A111,'Current_Stock_Detail 当前库存明细查询'!$C:$C,"MIX*"))</f>
        <v/>
      </c>
      <c r="J111" s="162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3.5" customHeight="1">
      <c r="A112" s="162"/>
      <c r="B112" s="162"/>
      <c r="C112" s="162"/>
      <c r="D112" s="162"/>
      <c r="E112" s="162"/>
      <c r="F112" s="162"/>
      <c r="G112" s="162"/>
      <c r="H112" s="162"/>
      <c r="I112" s="162" t="str">
        <f>IF(A112="","",SUMIFS('Current_Stock_Detail 当前库存明细查询'!$H:$H,'Current_Stock_Detail 当前库存明细查询'!$D:$D,A112,'Current_Stock_Detail 当前库存明细查询'!$C:$C,"MIX*"))</f>
        <v/>
      </c>
      <c r="J112" s="162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3.5" customHeight="1">
      <c r="A113" s="162"/>
      <c r="B113" s="162"/>
      <c r="C113" s="162"/>
      <c r="D113" s="162"/>
      <c r="E113" s="162"/>
      <c r="F113" s="162"/>
      <c r="G113" s="162"/>
      <c r="H113" s="162"/>
      <c r="I113" s="162" t="str">
        <f>IF(A113="","",SUMIFS('Current_Stock_Detail 当前库存明细查询'!$H:$H,'Current_Stock_Detail 当前库存明细查询'!$D:$D,A113,'Current_Stock_Detail 当前库存明细查询'!$C:$C,"MIX*"))</f>
        <v/>
      </c>
      <c r="J113" s="162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3.5" customHeight="1">
      <c r="A114" s="162"/>
      <c r="B114" s="162"/>
      <c r="C114" s="162"/>
      <c r="D114" s="162"/>
      <c r="E114" s="162"/>
      <c r="F114" s="162"/>
      <c r="G114" s="162"/>
      <c r="H114" s="162"/>
      <c r="I114" s="162" t="str">
        <f>IF(A114="","",SUMIFS('Current_Stock_Detail 当前库存明细查询'!$H:$H,'Current_Stock_Detail 当前库存明细查询'!$D:$D,A114,'Current_Stock_Detail 当前库存明细查询'!$C:$C,"MIX*"))</f>
        <v/>
      </c>
      <c r="J114" s="162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3.5" customHeight="1">
      <c r="A115" s="162"/>
      <c r="B115" s="162"/>
      <c r="C115" s="162"/>
      <c r="D115" s="162"/>
      <c r="E115" s="162"/>
      <c r="F115" s="162"/>
      <c r="G115" s="162"/>
      <c r="H115" s="162"/>
      <c r="I115" s="162" t="str">
        <f>IF(A115="","",SUMIFS('Current_Stock_Detail 当前库存明细查询'!$H:$H,'Current_Stock_Detail 当前库存明细查询'!$D:$D,A115,'Current_Stock_Detail 当前库存明细查询'!$C:$C,"MIX*"))</f>
        <v/>
      </c>
      <c r="J115" s="162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3.5" customHeight="1">
      <c r="A116" s="162"/>
      <c r="B116" s="162"/>
      <c r="C116" s="162"/>
      <c r="D116" s="162"/>
      <c r="E116" s="162"/>
      <c r="F116" s="162"/>
      <c r="G116" s="162"/>
      <c r="H116" s="162"/>
      <c r="I116" s="162" t="str">
        <f>IF(A116="","",SUMIFS('Current_Stock_Detail 当前库存明细查询'!$H:$H,'Current_Stock_Detail 当前库存明细查询'!$D:$D,A116,'Current_Stock_Detail 当前库存明细查询'!$C:$C,"MIX*"))</f>
        <v/>
      </c>
      <c r="J116" s="162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3.5" customHeight="1">
      <c r="A117" s="162"/>
      <c r="B117" s="162"/>
      <c r="C117" s="162"/>
      <c r="D117" s="162"/>
      <c r="E117" s="162"/>
      <c r="F117" s="162"/>
      <c r="G117" s="162"/>
      <c r="H117" s="162"/>
      <c r="I117" s="162" t="str">
        <f>IF(A117="","",SUMIFS('Current_Stock_Detail 当前库存明细查询'!$H:$H,'Current_Stock_Detail 当前库存明细查询'!$D:$D,A117,'Current_Stock_Detail 当前库存明细查询'!$C:$C,"MIX*"))</f>
        <v/>
      </c>
      <c r="J117" s="162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3.5" customHeight="1">
      <c r="A118" s="162"/>
      <c r="B118" s="162"/>
      <c r="C118" s="162"/>
      <c r="D118" s="162"/>
      <c r="E118" s="162"/>
      <c r="F118" s="162"/>
      <c r="G118" s="162"/>
      <c r="H118" s="162"/>
      <c r="I118" s="162" t="str">
        <f>IF(A118="","",SUMIFS('Current_Stock_Detail 当前库存明细查询'!$H:$H,'Current_Stock_Detail 当前库存明细查询'!$D:$D,A118,'Current_Stock_Detail 当前库存明细查询'!$C:$C,"MIX*"))</f>
        <v/>
      </c>
      <c r="J118" s="162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3.5" customHeight="1">
      <c r="A119" s="162"/>
      <c r="B119" s="162"/>
      <c r="C119" s="162"/>
      <c r="D119" s="162"/>
      <c r="E119" s="162"/>
      <c r="F119" s="162"/>
      <c r="G119" s="162"/>
      <c r="H119" s="162"/>
      <c r="I119" s="162" t="str">
        <f>IF(A119="","",SUMIFS('Current_Stock_Detail 当前库存明细查询'!$H:$H,'Current_Stock_Detail 当前库存明细查询'!$D:$D,A119,'Current_Stock_Detail 当前库存明细查询'!$C:$C,"MIX*"))</f>
        <v/>
      </c>
      <c r="J119" s="162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3.5" customHeight="1">
      <c r="A120" s="162"/>
      <c r="B120" s="162"/>
      <c r="C120" s="162"/>
      <c r="D120" s="162"/>
      <c r="E120" s="162"/>
      <c r="F120" s="162"/>
      <c r="G120" s="162"/>
      <c r="H120" s="162"/>
      <c r="I120" s="162" t="str">
        <f>IF(A120="","",SUMIFS('Current_Stock_Detail 当前库存明细查询'!$H:$H,'Current_Stock_Detail 当前库存明细查询'!$D:$D,A120,'Current_Stock_Detail 当前库存明细查询'!$C:$C,"MIX*"))</f>
        <v/>
      </c>
      <c r="J120" s="162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3.5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3.5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3.5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3.5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3.5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3.5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3.5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3.5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3.5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3.5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3.5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3.5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3.5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3.5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3.5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3.5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3.5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3.5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3.5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3.5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3.5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3.5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3.5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3.5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3.5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3.5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3.5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3.5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3.5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3.5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3.5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3.5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3.5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3.5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3.5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3.5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3.5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3.5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3.5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3.5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3.5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3.5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3.5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3.5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3.5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3.5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3.5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3.5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3.5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3.5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3.5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3.5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3.5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3.5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3.5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3.5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3.5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3.5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3.5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3.5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3.5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3.5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3.5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3.5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3.5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3.5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3.5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3.5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3.5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3.5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3.5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3.5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3.5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3.5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3.5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3.5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3.5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3.5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3.5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3.5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26"/>
    <pageSetUpPr/>
  </sheetPr>
  <sheetViews>
    <sheetView workbookViewId="0"/>
  </sheetViews>
  <sheetFormatPr customHeight="1" defaultColWidth="11.22" defaultRowHeight="15.0"/>
  <cols>
    <col customWidth="1" min="1" max="1" width="11.78"/>
    <col customWidth="1" min="2" max="2" width="16.78"/>
    <col customWidth="1" min="3" max="3" width="9.0"/>
    <col customWidth="1" min="4" max="4" width="7.22"/>
    <col customWidth="1" min="5" max="5" width="6.67"/>
    <col customWidth="1" min="6" max="6" width="8.56"/>
    <col customWidth="1" min="7" max="7" width="11.67"/>
    <col customWidth="1" min="8" max="26" width="12.0"/>
  </cols>
  <sheetData>
    <row r="1">
      <c r="A1" s="158" t="s">
        <v>838</v>
      </c>
      <c r="B1" s="158" t="s">
        <v>839</v>
      </c>
      <c r="C1" s="158" t="s">
        <v>840</v>
      </c>
      <c r="D1" s="158" t="s">
        <v>841</v>
      </c>
      <c r="E1" s="158" t="s">
        <v>842</v>
      </c>
      <c r="F1" s="158" t="s">
        <v>843</v>
      </c>
      <c r="G1" s="161" t="s">
        <v>844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162" t="s">
        <v>347</v>
      </c>
      <c r="B2" s="162" t="s">
        <v>846</v>
      </c>
      <c r="C2" s="162" t="s">
        <v>847</v>
      </c>
      <c r="D2" s="162">
        <v>1.0</v>
      </c>
      <c r="E2" s="162">
        <v>1.0</v>
      </c>
      <c r="F2" s="162" t="s">
        <v>848</v>
      </c>
      <c r="G2" s="162" t="s">
        <v>730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162" t="s">
        <v>368</v>
      </c>
      <c r="B3" s="162" t="s">
        <v>846</v>
      </c>
      <c r="C3" s="162" t="s">
        <v>847</v>
      </c>
      <c r="D3" s="162">
        <v>1.0</v>
      </c>
      <c r="E3" s="162">
        <v>1.0</v>
      </c>
      <c r="F3" s="162" t="s">
        <v>851</v>
      </c>
      <c r="G3" s="162" t="s">
        <v>730</v>
      </c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162" t="s">
        <v>386</v>
      </c>
      <c r="B4" s="162" t="s">
        <v>846</v>
      </c>
      <c r="C4" s="162" t="s">
        <v>847</v>
      </c>
      <c r="D4" s="162">
        <v>1.0</v>
      </c>
      <c r="E4" s="162">
        <v>1.0</v>
      </c>
      <c r="F4" s="162" t="s">
        <v>853</v>
      </c>
      <c r="G4" s="162" t="s">
        <v>730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162" t="s">
        <v>391</v>
      </c>
      <c r="B5" s="162" t="s">
        <v>846</v>
      </c>
      <c r="C5" s="162" t="s">
        <v>847</v>
      </c>
      <c r="D5" s="162">
        <v>1.0</v>
      </c>
      <c r="E5" s="162">
        <v>2.0</v>
      </c>
      <c r="F5" s="162" t="s">
        <v>848</v>
      </c>
      <c r="G5" s="162" t="s">
        <v>730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162" t="s">
        <v>400</v>
      </c>
      <c r="B6" s="162" t="s">
        <v>846</v>
      </c>
      <c r="C6" s="162" t="s">
        <v>847</v>
      </c>
      <c r="D6" s="162">
        <v>1.0</v>
      </c>
      <c r="E6" s="162">
        <v>2.0</v>
      </c>
      <c r="F6" s="162" t="s">
        <v>851</v>
      </c>
      <c r="G6" s="162" t="s">
        <v>730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162" t="s">
        <v>405</v>
      </c>
      <c r="B7" s="162" t="s">
        <v>846</v>
      </c>
      <c r="C7" s="162" t="s">
        <v>847</v>
      </c>
      <c r="D7" s="162">
        <v>1.0</v>
      </c>
      <c r="E7" s="162">
        <v>2.0</v>
      </c>
      <c r="F7" s="162" t="s">
        <v>853</v>
      </c>
      <c r="G7" s="162" t="s">
        <v>730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162" t="s">
        <v>419</v>
      </c>
      <c r="B8" s="162" t="s">
        <v>846</v>
      </c>
      <c r="C8" s="162" t="s">
        <v>847</v>
      </c>
      <c r="D8" s="162">
        <v>1.0</v>
      </c>
      <c r="E8" s="162">
        <v>3.0</v>
      </c>
      <c r="F8" s="162" t="s">
        <v>848</v>
      </c>
      <c r="G8" s="162" t="s">
        <v>730</v>
      </c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162" t="s">
        <v>432</v>
      </c>
      <c r="B9" s="162" t="s">
        <v>846</v>
      </c>
      <c r="C9" s="162" t="s">
        <v>847</v>
      </c>
      <c r="D9" s="162">
        <v>1.0</v>
      </c>
      <c r="E9" s="162">
        <v>3.0</v>
      </c>
      <c r="F9" s="162" t="s">
        <v>851</v>
      </c>
      <c r="G9" s="162" t="s">
        <v>730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162" t="s">
        <v>442</v>
      </c>
      <c r="B10" s="162" t="s">
        <v>846</v>
      </c>
      <c r="C10" s="162" t="s">
        <v>847</v>
      </c>
      <c r="D10" s="162">
        <v>1.0</v>
      </c>
      <c r="E10" s="162">
        <v>3.0</v>
      </c>
      <c r="F10" s="162" t="s">
        <v>853</v>
      </c>
      <c r="G10" s="162" t="s">
        <v>730</v>
      </c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162" t="s">
        <v>453</v>
      </c>
      <c r="B11" s="162" t="s">
        <v>846</v>
      </c>
      <c r="C11" s="162" t="s">
        <v>847</v>
      </c>
      <c r="D11" s="162">
        <v>1.0</v>
      </c>
      <c r="E11" s="162">
        <v>4.0</v>
      </c>
      <c r="F11" s="162" t="s">
        <v>848</v>
      </c>
      <c r="G11" s="162" t="s">
        <v>730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162" t="s">
        <v>473</v>
      </c>
      <c r="B12" s="162" t="s">
        <v>846</v>
      </c>
      <c r="C12" s="162" t="s">
        <v>847</v>
      </c>
      <c r="D12" s="162">
        <v>1.0</v>
      </c>
      <c r="E12" s="162">
        <v>4.0</v>
      </c>
      <c r="F12" s="162" t="s">
        <v>851</v>
      </c>
      <c r="G12" s="162" t="s">
        <v>730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162" t="s">
        <v>504</v>
      </c>
      <c r="B13" s="162" t="s">
        <v>846</v>
      </c>
      <c r="C13" s="162" t="s">
        <v>847</v>
      </c>
      <c r="D13" s="162">
        <v>1.0</v>
      </c>
      <c r="E13" s="162">
        <v>4.0</v>
      </c>
      <c r="F13" s="162" t="s">
        <v>853</v>
      </c>
      <c r="G13" s="162" t="s">
        <v>730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162" t="s">
        <v>514</v>
      </c>
      <c r="B14" s="162" t="s">
        <v>846</v>
      </c>
      <c r="C14" s="162" t="s">
        <v>847</v>
      </c>
      <c r="D14" s="162">
        <v>1.0</v>
      </c>
      <c r="E14" s="162">
        <v>5.0</v>
      </c>
      <c r="F14" s="162" t="s">
        <v>848</v>
      </c>
      <c r="G14" s="162" t="s">
        <v>730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162" t="s">
        <v>524</v>
      </c>
      <c r="B15" s="162" t="s">
        <v>846</v>
      </c>
      <c r="C15" s="162" t="s">
        <v>847</v>
      </c>
      <c r="D15" s="162">
        <v>1.0</v>
      </c>
      <c r="E15" s="162">
        <v>5.0</v>
      </c>
      <c r="F15" s="162" t="s">
        <v>851</v>
      </c>
      <c r="G15" s="162" t="s">
        <v>730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162" t="s">
        <v>532</v>
      </c>
      <c r="B16" s="162" t="s">
        <v>846</v>
      </c>
      <c r="C16" s="162" t="s">
        <v>847</v>
      </c>
      <c r="D16" s="162">
        <v>1.0</v>
      </c>
      <c r="E16" s="162">
        <v>5.0</v>
      </c>
      <c r="F16" s="162" t="s">
        <v>853</v>
      </c>
      <c r="G16" s="162" t="s">
        <v>730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162" t="s">
        <v>518</v>
      </c>
      <c r="B17" s="162" t="s">
        <v>846</v>
      </c>
      <c r="C17" s="162" t="s">
        <v>847</v>
      </c>
      <c r="D17" s="162">
        <v>1.0</v>
      </c>
      <c r="E17" s="162">
        <v>6.0</v>
      </c>
      <c r="F17" s="162" t="s">
        <v>848</v>
      </c>
      <c r="G17" s="162" t="s">
        <v>730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162" t="s">
        <v>529</v>
      </c>
      <c r="B18" s="162" t="s">
        <v>846</v>
      </c>
      <c r="C18" s="162" t="s">
        <v>847</v>
      </c>
      <c r="D18" s="162">
        <v>1.0</v>
      </c>
      <c r="E18" s="162">
        <v>6.0</v>
      </c>
      <c r="F18" s="162" t="s">
        <v>851</v>
      </c>
      <c r="G18" s="162" t="s">
        <v>730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162" t="s">
        <v>531</v>
      </c>
      <c r="B19" s="162" t="s">
        <v>846</v>
      </c>
      <c r="C19" s="162" t="s">
        <v>847</v>
      </c>
      <c r="D19" s="162">
        <v>1.0</v>
      </c>
      <c r="E19" s="162">
        <v>6.0</v>
      </c>
      <c r="F19" s="162" t="s">
        <v>853</v>
      </c>
      <c r="G19" s="162" t="s">
        <v>730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162" t="s">
        <v>75</v>
      </c>
      <c r="B20" s="162" t="s">
        <v>846</v>
      </c>
      <c r="C20" s="162" t="s">
        <v>847</v>
      </c>
      <c r="D20" s="162">
        <v>2.0</v>
      </c>
      <c r="E20" s="162">
        <v>1.0</v>
      </c>
      <c r="F20" s="162" t="s">
        <v>848</v>
      </c>
      <c r="G20" s="162" t="s">
        <v>730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162" t="s">
        <v>95</v>
      </c>
      <c r="B21" s="162" t="s">
        <v>846</v>
      </c>
      <c r="C21" s="162" t="s">
        <v>847</v>
      </c>
      <c r="D21" s="162">
        <v>2.0</v>
      </c>
      <c r="E21" s="162">
        <v>1.0</v>
      </c>
      <c r="F21" s="162" t="s">
        <v>851</v>
      </c>
      <c r="G21" s="162" t="s">
        <v>730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162" t="s">
        <v>106</v>
      </c>
      <c r="B22" s="162" t="s">
        <v>846</v>
      </c>
      <c r="C22" s="162" t="s">
        <v>847</v>
      </c>
      <c r="D22" s="162">
        <v>2.0</v>
      </c>
      <c r="E22" s="162">
        <v>1.0</v>
      </c>
      <c r="F22" s="162" t="s">
        <v>853</v>
      </c>
      <c r="G22" s="162" t="s">
        <v>730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162" t="s">
        <v>159</v>
      </c>
      <c r="B23" s="162" t="s">
        <v>846</v>
      </c>
      <c r="C23" s="162" t="s">
        <v>847</v>
      </c>
      <c r="D23" s="162">
        <v>2.0</v>
      </c>
      <c r="E23" s="162">
        <v>2.0</v>
      </c>
      <c r="F23" s="162" t="s">
        <v>848</v>
      </c>
      <c r="G23" s="162" t="s">
        <v>730</v>
      </c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162" t="s">
        <v>169</v>
      </c>
      <c r="B24" s="162" t="s">
        <v>846</v>
      </c>
      <c r="C24" s="162" t="s">
        <v>847</v>
      </c>
      <c r="D24" s="162">
        <v>2.0</v>
      </c>
      <c r="E24" s="162">
        <v>2.0</v>
      </c>
      <c r="F24" s="162" t="s">
        <v>851</v>
      </c>
      <c r="G24" s="162" t="s">
        <v>730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162" t="s">
        <v>179</v>
      </c>
      <c r="B25" s="162" t="s">
        <v>846</v>
      </c>
      <c r="C25" s="162" t="s">
        <v>847</v>
      </c>
      <c r="D25" s="162">
        <v>2.0</v>
      </c>
      <c r="E25" s="162">
        <v>2.0</v>
      </c>
      <c r="F25" s="162" t="s">
        <v>853</v>
      </c>
      <c r="G25" s="162" t="s">
        <v>730</v>
      </c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162" t="s">
        <v>217</v>
      </c>
      <c r="B26" s="162" t="s">
        <v>846</v>
      </c>
      <c r="C26" s="162" t="s">
        <v>847</v>
      </c>
      <c r="D26" s="162">
        <v>2.0</v>
      </c>
      <c r="E26" s="162">
        <v>3.0</v>
      </c>
      <c r="F26" s="162" t="s">
        <v>848</v>
      </c>
      <c r="G26" s="162" t="s">
        <v>730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162" t="s">
        <v>628</v>
      </c>
      <c r="B27" s="162" t="s">
        <v>846</v>
      </c>
      <c r="C27" s="162" t="s">
        <v>847</v>
      </c>
      <c r="D27" s="162">
        <v>2.0</v>
      </c>
      <c r="E27" s="162">
        <v>3.0</v>
      </c>
      <c r="F27" s="162" t="s">
        <v>851</v>
      </c>
      <c r="G27" s="162" t="s">
        <v>730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162" t="s">
        <v>639</v>
      </c>
      <c r="B28" s="162" t="s">
        <v>846</v>
      </c>
      <c r="C28" s="162" t="s">
        <v>847</v>
      </c>
      <c r="D28" s="162">
        <v>2.0</v>
      </c>
      <c r="E28" s="162">
        <v>3.0</v>
      </c>
      <c r="F28" s="162" t="s">
        <v>853</v>
      </c>
      <c r="G28" s="162" t="s">
        <v>730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162" t="s">
        <v>652</v>
      </c>
      <c r="B29" s="162" t="s">
        <v>846</v>
      </c>
      <c r="C29" s="162" t="s">
        <v>847</v>
      </c>
      <c r="D29" s="162">
        <v>2.0</v>
      </c>
      <c r="E29" s="162">
        <v>4.0</v>
      </c>
      <c r="F29" s="162" t="s">
        <v>848</v>
      </c>
      <c r="G29" s="162" t="s">
        <v>730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162" t="s">
        <v>661</v>
      </c>
      <c r="B30" s="162" t="s">
        <v>846</v>
      </c>
      <c r="C30" s="162" t="s">
        <v>847</v>
      </c>
      <c r="D30" s="162">
        <v>2.0</v>
      </c>
      <c r="E30" s="162">
        <v>4.0</v>
      </c>
      <c r="F30" s="162" t="s">
        <v>851</v>
      </c>
      <c r="G30" s="162" t="s">
        <v>730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162" t="s">
        <v>666</v>
      </c>
      <c r="B31" s="162" t="s">
        <v>846</v>
      </c>
      <c r="C31" s="162" t="s">
        <v>847</v>
      </c>
      <c r="D31" s="162">
        <v>2.0</v>
      </c>
      <c r="E31" s="162">
        <v>4.0</v>
      </c>
      <c r="F31" s="162" t="s">
        <v>853</v>
      </c>
      <c r="G31" s="162" t="s">
        <v>730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62" t="s">
        <v>474</v>
      </c>
      <c r="B32" s="162" t="s">
        <v>846</v>
      </c>
      <c r="C32" s="162" t="s">
        <v>847</v>
      </c>
      <c r="D32" s="162">
        <v>2.0</v>
      </c>
      <c r="E32" s="162">
        <v>5.0</v>
      </c>
      <c r="F32" s="162" t="s">
        <v>848</v>
      </c>
      <c r="G32" s="162" t="s">
        <v>730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62" t="s">
        <v>696</v>
      </c>
      <c r="B33" s="162" t="s">
        <v>846</v>
      </c>
      <c r="C33" s="162" t="s">
        <v>847</v>
      </c>
      <c r="D33" s="162">
        <v>2.0</v>
      </c>
      <c r="E33" s="162">
        <v>5.0</v>
      </c>
      <c r="F33" s="162" t="s">
        <v>851</v>
      </c>
      <c r="G33" s="162" t="s">
        <v>730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162" t="s">
        <v>499</v>
      </c>
      <c r="B34" s="162" t="s">
        <v>846</v>
      </c>
      <c r="C34" s="162" t="s">
        <v>847</v>
      </c>
      <c r="D34" s="162">
        <v>2.0</v>
      </c>
      <c r="E34" s="162">
        <v>5.0</v>
      </c>
      <c r="F34" s="162" t="s">
        <v>853</v>
      </c>
      <c r="G34" s="162" t="s">
        <v>730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162" t="s">
        <v>534</v>
      </c>
      <c r="B35" s="162" t="s">
        <v>846</v>
      </c>
      <c r="C35" s="162" t="s">
        <v>847</v>
      </c>
      <c r="D35" s="162">
        <v>2.0</v>
      </c>
      <c r="E35" s="162">
        <v>6.0</v>
      </c>
      <c r="F35" s="162" t="s">
        <v>848</v>
      </c>
      <c r="G35" s="162" t="s">
        <v>730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162" t="s">
        <v>536</v>
      </c>
      <c r="B36" s="162" t="s">
        <v>846</v>
      </c>
      <c r="C36" s="162" t="s">
        <v>847</v>
      </c>
      <c r="D36" s="162">
        <v>2.0</v>
      </c>
      <c r="E36" s="162">
        <v>6.0</v>
      </c>
      <c r="F36" s="162" t="s">
        <v>851</v>
      </c>
      <c r="G36" s="162" t="s">
        <v>730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162" t="s">
        <v>538</v>
      </c>
      <c r="B37" s="162" t="s">
        <v>846</v>
      </c>
      <c r="C37" s="162" t="s">
        <v>847</v>
      </c>
      <c r="D37" s="162">
        <v>2.0</v>
      </c>
      <c r="E37" s="162">
        <v>6.0</v>
      </c>
      <c r="F37" s="162" t="s">
        <v>853</v>
      </c>
      <c r="G37" s="162" t="s">
        <v>730</v>
      </c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62" t="s">
        <v>116</v>
      </c>
      <c r="B38" s="162" t="s">
        <v>846</v>
      </c>
      <c r="C38" s="162" t="s">
        <v>847</v>
      </c>
      <c r="D38" s="162">
        <v>3.0</v>
      </c>
      <c r="E38" s="162">
        <v>1.0</v>
      </c>
      <c r="F38" s="162" t="s">
        <v>848</v>
      </c>
      <c r="G38" s="162" t="s">
        <v>730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62" t="s">
        <v>126</v>
      </c>
      <c r="B39" s="162" t="s">
        <v>846</v>
      </c>
      <c r="C39" s="162" t="s">
        <v>847</v>
      </c>
      <c r="D39" s="162">
        <v>3.0</v>
      </c>
      <c r="E39" s="162">
        <v>1.0</v>
      </c>
      <c r="F39" s="162" t="s">
        <v>851</v>
      </c>
      <c r="G39" s="162" t="s">
        <v>730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162" t="s">
        <v>134</v>
      </c>
      <c r="B40" s="162" t="s">
        <v>846</v>
      </c>
      <c r="C40" s="162" t="s">
        <v>847</v>
      </c>
      <c r="D40" s="162">
        <v>3.0</v>
      </c>
      <c r="E40" s="162">
        <v>1.0</v>
      </c>
      <c r="F40" s="162" t="s">
        <v>853</v>
      </c>
      <c r="G40" s="162" t="s">
        <v>730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162" t="s">
        <v>184</v>
      </c>
      <c r="B41" s="162" t="s">
        <v>846</v>
      </c>
      <c r="C41" s="162" t="s">
        <v>847</v>
      </c>
      <c r="D41" s="162">
        <v>3.0</v>
      </c>
      <c r="E41" s="162">
        <v>2.0</v>
      </c>
      <c r="F41" s="162" t="s">
        <v>848</v>
      </c>
      <c r="G41" s="162" t="s">
        <v>730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162" t="s">
        <v>192</v>
      </c>
      <c r="B42" s="162" t="s">
        <v>846</v>
      </c>
      <c r="C42" s="162" t="s">
        <v>847</v>
      </c>
      <c r="D42" s="162">
        <v>3.0</v>
      </c>
      <c r="E42" s="162">
        <v>2.0</v>
      </c>
      <c r="F42" s="162" t="s">
        <v>851</v>
      </c>
      <c r="G42" s="162" t="s">
        <v>730</v>
      </c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162" t="s">
        <v>200</v>
      </c>
      <c r="B43" s="162" t="s">
        <v>846</v>
      </c>
      <c r="C43" s="162" t="s">
        <v>847</v>
      </c>
      <c r="D43" s="162">
        <v>3.0</v>
      </c>
      <c r="E43" s="162">
        <v>2.0</v>
      </c>
      <c r="F43" s="162" t="s">
        <v>853</v>
      </c>
      <c r="G43" s="162" t="s">
        <v>730</v>
      </c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162" t="s">
        <v>700</v>
      </c>
      <c r="B44" s="162" t="s">
        <v>846</v>
      </c>
      <c r="C44" s="162" t="s">
        <v>847</v>
      </c>
      <c r="D44" s="162">
        <v>3.0</v>
      </c>
      <c r="E44" s="162">
        <v>3.0</v>
      </c>
      <c r="F44" s="162" t="s">
        <v>848</v>
      </c>
      <c r="G44" s="162" t="s">
        <v>730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162" t="s">
        <v>886</v>
      </c>
      <c r="B45" s="162" t="s">
        <v>846</v>
      </c>
      <c r="C45" s="162" t="s">
        <v>847</v>
      </c>
      <c r="D45" s="162">
        <v>3.0</v>
      </c>
      <c r="E45" s="162">
        <v>3.0</v>
      </c>
      <c r="F45" s="162" t="s">
        <v>851</v>
      </c>
      <c r="G45" s="162" t="s">
        <v>730</v>
      </c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162" t="s">
        <v>703</v>
      </c>
      <c r="B46" s="162" t="s">
        <v>846</v>
      </c>
      <c r="C46" s="162" t="s">
        <v>847</v>
      </c>
      <c r="D46" s="162">
        <v>3.0</v>
      </c>
      <c r="E46" s="162">
        <v>3.0</v>
      </c>
      <c r="F46" s="162" t="s">
        <v>853</v>
      </c>
      <c r="G46" s="162" t="s">
        <v>730</v>
      </c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162" t="s">
        <v>708</v>
      </c>
      <c r="B47" s="162" t="s">
        <v>846</v>
      </c>
      <c r="C47" s="162" t="s">
        <v>847</v>
      </c>
      <c r="D47" s="162">
        <v>3.0</v>
      </c>
      <c r="E47" s="162">
        <v>4.0</v>
      </c>
      <c r="F47" s="162" t="s">
        <v>848</v>
      </c>
      <c r="G47" s="162" t="s">
        <v>730</v>
      </c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162" t="s">
        <v>891</v>
      </c>
      <c r="B48" s="162" t="s">
        <v>846</v>
      </c>
      <c r="C48" s="162" t="s">
        <v>847</v>
      </c>
      <c r="D48" s="162">
        <v>3.0</v>
      </c>
      <c r="E48" s="162">
        <v>4.0</v>
      </c>
      <c r="F48" s="162" t="s">
        <v>851</v>
      </c>
      <c r="G48" s="162" t="s">
        <v>730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162" t="s">
        <v>710</v>
      </c>
      <c r="B49" s="162" t="s">
        <v>846</v>
      </c>
      <c r="C49" s="162" t="s">
        <v>847</v>
      </c>
      <c r="D49" s="162">
        <v>3.0</v>
      </c>
      <c r="E49" s="162">
        <v>4.0</v>
      </c>
      <c r="F49" s="162" t="s">
        <v>853</v>
      </c>
      <c r="G49" s="162" t="s">
        <v>730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162" t="s">
        <v>734</v>
      </c>
      <c r="B50" s="162" t="s">
        <v>846</v>
      </c>
      <c r="C50" s="162" t="s">
        <v>847</v>
      </c>
      <c r="D50" s="162">
        <v>3.0</v>
      </c>
      <c r="E50" s="162">
        <v>5.0</v>
      </c>
      <c r="F50" s="162" t="s">
        <v>848</v>
      </c>
      <c r="G50" s="162" t="s">
        <v>730</v>
      </c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162" t="s">
        <v>894</v>
      </c>
      <c r="B51" s="162" t="s">
        <v>846</v>
      </c>
      <c r="C51" s="162" t="s">
        <v>847</v>
      </c>
      <c r="D51" s="162">
        <v>3.0</v>
      </c>
      <c r="E51" s="162">
        <v>5.0</v>
      </c>
      <c r="F51" s="162" t="s">
        <v>851</v>
      </c>
      <c r="G51" s="162" t="s">
        <v>730</v>
      </c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162" t="s">
        <v>742</v>
      </c>
      <c r="B52" s="162" t="s">
        <v>846</v>
      </c>
      <c r="C52" s="162" t="s">
        <v>847</v>
      </c>
      <c r="D52" s="162">
        <v>3.0</v>
      </c>
      <c r="E52" s="162">
        <v>5.0</v>
      </c>
      <c r="F52" s="162" t="s">
        <v>853</v>
      </c>
      <c r="G52" s="162" t="s">
        <v>730</v>
      </c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162" t="s">
        <v>540</v>
      </c>
      <c r="B53" s="162" t="s">
        <v>846</v>
      </c>
      <c r="C53" s="162" t="s">
        <v>847</v>
      </c>
      <c r="D53" s="162">
        <v>3.0</v>
      </c>
      <c r="E53" s="162">
        <v>6.0</v>
      </c>
      <c r="F53" s="162" t="s">
        <v>848</v>
      </c>
      <c r="G53" s="162" t="s">
        <v>730</v>
      </c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162" t="s">
        <v>542</v>
      </c>
      <c r="B54" s="162" t="s">
        <v>846</v>
      </c>
      <c r="C54" s="162" t="s">
        <v>847</v>
      </c>
      <c r="D54" s="162">
        <v>3.0</v>
      </c>
      <c r="E54" s="162">
        <v>6.0</v>
      </c>
      <c r="F54" s="162" t="s">
        <v>851</v>
      </c>
      <c r="G54" s="162" t="s">
        <v>730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162" t="s">
        <v>544</v>
      </c>
      <c r="B55" s="162" t="s">
        <v>846</v>
      </c>
      <c r="C55" s="162" t="s">
        <v>847</v>
      </c>
      <c r="D55" s="162">
        <v>3.0</v>
      </c>
      <c r="E55" s="162">
        <v>6.0</v>
      </c>
      <c r="F55" s="162" t="s">
        <v>853</v>
      </c>
      <c r="G55" s="162" t="s">
        <v>730</v>
      </c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162" t="s">
        <v>143</v>
      </c>
      <c r="B56" s="162" t="s">
        <v>846</v>
      </c>
      <c r="C56" s="162" t="s">
        <v>847</v>
      </c>
      <c r="D56" s="162">
        <v>4.0</v>
      </c>
      <c r="E56" s="162">
        <v>1.0</v>
      </c>
      <c r="F56" s="162" t="s">
        <v>848</v>
      </c>
      <c r="G56" s="162" t="s">
        <v>730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162" t="s">
        <v>902</v>
      </c>
      <c r="B57" s="162" t="s">
        <v>846</v>
      </c>
      <c r="C57" s="162" t="s">
        <v>847</v>
      </c>
      <c r="D57" s="162">
        <v>4.0</v>
      </c>
      <c r="E57" s="162">
        <v>1.0</v>
      </c>
      <c r="F57" s="162" t="s">
        <v>851</v>
      </c>
      <c r="G57" s="162" t="s">
        <v>730</v>
      </c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162" t="s">
        <v>151</v>
      </c>
      <c r="B58" s="162" t="s">
        <v>846</v>
      </c>
      <c r="C58" s="162" t="s">
        <v>847</v>
      </c>
      <c r="D58" s="162">
        <v>4.0</v>
      </c>
      <c r="E58" s="162">
        <v>1.0</v>
      </c>
      <c r="F58" s="162" t="s">
        <v>853</v>
      </c>
      <c r="G58" s="162" t="s">
        <v>730</v>
      </c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162" t="s">
        <v>204</v>
      </c>
      <c r="B59" s="162" t="s">
        <v>846</v>
      </c>
      <c r="C59" s="162" t="s">
        <v>847</v>
      </c>
      <c r="D59" s="162">
        <v>4.0</v>
      </c>
      <c r="E59" s="162">
        <v>2.0</v>
      </c>
      <c r="F59" s="162" t="s">
        <v>848</v>
      </c>
      <c r="G59" s="162" t="s">
        <v>730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162" t="s">
        <v>904</v>
      </c>
      <c r="B60" s="162" t="s">
        <v>846</v>
      </c>
      <c r="C60" s="162" t="s">
        <v>847</v>
      </c>
      <c r="D60" s="162">
        <v>4.0</v>
      </c>
      <c r="E60" s="162">
        <v>2.0</v>
      </c>
      <c r="F60" s="162" t="s">
        <v>851</v>
      </c>
      <c r="G60" s="162" t="s">
        <v>730</v>
      </c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162" t="s">
        <v>208</v>
      </c>
      <c r="B61" s="162" t="s">
        <v>846</v>
      </c>
      <c r="C61" s="162" t="s">
        <v>847</v>
      </c>
      <c r="D61" s="162">
        <v>4.0</v>
      </c>
      <c r="E61" s="162">
        <v>2.0</v>
      </c>
      <c r="F61" s="162" t="s">
        <v>853</v>
      </c>
      <c r="G61" s="162" t="s">
        <v>730</v>
      </c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162" t="s">
        <v>693</v>
      </c>
      <c r="B62" s="162" t="s">
        <v>846</v>
      </c>
      <c r="C62" s="162" t="s">
        <v>847</v>
      </c>
      <c r="D62" s="162">
        <v>4.0</v>
      </c>
      <c r="E62" s="162">
        <v>3.0</v>
      </c>
      <c r="F62" s="162" t="s">
        <v>848</v>
      </c>
      <c r="G62" s="162" t="s">
        <v>730</v>
      </c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162" t="s">
        <v>907</v>
      </c>
      <c r="B63" s="162" t="s">
        <v>846</v>
      </c>
      <c r="C63" s="162" t="s">
        <v>847</v>
      </c>
      <c r="D63" s="162">
        <v>4.0</v>
      </c>
      <c r="E63" s="162">
        <v>3.0</v>
      </c>
      <c r="F63" s="162" t="s">
        <v>851</v>
      </c>
      <c r="G63" s="162" t="s">
        <v>730</v>
      </c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162" t="s">
        <v>698</v>
      </c>
      <c r="B64" s="162" t="s">
        <v>846</v>
      </c>
      <c r="C64" s="162" t="s">
        <v>847</v>
      </c>
      <c r="D64" s="162">
        <v>4.0</v>
      </c>
      <c r="E64" s="162">
        <v>3.0</v>
      </c>
      <c r="F64" s="162" t="s">
        <v>853</v>
      </c>
      <c r="G64" s="162" t="s">
        <v>730</v>
      </c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162" t="s">
        <v>705</v>
      </c>
      <c r="B65" s="162" t="s">
        <v>846</v>
      </c>
      <c r="C65" s="162" t="s">
        <v>847</v>
      </c>
      <c r="D65" s="162">
        <v>4.0</v>
      </c>
      <c r="E65" s="162">
        <v>4.0</v>
      </c>
      <c r="F65" s="162" t="s">
        <v>848</v>
      </c>
      <c r="G65" s="162" t="s">
        <v>730</v>
      </c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162" t="s">
        <v>911</v>
      </c>
      <c r="B66" s="162" t="s">
        <v>846</v>
      </c>
      <c r="C66" s="162" t="s">
        <v>847</v>
      </c>
      <c r="D66" s="162">
        <v>4.0</v>
      </c>
      <c r="E66" s="162">
        <v>4.0</v>
      </c>
      <c r="F66" s="162" t="s">
        <v>851</v>
      </c>
      <c r="G66" s="162" t="s">
        <v>730</v>
      </c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162" t="s">
        <v>522</v>
      </c>
      <c r="B67" s="162" t="s">
        <v>846</v>
      </c>
      <c r="C67" s="162" t="s">
        <v>847</v>
      </c>
      <c r="D67" s="162">
        <v>4.0</v>
      </c>
      <c r="E67" s="162">
        <v>4.0</v>
      </c>
      <c r="F67" s="162" t="s">
        <v>853</v>
      </c>
      <c r="G67" s="162" t="s">
        <v>730</v>
      </c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162" t="s">
        <v>748</v>
      </c>
      <c r="B68" s="162" t="s">
        <v>846</v>
      </c>
      <c r="C68" s="162" t="s">
        <v>847</v>
      </c>
      <c r="D68" s="162">
        <v>4.0</v>
      </c>
      <c r="E68" s="162">
        <v>5.0</v>
      </c>
      <c r="F68" s="162" t="s">
        <v>848</v>
      </c>
      <c r="G68" s="162" t="s">
        <v>730</v>
      </c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162" t="s">
        <v>914</v>
      </c>
      <c r="B69" s="162" t="s">
        <v>846</v>
      </c>
      <c r="C69" s="162" t="s">
        <v>847</v>
      </c>
      <c r="D69" s="162">
        <v>4.0</v>
      </c>
      <c r="E69" s="162">
        <v>5.0</v>
      </c>
      <c r="F69" s="162" t="s">
        <v>851</v>
      </c>
      <c r="G69" s="162" t="s">
        <v>730</v>
      </c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162" t="s">
        <v>527</v>
      </c>
      <c r="B70" s="162" t="s">
        <v>846</v>
      </c>
      <c r="C70" s="162" t="s">
        <v>847</v>
      </c>
      <c r="D70" s="162">
        <v>4.0</v>
      </c>
      <c r="E70" s="162">
        <v>5.0</v>
      </c>
      <c r="F70" s="162" t="s">
        <v>853</v>
      </c>
      <c r="G70" s="162" t="s">
        <v>730</v>
      </c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162" t="s">
        <v>546</v>
      </c>
      <c r="B71" s="162" t="s">
        <v>846</v>
      </c>
      <c r="C71" s="162" t="s">
        <v>847</v>
      </c>
      <c r="D71" s="162">
        <v>4.0</v>
      </c>
      <c r="E71" s="162">
        <v>6.0</v>
      </c>
      <c r="F71" s="162" t="s">
        <v>848</v>
      </c>
      <c r="G71" s="162" t="s">
        <v>730</v>
      </c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162" t="s">
        <v>548</v>
      </c>
      <c r="B72" s="162" t="s">
        <v>846</v>
      </c>
      <c r="C72" s="162" t="s">
        <v>847</v>
      </c>
      <c r="D72" s="162">
        <v>4.0</v>
      </c>
      <c r="E72" s="162">
        <v>6.0</v>
      </c>
      <c r="F72" s="162" t="s">
        <v>851</v>
      </c>
      <c r="G72" s="162" t="s">
        <v>730</v>
      </c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162" t="s">
        <v>550</v>
      </c>
      <c r="B73" s="162" t="s">
        <v>846</v>
      </c>
      <c r="C73" s="162" t="s">
        <v>847</v>
      </c>
      <c r="D73" s="162">
        <v>4.0</v>
      </c>
      <c r="E73" s="162">
        <v>6.0</v>
      </c>
      <c r="F73" s="162" t="s">
        <v>853</v>
      </c>
      <c r="G73" s="162" t="s">
        <v>730</v>
      </c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162" t="s">
        <v>805</v>
      </c>
      <c r="B74" s="162" t="s">
        <v>920</v>
      </c>
      <c r="C74" s="162" t="s">
        <v>921</v>
      </c>
      <c r="D74" s="162">
        <v>1.0</v>
      </c>
      <c r="E74" s="162">
        <v>1.0</v>
      </c>
      <c r="F74" s="162" t="s">
        <v>848</v>
      </c>
      <c r="G74" s="162" t="s">
        <v>730</v>
      </c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162" t="s">
        <v>922</v>
      </c>
      <c r="B75" s="162" t="s">
        <v>920</v>
      </c>
      <c r="C75" s="162" t="s">
        <v>921</v>
      </c>
      <c r="D75" s="162">
        <v>1.0</v>
      </c>
      <c r="E75" s="162">
        <v>1.0</v>
      </c>
      <c r="F75" s="162" t="s">
        <v>851</v>
      </c>
      <c r="G75" s="162" t="s">
        <v>730</v>
      </c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162" t="s">
        <v>810</v>
      </c>
      <c r="B76" s="162" t="s">
        <v>920</v>
      </c>
      <c r="C76" s="162" t="s">
        <v>921</v>
      </c>
      <c r="D76" s="162">
        <v>1.0</v>
      </c>
      <c r="E76" s="162">
        <v>1.0</v>
      </c>
      <c r="F76" s="162" t="s">
        <v>853</v>
      </c>
      <c r="G76" s="162" t="s">
        <v>730</v>
      </c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162" t="s">
        <v>850</v>
      </c>
      <c r="B77" s="162" t="s">
        <v>920</v>
      </c>
      <c r="C77" s="162" t="s">
        <v>921</v>
      </c>
      <c r="D77" s="162">
        <v>1.0</v>
      </c>
      <c r="E77" s="162">
        <v>2.0</v>
      </c>
      <c r="F77" s="162" t="s">
        <v>848</v>
      </c>
      <c r="G77" s="162" t="s">
        <v>730</v>
      </c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162" t="s">
        <v>926</v>
      </c>
      <c r="B78" s="162" t="s">
        <v>920</v>
      </c>
      <c r="C78" s="162" t="s">
        <v>921</v>
      </c>
      <c r="D78" s="162">
        <v>1.0</v>
      </c>
      <c r="E78" s="162">
        <v>2.0</v>
      </c>
      <c r="F78" s="162" t="s">
        <v>851</v>
      </c>
      <c r="G78" s="162" t="s">
        <v>730</v>
      </c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162" t="s">
        <v>509</v>
      </c>
      <c r="B79" s="162" t="s">
        <v>920</v>
      </c>
      <c r="C79" s="162" t="s">
        <v>921</v>
      </c>
      <c r="D79" s="162">
        <v>1.0</v>
      </c>
      <c r="E79" s="162">
        <v>2.0</v>
      </c>
      <c r="F79" s="162" t="s">
        <v>853</v>
      </c>
      <c r="G79" s="162" t="s">
        <v>730</v>
      </c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162" t="s">
        <v>459</v>
      </c>
      <c r="B80" s="162" t="s">
        <v>920</v>
      </c>
      <c r="C80" s="162" t="s">
        <v>921</v>
      </c>
      <c r="D80" s="162">
        <v>1.0</v>
      </c>
      <c r="E80" s="162">
        <v>3.0</v>
      </c>
      <c r="F80" s="162" t="s">
        <v>848</v>
      </c>
      <c r="G80" s="162" t="s">
        <v>730</v>
      </c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162" t="s">
        <v>928</v>
      </c>
      <c r="B81" s="162" t="s">
        <v>920</v>
      </c>
      <c r="C81" s="162" t="s">
        <v>921</v>
      </c>
      <c r="D81" s="162">
        <v>1.0</v>
      </c>
      <c r="E81" s="162">
        <v>3.0</v>
      </c>
      <c r="F81" s="162" t="s">
        <v>851</v>
      </c>
      <c r="G81" s="162" t="s">
        <v>730</v>
      </c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162" t="s">
        <v>448</v>
      </c>
      <c r="B82" s="162" t="s">
        <v>920</v>
      </c>
      <c r="C82" s="162" t="s">
        <v>921</v>
      </c>
      <c r="D82" s="162">
        <v>1.0</v>
      </c>
      <c r="E82" s="162">
        <v>3.0</v>
      </c>
      <c r="F82" s="162" t="s">
        <v>853</v>
      </c>
      <c r="G82" s="162" t="s">
        <v>730</v>
      </c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162" t="s">
        <v>422</v>
      </c>
      <c r="B83" s="162" t="s">
        <v>920</v>
      </c>
      <c r="C83" s="162" t="s">
        <v>921</v>
      </c>
      <c r="D83" s="162">
        <v>1.0</v>
      </c>
      <c r="E83" s="162">
        <v>4.0</v>
      </c>
      <c r="F83" s="162" t="s">
        <v>848</v>
      </c>
      <c r="G83" s="162" t="s">
        <v>730</v>
      </c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162" t="s">
        <v>933</v>
      </c>
      <c r="B84" s="162" t="s">
        <v>920</v>
      </c>
      <c r="C84" s="162" t="s">
        <v>921</v>
      </c>
      <c r="D84" s="162">
        <v>1.0</v>
      </c>
      <c r="E84" s="162">
        <v>4.0</v>
      </c>
      <c r="F84" s="162" t="s">
        <v>851</v>
      </c>
      <c r="G84" s="162" t="s">
        <v>730</v>
      </c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162" t="s">
        <v>382</v>
      </c>
      <c r="B85" s="162" t="s">
        <v>920</v>
      </c>
      <c r="C85" s="162" t="s">
        <v>921</v>
      </c>
      <c r="D85" s="162">
        <v>1.0</v>
      </c>
      <c r="E85" s="162">
        <v>4.0</v>
      </c>
      <c r="F85" s="162" t="s">
        <v>853</v>
      </c>
      <c r="G85" s="162" t="s">
        <v>730</v>
      </c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162" t="s">
        <v>365</v>
      </c>
      <c r="B86" s="162" t="s">
        <v>920</v>
      </c>
      <c r="C86" s="162" t="s">
        <v>921</v>
      </c>
      <c r="D86" s="162">
        <v>1.0</v>
      </c>
      <c r="E86" s="162">
        <v>5.0</v>
      </c>
      <c r="F86" s="162" t="s">
        <v>848</v>
      </c>
      <c r="G86" s="162" t="s">
        <v>730</v>
      </c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162" t="s">
        <v>934</v>
      </c>
      <c r="B87" s="162" t="s">
        <v>920</v>
      </c>
      <c r="C87" s="162" t="s">
        <v>921</v>
      </c>
      <c r="D87" s="162">
        <v>1.0</v>
      </c>
      <c r="E87" s="162">
        <v>5.0</v>
      </c>
      <c r="F87" s="162" t="s">
        <v>851</v>
      </c>
      <c r="G87" s="162" t="s">
        <v>730</v>
      </c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162" t="s">
        <v>374</v>
      </c>
      <c r="B88" s="162" t="s">
        <v>920</v>
      </c>
      <c r="C88" s="162" t="s">
        <v>921</v>
      </c>
      <c r="D88" s="162">
        <v>1.0</v>
      </c>
      <c r="E88" s="162">
        <v>5.0</v>
      </c>
      <c r="F88" s="162" t="s">
        <v>853</v>
      </c>
      <c r="G88" s="162" t="s">
        <v>730</v>
      </c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162" t="s">
        <v>791</v>
      </c>
      <c r="B89" s="162" t="s">
        <v>920</v>
      </c>
      <c r="C89" s="162" t="s">
        <v>921</v>
      </c>
      <c r="D89" s="162">
        <v>2.0</v>
      </c>
      <c r="E89" s="162">
        <v>1.0</v>
      </c>
      <c r="F89" s="162" t="s">
        <v>848</v>
      </c>
      <c r="G89" s="162" t="s">
        <v>730</v>
      </c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162" t="s">
        <v>939</v>
      </c>
      <c r="B90" s="162" t="s">
        <v>920</v>
      </c>
      <c r="C90" s="162" t="s">
        <v>921</v>
      </c>
      <c r="D90" s="162">
        <v>2.0</v>
      </c>
      <c r="E90" s="162">
        <v>1.0</v>
      </c>
      <c r="F90" s="162" t="s">
        <v>851</v>
      </c>
      <c r="G90" s="162" t="s">
        <v>730</v>
      </c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162" t="s">
        <v>798</v>
      </c>
      <c r="B91" s="162" t="s">
        <v>920</v>
      </c>
      <c r="C91" s="162" t="s">
        <v>921</v>
      </c>
      <c r="D91" s="162">
        <v>2.0</v>
      </c>
      <c r="E91" s="162">
        <v>1.0</v>
      </c>
      <c r="F91" s="162" t="s">
        <v>853</v>
      </c>
      <c r="G91" s="162" t="s">
        <v>730</v>
      </c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162" t="s">
        <v>827</v>
      </c>
      <c r="B92" s="162" t="s">
        <v>920</v>
      </c>
      <c r="C92" s="162" t="s">
        <v>921</v>
      </c>
      <c r="D92" s="162">
        <v>2.0</v>
      </c>
      <c r="E92" s="162">
        <v>2.0</v>
      </c>
      <c r="F92" s="162" t="s">
        <v>848</v>
      </c>
      <c r="G92" s="162" t="s">
        <v>730</v>
      </c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162" t="s">
        <v>945</v>
      </c>
      <c r="B93" s="162" t="s">
        <v>920</v>
      </c>
      <c r="C93" s="162" t="s">
        <v>921</v>
      </c>
      <c r="D93" s="162">
        <v>2.0</v>
      </c>
      <c r="E93" s="162">
        <v>2.0</v>
      </c>
      <c r="F93" s="162" t="s">
        <v>851</v>
      </c>
      <c r="G93" s="162" t="s">
        <v>730</v>
      </c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162" t="s">
        <v>832</v>
      </c>
      <c r="B94" s="162" t="s">
        <v>920</v>
      </c>
      <c r="C94" s="162" t="s">
        <v>921</v>
      </c>
      <c r="D94" s="162">
        <v>2.0</v>
      </c>
      <c r="E94" s="162">
        <v>2.0</v>
      </c>
      <c r="F94" s="162" t="s">
        <v>853</v>
      </c>
      <c r="G94" s="162" t="s">
        <v>730</v>
      </c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58"/>
      <c r="W94" s="58"/>
      <c r="X94" s="58"/>
      <c r="Y94" s="58"/>
      <c r="Z94" s="58"/>
    </row>
    <row r="95">
      <c r="A95" s="162" t="s">
        <v>947</v>
      </c>
      <c r="B95" s="162" t="s">
        <v>920</v>
      </c>
      <c r="C95" s="162" t="s">
        <v>921</v>
      </c>
      <c r="D95" s="162">
        <v>2.0</v>
      </c>
      <c r="E95" s="162">
        <v>3.0</v>
      </c>
      <c r="F95" s="162" t="s">
        <v>848</v>
      </c>
      <c r="G95" s="162" t="s">
        <v>730</v>
      </c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58"/>
      <c r="W95" s="58"/>
      <c r="X95" s="58"/>
      <c r="Y95" s="58"/>
      <c r="Z95" s="58"/>
    </row>
    <row r="96">
      <c r="A96" s="162" t="s">
        <v>951</v>
      </c>
      <c r="B96" s="162" t="s">
        <v>920</v>
      </c>
      <c r="C96" s="162" t="s">
        <v>921</v>
      </c>
      <c r="D96" s="162">
        <v>2.0</v>
      </c>
      <c r="E96" s="162">
        <v>3.0</v>
      </c>
      <c r="F96" s="162" t="s">
        <v>851</v>
      </c>
      <c r="G96" s="162" t="s">
        <v>730</v>
      </c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58"/>
      <c r="W96" s="58"/>
      <c r="X96" s="58"/>
      <c r="Y96" s="58"/>
      <c r="Z96" s="58"/>
    </row>
    <row r="97">
      <c r="A97" s="162" t="s">
        <v>464</v>
      </c>
      <c r="B97" s="162" t="s">
        <v>920</v>
      </c>
      <c r="C97" s="162" t="s">
        <v>921</v>
      </c>
      <c r="D97" s="162">
        <v>2.0</v>
      </c>
      <c r="E97" s="162">
        <v>3.0</v>
      </c>
      <c r="F97" s="162" t="s">
        <v>853</v>
      </c>
      <c r="G97" s="162" t="s">
        <v>730</v>
      </c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58"/>
      <c r="W97" s="58"/>
      <c r="X97" s="58"/>
      <c r="Y97" s="58"/>
      <c r="Z97" s="58"/>
    </row>
    <row r="98">
      <c r="A98" s="162" t="s">
        <v>440</v>
      </c>
      <c r="B98" s="162" t="s">
        <v>920</v>
      </c>
      <c r="C98" s="162" t="s">
        <v>921</v>
      </c>
      <c r="D98" s="162">
        <v>2.0</v>
      </c>
      <c r="E98" s="162">
        <v>4.0</v>
      </c>
      <c r="F98" s="162" t="s">
        <v>848</v>
      </c>
      <c r="G98" s="162" t="s">
        <v>730</v>
      </c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58"/>
      <c r="W98" s="58"/>
      <c r="X98" s="58"/>
      <c r="Y98" s="58"/>
      <c r="Z98" s="58"/>
    </row>
    <row r="99">
      <c r="A99" s="162" t="s">
        <v>953</v>
      </c>
      <c r="B99" s="162" t="s">
        <v>920</v>
      </c>
      <c r="C99" s="162" t="s">
        <v>921</v>
      </c>
      <c r="D99" s="162">
        <v>2.0</v>
      </c>
      <c r="E99" s="162">
        <v>4.0</v>
      </c>
      <c r="F99" s="162" t="s">
        <v>851</v>
      </c>
      <c r="G99" s="162" t="s">
        <v>730</v>
      </c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58"/>
      <c r="W99" s="58"/>
      <c r="X99" s="58"/>
      <c r="Y99" s="58"/>
      <c r="Z99" s="58"/>
    </row>
    <row r="100">
      <c r="A100" s="162" t="s">
        <v>438</v>
      </c>
      <c r="B100" s="162" t="s">
        <v>920</v>
      </c>
      <c r="C100" s="162" t="s">
        <v>921</v>
      </c>
      <c r="D100" s="162">
        <v>2.0</v>
      </c>
      <c r="E100" s="162">
        <v>4.0</v>
      </c>
      <c r="F100" s="162" t="s">
        <v>853</v>
      </c>
      <c r="G100" s="162" t="s">
        <v>730</v>
      </c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58"/>
      <c r="W100" s="58"/>
      <c r="X100" s="58"/>
      <c r="Y100" s="58"/>
      <c r="Z100" s="58"/>
    </row>
    <row r="101">
      <c r="A101" s="162" t="s">
        <v>397</v>
      </c>
      <c r="B101" s="162" t="s">
        <v>920</v>
      </c>
      <c r="C101" s="162" t="s">
        <v>921</v>
      </c>
      <c r="D101" s="162">
        <v>2.0</v>
      </c>
      <c r="E101" s="162">
        <v>5.0</v>
      </c>
      <c r="F101" s="162" t="s">
        <v>848</v>
      </c>
      <c r="G101" s="162" t="s">
        <v>730</v>
      </c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58"/>
      <c r="W101" s="58"/>
      <c r="X101" s="58"/>
      <c r="Y101" s="58"/>
      <c r="Z101" s="58"/>
    </row>
    <row r="102">
      <c r="A102" s="162" t="s">
        <v>960</v>
      </c>
      <c r="B102" s="162" t="s">
        <v>920</v>
      </c>
      <c r="C102" s="162" t="s">
        <v>921</v>
      </c>
      <c r="D102" s="162">
        <v>2.0</v>
      </c>
      <c r="E102" s="162">
        <v>5.0</v>
      </c>
      <c r="F102" s="162" t="s">
        <v>851</v>
      </c>
      <c r="G102" s="162" t="s">
        <v>730</v>
      </c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58"/>
      <c r="W102" s="58"/>
      <c r="X102" s="58"/>
      <c r="Y102" s="58"/>
      <c r="Z102" s="58"/>
    </row>
    <row r="103">
      <c r="A103" s="162" t="s">
        <v>425</v>
      </c>
      <c r="B103" s="162" t="s">
        <v>920</v>
      </c>
      <c r="C103" s="162" t="s">
        <v>921</v>
      </c>
      <c r="D103" s="162">
        <v>2.0</v>
      </c>
      <c r="E103" s="162">
        <v>5.0</v>
      </c>
      <c r="F103" s="162" t="s">
        <v>853</v>
      </c>
      <c r="G103" s="162" t="s">
        <v>730</v>
      </c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58"/>
      <c r="W103" s="58"/>
      <c r="X103" s="58"/>
      <c r="Y103" s="58"/>
      <c r="Z103" s="58"/>
    </row>
    <row r="104">
      <c r="A104" s="162" t="s">
        <v>962</v>
      </c>
      <c r="B104" s="162" t="s">
        <v>920</v>
      </c>
      <c r="C104" s="162" t="s">
        <v>921</v>
      </c>
      <c r="D104" s="162">
        <v>3.0</v>
      </c>
      <c r="E104" s="162">
        <v>1.0</v>
      </c>
      <c r="F104" s="162" t="s">
        <v>848</v>
      </c>
      <c r="G104" s="162" t="s">
        <v>730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58"/>
      <c r="W104" s="58"/>
      <c r="X104" s="58"/>
      <c r="Y104" s="58"/>
      <c r="Z104" s="58"/>
    </row>
    <row r="105">
      <c r="A105" s="162" t="s">
        <v>966</v>
      </c>
      <c r="B105" s="162" t="s">
        <v>920</v>
      </c>
      <c r="C105" s="162" t="s">
        <v>921</v>
      </c>
      <c r="D105" s="162">
        <v>3.0</v>
      </c>
      <c r="E105" s="162">
        <v>1.0</v>
      </c>
      <c r="F105" s="162" t="s">
        <v>851</v>
      </c>
      <c r="G105" s="162" t="s">
        <v>730</v>
      </c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58"/>
      <c r="W105" s="58"/>
      <c r="X105" s="58"/>
      <c r="Y105" s="58"/>
      <c r="Z105" s="58"/>
    </row>
    <row r="106">
      <c r="A106" s="162" t="s">
        <v>781</v>
      </c>
      <c r="B106" s="162" t="s">
        <v>920</v>
      </c>
      <c r="C106" s="162" t="s">
        <v>921</v>
      </c>
      <c r="D106" s="162">
        <v>3.0</v>
      </c>
      <c r="E106" s="162">
        <v>1.0</v>
      </c>
      <c r="F106" s="162" t="s">
        <v>853</v>
      </c>
      <c r="G106" s="162" t="s">
        <v>730</v>
      </c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58"/>
      <c r="W106" s="58"/>
      <c r="X106" s="58"/>
      <c r="Y106" s="58"/>
      <c r="Z106" s="58"/>
    </row>
    <row r="107">
      <c r="A107" s="162" t="s">
        <v>816</v>
      </c>
      <c r="B107" s="162" t="s">
        <v>920</v>
      </c>
      <c r="C107" s="162" t="s">
        <v>921</v>
      </c>
      <c r="D107" s="162">
        <v>3.0</v>
      </c>
      <c r="E107" s="162">
        <v>2.0</v>
      </c>
      <c r="F107" s="162" t="s">
        <v>848</v>
      </c>
      <c r="G107" s="162" t="s">
        <v>730</v>
      </c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58"/>
      <c r="W107" s="58"/>
      <c r="X107" s="58"/>
      <c r="Y107" s="58"/>
      <c r="Z107" s="58"/>
    </row>
    <row r="108">
      <c r="A108" s="162" t="s">
        <v>970</v>
      </c>
      <c r="B108" s="162" t="s">
        <v>920</v>
      </c>
      <c r="C108" s="162" t="s">
        <v>921</v>
      </c>
      <c r="D108" s="162">
        <v>3.0</v>
      </c>
      <c r="E108" s="162">
        <v>2.0</v>
      </c>
      <c r="F108" s="162" t="s">
        <v>851</v>
      </c>
      <c r="G108" s="162" t="s">
        <v>730</v>
      </c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58"/>
      <c r="W108" s="58"/>
      <c r="X108" s="58"/>
      <c r="Y108" s="58"/>
      <c r="Z108" s="58"/>
    </row>
    <row r="109">
      <c r="A109" s="162" t="s">
        <v>823</v>
      </c>
      <c r="B109" s="162" t="s">
        <v>920</v>
      </c>
      <c r="C109" s="162" t="s">
        <v>921</v>
      </c>
      <c r="D109" s="162">
        <v>3.0</v>
      </c>
      <c r="E109" s="162">
        <v>2.0</v>
      </c>
      <c r="F109" s="162" t="s">
        <v>853</v>
      </c>
      <c r="G109" s="162" t="s">
        <v>730</v>
      </c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58"/>
      <c r="W109" s="58"/>
      <c r="X109" s="58"/>
      <c r="Y109" s="58"/>
      <c r="Z109" s="58"/>
    </row>
    <row r="110">
      <c r="A110" s="162" t="s">
        <v>973</v>
      </c>
      <c r="B110" s="162" t="s">
        <v>920</v>
      </c>
      <c r="C110" s="162" t="s">
        <v>921</v>
      </c>
      <c r="D110" s="162">
        <v>3.0</v>
      </c>
      <c r="E110" s="162">
        <v>3.0</v>
      </c>
      <c r="F110" s="162" t="s">
        <v>848</v>
      </c>
      <c r="G110" s="162" t="s">
        <v>730</v>
      </c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58"/>
      <c r="W110" s="58"/>
      <c r="X110" s="58"/>
      <c r="Y110" s="58"/>
      <c r="Z110" s="58"/>
    </row>
    <row r="111">
      <c r="A111" s="162" t="s">
        <v>975</v>
      </c>
      <c r="B111" s="162" t="s">
        <v>920</v>
      </c>
      <c r="C111" s="162" t="s">
        <v>921</v>
      </c>
      <c r="D111" s="162">
        <v>3.0</v>
      </c>
      <c r="E111" s="162">
        <v>3.0</v>
      </c>
      <c r="F111" s="162" t="s">
        <v>851</v>
      </c>
      <c r="G111" s="162" t="s">
        <v>730</v>
      </c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58"/>
      <c r="W111" s="58"/>
      <c r="X111" s="58"/>
      <c r="Y111" s="58"/>
      <c r="Z111" s="58"/>
    </row>
    <row r="112">
      <c r="A112" s="162" t="s">
        <v>456</v>
      </c>
      <c r="B112" s="162" t="s">
        <v>920</v>
      </c>
      <c r="C112" s="162" t="s">
        <v>921</v>
      </c>
      <c r="D112" s="162">
        <v>3.0</v>
      </c>
      <c r="E112" s="162">
        <v>3.0</v>
      </c>
      <c r="F112" s="162" t="s">
        <v>853</v>
      </c>
      <c r="G112" s="162" t="s">
        <v>730</v>
      </c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58"/>
      <c r="W112" s="58"/>
      <c r="X112" s="58"/>
      <c r="Y112" s="58"/>
      <c r="Z112" s="58"/>
    </row>
    <row r="113">
      <c r="A113" s="162" t="s">
        <v>443</v>
      </c>
      <c r="B113" s="162" t="s">
        <v>920</v>
      </c>
      <c r="C113" s="162" t="s">
        <v>921</v>
      </c>
      <c r="D113" s="162">
        <v>3.0</v>
      </c>
      <c r="E113" s="162">
        <v>4.0</v>
      </c>
      <c r="F113" s="162" t="s">
        <v>848</v>
      </c>
      <c r="G113" s="162" t="s">
        <v>730</v>
      </c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58"/>
      <c r="W113" s="58"/>
      <c r="X113" s="58"/>
      <c r="Y113" s="58"/>
      <c r="Z113" s="58"/>
    </row>
    <row r="114">
      <c r="A114" s="162" t="s">
        <v>979</v>
      </c>
      <c r="B114" s="162" t="s">
        <v>920</v>
      </c>
      <c r="C114" s="162" t="s">
        <v>921</v>
      </c>
      <c r="D114" s="162">
        <v>3.0</v>
      </c>
      <c r="E114" s="162">
        <v>4.0</v>
      </c>
      <c r="F114" s="162" t="s">
        <v>851</v>
      </c>
      <c r="G114" s="162" t="s">
        <v>730</v>
      </c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58"/>
      <c r="W114" s="58"/>
      <c r="X114" s="58"/>
      <c r="Y114" s="58"/>
      <c r="Z114" s="58"/>
    </row>
    <row r="115">
      <c r="A115" s="162" t="s">
        <v>445</v>
      </c>
      <c r="B115" s="162" t="s">
        <v>920</v>
      </c>
      <c r="C115" s="162" t="s">
        <v>921</v>
      </c>
      <c r="D115" s="162">
        <v>3.0</v>
      </c>
      <c r="E115" s="162">
        <v>4.0</v>
      </c>
      <c r="F115" s="162" t="s">
        <v>853</v>
      </c>
      <c r="G115" s="162" t="s">
        <v>730</v>
      </c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58"/>
      <c r="W115" s="58"/>
      <c r="X115" s="58"/>
      <c r="Y115" s="58"/>
      <c r="Z115" s="58"/>
    </row>
    <row r="116">
      <c r="A116" s="162" t="s">
        <v>409</v>
      </c>
      <c r="B116" s="162" t="s">
        <v>920</v>
      </c>
      <c r="C116" s="162" t="s">
        <v>921</v>
      </c>
      <c r="D116" s="162">
        <v>3.0</v>
      </c>
      <c r="E116" s="162">
        <v>5.0</v>
      </c>
      <c r="F116" s="162" t="s">
        <v>848</v>
      </c>
      <c r="G116" s="162" t="s">
        <v>730</v>
      </c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58"/>
      <c r="W116" s="58"/>
      <c r="X116" s="58"/>
      <c r="Y116" s="58"/>
      <c r="Z116" s="58"/>
    </row>
    <row r="117">
      <c r="A117" s="162" t="s">
        <v>983</v>
      </c>
      <c r="B117" s="162" t="s">
        <v>920</v>
      </c>
      <c r="C117" s="162" t="s">
        <v>921</v>
      </c>
      <c r="D117" s="162">
        <v>3.0</v>
      </c>
      <c r="E117" s="162">
        <v>5.0</v>
      </c>
      <c r="F117" s="162" t="s">
        <v>851</v>
      </c>
      <c r="G117" s="162" t="s">
        <v>730</v>
      </c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58"/>
      <c r="W117" s="58"/>
      <c r="X117" s="58"/>
      <c r="Y117" s="58"/>
      <c r="Z117" s="58"/>
    </row>
    <row r="118">
      <c r="A118" s="162" t="s">
        <v>414</v>
      </c>
      <c r="B118" s="162" t="s">
        <v>920</v>
      </c>
      <c r="C118" s="162" t="s">
        <v>921</v>
      </c>
      <c r="D118" s="162">
        <v>3.0</v>
      </c>
      <c r="E118" s="162">
        <v>5.0</v>
      </c>
      <c r="F118" s="162" t="s">
        <v>853</v>
      </c>
      <c r="G118" s="162" t="s">
        <v>730</v>
      </c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58"/>
      <c r="W118" s="58"/>
      <c r="X118" s="58"/>
      <c r="Y118" s="58"/>
      <c r="Z118" s="58"/>
    </row>
    <row r="119">
      <c r="A119" s="162" t="s">
        <v>513</v>
      </c>
      <c r="B119" s="162" t="s">
        <v>920</v>
      </c>
      <c r="C119" s="162" t="s">
        <v>921</v>
      </c>
      <c r="D119" s="162">
        <v>4.0</v>
      </c>
      <c r="E119" s="162">
        <v>1.0</v>
      </c>
      <c r="F119" s="162" t="s">
        <v>848</v>
      </c>
      <c r="G119" s="162" t="s">
        <v>730</v>
      </c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58"/>
      <c r="W119" s="58"/>
      <c r="X119" s="58"/>
      <c r="Y119" s="58"/>
      <c r="Z119" s="58"/>
    </row>
    <row r="120">
      <c r="A120" s="162" t="s">
        <v>988</v>
      </c>
      <c r="B120" s="162" t="s">
        <v>920</v>
      </c>
      <c r="C120" s="162" t="s">
        <v>921</v>
      </c>
      <c r="D120" s="162">
        <v>4.0</v>
      </c>
      <c r="E120" s="162">
        <v>1.0</v>
      </c>
      <c r="F120" s="162" t="s">
        <v>851</v>
      </c>
      <c r="G120" s="162" t="s">
        <v>730</v>
      </c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58"/>
      <c r="W120" s="58"/>
      <c r="X120" s="58"/>
      <c r="Y120" s="58"/>
      <c r="Z120" s="58"/>
    </row>
    <row r="121">
      <c r="A121" s="162" t="s">
        <v>516</v>
      </c>
      <c r="B121" s="162" t="s">
        <v>920</v>
      </c>
      <c r="C121" s="162" t="s">
        <v>921</v>
      </c>
      <c r="D121" s="162">
        <v>4.0</v>
      </c>
      <c r="E121" s="162">
        <v>1.0</v>
      </c>
      <c r="F121" s="162" t="s">
        <v>853</v>
      </c>
      <c r="G121" s="162" t="s">
        <v>730</v>
      </c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58"/>
      <c r="W121" s="58"/>
      <c r="X121" s="58"/>
      <c r="Y121" s="58"/>
      <c r="Z121" s="58"/>
    </row>
    <row r="122">
      <c r="A122" s="162" t="s">
        <v>502</v>
      </c>
      <c r="B122" s="162" t="s">
        <v>920</v>
      </c>
      <c r="C122" s="162" t="s">
        <v>921</v>
      </c>
      <c r="D122" s="162">
        <v>4.0</v>
      </c>
      <c r="E122" s="162">
        <v>2.0</v>
      </c>
      <c r="F122" s="162" t="s">
        <v>848</v>
      </c>
      <c r="G122" s="162" t="s">
        <v>730</v>
      </c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58"/>
      <c r="W122" s="58"/>
      <c r="X122" s="58"/>
      <c r="Y122" s="58"/>
      <c r="Z122" s="58"/>
    </row>
    <row r="123">
      <c r="A123" s="162" t="s">
        <v>990</v>
      </c>
      <c r="B123" s="162" t="s">
        <v>920</v>
      </c>
      <c r="C123" s="162" t="s">
        <v>921</v>
      </c>
      <c r="D123" s="162">
        <v>4.0</v>
      </c>
      <c r="E123" s="162">
        <v>2.0</v>
      </c>
      <c r="F123" s="162" t="s">
        <v>851</v>
      </c>
      <c r="G123" s="162" t="s">
        <v>730</v>
      </c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58"/>
      <c r="W123" s="58"/>
      <c r="X123" s="58"/>
      <c r="Y123" s="58"/>
      <c r="Z123" s="58"/>
    </row>
    <row r="124">
      <c r="A124" s="162" t="s">
        <v>505</v>
      </c>
      <c r="B124" s="162" t="s">
        <v>920</v>
      </c>
      <c r="C124" s="162" t="s">
        <v>921</v>
      </c>
      <c r="D124" s="162">
        <v>4.0</v>
      </c>
      <c r="E124" s="162">
        <v>2.0</v>
      </c>
      <c r="F124" s="162" t="s">
        <v>853</v>
      </c>
      <c r="G124" s="162" t="s">
        <v>730</v>
      </c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58"/>
      <c r="W124" s="58"/>
      <c r="X124" s="58"/>
      <c r="Y124" s="58"/>
      <c r="Z124" s="58"/>
    </row>
    <row r="125">
      <c r="A125" s="162" t="s">
        <v>454</v>
      </c>
      <c r="B125" s="162" t="s">
        <v>920</v>
      </c>
      <c r="C125" s="162" t="s">
        <v>921</v>
      </c>
      <c r="D125" s="162">
        <v>4.0</v>
      </c>
      <c r="E125" s="162">
        <v>3.0</v>
      </c>
      <c r="F125" s="162" t="s">
        <v>848</v>
      </c>
      <c r="G125" s="162" t="s">
        <v>730</v>
      </c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58"/>
      <c r="W125" s="58"/>
      <c r="X125" s="58"/>
      <c r="Y125" s="58"/>
      <c r="Z125" s="58"/>
    </row>
    <row r="126">
      <c r="A126" s="162" t="s">
        <v>994</v>
      </c>
      <c r="B126" s="162" t="s">
        <v>920</v>
      </c>
      <c r="C126" s="162" t="s">
        <v>921</v>
      </c>
      <c r="D126" s="162">
        <v>4.0</v>
      </c>
      <c r="E126" s="162">
        <v>3.0</v>
      </c>
      <c r="F126" s="162" t="s">
        <v>851</v>
      </c>
      <c r="G126" s="162" t="s">
        <v>730</v>
      </c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58"/>
      <c r="W126" s="58"/>
      <c r="X126" s="58"/>
      <c r="Y126" s="58"/>
      <c r="Z126" s="58"/>
    </row>
    <row r="127">
      <c r="A127" s="162" t="s">
        <v>451</v>
      </c>
      <c r="B127" s="162" t="s">
        <v>920</v>
      </c>
      <c r="C127" s="162" t="s">
        <v>921</v>
      </c>
      <c r="D127" s="162">
        <v>4.0</v>
      </c>
      <c r="E127" s="162">
        <v>3.0</v>
      </c>
      <c r="F127" s="162" t="s">
        <v>853</v>
      </c>
      <c r="G127" s="162" t="s">
        <v>730</v>
      </c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58"/>
      <c r="W127" s="58"/>
      <c r="X127" s="58"/>
      <c r="Y127" s="58"/>
      <c r="Z127" s="58"/>
    </row>
    <row r="128">
      <c r="A128" s="162" t="s">
        <v>435</v>
      </c>
      <c r="B128" s="162" t="s">
        <v>920</v>
      </c>
      <c r="C128" s="162" t="s">
        <v>921</v>
      </c>
      <c r="D128" s="162">
        <v>4.0</v>
      </c>
      <c r="E128" s="162">
        <v>4.0</v>
      </c>
      <c r="F128" s="162" t="s">
        <v>848</v>
      </c>
      <c r="G128" s="162" t="s">
        <v>730</v>
      </c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58"/>
      <c r="W128" s="58"/>
      <c r="X128" s="58"/>
      <c r="Y128" s="58"/>
      <c r="Z128" s="58"/>
    </row>
    <row r="129">
      <c r="A129" s="162" t="s">
        <v>997</v>
      </c>
      <c r="B129" s="162" t="s">
        <v>920</v>
      </c>
      <c r="C129" s="162" t="s">
        <v>921</v>
      </c>
      <c r="D129" s="162">
        <v>4.0</v>
      </c>
      <c r="E129" s="162">
        <v>4.0</v>
      </c>
      <c r="F129" s="162" t="s">
        <v>851</v>
      </c>
      <c r="G129" s="162" t="s">
        <v>730</v>
      </c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58"/>
      <c r="W129" s="58"/>
      <c r="X129" s="58"/>
      <c r="Y129" s="58"/>
      <c r="Z129" s="58"/>
    </row>
    <row r="130">
      <c r="A130" s="162" t="s">
        <v>433</v>
      </c>
      <c r="B130" s="162" t="s">
        <v>920</v>
      </c>
      <c r="C130" s="162" t="s">
        <v>921</v>
      </c>
      <c r="D130" s="162">
        <v>4.0</v>
      </c>
      <c r="E130" s="162">
        <v>4.0</v>
      </c>
      <c r="F130" s="162" t="s">
        <v>853</v>
      </c>
      <c r="G130" s="162" t="s">
        <v>730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58"/>
      <c r="W130" s="58"/>
      <c r="X130" s="58"/>
      <c r="Y130" s="58"/>
      <c r="Z130" s="58"/>
    </row>
    <row r="131">
      <c r="A131" s="162" t="s">
        <v>428</v>
      </c>
      <c r="B131" s="162" t="s">
        <v>920</v>
      </c>
      <c r="C131" s="162" t="s">
        <v>921</v>
      </c>
      <c r="D131" s="162">
        <v>4.0</v>
      </c>
      <c r="E131" s="162">
        <v>5.0</v>
      </c>
      <c r="F131" s="162" t="s">
        <v>848</v>
      </c>
      <c r="G131" s="162" t="s">
        <v>730</v>
      </c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58"/>
      <c r="W131" s="58"/>
      <c r="X131" s="58"/>
      <c r="Y131" s="58"/>
      <c r="Z131" s="58"/>
    </row>
    <row r="132">
      <c r="A132" s="162" t="s">
        <v>1000</v>
      </c>
      <c r="B132" s="162" t="s">
        <v>920</v>
      </c>
      <c r="C132" s="162" t="s">
        <v>921</v>
      </c>
      <c r="D132" s="162">
        <v>4.0</v>
      </c>
      <c r="E132" s="162">
        <v>5.0</v>
      </c>
      <c r="F132" s="162" t="s">
        <v>851</v>
      </c>
      <c r="G132" s="162" t="s">
        <v>730</v>
      </c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58"/>
      <c r="W132" s="58"/>
      <c r="X132" s="58"/>
      <c r="Y132" s="58"/>
      <c r="Z132" s="58"/>
    </row>
    <row r="133">
      <c r="A133" s="162" t="s">
        <v>430</v>
      </c>
      <c r="B133" s="162" t="s">
        <v>920</v>
      </c>
      <c r="C133" s="162" t="s">
        <v>921</v>
      </c>
      <c r="D133" s="162">
        <v>4.0</v>
      </c>
      <c r="E133" s="162">
        <v>5.0</v>
      </c>
      <c r="F133" s="162" t="s">
        <v>853</v>
      </c>
      <c r="G133" s="162" t="s">
        <v>730</v>
      </c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58"/>
      <c r="W133" s="58"/>
      <c r="X133" s="58"/>
      <c r="Y133" s="58"/>
      <c r="Z133" s="58"/>
    </row>
    <row r="134">
      <c r="A134" s="162" t="s">
        <v>633</v>
      </c>
      <c r="B134" s="162" t="s">
        <v>373</v>
      </c>
      <c r="C134" s="162"/>
      <c r="D134" s="162"/>
      <c r="E134" s="162"/>
      <c r="F134" s="162"/>
      <c r="G134" s="162" t="s">
        <v>727</v>
      </c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58"/>
      <c r="W134" s="58"/>
      <c r="X134" s="58"/>
      <c r="Y134" s="58"/>
      <c r="Z134" s="58"/>
    </row>
    <row r="135">
      <c r="A135" s="162" t="s">
        <v>1006</v>
      </c>
      <c r="B135" s="162" t="s">
        <v>375</v>
      </c>
      <c r="C135" s="162"/>
      <c r="D135" s="162"/>
      <c r="E135" s="162"/>
      <c r="F135" s="162"/>
      <c r="G135" s="162" t="s">
        <v>727</v>
      </c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58"/>
      <c r="W135" s="58"/>
      <c r="X135" s="58"/>
      <c r="Y135" s="58"/>
      <c r="Z135" s="58"/>
    </row>
    <row r="136">
      <c r="A136" s="162" t="s">
        <v>1009</v>
      </c>
      <c r="B136" s="162" t="s">
        <v>380</v>
      </c>
      <c r="C136" s="162"/>
      <c r="D136" s="162"/>
      <c r="E136" s="162"/>
      <c r="F136" s="162"/>
      <c r="G136" s="162" t="s">
        <v>727</v>
      </c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58"/>
      <c r="W136" s="58"/>
      <c r="X136" s="58"/>
      <c r="Y136" s="58"/>
      <c r="Z136" s="58"/>
    </row>
    <row r="137">
      <c r="A137" s="162" t="s">
        <v>559</v>
      </c>
      <c r="B137" s="162" t="s">
        <v>381</v>
      </c>
      <c r="C137" s="162"/>
      <c r="D137" s="162"/>
      <c r="E137" s="162"/>
      <c r="F137" s="162"/>
      <c r="G137" s="162" t="s">
        <v>727</v>
      </c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58"/>
      <c r="W137" s="58"/>
      <c r="X137" s="58"/>
      <c r="Y137" s="58"/>
      <c r="Z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26"/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0.56"/>
    <col customWidth="1" min="3" max="3" width="9.56"/>
    <col customWidth="1" min="4" max="4" width="12.0"/>
    <col customWidth="1" min="5" max="5" width="24.56"/>
    <col customWidth="1" min="6" max="25" width="12.0"/>
  </cols>
  <sheetData>
    <row r="1" ht="45.75" customHeight="1">
      <c r="A1" s="158" t="s">
        <v>1059</v>
      </c>
      <c r="B1" s="158" t="s">
        <v>1061</v>
      </c>
      <c r="C1" s="158" t="s">
        <v>1062</v>
      </c>
      <c r="D1" s="159"/>
      <c r="E1" s="158" t="s">
        <v>1063</v>
      </c>
      <c r="F1" s="159"/>
    </row>
    <row r="2" ht="15.0" customHeight="1">
      <c r="A2" s="162" t="s">
        <v>67</v>
      </c>
      <c r="B2" s="162" t="s">
        <v>820</v>
      </c>
      <c r="C2" s="162" t="s">
        <v>727</v>
      </c>
      <c r="D2" s="58"/>
      <c r="E2" s="58" t="s">
        <v>383</v>
      </c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5.0" customHeight="1">
      <c r="A3" s="162" t="s">
        <v>564</v>
      </c>
      <c r="B3" s="162" t="s">
        <v>725</v>
      </c>
      <c r="C3" s="162" t="s">
        <v>730</v>
      </c>
      <c r="D3" s="58"/>
      <c r="E3" s="58" t="s">
        <v>366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27.75" customHeight="1">
      <c r="A4" s="162" t="s">
        <v>223</v>
      </c>
      <c r="B4" s="162"/>
      <c r="C4" s="162"/>
      <c r="D4" s="58"/>
      <c r="E4" s="58" t="s">
        <v>449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27.75" customHeight="1">
      <c r="A5" s="162" t="s">
        <v>630</v>
      </c>
      <c r="B5" s="162"/>
      <c r="C5" s="162"/>
      <c r="D5" s="58"/>
      <c r="E5" s="58" t="s">
        <v>1066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0" customHeight="1">
      <c r="A6" s="162" t="s">
        <v>357</v>
      </c>
      <c r="B6" s="162"/>
      <c r="C6" s="162"/>
      <c r="D6" s="58"/>
      <c r="E6" s="58" t="s">
        <v>79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0" customHeight="1">
      <c r="A7" s="162" t="s">
        <v>657</v>
      </c>
      <c r="B7" s="162"/>
      <c r="C7" s="162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27.75" customHeight="1">
      <c r="A8" s="162" t="s">
        <v>622</v>
      </c>
      <c r="B8" s="162"/>
      <c r="C8" s="162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27.75" customHeight="1">
      <c r="A9" s="162" t="s">
        <v>1070</v>
      </c>
      <c r="B9" s="162"/>
      <c r="C9" s="162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5.0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5.0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5.0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5.0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5.0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5.0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5.0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5.0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5.0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5.0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5.0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0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0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0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0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0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0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0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0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0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0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0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0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0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0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0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0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0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0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0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0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0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0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0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0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0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0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0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0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0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0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0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0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0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0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0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0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0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0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0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0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0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5.0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0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0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0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0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0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0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0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0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0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0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0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0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0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0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0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0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0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0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0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0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0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0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0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0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0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0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0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0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0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0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0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0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0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0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0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0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0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0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0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0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0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0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0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0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0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0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0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0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0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0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0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0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0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0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0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0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0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0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0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0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0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0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0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0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0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0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0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0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0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0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0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0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0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0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0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0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0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0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0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0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0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0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0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0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0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0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0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0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0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0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0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0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0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0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0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0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0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0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0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0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0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0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0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0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0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0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0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0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0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0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0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0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0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0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0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0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0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0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0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0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0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0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0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0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0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0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0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0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0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0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0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0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0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0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0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0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0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0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23.44"/>
    <col customWidth="1" min="2" max="2" width="84.56"/>
  </cols>
  <sheetData>
    <row r="1">
      <c r="A1" s="168" t="s">
        <v>1122</v>
      </c>
      <c r="B1" s="168" t="s">
        <v>1123</v>
      </c>
    </row>
    <row r="2">
      <c r="A2" s="168" t="s">
        <v>1124</v>
      </c>
      <c r="B2" s="168" t="s">
        <v>1125</v>
      </c>
    </row>
    <row r="3">
      <c r="A3" s="169" t="s">
        <v>1126</v>
      </c>
      <c r="B3" s="169" t="s">
        <v>1127</v>
      </c>
    </row>
    <row r="4">
      <c r="A4" s="169" t="s">
        <v>1128</v>
      </c>
      <c r="B4" s="169" t="s">
        <v>1129</v>
      </c>
    </row>
    <row r="5">
      <c r="A5" s="169" t="s">
        <v>1130</v>
      </c>
      <c r="B5" s="169" t="s">
        <v>1131</v>
      </c>
    </row>
    <row r="6">
      <c r="A6" s="169" t="s">
        <v>1132</v>
      </c>
      <c r="B6" s="169" t="s">
        <v>1133</v>
      </c>
    </row>
    <row r="7">
      <c r="A7" s="169" t="s">
        <v>1134</v>
      </c>
      <c r="B7" s="169" t="s">
        <v>1135</v>
      </c>
    </row>
    <row r="8">
      <c r="A8" s="169" t="s">
        <v>1136</v>
      </c>
      <c r="B8" s="169" t="s">
        <v>1137</v>
      </c>
    </row>
    <row r="9">
      <c r="A9" s="169" t="s">
        <v>1138</v>
      </c>
      <c r="B9" s="169" t="s">
        <v>1140</v>
      </c>
    </row>
    <row r="10">
      <c r="A10" s="169" t="s">
        <v>1141</v>
      </c>
      <c r="B10" s="169" t="s">
        <v>1142</v>
      </c>
    </row>
    <row r="11">
      <c r="A11" s="169" t="s">
        <v>1143</v>
      </c>
      <c r="B11" s="169" t="s">
        <v>1144</v>
      </c>
    </row>
    <row r="12">
      <c r="A12" s="169" t="s">
        <v>1145</v>
      </c>
      <c r="B12" s="169" t="s">
        <v>1146</v>
      </c>
    </row>
    <row r="13">
      <c r="A13" s="169" t="s">
        <v>1147</v>
      </c>
      <c r="B13" s="169" t="s">
        <v>1148</v>
      </c>
    </row>
    <row r="14">
      <c r="A14" s="169" t="s">
        <v>1149</v>
      </c>
      <c r="B14" s="169" t="s">
        <v>1150</v>
      </c>
    </row>
    <row r="15">
      <c r="A15" s="169" t="s">
        <v>1151</v>
      </c>
      <c r="B15" s="169" t="s">
        <v>1152</v>
      </c>
    </row>
    <row r="16">
      <c r="A16" s="169" t="s">
        <v>1153</v>
      </c>
      <c r="B16" s="169" t="s">
        <v>1154</v>
      </c>
    </row>
    <row r="17">
      <c r="A17" s="169" t="s">
        <v>1155</v>
      </c>
      <c r="B17" s="169" t="s">
        <v>1156</v>
      </c>
    </row>
    <row r="18">
      <c r="A18" s="169" t="s">
        <v>1157</v>
      </c>
      <c r="B18" s="169" t="s">
        <v>1158</v>
      </c>
    </row>
    <row r="19">
      <c r="A19" s="169" t="s">
        <v>1159</v>
      </c>
      <c r="B19" s="169" t="s">
        <v>1160</v>
      </c>
    </row>
    <row r="20">
      <c r="A20" s="170" t="s">
        <v>1161</v>
      </c>
      <c r="B20" s="170" t="s">
        <v>1162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23.44"/>
    <col customWidth="1" min="2" max="2" width="84.56"/>
  </cols>
  <sheetData>
    <row r="1">
      <c r="A1" s="168" t="s">
        <v>1163</v>
      </c>
      <c r="B1" s="168" t="s">
        <v>1164</v>
      </c>
    </row>
    <row r="2">
      <c r="A2" s="168" t="s">
        <v>1165</v>
      </c>
      <c r="B2" s="168" t="s">
        <v>1166</v>
      </c>
    </row>
    <row r="3">
      <c r="A3" s="169" t="s">
        <v>1167</v>
      </c>
      <c r="B3" s="169" t="s">
        <v>1168</v>
      </c>
    </row>
    <row r="4">
      <c r="A4" s="169" t="s">
        <v>1169</v>
      </c>
      <c r="B4" s="169" t="s">
        <v>1170</v>
      </c>
    </row>
    <row r="5">
      <c r="A5" s="169" t="s">
        <v>1171</v>
      </c>
      <c r="B5" s="169" t="s">
        <v>1172</v>
      </c>
    </row>
    <row r="6">
      <c r="A6" s="169" t="s">
        <v>1173</v>
      </c>
      <c r="B6" s="169" t="s">
        <v>1174</v>
      </c>
    </row>
    <row r="7">
      <c r="A7" s="169" t="s">
        <v>1175</v>
      </c>
      <c r="B7" s="169" t="s">
        <v>1176</v>
      </c>
    </row>
    <row r="8">
      <c r="A8" s="169" t="s">
        <v>1177</v>
      </c>
      <c r="B8" s="169" t="s">
        <v>1178</v>
      </c>
    </row>
    <row r="9">
      <c r="A9" s="169" t="s">
        <v>1179</v>
      </c>
      <c r="B9" s="169" t="s">
        <v>1180</v>
      </c>
    </row>
    <row r="10">
      <c r="A10" s="169" t="s">
        <v>1181</v>
      </c>
      <c r="B10" s="169" t="s">
        <v>1182</v>
      </c>
    </row>
    <row r="11">
      <c r="A11" s="169" t="s">
        <v>1183</v>
      </c>
      <c r="B11" s="169" t="s">
        <v>1185</v>
      </c>
    </row>
    <row r="12">
      <c r="A12" s="169" t="s">
        <v>1181</v>
      </c>
      <c r="B12" s="169" t="s">
        <v>1186</v>
      </c>
    </row>
    <row r="13">
      <c r="A13" s="169" t="s">
        <v>1187</v>
      </c>
      <c r="B13" s="169" t="s">
        <v>1188</v>
      </c>
    </row>
    <row r="14">
      <c r="A14" s="169" t="s">
        <v>1189</v>
      </c>
      <c r="B14" s="169" t="s">
        <v>1190</v>
      </c>
    </row>
    <row r="15">
      <c r="A15" s="169" t="s">
        <v>1191</v>
      </c>
      <c r="B15" s="169" t="s">
        <v>1192</v>
      </c>
    </row>
    <row r="16">
      <c r="A16" s="169" t="s">
        <v>1193</v>
      </c>
      <c r="B16" s="169" t="s">
        <v>1194</v>
      </c>
    </row>
    <row r="17">
      <c r="A17" s="169" t="s">
        <v>1195</v>
      </c>
      <c r="B17" s="169" t="s">
        <v>1196</v>
      </c>
    </row>
    <row r="18">
      <c r="A18" s="169" t="s">
        <v>1197</v>
      </c>
      <c r="B18" s="169" t="s">
        <v>1198</v>
      </c>
    </row>
    <row r="19">
      <c r="A19" s="169" t="s">
        <v>1199</v>
      </c>
      <c r="B19" s="169" t="s">
        <v>1200</v>
      </c>
    </row>
    <row r="20">
      <c r="A20" s="169" t="s">
        <v>1201</v>
      </c>
      <c r="B20" s="169" t="s">
        <v>1202</v>
      </c>
    </row>
    <row r="21">
      <c r="A21" s="169" t="s">
        <v>1203</v>
      </c>
      <c r="B21" s="169" t="s">
        <v>1204</v>
      </c>
    </row>
    <row r="22">
      <c r="A22" s="170" t="s">
        <v>1205</v>
      </c>
      <c r="B22" s="170" t="s">
        <v>1206</v>
      </c>
    </row>
  </sheetData>
  <drawing r:id="rId1"/>
</worksheet>
</file>